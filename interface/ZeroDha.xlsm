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rig Analytics\Development\mrigAnalytics\Interface\"/>
    </mc:Choice>
  </mc:AlternateContent>
  <bookViews>
    <workbookView xWindow="0" yWindow="0" windowWidth="20490" windowHeight="7800" activeTab="1"/>
  </bookViews>
  <sheets>
    <sheet name="Trade" sheetId="1" r:id="rId1"/>
    <sheet name="Holding Positions" sheetId="4" r:id="rId2"/>
    <sheet name="Intraday Positions" sheetId="2" r:id="rId3"/>
    <sheet name="Reference" sheetId="3" r:id="rId4"/>
  </sheets>
  <functionGroups builtInGroupCount="18">
    <functionGroup name="ObjectHandler"/>
  </functionGroup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4" l="1"/>
  <c r="B7" i="4"/>
  <c r="B6" i="4"/>
  <c r="G8" i="4"/>
  <c r="G7" i="4"/>
  <c r="G6" i="4"/>
  <c r="C6" i="4" l="1"/>
  <c r="C7" i="4"/>
  <c r="C8" i="4"/>
  <c r="R5" i="4"/>
  <c r="Q5" i="4"/>
  <c r="P5" i="4"/>
  <c r="O5" i="4"/>
  <c r="M5" i="4"/>
  <c r="L5" i="4"/>
  <c r="N5" i="4"/>
  <c r="O14" i="4"/>
  <c r="O13" i="4"/>
  <c r="O12" i="4"/>
  <c r="O11" i="4"/>
  <c r="O10" i="4"/>
  <c r="O9" i="4"/>
  <c r="O8" i="4"/>
  <c r="O7" i="4"/>
  <c r="O6" i="4"/>
  <c r="K14" i="4"/>
  <c r="Q14" i="4" s="1"/>
  <c r="Q13" i="4"/>
  <c r="M13" i="4"/>
  <c r="K13" i="4"/>
  <c r="P13" i="4" s="1"/>
  <c r="P12" i="4"/>
  <c r="M12" i="4"/>
  <c r="N12" i="4"/>
  <c r="K12" i="4"/>
  <c r="K11" i="4"/>
  <c r="Q11" i="4" s="1"/>
  <c r="K10" i="4"/>
  <c r="Q10" i="4" s="1"/>
  <c r="Q9" i="4"/>
  <c r="M9" i="4"/>
  <c r="K9" i="4"/>
  <c r="P9" i="4" s="1"/>
  <c r="K8" i="4"/>
  <c r="K7" i="4"/>
  <c r="Q7" i="4" s="1"/>
  <c r="K6" i="4"/>
  <c r="Q6" i="4" s="1"/>
  <c r="C4" i="4" l="1"/>
  <c r="C2" i="4" s="1"/>
  <c r="M8" i="4"/>
  <c r="P8" i="4"/>
  <c r="Q8" i="4"/>
  <c r="P7" i="4"/>
  <c r="P11" i="4"/>
  <c r="Q12" i="4"/>
  <c r="M7" i="4"/>
  <c r="P10" i="4"/>
  <c r="M11" i="4"/>
  <c r="P14" i="4"/>
  <c r="N9" i="4"/>
  <c r="M10" i="4"/>
  <c r="N13" i="4"/>
  <c r="M14" i="4"/>
  <c r="K5" i="4"/>
  <c r="P6" i="4"/>
  <c r="M6" i="4"/>
  <c r="N8" i="4" l="1"/>
  <c r="N14" i="4"/>
  <c r="N10" i="4"/>
  <c r="N7" i="4"/>
  <c r="N11" i="4"/>
  <c r="N6" i="4"/>
  <c r="C9" i="1"/>
  <c r="F5" i="4" l="1"/>
  <c r="Q9" i="2"/>
  <c r="Q5" i="2"/>
  <c r="J11" i="2" l="1"/>
  <c r="J10" i="2"/>
  <c r="P10" i="1"/>
  <c r="O10" i="1"/>
  <c r="N10" i="1"/>
  <c r="M10" i="1"/>
  <c r="L10" i="1"/>
  <c r="K10" i="1"/>
  <c r="M8" i="1"/>
  <c r="N8" i="1" s="1"/>
  <c r="O8" i="1" s="1"/>
  <c r="P8" i="1" s="1"/>
  <c r="L8" i="1"/>
  <c r="G9" i="1"/>
  <c r="P9" i="1" s="1"/>
  <c r="K558" i="3"/>
  <c r="K557" i="3"/>
  <c r="K556" i="3"/>
  <c r="K555" i="3"/>
  <c r="K554" i="3"/>
  <c r="K553" i="3"/>
  <c r="K552" i="3"/>
  <c r="K551" i="3"/>
  <c r="K550" i="3"/>
  <c r="K549" i="3"/>
  <c r="K548" i="3"/>
  <c r="K547" i="3"/>
  <c r="K546" i="3"/>
  <c r="K545" i="3"/>
  <c r="K544" i="3"/>
  <c r="K543" i="3"/>
  <c r="K542" i="3"/>
  <c r="K541" i="3"/>
  <c r="K540" i="3"/>
  <c r="K539" i="3"/>
  <c r="K538" i="3"/>
  <c r="K537" i="3"/>
  <c r="K536" i="3"/>
  <c r="K535" i="3"/>
  <c r="K534" i="3"/>
  <c r="K533" i="3"/>
  <c r="K532" i="3"/>
  <c r="K531" i="3"/>
  <c r="K530" i="3"/>
  <c r="K529" i="3"/>
  <c r="K528" i="3"/>
  <c r="K527" i="3"/>
  <c r="K526" i="3"/>
  <c r="K525" i="3"/>
  <c r="K524" i="3"/>
  <c r="K523" i="3"/>
  <c r="K522" i="3"/>
  <c r="K521" i="3"/>
  <c r="K520" i="3"/>
  <c r="K519" i="3"/>
  <c r="K518" i="3"/>
  <c r="K517" i="3"/>
  <c r="K516" i="3"/>
  <c r="K515" i="3"/>
  <c r="K514" i="3"/>
  <c r="K513" i="3"/>
  <c r="K512" i="3"/>
  <c r="K511" i="3"/>
  <c r="K510" i="3"/>
  <c r="K509" i="3"/>
  <c r="K508" i="3"/>
  <c r="K507" i="3"/>
  <c r="K506" i="3"/>
  <c r="K505" i="3"/>
  <c r="K504" i="3"/>
  <c r="K503" i="3"/>
  <c r="K502" i="3"/>
  <c r="K501" i="3"/>
  <c r="K500" i="3"/>
  <c r="K499" i="3"/>
  <c r="K498" i="3"/>
  <c r="K497" i="3"/>
  <c r="K496" i="3"/>
  <c r="K495" i="3"/>
  <c r="K494" i="3"/>
  <c r="K493" i="3"/>
  <c r="K492" i="3"/>
  <c r="K491" i="3"/>
  <c r="K490" i="3"/>
  <c r="K489" i="3"/>
  <c r="K488" i="3"/>
  <c r="K487" i="3"/>
  <c r="K486" i="3"/>
  <c r="K485" i="3"/>
  <c r="K484" i="3"/>
  <c r="K483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L10" i="2" l="1"/>
  <c r="P10" i="2"/>
  <c r="K10" i="2"/>
  <c r="M10" i="2" s="1"/>
  <c r="O10" i="2"/>
  <c r="N10" i="2"/>
  <c r="P11" i="2"/>
  <c r="K11" i="2"/>
  <c r="M11" i="2" s="1"/>
  <c r="O11" i="2"/>
  <c r="N11" i="2"/>
  <c r="L11" i="2"/>
  <c r="M9" i="1"/>
  <c r="N9" i="1"/>
  <c r="K9" i="1"/>
  <c r="O9" i="1"/>
  <c r="L9" i="1"/>
  <c r="H9" i="1"/>
  <c r="I9" i="1" s="1"/>
  <c r="F9" i="1" s="1"/>
  <c r="C5" i="2" l="1"/>
  <c r="J6" i="2"/>
  <c r="J9" i="2"/>
  <c r="J8" i="2"/>
  <c r="J7" i="2"/>
  <c r="O8" i="2" l="1"/>
  <c r="N8" i="2"/>
  <c r="L8" i="2"/>
  <c r="P8" i="2"/>
  <c r="K8" i="2"/>
  <c r="M8" i="2" s="1"/>
  <c r="N9" i="2"/>
  <c r="L9" i="2"/>
  <c r="P9" i="2"/>
  <c r="K9" i="2"/>
  <c r="M9" i="2" s="1"/>
  <c r="O9" i="2"/>
  <c r="L6" i="2"/>
  <c r="K6" i="2"/>
  <c r="P6" i="2"/>
  <c r="P5" i="2" s="1"/>
  <c r="O6" i="2"/>
  <c r="N6" i="2"/>
  <c r="P7" i="2"/>
  <c r="K7" i="2"/>
  <c r="M7" i="2" s="1"/>
  <c r="O7" i="2"/>
  <c r="N7" i="2"/>
  <c r="L7" i="2"/>
  <c r="J5" i="2"/>
  <c r="K5" i="2" l="1"/>
  <c r="M6" i="2"/>
  <c r="N5" i="2"/>
  <c r="L5" i="2"/>
  <c r="O5" i="2"/>
  <c r="M5" i="2"/>
  <c r="F5" i="2" l="1"/>
  <c r="C3" i="2" s="1"/>
  <c r="C3" i="1" l="1"/>
  <c r="C6" i="1" s="1"/>
  <c r="C3" i="4"/>
  <c r="J9" i="1" l="1"/>
</calcChain>
</file>

<file path=xl/sharedStrings.xml><?xml version="1.0" encoding="utf-8"?>
<sst xmlns="http://schemas.openxmlformats.org/spreadsheetml/2006/main" count="1749" uniqueCount="1168">
  <si>
    <t>Cash</t>
  </si>
  <si>
    <t>Stock</t>
  </si>
  <si>
    <t>B/S</t>
  </si>
  <si>
    <t>Symbol</t>
  </si>
  <si>
    <t>Qty</t>
  </si>
  <si>
    <t>Price</t>
  </si>
  <si>
    <t>Value</t>
  </si>
  <si>
    <t>Brokerage</t>
  </si>
  <si>
    <t>ICICI -1412</t>
  </si>
  <si>
    <t>ORIENTBANK</t>
  </si>
  <si>
    <t>B</t>
  </si>
  <si>
    <t>CUMMINSIND</t>
  </si>
  <si>
    <t>S</t>
  </si>
  <si>
    <t>GST</t>
  </si>
  <si>
    <t>STT</t>
  </si>
  <si>
    <t>SEBI</t>
  </si>
  <si>
    <t>Stamp</t>
  </si>
  <si>
    <t>Gateway</t>
  </si>
  <si>
    <t>a</t>
  </si>
  <si>
    <t>Txn charges</t>
  </si>
  <si>
    <t>C&amp;T Charges</t>
  </si>
  <si>
    <t>Outstanding</t>
  </si>
  <si>
    <t>Account Balance</t>
  </si>
  <si>
    <t xml:space="preserve">Risk </t>
  </si>
  <si>
    <t>Serial No.</t>
  </si>
  <si>
    <t>Stocks allowed for MIS</t>
  </si>
  <si>
    <t>Margin allowed</t>
  </si>
  <si>
    <t>Stocks not allowed for MIS</t>
  </si>
  <si>
    <t>Stocks which were allowed but temporarily banned</t>
  </si>
  <si>
    <t>Reason</t>
  </si>
  <si>
    <t>3MINDIA:EQ</t>
  </si>
  <si>
    <t>21STCENMGM</t>
  </si>
  <si>
    <t>63MOONS:EQ</t>
  </si>
  <si>
    <t>3IINFOTECH</t>
  </si>
  <si>
    <t>AARTIIND:EQ</t>
  </si>
  <si>
    <t>5PAISA</t>
  </si>
  <si>
    <t>ABAN:EQ</t>
  </si>
  <si>
    <t>8KMILES</t>
  </si>
  <si>
    <t>ABB:EQ</t>
  </si>
  <si>
    <t>A2ZINFRA</t>
  </si>
  <si>
    <t>ABFRL:EQ</t>
  </si>
  <si>
    <t>AANCHALISP</t>
  </si>
  <si>
    <t>ACC:EQ</t>
  </si>
  <si>
    <t>AARVEEDEN</t>
  </si>
  <si>
    <t>ACE:EQ</t>
  </si>
  <si>
    <t>ABCBEARS</t>
  </si>
  <si>
    <t>ADANIENT:EQ</t>
  </si>
  <si>
    <t>ABGSHIP</t>
  </si>
  <si>
    <t>ADANIGAS:EQ</t>
  </si>
  <si>
    <t>ACIASIA</t>
  </si>
  <si>
    <t>ADANIGREEN:EQ</t>
  </si>
  <si>
    <t>ACKNIT</t>
  </si>
  <si>
    <t>ADANIPORTS:EQ</t>
  </si>
  <si>
    <t>ADANIGAS</t>
  </si>
  <si>
    <t>ADANIPOWER:EQ</t>
  </si>
  <si>
    <t>ADANIGREEN</t>
  </si>
  <si>
    <t>AIAENG:EQ</t>
  </si>
  <si>
    <t>ADANITRANS</t>
  </si>
  <si>
    <t>AJANTPHARM:EQ</t>
  </si>
  <si>
    <t>ADFFOODS</t>
  </si>
  <si>
    <t>AKSHOPTFBR:EQ</t>
  </si>
  <si>
    <t>ADHUNIK</t>
  </si>
  <si>
    <t>AKZOINDIA:EQ</t>
  </si>
  <si>
    <t>ADHUNIKIND</t>
  </si>
  <si>
    <t>ALANKIT:EQ</t>
  </si>
  <si>
    <t>ADLABS</t>
  </si>
  <si>
    <t>ALBK:EQ</t>
  </si>
  <si>
    <t>ADORWELD</t>
  </si>
  <si>
    <t>ALKEM:EQ</t>
  </si>
  <si>
    <t>ADSL</t>
  </si>
  <si>
    <t>ALLCARGO:EQ</t>
  </si>
  <si>
    <t>AGARIND</t>
  </si>
  <si>
    <t>AMARAJABAT:EQ</t>
  </si>
  <si>
    <t>AGCNET</t>
  </si>
  <si>
    <t>AMBUJACEM:EQ</t>
  </si>
  <si>
    <t>AGIIL</t>
  </si>
  <si>
    <t>AMRUTANJAN:EQ</t>
  </si>
  <si>
    <t>AGRITECH</t>
  </si>
  <si>
    <t>ANANTRAJ:EQ</t>
  </si>
  <si>
    <t>AHLWEST</t>
  </si>
  <si>
    <t>ANDHRABANK:EQ</t>
  </si>
  <si>
    <t>AIMCOPEST</t>
  </si>
  <si>
    <t>APEX:EQ</t>
  </si>
  <si>
    <t>AKSCHEM</t>
  </si>
  <si>
    <t>APOLLOHOSP:EQ</t>
  </si>
  <si>
    <t>ALANKIT</t>
  </si>
  <si>
    <t>APOLLOTYRE:EQ</t>
  </si>
  <si>
    <t>ALBERTDAVD</t>
  </si>
  <si>
    <t>ARVIND:EQ</t>
  </si>
  <si>
    <t>ALCHEM</t>
  </si>
  <si>
    <t>ASAHIINDIA:EQ</t>
  </si>
  <si>
    <t>ALKALI</t>
  </si>
  <si>
    <t>ASHAPURMIN:EQ</t>
  </si>
  <si>
    <t>ALLSEC</t>
  </si>
  <si>
    <t>ASHOKLEY:EQ</t>
  </si>
  <si>
    <t>ALMONDZ</t>
  </si>
  <si>
    <t>ASIANPAINT:EQ</t>
  </si>
  <si>
    <t>ALOKTEXT</t>
  </si>
  <si>
    <t>ASTRAZEN:EQ</t>
  </si>
  <si>
    <t>ALPA</t>
  </si>
  <si>
    <t>ATFL:EQ</t>
  </si>
  <si>
    <t>ALPHAGEO</t>
  </si>
  <si>
    <t>ATUL:EQ</t>
  </si>
  <si>
    <t>ALPSINDUS</t>
  </si>
  <si>
    <t>AUBANK:EQ</t>
  </si>
  <si>
    <t>ALUFLUOR</t>
  </si>
  <si>
    <t>AUROPHARMA:EQ</t>
  </si>
  <si>
    <t>AMAL</t>
  </si>
  <si>
    <t>AUTOAXLES:EQ</t>
  </si>
  <si>
    <t>AMBIKCO</t>
  </si>
  <si>
    <t>AVANTIFEED:EQ</t>
  </si>
  <si>
    <t>AMDIND</t>
  </si>
  <si>
    <t>AXISBANK:EQ</t>
  </si>
  <si>
    <t>AMRITCORP</t>
  </si>
  <si>
    <t>AXISCADES:EQ</t>
  </si>
  <si>
    <t>AMRUTANJAN</t>
  </si>
  <si>
    <t>BAJAJ-AUTO:EQ</t>
  </si>
  <si>
    <t>AMTEKAUTO</t>
  </si>
  <si>
    <t>BAJAJCORP:EQ</t>
  </si>
  <si>
    <t>AMTL</t>
  </si>
  <si>
    <t>BAJAJELEC:EQ</t>
  </si>
  <si>
    <t>ANDHRACEMT</t>
  </si>
  <si>
    <t>BAJAJFINSV:EQ</t>
  </si>
  <si>
    <t>ANDHRAPET</t>
  </si>
  <si>
    <t>BAJAJHIND:EQ</t>
  </si>
  <si>
    <t>ANGIND</t>
  </si>
  <si>
    <t>BAJAJHLDNG:EQ</t>
  </si>
  <si>
    <t>ANIKINDS</t>
  </si>
  <si>
    <t>BAJFINANCE:EQ</t>
  </si>
  <si>
    <t>ANKITMETAL</t>
  </si>
  <si>
    <t>BALKRISIND:EQ</t>
  </si>
  <si>
    <t>ANSALAPI</t>
  </si>
  <si>
    <t>BALRAMCHIN:EQ</t>
  </si>
  <si>
    <t>ANSALBU</t>
  </si>
  <si>
    <t>BANCOINDIA:EQ</t>
  </si>
  <si>
    <t>ANSALHSG</t>
  </si>
  <si>
    <t>BANKBARODA:EQ</t>
  </si>
  <si>
    <t>ANSHNCO</t>
  </si>
  <si>
    <t>BANKBEES:EQ</t>
  </si>
  <si>
    <t>ANSLAPI</t>
  </si>
  <si>
    <t>BANKINDIA:EQ</t>
  </si>
  <si>
    <t>ANTGRAPHIC</t>
  </si>
  <si>
    <t>BATAINDIA:EQ</t>
  </si>
  <si>
    <t>APCL</t>
  </si>
  <si>
    <t>BBTC:EQ</t>
  </si>
  <si>
    <t>APEX</t>
  </si>
  <si>
    <t>BEL:EQ</t>
  </si>
  <si>
    <t>APLLTD</t>
  </si>
  <si>
    <t>BEML:EQ</t>
  </si>
  <si>
    <t>APOLSINHOT</t>
  </si>
  <si>
    <t>BERGEPAINT:EQ</t>
  </si>
  <si>
    <t>APTECHT</t>
  </si>
  <si>
    <t>BFINVEST:EQ</t>
  </si>
  <si>
    <t>ARCHIDPLY</t>
  </si>
  <si>
    <t>BFUTILITIE:EQ</t>
  </si>
  <si>
    <t>ARCHIES</t>
  </si>
  <si>
    <t>BGRENERGY:EQ</t>
  </si>
  <si>
    <t>ARCOTECH</t>
  </si>
  <si>
    <t>BHAGERIA:EQ</t>
  </si>
  <si>
    <t>AREALTY</t>
  </si>
  <si>
    <t>BHARATFIN:EQ</t>
  </si>
  <si>
    <t>AREYDRG</t>
  </si>
  <si>
    <t>BHARATFORG:EQ</t>
  </si>
  <si>
    <t>ARIES</t>
  </si>
  <si>
    <t>BHARTIARTL:EQ</t>
  </si>
  <si>
    <t>ARIHANT</t>
  </si>
  <si>
    <t>BHEL:EQ</t>
  </si>
  <si>
    <t>ARIHCAPM</t>
  </si>
  <si>
    <t>BINANIIND:EQ</t>
  </si>
  <si>
    <t>ARMANFIN</t>
  </si>
  <si>
    <t>BIOCON:EQ</t>
  </si>
  <si>
    <t>ARNAVCORP</t>
  </si>
  <si>
    <t>BLISSGVS:EQ</t>
  </si>
  <si>
    <t>AROGRANITE</t>
  </si>
  <si>
    <t>BLKASHYAP:EQ</t>
  </si>
  <si>
    <t>ARROWCOAT</t>
  </si>
  <si>
    <t>BLUEDART:EQ</t>
  </si>
  <si>
    <t>ARROWGREEN</t>
  </si>
  <si>
    <t>BOROSIL:EQ</t>
  </si>
  <si>
    <t>ARROWTEX</t>
  </si>
  <si>
    <t>BOSCHLTD:EQ</t>
  </si>
  <si>
    <t>ARSHIYA</t>
  </si>
  <si>
    <t>BPCL:EQ</t>
  </si>
  <si>
    <t>ARSSINFRA</t>
  </si>
  <si>
    <t>BPL:EQ</t>
  </si>
  <si>
    <t>ARVINDREM</t>
  </si>
  <si>
    <t>BRITANNIA:EQ</t>
  </si>
  <si>
    <t>ARVINFRA</t>
  </si>
  <si>
    <t>BSE:EQ</t>
  </si>
  <si>
    <t>ASAHISONG</t>
  </si>
  <si>
    <t>CADILAHC:EQ</t>
  </si>
  <si>
    <t>ASAL</t>
  </si>
  <si>
    <t>CAMLINFINE:EQ</t>
  </si>
  <si>
    <t>ASHIANA</t>
  </si>
  <si>
    <t>CANBK:EQ</t>
  </si>
  <si>
    <t>ASIANOI</t>
  </si>
  <si>
    <t>CANFINHOME:EQ</t>
  </si>
  <si>
    <t>ASSAMCO</t>
  </si>
  <si>
    <t>CAPACITE:EQ</t>
  </si>
  <si>
    <t>ASSOSTNB</t>
  </si>
  <si>
    <t>CAPF:EQ</t>
  </si>
  <si>
    <t>ATHARVENT</t>
  </si>
  <si>
    <t>CASTROLIND:EQ</t>
  </si>
  <si>
    <t>ATISHAY</t>
  </si>
  <si>
    <t>CDSL:EQ</t>
  </si>
  <si>
    <t>ATLANTA</t>
  </si>
  <si>
    <t>CEATLTD:EQ</t>
  </si>
  <si>
    <t>ATLASCYCLE</t>
  </si>
  <si>
    <t>CENTRUM:EQ</t>
  </si>
  <si>
    <t>ATNINTER</t>
  </si>
  <si>
    <t>CENTURYPLY:EQ</t>
  </si>
  <si>
    <t>ATULAUTO</t>
  </si>
  <si>
    <t>CENTURYTEX:EQ</t>
  </si>
  <si>
    <t>AURIONPRO</t>
  </si>
  <si>
    <t>CEREBRAINT:EQ</t>
  </si>
  <si>
    <t>AUSOMENT</t>
  </si>
  <si>
    <t>CESC:EQ</t>
  </si>
  <si>
    <t>AUSTRAL</t>
  </si>
  <si>
    <t>CGCL:EQ</t>
  </si>
  <si>
    <t>AUTOLITIND</t>
  </si>
  <si>
    <t>CGPOWER:EQ</t>
  </si>
  <si>
    <t>AVADHSUGAR</t>
  </si>
  <si>
    <t>CHENNPETRO:EQ</t>
  </si>
  <si>
    <t>AXISAEDGG</t>
  </si>
  <si>
    <t>CHOLAFIN:EQ</t>
  </si>
  <si>
    <t>AXISCADES</t>
  </si>
  <si>
    <t>CIPLA:EQ</t>
  </si>
  <si>
    <t>AXISCAP</t>
  </si>
  <si>
    <t>CNOVAPETRO:EQ</t>
  </si>
  <si>
    <t>AXTEL</t>
  </si>
  <si>
    <t>COALINDIA:EQ</t>
  </si>
  <si>
    <t>BAFNAPHARM</t>
  </si>
  <si>
    <t>COCHINSHIP:EQ</t>
  </si>
  <si>
    <t>BAGFILMS</t>
  </si>
  <si>
    <t>COFFEEDAY:EQ</t>
  </si>
  <si>
    <t>BAJAJHIND</t>
  </si>
  <si>
    <t>COLPAL:EQ</t>
  </si>
  <si>
    <t>BALASORE</t>
  </si>
  <si>
    <t>CONCOR:EQ</t>
  </si>
  <si>
    <t>BALPHARMA</t>
  </si>
  <si>
    <t>COROMANDEL:EQ</t>
  </si>
  <si>
    <t>BANARBEDS</t>
  </si>
  <si>
    <t>COX&amp;KINGS:EQ</t>
  </si>
  <si>
    <t>BANG</t>
  </si>
  <si>
    <t>CRISIL:EQ</t>
  </si>
  <si>
    <t>BARTRONICS</t>
  </si>
  <si>
    <t>CROMPTON:EQ</t>
  </si>
  <si>
    <t>BASF</t>
  </si>
  <si>
    <t>CUB:EQ</t>
  </si>
  <si>
    <t>BBL</t>
  </si>
  <si>
    <t>CUMMINSIND:EQ</t>
  </si>
  <si>
    <t>BCL</t>
  </si>
  <si>
    <t>CYIENT:EQ</t>
  </si>
  <si>
    <t>BCPAL</t>
  </si>
  <si>
    <t>DAAWAT:EQ</t>
  </si>
  <si>
    <t>BEARDSELL</t>
  </si>
  <si>
    <t>DABUR:EQ</t>
  </si>
  <si>
    <t>BEDMUTHA</t>
  </si>
  <si>
    <t>DALMIASUG:EQ</t>
  </si>
  <si>
    <t>BEPL</t>
  </si>
  <si>
    <t>DBCORP:EQ</t>
  </si>
  <si>
    <t>BERLDRG</t>
  </si>
  <si>
    <t>DBL:EQ</t>
  </si>
  <si>
    <t>BESTSTEEL</t>
  </si>
  <si>
    <t>DBREALTY:EQ</t>
  </si>
  <si>
    <t>BF Utilities</t>
  </si>
  <si>
    <t>DCBBANK:EQ</t>
  </si>
  <si>
    <t>BHAGERIA</t>
  </si>
  <si>
    <t>DCMSHRIRAM:EQ</t>
  </si>
  <si>
    <t>BHAGYANGR</t>
  </si>
  <si>
    <t>DCW:EQ</t>
  </si>
  <si>
    <t>BHAGYNAGAR</t>
  </si>
  <si>
    <t>DELTACORP:EQ</t>
  </si>
  <si>
    <t>BHANDARI</t>
  </si>
  <si>
    <t>DEN:EQ</t>
  </si>
  <si>
    <t>BHANDHOS</t>
  </si>
  <si>
    <t>DHAMPURSUG:EQ</t>
  </si>
  <si>
    <t>BHARATGEAR</t>
  </si>
  <si>
    <t>DHFL:EQ</t>
  </si>
  <si>
    <t>BHARATIDIL</t>
  </si>
  <si>
    <t>DIAMONDYD:EQ</t>
  </si>
  <si>
    <t>BHARATRAS</t>
  </si>
  <si>
    <t>DISHTV:EQ</t>
  </si>
  <si>
    <t>BHARATWIRE</t>
  </si>
  <si>
    <t>DIVISLAB:EQ</t>
  </si>
  <si>
    <t>BIBCL</t>
  </si>
  <si>
    <t>DIXON:EQ</t>
  </si>
  <si>
    <t>BILENERGY</t>
  </si>
  <si>
    <t>DLF:EQ</t>
  </si>
  <si>
    <t>BINNY</t>
  </si>
  <si>
    <t>DMART:EQ</t>
  </si>
  <si>
    <t>BINNYMILLS</t>
  </si>
  <si>
    <t>DOLPHINOFF:EQ</t>
  </si>
  <si>
    <t>BIOPAC</t>
  </si>
  <si>
    <t>DREDGECORP:EQ</t>
  </si>
  <si>
    <t>BIRLACOT</t>
  </si>
  <si>
    <t>DRREDDY:EQ</t>
  </si>
  <si>
    <t>BIRLAMONEY</t>
  </si>
  <si>
    <t>ECLERX:EQ</t>
  </si>
  <si>
    <t>BITL</t>
  </si>
  <si>
    <t>EICHERMOT:EQ</t>
  </si>
  <si>
    <t>BLBLIMITED</t>
  </si>
  <si>
    <t>EIDPARRY:EQ</t>
  </si>
  <si>
    <t>BLOOM</t>
  </si>
  <si>
    <t>EIHOTEL:EQ</t>
  </si>
  <si>
    <t>BLS</t>
  </si>
  <si>
    <t>ELECTCAST:EQ</t>
  </si>
  <si>
    <t>BLUBLND-B</t>
  </si>
  <si>
    <t>EMAMILTD:EQ</t>
  </si>
  <si>
    <t>BLUEBLENDS</t>
  </si>
  <si>
    <t>ENDURANCE:EQ</t>
  </si>
  <si>
    <t>BLUECHIP</t>
  </si>
  <si>
    <t>ENGINERSIN:EQ</t>
  </si>
  <si>
    <t>BLUECOAST</t>
  </si>
  <si>
    <t>EQUITAS:EQ</t>
  </si>
  <si>
    <t>BODHTREE</t>
  </si>
  <si>
    <t>ERIS:EQ</t>
  </si>
  <si>
    <t>BOMDYEING</t>
  </si>
  <si>
    <t>EROSMEDIA:EQ</t>
  </si>
  <si>
    <t>BOROSIL</t>
  </si>
  <si>
    <t>ESCORTS:EQ</t>
  </si>
  <si>
    <t>BRAHMINFRA</t>
  </si>
  <si>
    <t>ESTER:EQ</t>
  </si>
  <si>
    <t>BRFL</t>
  </si>
  <si>
    <t>EVEREADY:EQ</t>
  </si>
  <si>
    <t>BRNL</t>
  </si>
  <si>
    <t>EVERESTIND:EQ</t>
  </si>
  <si>
    <t>BROOKS</t>
  </si>
  <si>
    <t>EXIDEIND:EQ</t>
  </si>
  <si>
    <t>BSELINFRA</t>
  </si>
  <si>
    <t>FACT:EQ</t>
  </si>
  <si>
    <t>BSL</t>
  </si>
  <si>
    <t>FCL:EQ</t>
  </si>
  <si>
    <t>BSLIMITED</t>
  </si>
  <si>
    <t>FEDERALBNK:EQ</t>
  </si>
  <si>
    <t>BURNPUR</t>
  </si>
  <si>
    <t>FEL:EQ</t>
  </si>
  <si>
    <t>BUTTERFLY</t>
  </si>
  <si>
    <t>FILATEX:EQ</t>
  </si>
  <si>
    <t>BVCL</t>
  </si>
  <si>
    <t>FINCABLES:EQ</t>
  </si>
  <si>
    <t>CALSOFT</t>
  </si>
  <si>
    <t>FORTIS:EQ</t>
  </si>
  <si>
    <t>CALSREF</t>
  </si>
  <si>
    <t>FRETAIL:EQ</t>
  </si>
  <si>
    <t>CAMPHOR</t>
  </si>
  <si>
    <t>GAIL:EQ</t>
  </si>
  <si>
    <t>CANDC</t>
  </si>
  <si>
    <t>GANECOS:EQ</t>
  </si>
  <si>
    <t>CANTABIL</t>
  </si>
  <si>
    <t>GATI:EQ</t>
  </si>
  <si>
    <t>CAPLIPOINT</t>
  </si>
  <si>
    <t>GDL:EQ</t>
  </si>
  <si>
    <t>CAPTRUST</t>
  </si>
  <si>
    <t>GENUSPAPER:EQ</t>
  </si>
  <si>
    <t>CAREERP</t>
  </si>
  <si>
    <t>GEPIL:EQ</t>
  </si>
  <si>
    <t>CASTEXTECH</t>
  </si>
  <si>
    <t>GESHIP:EQ</t>
  </si>
  <si>
    <t>CCCL</t>
  </si>
  <si>
    <t>GET&amp;D:EQ</t>
  </si>
  <si>
    <t>CCHHL</t>
  </si>
  <si>
    <t>GHCL:EQ</t>
  </si>
  <si>
    <t>CEBBCO</t>
  </si>
  <si>
    <t>GICHSGFIN:EQ</t>
  </si>
  <si>
    <t>CELEBRITY</t>
  </si>
  <si>
    <t>GICRE:EQ</t>
  </si>
  <si>
    <t>CELESTIAL</t>
  </si>
  <si>
    <t>GILLETTE:EQ</t>
  </si>
  <si>
    <t>CENLUB</t>
  </si>
  <si>
    <t>GLAXO:EQ</t>
  </si>
  <si>
    <t>CENTEXT</t>
  </si>
  <si>
    <t>GLENMARK:EQ</t>
  </si>
  <si>
    <t>CHAMANS</t>
  </si>
  <si>
    <t>GLOBUSSPR:EQ</t>
  </si>
  <si>
    <t>CHANDNI</t>
  </si>
  <si>
    <t>GMBREW:EQ</t>
  </si>
  <si>
    <t>CHEMFABALKA</t>
  </si>
  <si>
    <t>GMRINFRA:EQ</t>
  </si>
  <si>
    <t>CHEMFALKAL-E</t>
  </si>
  <si>
    <t>GNA:EQ</t>
  </si>
  <si>
    <t>CHEVIOT</t>
  </si>
  <si>
    <t>GNFC:EQ</t>
  </si>
  <si>
    <t>CHROMATIC</t>
  </si>
  <si>
    <t>GODFRYPHLP:EQ</t>
  </si>
  <si>
    <t>CIGNITITEC</t>
  </si>
  <si>
    <t>GODREJAGRO:EQ</t>
  </si>
  <si>
    <t>CIMMCO</t>
  </si>
  <si>
    <t>GODREJCP:EQ</t>
  </si>
  <si>
    <t>CINELINE</t>
  </si>
  <si>
    <t>GODREJIND:EQ</t>
  </si>
  <si>
    <t>CINEVISTA</t>
  </si>
  <si>
    <t>GODREJPROP:EQ</t>
  </si>
  <si>
    <t>CLARIS</t>
  </si>
  <si>
    <t>GOLDBEES:EQ</t>
  </si>
  <si>
    <t>CMAHENDRA</t>
  </si>
  <si>
    <t>GOLDIAM:EQ</t>
  </si>
  <si>
    <t>COMCL</t>
  </si>
  <si>
    <t>GPPL:EQ</t>
  </si>
  <si>
    <t>COMMEXTECH</t>
  </si>
  <si>
    <t>GRANULES:EQ</t>
  </si>
  <si>
    <t>COMPEAU</t>
  </si>
  <si>
    <t>GRAPHITE:EQ</t>
  </si>
  <si>
    <t>COMPINFO</t>
  </si>
  <si>
    <t>GRASIM:EQ</t>
  </si>
  <si>
    <t>COMPUAGE</t>
  </si>
  <si>
    <t>GREAVESCOT:EQ</t>
  </si>
  <si>
    <t>COMPUSOFT</t>
  </si>
  <si>
    <t>GRUH:EQ</t>
  </si>
  <si>
    <t>CONART</t>
  </si>
  <si>
    <t>GSFC:EQ</t>
  </si>
  <si>
    <t>CORALFINAC</t>
  </si>
  <si>
    <t>GSKCONS:EQ</t>
  </si>
  <si>
    <t>COSBOARD</t>
  </si>
  <si>
    <t>GSPL:EQ</t>
  </si>
  <si>
    <t>COSMOFE</t>
  </si>
  <si>
    <t>GSS:EQ</t>
  </si>
  <si>
    <t>COSYN</t>
  </si>
  <si>
    <t>GUFICBIO:EQ</t>
  </si>
  <si>
    <t>COUNCODOSGTL</t>
  </si>
  <si>
    <t>GUJALKALI:EQ</t>
  </si>
  <si>
    <t>CRANESSOFT</t>
  </si>
  <si>
    <t>GUJFLUORO:EQ</t>
  </si>
  <si>
    <t>CRAVATEX</t>
  </si>
  <si>
    <t>GUJGASLTD:EQ</t>
  </si>
  <si>
    <t>CREST</t>
  </si>
  <si>
    <t>HATHWAY:EQ</t>
  </si>
  <si>
    <t>CSLFINANCE</t>
  </si>
  <si>
    <t>HAVELLS:EQ</t>
  </si>
  <si>
    <t>CTE</t>
  </si>
  <si>
    <t>HBLPOWER:EQ</t>
  </si>
  <si>
    <t>CTL</t>
  </si>
  <si>
    <t>HCL-INSYS:EQ</t>
  </si>
  <si>
    <t>CUBEXTUB</t>
  </si>
  <si>
    <t>HCLTECH:EQ</t>
  </si>
  <si>
    <t>CUPIC</t>
  </si>
  <si>
    <t>HDFC:EQ</t>
  </si>
  <si>
    <t>CYBERMEDIA</t>
  </si>
  <si>
    <t>HDFCAMC:EQ</t>
  </si>
  <si>
    <t>CYBERTECH</t>
  </si>
  <si>
    <t>HDFCBANK:EQ</t>
  </si>
  <si>
    <t>DCM</t>
  </si>
  <si>
    <t>HDFCLIFE:EQ</t>
  </si>
  <si>
    <t>DCW</t>
  </si>
  <si>
    <t>HEG:EQ</t>
  </si>
  <si>
    <t>DECNGOLD</t>
  </si>
  <si>
    <t>HEIDELBERG:EQ</t>
  </si>
  <si>
    <t>DELTAMAGNT</t>
  </si>
  <si>
    <t>HEROMOTOCO:EQ</t>
  </si>
  <si>
    <t>DENABANK</t>
  </si>
  <si>
    <t>HEXAWARE:EQ</t>
  </si>
  <si>
    <t>DENORA</t>
  </si>
  <si>
    <t>HGS:EQ</t>
  </si>
  <si>
    <t>DFMFOODS</t>
  </si>
  <si>
    <t>HIKAL:EQ</t>
  </si>
  <si>
    <t>DHARSUGAR</t>
  </si>
  <si>
    <t>HINDALCO:EQ</t>
  </si>
  <si>
    <t>DHPIND</t>
  </si>
  <si>
    <t>HINDCOPPER:EQ</t>
  </si>
  <si>
    <t>DHUNINV</t>
  </si>
  <si>
    <t>HINDPETRO:EQ</t>
  </si>
  <si>
    <t>DIAPOWER</t>
  </si>
  <si>
    <t>HINDUNILVR:EQ</t>
  </si>
  <si>
    <t>DICIND</t>
  </si>
  <si>
    <t>HINDZINC:EQ</t>
  </si>
  <si>
    <t>DIGJAM</t>
  </si>
  <si>
    <t>HONAUT:EQ</t>
  </si>
  <si>
    <t>DIGJAMLTD</t>
  </si>
  <si>
    <t>HSCL:EQ</t>
  </si>
  <si>
    <t>DISHMAN</t>
  </si>
  <si>
    <t>HSIL:EQ</t>
  </si>
  <si>
    <t>DNAMEDIA</t>
  </si>
  <si>
    <t>HUDCO:EQ</t>
  </si>
  <si>
    <t>DONEAR</t>
  </si>
  <si>
    <t>IBULHSGFIN:EQ</t>
  </si>
  <si>
    <t>DQE</t>
  </si>
  <si>
    <t>IBVENTURES:EQ</t>
  </si>
  <si>
    <t>DSKULKARNI</t>
  </si>
  <si>
    <t>ICICIBANK:EQ</t>
  </si>
  <si>
    <t>DSSL</t>
  </si>
  <si>
    <t>ICICIGI:EQ</t>
  </si>
  <si>
    <t>DUCON</t>
  </si>
  <si>
    <t>ICICINIFTY:EQ</t>
  </si>
  <si>
    <t>DUKEOFS</t>
  </si>
  <si>
    <t>ICICIPRULI:EQ</t>
  </si>
  <si>
    <t>DYNAMATECH</t>
  </si>
  <si>
    <t>ICIL:EQ</t>
  </si>
  <si>
    <t>DYNATECH</t>
  </si>
  <si>
    <t>IDBI:EQ</t>
  </si>
  <si>
    <t>EASTRED</t>
  </si>
  <si>
    <t>IDEA:EQ</t>
  </si>
  <si>
    <t>EASTSILK</t>
  </si>
  <si>
    <t>IDFC:EQ</t>
  </si>
  <si>
    <t>EASUNREYRL</t>
  </si>
  <si>
    <t>IDFCBANK:EQ</t>
  </si>
  <si>
    <t>ECEIND</t>
  </si>
  <si>
    <t>IEX:EQ</t>
  </si>
  <si>
    <t>EDELWEISS</t>
  </si>
  <si>
    <t>IFCI:EQ</t>
  </si>
  <si>
    <t>EDL</t>
  </si>
  <si>
    <t>IGARASHI:EQ</t>
  </si>
  <si>
    <t>EDUCOMP</t>
  </si>
  <si>
    <t>IGL:EQ</t>
  </si>
  <si>
    <t>EIHAHOTELS</t>
  </si>
  <si>
    <t>IGPL:EQ</t>
  </si>
  <si>
    <t>EIMCOELECO</t>
  </si>
  <si>
    <t>IIFL:EQ</t>
  </si>
  <si>
    <t>EKC</t>
  </si>
  <si>
    <t>IMFA:EQ</t>
  </si>
  <si>
    <t>ELDERPHARM</t>
  </si>
  <si>
    <t>INDHOTEL:EQ</t>
  </si>
  <si>
    <t>ELDERPHARM-BZ</t>
  </si>
  <si>
    <t>INDIACEM:EQ</t>
  </si>
  <si>
    <t>ELECTHERM</t>
  </si>
  <si>
    <t>INDIAGLYCO:EQ</t>
  </si>
  <si>
    <t>EMAMIINFRA</t>
  </si>
  <si>
    <t>INDIANB:EQ</t>
  </si>
  <si>
    <t>EMCO</t>
  </si>
  <si>
    <t>INDIGO:EQ</t>
  </si>
  <si>
    <t>EMKAY</t>
  </si>
  <si>
    <t>INDOCO:EQ</t>
  </si>
  <si>
    <t>EMMBI</t>
  </si>
  <si>
    <t>INDUSINDBK:EQ</t>
  </si>
  <si>
    <t>ENERGYDEV</t>
  </si>
  <si>
    <t>INFIBEAM:EQ</t>
  </si>
  <si>
    <t>EON</t>
  </si>
  <si>
    <t>INFRATEL:EQ</t>
  </si>
  <si>
    <t>EQ30</t>
  </si>
  <si>
    <t>INFY:EQ</t>
  </si>
  <si>
    <t>ESABINDIA</t>
  </si>
  <si>
    <t>INOXLEISUR:EQ</t>
  </si>
  <si>
    <t>ESL</t>
  </si>
  <si>
    <t>INOXWIND:EQ</t>
  </si>
  <si>
    <t>ESSARSHPNG</t>
  </si>
  <si>
    <t>INTELLECT:EQ</t>
  </si>
  <si>
    <t>EUROCERA</t>
  </si>
  <si>
    <t>IOB:EQ</t>
  </si>
  <si>
    <t>EUROTEXIND</t>
  </si>
  <si>
    <t>IOC:EQ</t>
  </si>
  <si>
    <t>EVERESTIND</t>
  </si>
  <si>
    <t>IOLCP:EQ</t>
  </si>
  <si>
    <t>EVERONN</t>
  </si>
  <si>
    <t>IPCALAB:EQ</t>
  </si>
  <si>
    <t>EXCEL</t>
  </si>
  <si>
    <t>IRB:EQ</t>
  </si>
  <si>
    <t>EXCELINDUS</t>
  </si>
  <si>
    <t>ITC:EQ</t>
  </si>
  <si>
    <t>FACT</t>
  </si>
  <si>
    <t>ITDCEM:EQ</t>
  </si>
  <si>
    <t>FAIRCHEM</t>
  </si>
  <si>
    <t>ITI:EQ</t>
  </si>
  <si>
    <t>FARMAXIND</t>
  </si>
  <si>
    <t>JAGRAN:EQ</t>
  </si>
  <si>
    <t>FAZE3Q</t>
  </si>
  <si>
    <t>JAICORPLTD:EQ</t>
  </si>
  <si>
    <t>FCSSOFT</t>
  </si>
  <si>
    <t>JAMNAAUTO:EQ</t>
  </si>
  <si>
    <t>FEDDERELEC</t>
  </si>
  <si>
    <t>JAYAGROGN:EQ</t>
  </si>
  <si>
    <t>FERROALL</t>
  </si>
  <si>
    <t>JAYSREETEA:EQ</t>
  </si>
  <si>
    <t>FGP</t>
  </si>
  <si>
    <t>JETAIRWAYS:EQ</t>
  </si>
  <si>
    <t>FILATEX</t>
  </si>
  <si>
    <t>JHS:EQ</t>
  </si>
  <si>
    <t>FLEXITUFF</t>
  </si>
  <si>
    <t>JINDALPOLY:EQ</t>
  </si>
  <si>
    <t>FMGOETZE</t>
  </si>
  <si>
    <t>JINDALSTEL:EQ</t>
  </si>
  <si>
    <t>FMNL</t>
  </si>
  <si>
    <t>JINDWORLD:EQ</t>
  </si>
  <si>
    <t>FORBESCO</t>
  </si>
  <si>
    <t>JISLJALEQS:EQ</t>
  </si>
  <si>
    <t>FORCEMOT</t>
  </si>
  <si>
    <t>JKCEMENT:EQ</t>
  </si>
  <si>
    <t>FORTISMLR</t>
  </si>
  <si>
    <t>JKIL:EQ</t>
  </si>
  <si>
    <t>FOSECOIND</t>
  </si>
  <si>
    <t>JKTYRE:EQ</t>
  </si>
  <si>
    <t>FRONT</t>
  </si>
  <si>
    <t>JMFINANCIL:EQ</t>
  </si>
  <si>
    <t>FRONTSP</t>
  </si>
  <si>
    <t>JPASSOCIAT:EQ</t>
  </si>
  <si>
    <t>FRSHTRP</t>
  </si>
  <si>
    <t>JSL:EQ</t>
  </si>
  <si>
    <t>FUNNY</t>
  </si>
  <si>
    <t>JSLHISAR:EQ</t>
  </si>
  <si>
    <t>GAL</t>
  </si>
  <si>
    <t>JSWENERGY:EQ</t>
  </si>
  <si>
    <t>GALLANTT</t>
  </si>
  <si>
    <t>JSWSTEEL:EQ</t>
  </si>
  <si>
    <t>GALLISPAT</t>
  </si>
  <si>
    <t>JUBILANT:EQ</t>
  </si>
  <si>
    <t>GALXBRG</t>
  </si>
  <si>
    <t>JUBLFOOD:EQ</t>
  </si>
  <si>
    <t>GAMMNINFRA</t>
  </si>
  <si>
    <t>JUSTDIAL:EQ</t>
  </si>
  <si>
    <t>GAMMONIDA</t>
  </si>
  <si>
    <t>JYOTHYLAB:EQ</t>
  </si>
  <si>
    <t>GAMMONIND</t>
  </si>
  <si>
    <t>KAJARIACER:EQ</t>
  </si>
  <si>
    <t>GANGESSECU</t>
  </si>
  <si>
    <t>KALPATPOWR:EQ</t>
  </si>
  <si>
    <t>GAYATRI</t>
  </si>
  <si>
    <t>KANSAINER:EQ</t>
  </si>
  <si>
    <t>GEECEE</t>
  </si>
  <si>
    <t>KARURVYSYA:EQ</t>
  </si>
  <si>
    <t>GEMINI</t>
  </si>
  <si>
    <t>KEC:EQ</t>
  </si>
  <si>
    <t>GENESYS</t>
  </si>
  <si>
    <t>KEI:EQ</t>
  </si>
  <si>
    <t>GENNEX</t>
  </si>
  <si>
    <t>KHADIM:EQ</t>
  </si>
  <si>
    <t>GENUSPAPER</t>
  </si>
  <si>
    <t>KILITCH:EQ</t>
  </si>
  <si>
    <t>GILLANDERS</t>
  </si>
  <si>
    <t>KIRIINDUS:EQ</t>
  </si>
  <si>
    <t>GINNIFILA</t>
  </si>
  <si>
    <t>KOTAKBANK:EQ</t>
  </si>
  <si>
    <t>GITANJALI</t>
  </si>
  <si>
    <t>KOTAKNIFTY:EQ</t>
  </si>
  <si>
    <t>GKB</t>
  </si>
  <si>
    <t>KPIT:EQ</t>
  </si>
  <si>
    <t>GKWLIMITED</t>
  </si>
  <si>
    <t>KRIDHANINF:EQ</t>
  </si>
  <si>
    <t>GLOBALVECT</t>
  </si>
  <si>
    <t>KSCL:EQ</t>
  </si>
  <si>
    <t>GLOBOFFS</t>
  </si>
  <si>
    <t>KTKBANK:EQ</t>
  </si>
  <si>
    <t>GOACARBON</t>
  </si>
  <si>
    <t>L&amp;TFH:EQ</t>
  </si>
  <si>
    <t>GODAVARI
KAMDHENU</t>
  </si>
  <si>
    <t>LALPATHLAB:EQ</t>
  </si>
  <si>
    <t>GOKEX</t>
  </si>
  <si>
    <t>LEEL:EQ</t>
  </si>
  <si>
    <t>GOKUL</t>
  </si>
  <si>
    <t>LGBBROSLTD:EQ</t>
  </si>
  <si>
    <t>GOKULAGRO</t>
  </si>
  <si>
    <t>LIBERTSHOE:EQ</t>
  </si>
  <si>
    <t>GOLDENGOEN</t>
  </si>
  <si>
    <t>LICHSGFIN:EQ</t>
  </si>
  <si>
    <t>GOLDENTOBC</t>
  </si>
  <si>
    <t>LINCOLN:EQ</t>
  </si>
  <si>
    <t>GOLDIAM</t>
  </si>
  <si>
    <t>LINDEINDIA:EQ</t>
  </si>
  <si>
    <t>GOLDINFRA</t>
  </si>
  <si>
    <t>LIQUIDBEES:EQ</t>
  </si>
  <si>
    <t>GOLDTECH</t>
  </si>
  <si>
    <t>LOVABLE:EQ</t>
  </si>
  <si>
    <t>GOVINDRU</t>
  </si>
  <si>
    <t>LT:EQ</t>
  </si>
  <si>
    <t>GPIL</t>
  </si>
  <si>
    <t>LUPIN:EQ</t>
  </si>
  <si>
    <t>GPTINFRA</t>
  </si>
  <si>
    <t>M&amp;M:EQ</t>
  </si>
  <si>
    <t>GRAVITA</t>
  </si>
  <si>
    <t>M&amp;MFIN:EQ</t>
  </si>
  <si>
    <t>GREENPOWER</t>
  </si>
  <si>
    <t>M50:EQ</t>
  </si>
  <si>
    <t>GROBTEA</t>
  </si>
  <si>
    <t>MAGMA:EQ</t>
  </si>
  <si>
    <t>GSCLCEMENT</t>
  </si>
  <si>
    <t>MAHINDCIE:EQ</t>
  </si>
  <si>
    <t>GTLINFRA</t>
  </si>
  <si>
    <t>MAHLOG:EQ</t>
  </si>
  <si>
    <t>GTNIND</t>
  </si>
  <si>
    <t>MAHSEAMLES:EQ</t>
  </si>
  <si>
    <t>GTNTEX</t>
  </si>
  <si>
    <t>MAJESCO:EQ</t>
  </si>
  <si>
    <t>GTOFFSHORE</t>
  </si>
  <si>
    <t>MANALIPETC:EQ</t>
  </si>
  <si>
    <t>GTPL</t>
  </si>
  <si>
    <t>MANAPPURAM:EQ</t>
  </si>
  <si>
    <t>GUFICBIO</t>
  </si>
  <si>
    <t>MANGTIMBER:EQ</t>
  </si>
  <si>
    <t>GUJAPOLLO</t>
  </si>
  <si>
    <t>MANINDS:EQ</t>
  </si>
  <si>
    <t>GUJBOROS</t>
  </si>
  <si>
    <t>MANINFRA:EQ</t>
  </si>
  <si>
    <t>GUJNRECOKE</t>
  </si>
  <si>
    <t>MARICO:EQ</t>
  </si>
  <si>
    <t>GUJNREDVR</t>
  </si>
  <si>
    <t>MARKSANS:EQ</t>
  </si>
  <si>
    <t>GVKPIL</t>
  </si>
  <si>
    <t>MARUTI:EQ</t>
  </si>
  <si>
    <t>HANUNG</t>
  </si>
  <si>
    <t>MASFIN:EQ</t>
  </si>
  <si>
    <t>HARITASEAT</t>
  </si>
  <si>
    <t>MASTEK:EQ</t>
  </si>
  <si>
    <t>HARRMALAYA</t>
  </si>
  <si>
    <t>MATRIMONY:EQ</t>
  </si>
  <si>
    <t>HATSUN</t>
  </si>
  <si>
    <t>MCDOWELL-N:EQ</t>
  </si>
  <si>
    <t>HBSTOCK</t>
  </si>
  <si>
    <t>MCLEODRUSS:EQ</t>
  </si>
  <si>
    <t>HCC</t>
  </si>
  <si>
    <t>MCX:EQ</t>
  </si>
  <si>
    <t>HCIL</t>
  </si>
  <si>
    <t>MEGH:EQ</t>
  </si>
  <si>
    <t>HDIL</t>
  </si>
  <si>
    <t>MFSL:EQ</t>
  </si>
  <si>
    <t>HELIOSMATH</t>
  </si>
  <si>
    <t>MGL:EQ</t>
  </si>
  <si>
    <t>HERCULES</t>
  </si>
  <si>
    <t>MIDHANI:EQ</t>
  </si>
  <si>
    <t>HESTERBIO</t>
  </si>
  <si>
    <t>MINDACORP:EQ</t>
  </si>
  <si>
    <t>HEXATRADEX</t>
  </si>
  <si>
    <t>MINDAIND:EQ</t>
  </si>
  <si>
    <t>HFCL</t>
  </si>
  <si>
    <t>MINDTREE:EQ</t>
  </si>
  <si>
    <t>HIGHGROUND</t>
  </si>
  <si>
    <t>MMTC:EQ</t>
  </si>
  <si>
    <t>HIL</t>
  </si>
  <si>
    <t>MOIL:EQ</t>
  </si>
  <si>
    <t>HILTON</t>
  </si>
  <si>
    <t>MOLDTKPAC:EQ</t>
  </si>
  <si>
    <t>HIMIN</t>
  </si>
  <si>
    <t>MOREPENLAB:EQ</t>
  </si>
  <si>
    <t>HINDADH</t>
  </si>
  <si>
    <t>MOTHERSUMI:EQ</t>
  </si>
  <si>
    <t>HINDCOMPOS</t>
  </si>
  <si>
    <t>MPHASIS:EQ</t>
  </si>
  <si>
    <t>HINDDORROL</t>
  </si>
  <si>
    <t>MRF:EQ</t>
  </si>
  <si>
    <t>HINDNATGLS</t>
  </si>
  <si>
    <t>MRPL:EQ</t>
  </si>
  <si>
    <t>HIRECT</t>
  </si>
  <si>
    <t>MUKANDLTD:EQ</t>
  </si>
  <si>
    <t>HISARMETAL</t>
  </si>
  <si>
    <t>MUNJALAU:EQ</t>
  </si>
  <si>
    <t>HITECHCORP</t>
  </si>
  <si>
    <t>MUTHOOTFIN:EQ</t>
  </si>
  <si>
    <t>HITECHGEAR</t>
  </si>
  <si>
    <t>NATCOPHARM:EQ</t>
  </si>
  <si>
    <t>HITECHPLAS</t>
  </si>
  <si>
    <t>NATIONALUM:EQ</t>
  </si>
  <si>
    <t>HMT</t>
  </si>
  <si>
    <t>NAUKRI:EQ</t>
  </si>
  <si>
    <t>HOCL</t>
  </si>
  <si>
    <t>NAVINFLUOR:EQ</t>
  </si>
  <si>
    <t>HOTELEELA</t>
  </si>
  <si>
    <t>NAVNETEDUL:EQ</t>
  </si>
  <si>
    <t>HOVS</t>
  </si>
  <si>
    <t>NBCC:EQ</t>
  </si>
  <si>
    <t>HTMEDIA</t>
  </si>
  <si>
    <t>NCC:EQ</t>
  </si>
  <si>
    <t>HUBTOWN</t>
  </si>
  <si>
    <t>NESTLEIND:EQ</t>
  </si>
  <si>
    <t>IBREALEST</t>
  </si>
  <si>
    <t>NETWORK18:EQ</t>
  </si>
  <si>
    <t>IBULISL</t>
  </si>
  <si>
    <t>NFL:EQ</t>
  </si>
  <si>
    <t>IBVENTUREPP</t>
  </si>
  <si>
    <t>NH:EQ</t>
  </si>
  <si>
    <t>IBVENTURES-E1</t>
  </si>
  <si>
    <t>NHPC:EQ</t>
  </si>
  <si>
    <t>IBWSL</t>
  </si>
  <si>
    <t>NIACL:EQ</t>
  </si>
  <si>
    <t>ICSA</t>
  </si>
  <si>
    <t>NIFTYBEES:EQ</t>
  </si>
  <si>
    <t>IFBAGRO</t>
  </si>
  <si>
    <t>NIITLTD:EQ</t>
  </si>
  <si>
    <t>IGARASHI</t>
  </si>
  <si>
    <t>NIITTECH:EQ</t>
  </si>
  <si>
    <t>IITL</t>
  </si>
  <si>
    <t>NLCINDIA:EQ</t>
  </si>
  <si>
    <t>IKFTECH</t>
  </si>
  <si>
    <t>NMDC:EQ</t>
  </si>
  <si>
    <t>IL&amp;FSENGG</t>
  </si>
  <si>
    <t>NOCIL:EQ</t>
  </si>
  <si>
    <t>IL&amp;FSTRANS</t>
  </si>
  <si>
    <t>NRBBEARING:EQ</t>
  </si>
  <si>
    <t>IMFA</t>
  </si>
  <si>
    <t>NTPC:EQ</t>
  </si>
  <si>
    <t>IMPEXFERRO</t>
  </si>
  <si>
    <t>OBEROIRLTY:EQ</t>
  </si>
  <si>
    <t>INDBANK</t>
  </si>
  <si>
    <t>OFSS:EQ</t>
  </si>
  <si>
    <t>INDCEMCAP</t>
  </si>
  <si>
    <t>OIL:EQ</t>
  </si>
  <si>
    <t>INDIAGLYCO</t>
  </si>
  <si>
    <t>OMAXE:EQ</t>
  </si>
  <si>
    <t>INDIANHUME</t>
  </si>
  <si>
    <t>ONGC:EQ</t>
  </si>
  <si>
    <t>INDLMETER</t>
  </si>
  <si>
    <t>ONMOBILE:EQ</t>
  </si>
  <si>
    <t>INDNIPPON</t>
  </si>
  <si>
    <t>ORIENTBANK:EQ</t>
  </si>
  <si>
    <t>INDOCO</t>
  </si>
  <si>
    <t>ORIENTCEM:EQ</t>
  </si>
  <si>
    <t>INDOKEM</t>
  </si>
  <si>
    <t>PAGEIND:EQ</t>
  </si>
  <si>
    <t>INDORAMA</t>
  </si>
  <si>
    <t>PAPERPROD:EQ</t>
  </si>
  <si>
    <t>INDOSOLAR</t>
  </si>
  <si>
    <t>PARAGMILK:EQ</t>
  </si>
  <si>
    <t>INDOTECH</t>
  </si>
  <si>
    <t>PATELENG:EQ</t>
  </si>
  <si>
    <t>INDOTHAI</t>
  </si>
  <si>
    <t>PCJEWELLER:EQ</t>
  </si>
  <si>
    <t>INDOWIND</t>
  </si>
  <si>
    <t>PEL:EQ</t>
  </si>
  <si>
    <t>INDSWFTLAB</t>
  </si>
  <si>
    <t>PERSISTENT:EQ</t>
  </si>
  <si>
    <t>INDSWFTLTD</t>
  </si>
  <si>
    <t>PETRONET:EQ</t>
  </si>
  <si>
    <t>INDTONER</t>
  </si>
  <si>
    <t>PFC:EQ</t>
  </si>
  <si>
    <t>INFINITE</t>
  </si>
  <si>
    <t>PFIZER:EQ</t>
  </si>
  <si>
    <t>INFODRIVE</t>
  </si>
  <si>
    <t>PGHH:EQ</t>
  </si>
  <si>
    <t>INFOMEDIA</t>
  </si>
  <si>
    <t>PHILIPCARB:EQ</t>
  </si>
  <si>
    <t>INGERRAND</t>
  </si>
  <si>
    <t>PHOENIXLTD:EQ</t>
  </si>
  <si>
    <t>INTEGRAEN</t>
  </si>
  <si>
    <t>PIDILITIND:EQ</t>
  </si>
  <si>
    <t>INTENTECH</t>
  </si>
  <si>
    <t>PIIND:EQ</t>
  </si>
  <si>
    <t>IPOWER</t>
  </si>
  <si>
    <t>PNB:EQ</t>
  </si>
  <si>
    <t>ISFT</t>
  </si>
  <si>
    <t>PNBGILTS:EQ</t>
  </si>
  <si>
    <t>ISMTLTD</t>
  </si>
  <si>
    <t>PNBHOUSING:EQ</t>
  </si>
  <si>
    <t>ISTLTD</t>
  </si>
  <si>
    <t>POLYPLEX:EQ</t>
  </si>
  <si>
    <t>ISWLSKMEGGPROD</t>
  </si>
  <si>
    <t>POWERGRID:EQ</t>
  </si>
  <si>
    <t>ITDC</t>
  </si>
  <si>
    <t>PRABHAT:EQ</t>
  </si>
  <si>
    <t>ITI</t>
  </si>
  <si>
    <t>PRAJIND:EQ</t>
  </si>
  <si>
    <t>IVC</t>
  </si>
  <si>
    <t>PRESTIGE:EQ</t>
  </si>
  <si>
    <t>IVP</t>
  </si>
  <si>
    <t>PTC:EQ</t>
  </si>
  <si>
    <t>IVRCLINFRA</t>
  </si>
  <si>
    <t>PURVA:EQ</t>
  </si>
  <si>
    <t>IZMO</t>
  </si>
  <si>
    <t>PVR:EQ</t>
  </si>
  <si>
    <t>JAGNSPHARM</t>
  </si>
  <si>
    <t>QUICKHEAL:EQ</t>
  </si>
  <si>
    <t>JAIBALAJI</t>
  </si>
  <si>
    <t>RADICO:EQ</t>
  </si>
  <si>
    <t>JAIHINDPRO</t>
  </si>
  <si>
    <t>RADIOCITY:EQ</t>
  </si>
  <si>
    <t>JAYBARMARU</t>
  </si>
  <si>
    <t>RAJESHEXPO:EQ</t>
  </si>
  <si>
    <t>JAYCH</t>
  </si>
  <si>
    <t>RALLIS:EQ</t>
  </si>
  <si>
    <t>JAYNECOIND</t>
  </si>
  <si>
    <t>RAMASTEEL:EQ</t>
  </si>
  <si>
    <t>JBMA</t>
  </si>
  <si>
    <t>RAMCOCEM:EQ</t>
  </si>
  <si>
    <t>JCHAC</t>
  </si>
  <si>
    <t>RAMCOIND:EQ</t>
  </si>
  <si>
    <t>JENSONICOL</t>
  </si>
  <si>
    <t>RAMKY:EQ</t>
  </si>
  <si>
    <t>JHS</t>
  </si>
  <si>
    <t>RAYMOND:EQ</t>
  </si>
  <si>
    <t>JIKIND</t>
  </si>
  <si>
    <t>RBLBANK:EQ</t>
  </si>
  <si>
    <t>JINDALPHOT</t>
  </si>
  <si>
    <t>RCF:EQ</t>
  </si>
  <si>
    <t>JINDALPOLY</t>
  </si>
  <si>
    <t>RCOM:EQ</t>
  </si>
  <si>
    <t>JINDCOT</t>
  </si>
  <si>
    <t>RECLTD:EQ</t>
  </si>
  <si>
    <t>JINDRILL</t>
  </si>
  <si>
    <t>RELAXO:EQ</t>
  </si>
  <si>
    <t>JISLDVREQS</t>
  </si>
  <si>
    <t>RELCAPITAL:EQ</t>
  </si>
  <si>
    <t>JK AGRI</t>
  </si>
  <si>
    <t>RELIANCE:EQ</t>
  </si>
  <si>
    <t>JMA</t>
  </si>
  <si>
    <t>RELIGARE:EQ</t>
  </si>
  <si>
    <t>JMTAUTOLTD</t>
  </si>
  <si>
    <t>RELINFRA:EQ</t>
  </si>
  <si>
    <t>JPASSOCIATE</t>
  </si>
  <si>
    <t>REPCOHOME:EQ</t>
  </si>
  <si>
    <t>JPINFRATEC</t>
  </si>
  <si>
    <t>RICOAUTO:EQ</t>
  </si>
  <si>
    <t>JPOLYINVST</t>
  </si>
  <si>
    <t>RIIL:EQ</t>
  </si>
  <si>
    <t>JPPOWER</t>
  </si>
  <si>
    <t>RKFORGE:EQ</t>
  </si>
  <si>
    <t>JUBLINDS</t>
  </si>
  <si>
    <t>RNAM:EQ</t>
  </si>
  <si>
    <t>JVLAGRO</t>
  </si>
  <si>
    <t>RPOWER:EQ</t>
  </si>
  <si>
    <t>JYOTIRES</t>
  </si>
  <si>
    <t>RPPINFRA:EQ</t>
  </si>
  <si>
    <t>JYOTISTRUC</t>
  </si>
  <si>
    <t>SADBHAV:EQ</t>
  </si>
  <si>
    <t>KABRAEXTRU</t>
  </si>
  <si>
    <t>SAIL:EQ</t>
  </si>
  <si>
    <t>KAKATCEM</t>
  </si>
  <si>
    <t>SAKUMA:EQ</t>
  </si>
  <si>
    <t>KALINDEE</t>
  </si>
  <si>
    <t>SALASAR:EQ</t>
  </si>
  <si>
    <t>KAMATHOTEL</t>
  </si>
  <si>
    <t>SALZERELEC:EQ</t>
  </si>
  <si>
    <t>KANANIIND</t>
  </si>
  <si>
    <t>SANGHIIND:EQ</t>
  </si>
  <si>
    <t>KANORICHEM</t>
  </si>
  <si>
    <t>SANGHVIMOV:EQ</t>
  </si>
  <si>
    <t>KANPRPLA</t>
  </si>
  <si>
    <t>SANOFI:EQ</t>
  </si>
  <si>
    <t>KARMAENG</t>
  </si>
  <si>
    <t>SAREGAMA:EQ</t>
  </si>
  <si>
    <t>KARNAVATI</t>
  </si>
  <si>
    <t>SATIN:EQ</t>
  </si>
  <si>
    <t>KATWAUD</t>
  </si>
  <si>
    <t>SBILIFE:EQ</t>
  </si>
  <si>
    <t>KAUSHALYA</t>
  </si>
  <si>
    <t>SBIN:EQ</t>
  </si>
  <si>
    <t>KAVVERITEL</t>
  </si>
  <si>
    <t>SCHAEFFLER:EQ</t>
  </si>
  <si>
    <t>KCLINFRA</t>
  </si>
  <si>
    <t>SCHAND:EQ</t>
  </si>
  <si>
    <t>KCPSUGIND</t>
  </si>
  <si>
    <t>SCHNEIDER:EQ</t>
  </si>
  <si>
    <t>KDDL</t>
  </si>
  <si>
    <t>SCI:EQ</t>
  </si>
  <si>
    <t>KECL</t>
  </si>
  <si>
    <t>SELAN:EQ</t>
  </si>
  <si>
    <t>KELLTONTEC</t>
  </si>
  <si>
    <t>SEQUENT:EQ</t>
  </si>
  <si>
    <t>KEMROCK</t>
  </si>
  <si>
    <t>SHANKARA:EQ</t>
  </si>
  <si>
    <t>KERALAYUR</t>
  </si>
  <si>
    <t>SHARDAMOTR:EQ</t>
  </si>
  <si>
    <t>KESARENT</t>
  </si>
  <si>
    <t>SHIVAMAUTO:EQ</t>
  </si>
  <si>
    <t>KESORAMIND</t>
  </si>
  <si>
    <t>SHREECEM:EQ</t>
  </si>
  <si>
    <t>KEYCORPSER</t>
  </si>
  <si>
    <t>SHRIRAMCIT:EQ</t>
  </si>
  <si>
    <t>KGL</t>
  </si>
  <si>
    <t>SIEMENS:EQ</t>
  </si>
  <si>
    <t>KHAICHEM</t>
  </si>
  <si>
    <t>SIMPLEXINF:EQ</t>
  </si>
  <si>
    <t>KHAITANELE</t>
  </si>
  <si>
    <t>SINTEX:EQ</t>
  </si>
  <si>
    <t>KHAITANLTD</t>
  </si>
  <si>
    <t>SIS:EQ</t>
  </si>
  <si>
    <t>KHANDSE</t>
  </si>
  <si>
    <t>SJVN:EQ</t>
  </si>
  <si>
    <t>KILPEST</t>
  </si>
  <si>
    <t>SKFINDIA:EQ</t>
  </si>
  <si>
    <t>KINETICENG</t>
  </si>
  <si>
    <t>SNOWMAN:EQ</t>
  </si>
  <si>
    <t>KINGFA</t>
  </si>
  <si>
    <t>SOBHA:EQ</t>
  </si>
  <si>
    <t>KIOCL</t>
  </si>
  <si>
    <t>SOLARINDS:EQ</t>
  </si>
  <si>
    <t>KIRLOSENG</t>
  </si>
  <si>
    <t>SOUTHBANK:EQ</t>
  </si>
  <si>
    <t>KIRLOSIND</t>
  </si>
  <si>
    <t>SPARC:EQ</t>
  </si>
  <si>
    <t>KITEX</t>
  </si>
  <si>
    <t>SPTL:EQ</t>
  </si>
  <si>
    <t>KMSUGAR</t>
  </si>
  <si>
    <t>SREINFRA:EQ</t>
  </si>
  <si>
    <t>KOHINOOR</t>
  </si>
  <si>
    <t>SRF:EQ</t>
  </si>
  <si>
    <t>KOKUYOCMLN</t>
  </si>
  <si>
    <t>SRTRANSFIN:EQ</t>
  </si>
  <si>
    <t>KOLTEPATIL</t>
  </si>
  <si>
    <t>STAR:EQ</t>
  </si>
  <si>
    <t>KOTARISUG</t>
  </si>
  <si>
    <t>STARPAPER:EQ</t>
  </si>
  <si>
    <t>KOTHARIPET</t>
  </si>
  <si>
    <t>STCINDIA:EQ</t>
  </si>
  <si>
    <t>KOTHARIPRO</t>
  </si>
  <si>
    <t>STRTECH:EQ</t>
  </si>
  <si>
    <t>KSERASERA</t>
  </si>
  <si>
    <t>SUNDARMFIN:EQ</t>
  </si>
  <si>
    <t>KSK</t>
  </si>
  <si>
    <t>SUNDRMFAST:EQ</t>
  </si>
  <si>
    <t>KTIL</t>
  </si>
  <si>
    <t>SUNPHARMA:EQ</t>
  </si>
  <si>
    <t>KUSHAL</t>
  </si>
  <si>
    <t>SUNTECK:EQ</t>
  </si>
  <si>
    <t>KWALITY</t>
  </si>
  <si>
    <t>SUNTV:EQ</t>
  </si>
  <si>
    <t>LAKPRE</t>
  </si>
  <si>
    <t>SUPREMEIND:EQ</t>
  </si>
  <si>
    <t>LAKSHMIEFL</t>
  </si>
  <si>
    <t>SUVEN:EQ</t>
  </si>
  <si>
    <t>LAMBODHARA</t>
  </si>
  <si>
    <t>SUZLON:EQ</t>
  </si>
  <si>
    <t>LANCER</t>
  </si>
  <si>
    <t>SWANENERGY:EQ</t>
  </si>
  <si>
    <t>LASA</t>
  </si>
  <si>
    <t>SYNDIBANK:EQ</t>
  </si>
  <si>
    <t>LCCINFOTEC</t>
  </si>
  <si>
    <t>SYNGENE:EQ</t>
  </si>
  <si>
    <t>LICNETFN50</t>
  </si>
  <si>
    <t>TAKE:EQ</t>
  </si>
  <si>
    <t>LINCPEN-EQ</t>
  </si>
  <si>
    <t>TALWALKARS:EQ</t>
  </si>
  <si>
    <t>LITL</t>
  </si>
  <si>
    <t>TANLA:EQ</t>
  </si>
  <si>
    <t>LML</t>
  </si>
  <si>
    <t>TATACHEM:EQ</t>
  </si>
  <si>
    <t>LOKESHMACH</t>
  </si>
  <si>
    <t>TATACOFFEE:EQ</t>
  </si>
  <si>
    <t>LOTUSEYE</t>
  </si>
  <si>
    <t>TATACOMM:EQ</t>
  </si>
  <si>
    <t>LPDC</t>
  </si>
  <si>
    <t>TATAELXSI:EQ</t>
  </si>
  <si>
    <t>LUDLOWJUT</t>
  </si>
  <si>
    <t>TATAGLOBAL:EQ</t>
  </si>
  <si>
    <t>LUMAXAUTO</t>
  </si>
  <si>
    <t>TATAINVEST:EQ</t>
  </si>
  <si>
    <t>LUMAZAUTO</t>
  </si>
  <si>
    <t>TATAMOTORS:EQ</t>
  </si>
  <si>
    <t>LUXIND</t>
  </si>
  <si>
    <t>TATAMTRDVR:EQ</t>
  </si>
  <si>
    <t>LYCOS</t>
  </si>
  <si>
    <t>TATAPOWER:EQ</t>
  </si>
  <si>
    <t>LYKALABS</t>
  </si>
  <si>
    <t>TATASPONGE:EQ</t>
  </si>
  <si>
    <t>LYPSAGEMS</t>
  </si>
  <si>
    <t>TATASTEEL:EQ</t>
  </si>
  <si>
    <t>MAANALU</t>
  </si>
  <si>
    <t>TBZ:EQ</t>
  </si>
  <si>
    <t>MACINTR</t>
  </si>
  <si>
    <t>TCI:EQ</t>
  </si>
  <si>
    <t>MADHAV</t>
  </si>
  <si>
    <t>TCS:EQ</t>
  </si>
  <si>
    <t>MADHUCON</t>
  </si>
  <si>
    <t>TECHM:EQ</t>
  </si>
  <si>
    <t>MADRASFERT</t>
  </si>
  <si>
    <t>TEJASNET:EQ</t>
  </si>
  <si>
    <t>MAGADSUGAR</t>
  </si>
  <si>
    <t>TEXMOPIPES:EQ</t>
  </si>
  <si>
    <t>MAGNAELQ</t>
  </si>
  <si>
    <t>TEXRAIL:EQ</t>
  </si>
  <si>
    <t>MAGNUM</t>
  </si>
  <si>
    <t>THERMAX:EQ</t>
  </si>
  <si>
    <t>MAHABANK</t>
  </si>
  <si>
    <t>THOMASCOOK:EQ</t>
  </si>
  <si>
    <t>MAHASTEEL</t>
  </si>
  <si>
    <t>THYROCARE:EQ</t>
  </si>
  <si>
    <t>MAINFRA</t>
  </si>
  <si>
    <t>TIFIN:EQ</t>
  </si>
  <si>
    <t>MAITHANALL</t>
  </si>
  <si>
    <t>TIMETECHNO:EQ</t>
  </si>
  <si>
    <t>MAJESAUT</t>
  </si>
  <si>
    <t>TINPLATE:EQ</t>
  </si>
  <si>
    <t>MALUPAPER</t>
  </si>
  <si>
    <t>TIRUMALCHM:EQ</t>
  </si>
  <si>
    <t>MANAKALUCO</t>
  </si>
  <si>
    <t>TITAN:EQ</t>
  </si>
  <si>
    <t>MANAKCOAT</t>
  </si>
  <si>
    <t>TNPETRO:EQ</t>
  </si>
  <si>
    <t>MANAKINDST</t>
  </si>
  <si>
    <t>TNPL:EQ</t>
  </si>
  <si>
    <t>MANAKSTELTD</t>
  </si>
  <si>
    <t>TORNTPHARM:EQ</t>
  </si>
  <si>
    <t>MANDHANA</t>
  </si>
  <si>
    <t>TORNTPOWER:EQ</t>
  </si>
  <si>
    <t>MANGAKAM</t>
  </si>
  <si>
    <t>TRENT:EQ</t>
  </si>
  <si>
    <t>MANGALAM</t>
  </si>
  <si>
    <t>TRIDENT:EQ</t>
  </si>
  <si>
    <t>MANGIND</t>
  </si>
  <si>
    <t>TRIGYN:EQ</t>
  </si>
  <si>
    <t>MANORG</t>
  </si>
  <si>
    <t>TRIVENI:EQ</t>
  </si>
  <si>
    <t>MANUGRAPH</t>
  </si>
  <si>
    <t>TTKPRESTIG:EQ</t>
  </si>
  <si>
    <t>MARALOVER</t>
  </si>
  <si>
    <t>TV18BRDCST:EQ</t>
  </si>
  <si>
    <t>MARATHON</t>
  </si>
  <si>
    <t>TVSMOTOR:EQ</t>
  </si>
  <si>
    <t>MARKSONS</t>
  </si>
  <si>
    <t>TWL:EQ</t>
  </si>
  <si>
    <t>MAWANASUG</t>
  </si>
  <si>
    <t>UBL:EQ</t>
  </si>
  <si>
    <t>MAXINDIA</t>
  </si>
  <si>
    <t>UCOBANK:EQ</t>
  </si>
  <si>
    <t>MAZDA</t>
  </si>
  <si>
    <t>UJJIVAN:EQ</t>
  </si>
  <si>
    <t>MBECL</t>
  </si>
  <si>
    <t>ULTRACEMCO:EQ</t>
  </si>
  <si>
    <t>MBLINFRA</t>
  </si>
  <si>
    <t>UNIONBANK:EQ</t>
  </si>
  <si>
    <t>MCDHOLDING</t>
  </si>
  <si>
    <t>UNIVCABLES:EQ</t>
  </si>
  <si>
    <t>MEGASOFT</t>
  </si>
  <si>
    <t>UPL:EQ</t>
  </si>
  <si>
    <t>MENONBE</t>
  </si>
  <si>
    <t>USHAMART:EQ</t>
  </si>
  <si>
    <t>MERCATOR</t>
  </si>
  <si>
    <t>VEDL:EQ</t>
  </si>
  <si>
    <t>MERCK</t>
  </si>
  <si>
    <t>VENKEYS:EQ</t>
  </si>
  <si>
    <t>METALFORGE</t>
  </si>
  <si>
    <t>VGUARD:EQ</t>
  </si>
  <si>
    <t>MIC</t>
  </si>
  <si>
    <t>VIJAYABANK:EQ</t>
  </si>
  <si>
    <t>MINDTECK</t>
  </si>
  <si>
    <t>VIPCLOTHNG:EQ</t>
  </si>
  <si>
    <t>MIRCELECTR</t>
  </si>
  <si>
    <t>VIPIND:EQ</t>
  </si>
  <si>
    <t>MISHKA</t>
  </si>
  <si>
    <t>VIVIMEDLAB:EQ</t>
  </si>
  <si>
    <t>MLKFOOD</t>
  </si>
  <si>
    <t>VOLTAS:EQ</t>
  </si>
  <si>
    <t>MNKALCOLTD</t>
  </si>
  <si>
    <t>VTL:EQ</t>
  </si>
  <si>
    <t>MODERN</t>
  </si>
  <si>
    <t>WABCOINDIA:EQ</t>
  </si>
  <si>
    <t>MODIRUBBER</t>
  </si>
  <si>
    <t>WALCHANNAG:EQ</t>
  </si>
  <si>
    <t>MOHITIND</t>
  </si>
  <si>
    <t>WELCORP:EQ</t>
  </si>
  <si>
    <t>MOHOTAIND</t>
  </si>
  <si>
    <t>WELENT:EQ</t>
  </si>
  <si>
    <t>MOLDTECH</t>
  </si>
  <si>
    <t>WELSPUNIND:EQ</t>
  </si>
  <si>
    <t>MONNETISPA</t>
  </si>
  <si>
    <t>WHIRLPOOL:EQ</t>
  </si>
  <si>
    <t>MONOT</t>
  </si>
  <si>
    <t>WINDMACHIN:EQ</t>
  </si>
  <si>
    <t>MORARJEE</t>
  </si>
  <si>
    <t>WIPRO:EQ</t>
  </si>
  <si>
    <t>MOSCHIP</t>
  </si>
  <si>
    <t>WOCKPHARMA:EQ</t>
  </si>
  <si>
    <t>MOSERBAER</t>
  </si>
  <si>
    <t>WONDERLA:EQ</t>
  </si>
  <si>
    <t>MOTOGENFIN</t>
  </si>
  <si>
    <t>YESBANK:EQ</t>
  </si>
  <si>
    <t>MRO-TEK</t>
  </si>
  <si>
    <t>ZEEL:EQ</t>
  </si>
  <si>
    <t>MSPL</t>
  </si>
  <si>
    <t>ZEEMEDIA:EQ</t>
  </si>
  <si>
    <t>MTEDUCARE</t>
  </si>
  <si>
    <t>3</t>
  </si>
  <si>
    <t>14</t>
  </si>
  <si>
    <t>5</t>
  </si>
  <si>
    <t>7</t>
  </si>
  <si>
    <t>10</t>
  </si>
  <si>
    <t>11</t>
  </si>
  <si>
    <t>8</t>
  </si>
  <si>
    <t>13</t>
  </si>
  <si>
    <t>SL</t>
  </si>
  <si>
    <t>Margin %</t>
  </si>
  <si>
    <t>Equity</t>
  </si>
  <si>
    <t>Loss Risk</t>
  </si>
  <si>
    <t>Flag</t>
  </si>
  <si>
    <t>Risk %</t>
  </si>
  <si>
    <t>JETAIRWAYS</t>
  </si>
  <si>
    <t>EVEREADY</t>
  </si>
  <si>
    <t>SPLIL</t>
  </si>
  <si>
    <t>PRAJIND</t>
  </si>
  <si>
    <t>PFC</t>
  </si>
  <si>
    <t>Date</t>
  </si>
  <si>
    <t>Position</t>
  </si>
  <si>
    <t>Current Price</t>
  </si>
  <si>
    <t>Deal Price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</si>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</sst>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&gt;=10000000]#\,##\,##\,##0.00;[&gt;=100000]#\,##\,##0.00;##,##0.00"/>
    <numFmt numFmtId="165" formatCode="[$-409]d\-mmm\-yy;@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70C0"/>
      <name val="Terminal"/>
      <family val="3"/>
      <charset val="255"/>
    </font>
    <font>
      <sz val="10"/>
      <name val="Terminal"/>
      <family val="3"/>
      <charset val="255"/>
    </font>
    <font>
      <b/>
      <sz val="11"/>
      <color theme="0"/>
      <name val="Terminal"/>
      <family val="3"/>
      <charset val="255"/>
    </font>
    <font>
      <b/>
      <sz val="10"/>
      <name val="Terminal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sz val="11"/>
      <color rgb="FF000000"/>
      <name val="Trebuchet MS"/>
      <family val="2"/>
    </font>
    <font>
      <sz val="11"/>
      <color theme="1"/>
      <name val="Trebuchet MS"/>
      <family val="2"/>
    </font>
    <font>
      <sz val="10"/>
      <color rgb="FF000000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rgb="FF00B0F0"/>
        <bgColor auto="1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164" fontId="2" fillId="2" borderId="1" xfId="0" applyNumberFormat="1" applyFont="1" applyFill="1" applyBorder="1" applyAlignment="1" applyProtection="1">
      <protection locked="0"/>
    </xf>
    <xf numFmtId="164" fontId="3" fillId="2" borderId="2" xfId="0" applyNumberFormat="1" applyFont="1" applyFill="1" applyBorder="1" applyProtection="1">
      <protection locked="0"/>
    </xf>
    <xf numFmtId="164" fontId="2" fillId="2" borderId="1" xfId="0" applyNumberFormat="1" applyFont="1" applyFill="1" applyBorder="1" applyAlignment="1" applyProtection="1">
      <alignment horizontal="center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4" fillId="3" borderId="2" xfId="0" applyNumberFormat="1" applyFont="1" applyFill="1" applyBorder="1" applyProtection="1"/>
    <xf numFmtId="164" fontId="2" fillId="2" borderId="1" xfId="0" applyNumberFormat="1" applyFont="1" applyFill="1" applyBorder="1" applyAlignment="1" applyProtection="1">
      <alignment horizontal="center" wrapText="1"/>
      <protection locked="0"/>
    </xf>
    <xf numFmtId="164" fontId="5" fillId="2" borderId="2" xfId="0" applyNumberFormat="1" applyFont="1" applyFill="1" applyBorder="1" applyProtection="1">
      <protection locked="0"/>
    </xf>
    <xf numFmtId="9" fontId="0" fillId="0" borderId="0" xfId="0" applyNumberFormat="1"/>
    <xf numFmtId="0" fontId="6" fillId="0" borderId="3" xfId="0" applyFont="1" applyBorder="1" applyAlignment="1">
      <alignment wrapText="1"/>
    </xf>
    <xf numFmtId="0" fontId="6" fillId="0" borderId="4" xfId="0" applyFont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0" borderId="5" xfId="0" applyFont="1" applyBorder="1" applyAlignment="1">
      <alignment wrapText="1"/>
    </xf>
    <xf numFmtId="0" fontId="6" fillId="0" borderId="5" xfId="0" applyFont="1" applyBorder="1" applyAlignment="1">
      <alignment wrapText="1"/>
    </xf>
    <xf numFmtId="0" fontId="9" fillId="0" borderId="6" xfId="0" applyFont="1" applyBorder="1" applyAlignment="1">
      <alignment horizontal="center" wrapText="1"/>
    </xf>
    <xf numFmtId="0" fontId="10" fillId="0" borderId="6" xfId="0" applyFont="1" applyBorder="1" applyAlignment="1">
      <alignment wrapText="1"/>
    </xf>
    <xf numFmtId="0" fontId="10" fillId="0" borderId="6" xfId="0" applyFont="1" applyBorder="1" applyAlignment="1">
      <alignment horizontal="center" wrapText="1"/>
    </xf>
    <xf numFmtId="0" fontId="7" fillId="4" borderId="6" xfId="0" applyFont="1" applyFill="1" applyBorder="1" applyAlignment="1">
      <alignment wrapText="1"/>
    </xf>
    <xf numFmtId="0" fontId="11" fillId="0" borderId="6" xfId="0" applyFont="1" applyBorder="1" applyAlignment="1">
      <alignment horizontal="center" wrapText="1"/>
    </xf>
    <xf numFmtId="0" fontId="7" fillId="0" borderId="6" xfId="0" applyFont="1" applyBorder="1" applyAlignment="1">
      <alignment wrapText="1"/>
    </xf>
    <xf numFmtId="0" fontId="12" fillId="0" borderId="6" xfId="0" applyFont="1" applyBorder="1" applyAlignment="1">
      <alignment horizontal="center" wrapText="1"/>
    </xf>
    <xf numFmtId="9" fontId="5" fillId="2" borderId="2" xfId="1" applyFont="1" applyFill="1" applyBorder="1" applyProtection="1">
      <protection locked="0"/>
    </xf>
    <xf numFmtId="164" fontId="4" fillId="3" borderId="2" xfId="0" applyNumberFormat="1" applyFont="1" applyFill="1" applyBorder="1" applyAlignment="1" applyProtection="1">
      <alignment horizontal="center"/>
    </xf>
    <xf numFmtId="10" fontId="0" fillId="0" borderId="0" xfId="0" applyNumberFormat="1"/>
    <xf numFmtId="165" fontId="2" fillId="2" borderId="1" xfId="0" applyNumberFormat="1" applyFont="1" applyFill="1" applyBorder="1" applyAlignment="1" applyProtection="1">
      <alignment horizontal="left"/>
      <protection locked="0"/>
    </xf>
  </cellXfs>
  <cellStyles count="2">
    <cellStyle name="Normal" xfId="0" builtinId="0"/>
    <cellStyle name="Percent" xfId="1" builtinId="5"/>
  </cellStyles>
  <dxfs count="78"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  <dxf>
      <numFmt numFmtId="166" formatCode="[Blue][&gt;9999999]##\,##\,##\,##0.00;[Blue][&gt;99999]##\,##\,##0.00;[Blue]##,##0.00"/>
    </dxf>
    <dxf>
      <numFmt numFmtId="167" formatCode="[Red][&lt;-9999999]\-##\,##\,##\,##0.00;[Red][&lt;-99999]\-##\,##\,##0.00;[Red]#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P10"/>
  <sheetViews>
    <sheetView zoomScale="80" zoomScaleNormal="80" workbookViewId="0">
      <selection activeCell="E19" sqref="E19"/>
    </sheetView>
  </sheetViews>
  <sheetFormatPr defaultRowHeight="15"/>
  <cols>
    <col min="2" max="2" width="21" bestFit="1" customWidth="1"/>
    <col min="3" max="3" width="13" bestFit="1" customWidth="1"/>
    <col min="5" max="5" width="11.7109375" bestFit="1" customWidth="1"/>
    <col min="7" max="7" width="15.7109375" bestFit="1" customWidth="1"/>
    <col min="8" max="8" width="13" bestFit="1" customWidth="1"/>
    <col min="9" max="9" width="16.42578125" bestFit="1" customWidth="1"/>
    <col min="10" max="10" width="38.42578125" bestFit="1" customWidth="1"/>
  </cols>
  <sheetData>
    <row r="3" spans="2:16">
      <c r="B3" s="5" t="s">
        <v>22</v>
      </c>
      <c r="C3" s="7">
        <f>'Intraday Positions'!C3</f>
        <v>24701</v>
      </c>
    </row>
    <row r="5" spans="2:16">
      <c r="B5" s="5" t="s">
        <v>1157</v>
      </c>
      <c r="C5" s="21">
        <v>0.01</v>
      </c>
      <c r="D5" s="8"/>
      <c r="E5" s="8"/>
      <c r="F5" s="8"/>
    </row>
    <row r="6" spans="2:16">
      <c r="B6" s="5" t="s">
        <v>23</v>
      </c>
      <c r="C6" s="7">
        <f>ROUND(C5*C3,0)</f>
        <v>247</v>
      </c>
    </row>
    <row r="8" spans="2:16">
      <c r="B8" s="22" t="s">
        <v>1</v>
      </c>
      <c r="C8" s="22" t="s">
        <v>1153</v>
      </c>
      <c r="D8" s="22" t="s">
        <v>5</v>
      </c>
      <c r="E8" s="22" t="s">
        <v>4</v>
      </c>
      <c r="F8" s="22" t="s">
        <v>1152</v>
      </c>
      <c r="G8" s="22" t="s">
        <v>6</v>
      </c>
      <c r="H8" s="22" t="s">
        <v>1154</v>
      </c>
      <c r="I8" s="22" t="s">
        <v>1155</v>
      </c>
      <c r="J8" s="22" t="s">
        <v>1156</v>
      </c>
      <c r="K8" s="23">
        <v>5.0000000000000001E-3</v>
      </c>
      <c r="L8" s="23">
        <f>K8+0.5%</f>
        <v>0.01</v>
      </c>
      <c r="M8" s="23">
        <f>L8+0.5%</f>
        <v>1.4999999999999999E-2</v>
      </c>
      <c r="N8" s="23">
        <f>M8+0.5%</f>
        <v>0.02</v>
      </c>
      <c r="O8" s="23">
        <f>N8+0.5%</f>
        <v>2.5000000000000001E-2</v>
      </c>
      <c r="P8" s="23">
        <f>O8+0.5%</f>
        <v>3.0000000000000002E-2</v>
      </c>
    </row>
    <row r="9" spans="2:16">
      <c r="B9" s="7" t="s">
        <v>1159</v>
      </c>
      <c r="C9" s="7" t="str">
        <f>IFERROR(VLOOKUP(B9&amp;":EQ",Reference!$B:$C,2,0),1)</f>
        <v>3</v>
      </c>
      <c r="D9" s="7">
        <v>27.15</v>
      </c>
      <c r="E9" s="7">
        <v>700</v>
      </c>
      <c r="F9" s="7">
        <f>D9-I9/E9</f>
        <v>27.0595</v>
      </c>
      <c r="G9" s="7">
        <f>D9*E9</f>
        <v>19005</v>
      </c>
      <c r="H9" s="7">
        <f>G9/C9</f>
        <v>6335</v>
      </c>
      <c r="I9" s="7">
        <f>1%*H9</f>
        <v>63.35</v>
      </c>
      <c r="J9" s="7" t="str">
        <f>IF(H9&gt;C3,"Insufficient Account Balance","Allowed")</f>
        <v>Allowed</v>
      </c>
      <c r="K9">
        <f t="shared" ref="K9:P9" si="0">$G$9*K8</f>
        <v>95.025000000000006</v>
      </c>
      <c r="L9">
        <f t="shared" si="0"/>
        <v>190.05</v>
      </c>
      <c r="M9">
        <f t="shared" si="0"/>
        <v>285.07499999999999</v>
      </c>
      <c r="N9">
        <f t="shared" si="0"/>
        <v>380.1</v>
      </c>
      <c r="O9">
        <f t="shared" si="0"/>
        <v>475.125</v>
      </c>
      <c r="P9">
        <f t="shared" si="0"/>
        <v>570.15000000000009</v>
      </c>
    </row>
    <row r="10" spans="2:16">
      <c r="K10">
        <f t="shared" ref="K10:P10" si="1">(1+K8)*$D$9</f>
        <v>27.285749999999997</v>
      </c>
      <c r="L10">
        <f t="shared" si="1"/>
        <v>27.421499999999998</v>
      </c>
      <c r="M10">
        <f t="shared" si="1"/>
        <v>27.557249999999996</v>
      </c>
      <c r="N10">
        <f t="shared" si="1"/>
        <v>27.692999999999998</v>
      </c>
      <c r="O10">
        <f t="shared" si="1"/>
        <v>27.828749999999996</v>
      </c>
      <c r="P10">
        <f t="shared" si="1"/>
        <v>27.964500000000001</v>
      </c>
    </row>
  </sheetData>
  <conditionalFormatting sqref="C3">
    <cfRule type="cellIs" dxfId="77" priority="17" stopIfTrue="1" operator="lessThan">
      <formula>0</formula>
    </cfRule>
    <cfRule type="cellIs" dxfId="76" priority="18" stopIfTrue="1" operator="greaterThan">
      <formula>0</formula>
    </cfRule>
  </conditionalFormatting>
  <conditionalFormatting sqref="C3">
    <cfRule type="cellIs" dxfId="75" priority="15" stopIfTrue="1" operator="lessThan">
      <formula>0</formula>
    </cfRule>
    <cfRule type="cellIs" dxfId="74" priority="16" stopIfTrue="1" operator="greaterThan">
      <formula>0</formula>
    </cfRule>
  </conditionalFormatting>
  <conditionalFormatting sqref="C5:C6">
    <cfRule type="cellIs" dxfId="73" priority="13" stopIfTrue="1" operator="lessThan">
      <formula>0</formula>
    </cfRule>
    <cfRule type="cellIs" dxfId="72" priority="14" stopIfTrue="1" operator="greaterThan">
      <formula>0</formula>
    </cfRule>
  </conditionalFormatting>
  <conditionalFormatting sqref="C5:C6">
    <cfRule type="cellIs" dxfId="71" priority="11" stopIfTrue="1" operator="lessThan">
      <formula>0</formula>
    </cfRule>
    <cfRule type="cellIs" dxfId="70" priority="12" stopIfTrue="1" operator="greaterThan">
      <formula>0</formula>
    </cfRule>
  </conditionalFormatting>
  <conditionalFormatting sqref="C9:J9">
    <cfRule type="cellIs" dxfId="69" priority="9" stopIfTrue="1" operator="lessThan">
      <formula>0</formula>
    </cfRule>
    <cfRule type="cellIs" dxfId="68" priority="10" stopIfTrue="1" operator="greaterThan">
      <formula>0</formula>
    </cfRule>
  </conditionalFormatting>
  <conditionalFormatting sqref="C9:J9">
    <cfRule type="cellIs" dxfId="67" priority="7" stopIfTrue="1" operator="lessThan">
      <formula>0</formula>
    </cfRule>
    <cfRule type="cellIs" dxfId="66" priority="8" stopIfTrue="1" operator="greaterThan">
      <formula>0</formula>
    </cfRule>
  </conditionalFormatting>
  <conditionalFormatting sqref="B9">
    <cfRule type="cellIs" dxfId="65" priority="5" stopIfTrue="1" operator="lessThan">
      <formula>0</formula>
    </cfRule>
    <cfRule type="cellIs" dxfId="64" priority="6" stopIfTrue="1" operator="greaterThan">
      <formula>0</formula>
    </cfRule>
  </conditionalFormatting>
  <conditionalFormatting sqref="B9">
    <cfRule type="cellIs" dxfId="63" priority="3" stopIfTrue="1" operator="lessThan">
      <formula>0</formula>
    </cfRule>
    <cfRule type="cellIs" dxfId="62" priority="4" stopIfTrue="1" operator="greaterThan">
      <formula>0</formula>
    </cfRule>
  </conditionalFormatting>
  <conditionalFormatting sqref="J9">
    <cfRule type="containsText" dxfId="61" priority="1" operator="containsText" text="Insufficient">
      <formula>NOT(ISERROR(SEARCH("Insufficient",J9)))</formula>
    </cfRule>
    <cfRule type="containsText" dxfId="60" priority="2" operator="containsText" text="Allowed">
      <formula>NOT(ISERROR(SEARCH("Allowed",J9)))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1"/>
  <sheetViews>
    <sheetView tabSelected="1" zoomScale="84" zoomScaleNormal="84" workbookViewId="0">
      <selection activeCell="C15" sqref="C15"/>
    </sheetView>
  </sheetViews>
  <sheetFormatPr defaultRowHeight="15"/>
  <cols>
    <col min="2" max="2" width="13.7109375" bestFit="1" customWidth="1"/>
    <col min="3" max="3" width="17" bestFit="1" customWidth="1"/>
    <col min="5" max="5" width="11.28515625" bestFit="1" customWidth="1"/>
    <col min="6" max="6" width="14.85546875" bestFit="1" customWidth="1"/>
    <col min="7" max="7" width="9.85546875" customWidth="1"/>
    <col min="11" max="11" width="13.85546875" bestFit="1" customWidth="1"/>
    <col min="12" max="12" width="10.28515625" bestFit="1" customWidth="1"/>
  </cols>
  <sheetData>
    <row r="2" spans="2:18">
      <c r="B2" s="5" t="s">
        <v>1167</v>
      </c>
      <c r="C2" s="7">
        <f ca="1">C3+C4</f>
        <v>24296.817995224999</v>
      </c>
    </row>
    <row r="3" spans="2:18">
      <c r="B3" s="5" t="s">
        <v>0</v>
      </c>
      <c r="C3" s="7">
        <f>C5+F5+'Intraday Positions'!C3</f>
        <v>771.5</v>
      </c>
      <c r="E3" s="5"/>
      <c r="F3" s="5" t="s">
        <v>1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2:18" ht="30.75" customHeight="1">
      <c r="B4" s="1" t="s">
        <v>1164</v>
      </c>
      <c r="C4" s="2">
        <f ca="1">SUM(C6:C23)</f>
        <v>23525.317995224999</v>
      </c>
      <c r="E4" s="6" t="s">
        <v>1163</v>
      </c>
      <c r="F4" s="6" t="s">
        <v>3</v>
      </c>
      <c r="G4" s="6" t="s">
        <v>1165</v>
      </c>
      <c r="H4" s="6" t="s">
        <v>2</v>
      </c>
      <c r="I4" s="6" t="s">
        <v>4</v>
      </c>
      <c r="J4" s="6" t="s">
        <v>1166</v>
      </c>
      <c r="K4" s="6" t="s">
        <v>6</v>
      </c>
      <c r="L4" s="6" t="s">
        <v>7</v>
      </c>
      <c r="M4" s="6" t="s">
        <v>19</v>
      </c>
      <c r="N4" s="6" t="s">
        <v>13</v>
      </c>
      <c r="O4" s="6" t="s">
        <v>14</v>
      </c>
      <c r="P4" s="6" t="s">
        <v>15</v>
      </c>
      <c r="Q4" s="6" t="s">
        <v>16</v>
      </c>
      <c r="R4" s="6" t="s">
        <v>20</v>
      </c>
    </row>
    <row r="5" spans="2:18">
      <c r="B5" s="1"/>
      <c r="C5" s="2"/>
      <c r="E5" s="2"/>
      <c r="F5" s="2">
        <f>SUM(K5:R5)</f>
        <v>-23929.5</v>
      </c>
      <c r="G5" s="2"/>
      <c r="H5" s="2"/>
      <c r="I5" s="2"/>
      <c r="J5" s="2"/>
      <c r="K5" s="2">
        <f>SUM(K6:K21)</f>
        <v>-23901.5</v>
      </c>
      <c r="L5" s="2">
        <f t="shared" ref="L5:M5" si="0">ROUNDUP(SUM(L6:L21),0)</f>
        <v>0</v>
      </c>
      <c r="M5" s="2">
        <f t="shared" si="0"/>
        <v>-1</v>
      </c>
      <c r="N5" s="2">
        <f>ROUNDUP(SUM(N6:N21),0)</f>
        <v>-1</v>
      </c>
      <c r="O5" s="2">
        <f t="shared" ref="O5:R5" si="1">ROUNDUP(SUM(O6:O21),0)</f>
        <v>-24</v>
      </c>
      <c r="P5" s="2">
        <f t="shared" si="1"/>
        <v>-1</v>
      </c>
      <c r="Q5" s="2">
        <f t="shared" si="1"/>
        <v>-1</v>
      </c>
      <c r="R5" s="2">
        <f t="shared" si="1"/>
        <v>0</v>
      </c>
    </row>
    <row r="6" spans="2:18">
      <c r="B6" s="1" t="str">
        <f>F6</f>
        <v>SPLIL</v>
      </c>
      <c r="C6" s="2">
        <f ca="1">I6*G6+SUM(L6:R6)</f>
        <v>7552.8157136999998</v>
      </c>
      <c r="E6" s="24">
        <v>43479</v>
      </c>
      <c r="F6" s="4" t="s">
        <v>1160</v>
      </c>
      <c r="G6" s="4">
        <f ca="1">mrigxl_stockquote(F6)</f>
        <v>65.75</v>
      </c>
      <c r="H6" s="3" t="s">
        <v>10</v>
      </c>
      <c r="I6" s="2">
        <v>115</v>
      </c>
      <c r="J6" s="2">
        <v>69.2</v>
      </c>
      <c r="K6" s="2">
        <f t="shared" ref="K6" si="2">IF(H6="B",-1,1)*I6*J6</f>
        <v>-7958</v>
      </c>
      <c r="L6" s="2">
        <v>0</v>
      </c>
      <c r="M6" s="2">
        <f t="shared" ref="M6" si="3">-ABS(K6)*0.00325%</f>
        <v>-0.258635</v>
      </c>
      <c r="N6" s="2">
        <f t="shared" ref="N6" si="4">18%*(L6+M6)</f>
        <v>-4.65543E-2</v>
      </c>
      <c r="O6" s="2">
        <f>-ABS(K6)*0.1%</f>
        <v>-7.9580000000000002</v>
      </c>
      <c r="P6" s="2">
        <f t="shared" ref="P6" si="5">-15/10000000*ABS(K6)</f>
        <v>-1.1937E-2</v>
      </c>
      <c r="Q6" s="2">
        <f t="shared" ref="Q6" si="6">-0.002%*ABS(K6)</f>
        <v>-0.15916000000000002</v>
      </c>
      <c r="R6" s="2"/>
    </row>
    <row r="7" spans="2:18">
      <c r="B7" s="1" t="str">
        <f t="shared" ref="B7:B8" si="7">F7</f>
        <v>PRAJIND</v>
      </c>
      <c r="C7" s="2">
        <f t="shared" ref="C7:C8" ca="1" si="8">I7*G7+SUM(L7:R7)</f>
        <v>7865.9678334000009</v>
      </c>
      <c r="E7" s="24">
        <v>43479</v>
      </c>
      <c r="F7" s="4" t="s">
        <v>1161</v>
      </c>
      <c r="G7" s="4">
        <f ca="1">mrigxl_stockquote(F7)</f>
        <v>154.4</v>
      </c>
      <c r="H7" s="3" t="s">
        <v>10</v>
      </c>
      <c r="I7" s="2">
        <v>51</v>
      </c>
      <c r="J7" s="2">
        <v>156</v>
      </c>
      <c r="K7" s="2">
        <f t="shared" ref="K7:K14" si="9">IF(H7="B",-1,1)*I7*J7</f>
        <v>-7956</v>
      </c>
      <c r="L7" s="2">
        <v>0</v>
      </c>
      <c r="M7" s="2">
        <f t="shared" ref="M7:M14" si="10">-ABS(K7)*0.00325%</f>
        <v>-0.25856999999999997</v>
      </c>
      <c r="N7" s="2">
        <f t="shared" ref="N7:N14" si="11">18%*(L7+M7)</f>
        <v>-4.654259999999999E-2</v>
      </c>
      <c r="O7" s="2">
        <f t="shared" ref="O7:O14" si="12">-ABS(K7)*0.1%</f>
        <v>-7.9560000000000004</v>
      </c>
      <c r="P7" s="2">
        <f t="shared" ref="P7:P14" si="13">-15/10000000*ABS(K7)</f>
        <v>-1.1934E-2</v>
      </c>
      <c r="Q7" s="2">
        <f t="shared" ref="Q7:Q14" si="14">-0.002%*ABS(K7)</f>
        <v>-0.15912000000000001</v>
      </c>
      <c r="R7" s="2"/>
    </row>
    <row r="8" spans="2:18">
      <c r="B8" s="1" t="str">
        <f t="shared" si="7"/>
        <v>PFC</v>
      </c>
      <c r="C8" s="2">
        <f t="shared" ca="1" si="8"/>
        <v>8106.5344481250004</v>
      </c>
      <c r="E8" s="24">
        <v>43479</v>
      </c>
      <c r="F8" s="4" t="s">
        <v>1162</v>
      </c>
      <c r="G8" s="4">
        <f ca="1">mrigxl_stockquote(F8)</f>
        <v>108.2</v>
      </c>
      <c r="H8" s="3" t="s">
        <v>10</v>
      </c>
      <c r="I8" s="2">
        <v>75</v>
      </c>
      <c r="J8" s="2">
        <v>106.5</v>
      </c>
      <c r="K8" s="2">
        <f t="shared" si="9"/>
        <v>-7987.5</v>
      </c>
      <c r="L8" s="2">
        <v>0</v>
      </c>
      <c r="M8" s="2">
        <f t="shared" si="10"/>
        <v>-0.25959374999999996</v>
      </c>
      <c r="N8" s="2">
        <f t="shared" si="11"/>
        <v>-4.6726874999999987E-2</v>
      </c>
      <c r="O8" s="2">
        <f t="shared" si="12"/>
        <v>-7.9874999999999998</v>
      </c>
      <c r="P8" s="2">
        <f t="shared" si="13"/>
        <v>-1.1981250000000001E-2</v>
      </c>
      <c r="Q8" s="2">
        <f t="shared" si="14"/>
        <v>-0.15975</v>
      </c>
      <c r="R8" s="2"/>
    </row>
    <row r="9" spans="2:18">
      <c r="B9" s="1"/>
      <c r="C9" s="2"/>
      <c r="E9" s="4"/>
      <c r="F9" s="4"/>
      <c r="G9" s="4"/>
      <c r="H9" s="3"/>
      <c r="I9" s="2"/>
      <c r="J9" s="2"/>
      <c r="K9" s="2">
        <f t="shared" si="9"/>
        <v>0</v>
      </c>
      <c r="L9" s="2">
        <v>0</v>
      </c>
      <c r="M9" s="2">
        <f t="shared" si="10"/>
        <v>0</v>
      </c>
      <c r="N9" s="2">
        <f t="shared" si="11"/>
        <v>0</v>
      </c>
      <c r="O9" s="2">
        <f t="shared" si="12"/>
        <v>0</v>
      </c>
      <c r="P9" s="2">
        <f t="shared" si="13"/>
        <v>0</v>
      </c>
      <c r="Q9" s="2">
        <f t="shared" si="14"/>
        <v>0</v>
      </c>
      <c r="R9" s="2"/>
    </row>
    <row r="10" spans="2:18">
      <c r="B10" s="1"/>
      <c r="C10" s="2"/>
      <c r="E10" s="4"/>
      <c r="F10" s="4"/>
      <c r="G10" s="4"/>
      <c r="H10" s="3"/>
      <c r="I10" s="2"/>
      <c r="J10" s="2"/>
      <c r="K10" s="2">
        <f t="shared" si="9"/>
        <v>0</v>
      </c>
      <c r="L10" s="2">
        <v>0</v>
      </c>
      <c r="M10" s="2">
        <f t="shared" si="10"/>
        <v>0</v>
      </c>
      <c r="N10" s="2">
        <f t="shared" si="11"/>
        <v>0</v>
      </c>
      <c r="O10" s="2">
        <f t="shared" si="12"/>
        <v>0</v>
      </c>
      <c r="P10" s="2">
        <f t="shared" si="13"/>
        <v>0</v>
      </c>
      <c r="Q10" s="2">
        <f t="shared" si="14"/>
        <v>0</v>
      </c>
      <c r="R10" s="2"/>
    </row>
    <row r="11" spans="2:18">
      <c r="B11" s="1"/>
      <c r="C11" s="2"/>
      <c r="E11" s="4"/>
      <c r="F11" s="4"/>
      <c r="G11" s="4"/>
      <c r="H11" s="3"/>
      <c r="I11" s="2"/>
      <c r="J11" s="2"/>
      <c r="K11" s="2">
        <f t="shared" si="9"/>
        <v>0</v>
      </c>
      <c r="L11" s="2">
        <v>0</v>
      </c>
      <c r="M11" s="2">
        <f t="shared" si="10"/>
        <v>0</v>
      </c>
      <c r="N11" s="2">
        <f t="shared" si="11"/>
        <v>0</v>
      </c>
      <c r="O11" s="2">
        <f t="shared" si="12"/>
        <v>0</v>
      </c>
      <c r="P11" s="2">
        <f t="shared" si="13"/>
        <v>0</v>
      </c>
      <c r="Q11" s="2">
        <f t="shared" si="14"/>
        <v>0</v>
      </c>
      <c r="R11" s="2"/>
    </row>
    <row r="12" spans="2:18">
      <c r="B12" s="1"/>
      <c r="C12" s="2"/>
      <c r="E12" s="4"/>
      <c r="F12" s="4"/>
      <c r="G12" s="4"/>
      <c r="H12" s="3"/>
      <c r="I12" s="2"/>
      <c r="J12" s="2"/>
      <c r="K12" s="2">
        <f t="shared" si="9"/>
        <v>0</v>
      </c>
      <c r="L12" s="2">
        <v>0</v>
      </c>
      <c r="M12" s="2">
        <f t="shared" si="10"/>
        <v>0</v>
      </c>
      <c r="N12" s="2">
        <f t="shared" si="11"/>
        <v>0</v>
      </c>
      <c r="O12" s="2">
        <f t="shared" si="12"/>
        <v>0</v>
      </c>
      <c r="P12" s="2">
        <f t="shared" si="13"/>
        <v>0</v>
      </c>
      <c r="Q12" s="2">
        <f t="shared" si="14"/>
        <v>0</v>
      </c>
      <c r="R12" s="2"/>
    </row>
    <row r="13" spans="2:18">
      <c r="B13" s="1"/>
      <c r="C13" s="2"/>
      <c r="E13" s="4"/>
      <c r="F13" s="4"/>
      <c r="G13" s="4"/>
      <c r="H13" s="3"/>
      <c r="I13" s="2"/>
      <c r="J13" s="2"/>
      <c r="K13" s="2">
        <f t="shared" si="9"/>
        <v>0</v>
      </c>
      <c r="L13" s="2">
        <v>0</v>
      </c>
      <c r="M13" s="2">
        <f t="shared" si="10"/>
        <v>0</v>
      </c>
      <c r="N13" s="2">
        <f t="shared" si="11"/>
        <v>0</v>
      </c>
      <c r="O13" s="2">
        <f t="shared" si="12"/>
        <v>0</v>
      </c>
      <c r="P13" s="2">
        <f t="shared" si="13"/>
        <v>0</v>
      </c>
      <c r="Q13" s="2">
        <f t="shared" si="14"/>
        <v>0</v>
      </c>
      <c r="R13" s="2"/>
    </row>
    <row r="14" spans="2:18">
      <c r="B14" s="1"/>
      <c r="C14" s="2"/>
      <c r="E14" s="4"/>
      <c r="F14" s="4"/>
      <c r="G14" s="4"/>
      <c r="H14" s="3"/>
      <c r="I14" s="2"/>
      <c r="J14" s="2"/>
      <c r="K14" s="2">
        <f t="shared" si="9"/>
        <v>0</v>
      </c>
      <c r="L14" s="2">
        <v>0</v>
      </c>
      <c r="M14" s="2">
        <f t="shared" si="10"/>
        <v>0</v>
      </c>
      <c r="N14" s="2">
        <f t="shared" si="11"/>
        <v>0</v>
      </c>
      <c r="O14" s="2">
        <f t="shared" si="12"/>
        <v>0</v>
      </c>
      <c r="P14" s="2">
        <f t="shared" si="13"/>
        <v>0</v>
      </c>
      <c r="Q14" s="2">
        <f t="shared" si="14"/>
        <v>0</v>
      </c>
      <c r="R14" s="2"/>
    </row>
    <row r="15" spans="2:18">
      <c r="B15" s="1"/>
      <c r="C15" s="2"/>
      <c r="E15" s="4"/>
      <c r="F15" s="4"/>
      <c r="G15" s="4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>
      <c r="B16" s="1"/>
      <c r="C16" s="2"/>
      <c r="E16" s="4"/>
      <c r="F16" s="4"/>
      <c r="G16" s="4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>
      <c r="B17" s="1"/>
      <c r="C17" s="2"/>
      <c r="E17" s="4"/>
      <c r="F17" s="4"/>
      <c r="G17" s="4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>
      <c r="B18" s="1"/>
      <c r="C18" s="2"/>
      <c r="E18" s="4"/>
      <c r="F18" s="4"/>
      <c r="G18" s="4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>
      <c r="B19" s="1"/>
      <c r="C19" s="2"/>
      <c r="E19" s="4"/>
      <c r="F19" s="4"/>
      <c r="G19" s="4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>
      <c r="B20" s="1"/>
      <c r="C20" s="2"/>
      <c r="E20" s="4"/>
      <c r="F20" s="4"/>
      <c r="G20" s="4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>
      <c r="B21" s="1"/>
      <c r="C21" s="2"/>
      <c r="E21" s="4"/>
      <c r="F21" s="4" t="s">
        <v>18</v>
      </c>
      <c r="G21" s="4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</row>
  </sheetData>
  <conditionalFormatting sqref="C3:C8">
    <cfRule type="cellIs" dxfId="59" priority="35" stopIfTrue="1" operator="lessThan">
      <formula>0</formula>
    </cfRule>
    <cfRule type="cellIs" dxfId="58" priority="36" stopIfTrue="1" operator="greaterThan">
      <formula>0</formula>
    </cfRule>
  </conditionalFormatting>
  <conditionalFormatting sqref="C3:C8">
    <cfRule type="cellIs" dxfId="57" priority="33" stopIfTrue="1" operator="lessThan">
      <formula>0</formula>
    </cfRule>
    <cfRule type="cellIs" dxfId="56" priority="34" stopIfTrue="1" operator="greaterThan">
      <formula>0</formula>
    </cfRule>
  </conditionalFormatting>
  <conditionalFormatting sqref="C6:C21">
    <cfRule type="cellIs" dxfId="55" priority="31" stopIfTrue="1" operator="lessThan">
      <formula>0</formula>
    </cfRule>
    <cfRule type="cellIs" dxfId="54" priority="32" stopIfTrue="1" operator="greaterThan">
      <formula>0</formula>
    </cfRule>
  </conditionalFormatting>
  <conditionalFormatting sqref="C6:C21">
    <cfRule type="cellIs" dxfId="53" priority="29" stopIfTrue="1" operator="lessThan">
      <formula>0</formula>
    </cfRule>
    <cfRule type="cellIs" dxfId="52" priority="30" stopIfTrue="1" operator="greaterThan">
      <formula>0</formula>
    </cfRule>
  </conditionalFormatting>
  <conditionalFormatting sqref="F5:R5">
    <cfRule type="cellIs" dxfId="51" priority="27" stopIfTrue="1" operator="lessThan">
      <formula>0</formula>
    </cfRule>
    <cfRule type="cellIs" dxfId="50" priority="28" stopIfTrue="1" operator="greaterThan">
      <formula>0</formula>
    </cfRule>
  </conditionalFormatting>
  <conditionalFormatting sqref="F5:R5">
    <cfRule type="cellIs" dxfId="49" priority="25" stopIfTrue="1" operator="lessThan">
      <formula>0</formula>
    </cfRule>
    <cfRule type="cellIs" dxfId="48" priority="26" stopIfTrue="1" operator="greaterThan">
      <formula>0</formula>
    </cfRule>
  </conditionalFormatting>
  <conditionalFormatting sqref="I7:J10 I15:R21 I12:J14">
    <cfRule type="cellIs" dxfId="47" priority="23" stopIfTrue="1" operator="lessThan">
      <formula>0</formula>
    </cfRule>
    <cfRule type="cellIs" dxfId="46" priority="24" stopIfTrue="1" operator="greaterThan">
      <formula>0</formula>
    </cfRule>
  </conditionalFormatting>
  <conditionalFormatting sqref="I7:J10 I15:R21 I12:J14">
    <cfRule type="cellIs" dxfId="45" priority="21" stopIfTrue="1" operator="lessThan">
      <formula>0</formula>
    </cfRule>
    <cfRule type="cellIs" dxfId="44" priority="22" stopIfTrue="1" operator="greaterThan">
      <formula>0</formula>
    </cfRule>
  </conditionalFormatting>
  <conditionalFormatting sqref="I11:J11">
    <cfRule type="cellIs" dxfId="43" priority="19" stopIfTrue="1" operator="lessThan">
      <formula>0</formula>
    </cfRule>
    <cfRule type="cellIs" dxfId="42" priority="20" stopIfTrue="1" operator="greaterThan">
      <formula>0</formula>
    </cfRule>
  </conditionalFormatting>
  <conditionalFormatting sqref="I11:J11">
    <cfRule type="cellIs" dxfId="41" priority="17" stopIfTrue="1" operator="lessThan">
      <formula>0</formula>
    </cfRule>
    <cfRule type="cellIs" dxfId="40" priority="18" stopIfTrue="1" operator="greaterThan">
      <formula>0</formula>
    </cfRule>
  </conditionalFormatting>
  <conditionalFormatting sqref="I6:R6 L6:L14 O6:O14">
    <cfRule type="cellIs" dxfId="39" priority="15" stopIfTrue="1" operator="lessThan">
      <formula>0</formula>
    </cfRule>
    <cfRule type="cellIs" dxfId="38" priority="16" stopIfTrue="1" operator="greaterThan">
      <formula>0</formula>
    </cfRule>
  </conditionalFormatting>
  <conditionalFormatting sqref="I6:R6 L6:L14 O6:O14">
    <cfRule type="cellIs" dxfId="37" priority="13" stopIfTrue="1" operator="lessThan">
      <formula>0</formula>
    </cfRule>
    <cfRule type="cellIs" dxfId="36" priority="14" stopIfTrue="1" operator="greaterThan">
      <formula>0</formula>
    </cfRule>
  </conditionalFormatting>
  <conditionalFormatting sqref="K7:R14">
    <cfRule type="cellIs" dxfId="35" priority="11" stopIfTrue="1" operator="lessThan">
      <formula>0</formula>
    </cfRule>
    <cfRule type="cellIs" dxfId="34" priority="12" stopIfTrue="1" operator="greaterThan">
      <formula>0</formula>
    </cfRule>
  </conditionalFormatting>
  <conditionalFormatting sqref="K7:R14">
    <cfRule type="cellIs" dxfId="33" priority="9" stopIfTrue="1" operator="lessThan">
      <formula>0</formula>
    </cfRule>
    <cfRule type="cellIs" dxfId="32" priority="10" stopIfTrue="1" operator="greaterThan">
      <formula>0</formula>
    </cfRule>
  </conditionalFormatting>
  <conditionalFormatting sqref="E5">
    <cfRule type="cellIs" dxfId="31" priority="7" stopIfTrue="1" operator="lessThan">
      <formula>0</formula>
    </cfRule>
    <cfRule type="cellIs" dxfId="30" priority="8" stopIfTrue="1" operator="greaterThan">
      <formula>0</formula>
    </cfRule>
  </conditionalFormatting>
  <conditionalFormatting sqref="E5">
    <cfRule type="cellIs" dxfId="29" priority="5" stopIfTrue="1" operator="lessThan">
      <formula>0</formula>
    </cfRule>
    <cfRule type="cellIs" dxfId="28" priority="6" stopIfTrue="1" operator="greaterThan">
      <formula>0</formula>
    </cfRule>
  </conditionalFormatting>
  <conditionalFormatting sqref="C2">
    <cfRule type="cellIs" dxfId="27" priority="3" stopIfTrue="1" operator="lessThan">
      <formula>0</formula>
    </cfRule>
    <cfRule type="cellIs" dxfId="26" priority="4" stopIfTrue="1" operator="greaterThan">
      <formula>0</formula>
    </cfRule>
  </conditionalFormatting>
  <conditionalFormatting sqref="C2">
    <cfRule type="cellIs" dxfId="25" priority="1" stopIfTrue="1" operator="lessThan">
      <formula>0</formula>
    </cfRule>
    <cfRule type="cellIs" dxfId="24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Q21"/>
  <sheetViews>
    <sheetView zoomScale="84" zoomScaleNormal="84" workbookViewId="0">
      <selection activeCell="E11" sqref="E11"/>
    </sheetView>
  </sheetViews>
  <sheetFormatPr defaultRowHeight="15"/>
  <cols>
    <col min="2" max="2" width="13.7109375" bestFit="1" customWidth="1"/>
    <col min="3" max="3" width="17" bestFit="1" customWidth="1"/>
    <col min="5" max="6" width="14.85546875" bestFit="1" customWidth="1"/>
    <col min="10" max="10" width="13.85546875" bestFit="1" customWidth="1"/>
    <col min="11" max="11" width="10.28515625" bestFit="1" customWidth="1"/>
  </cols>
  <sheetData>
    <row r="3" spans="2:17">
      <c r="B3" s="5" t="s">
        <v>0</v>
      </c>
      <c r="C3" s="7">
        <f>C5+F5</f>
        <v>24701</v>
      </c>
      <c r="E3" s="5" t="s">
        <v>1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2:17" ht="30.75" customHeight="1">
      <c r="B4" s="1"/>
      <c r="C4" s="2"/>
      <c r="E4" s="6" t="s">
        <v>1163</v>
      </c>
      <c r="F4" s="6" t="s">
        <v>3</v>
      </c>
      <c r="G4" s="6" t="s">
        <v>2</v>
      </c>
      <c r="H4" s="6" t="s">
        <v>4</v>
      </c>
      <c r="I4" s="6" t="s">
        <v>5</v>
      </c>
      <c r="J4" s="6" t="s">
        <v>6</v>
      </c>
      <c r="K4" s="6" t="s">
        <v>7</v>
      </c>
      <c r="L4" s="6" t="s">
        <v>19</v>
      </c>
      <c r="M4" s="6" t="s">
        <v>13</v>
      </c>
      <c r="N4" s="6" t="s">
        <v>14</v>
      </c>
      <c r="O4" s="6" t="s">
        <v>15</v>
      </c>
      <c r="P4" s="6" t="s">
        <v>16</v>
      </c>
      <c r="Q4" s="6" t="s">
        <v>20</v>
      </c>
    </row>
    <row r="5" spans="2:17">
      <c r="B5" s="1" t="s">
        <v>21</v>
      </c>
      <c r="C5" s="2">
        <f>SUM(C6:C21)</f>
        <v>24990</v>
      </c>
      <c r="E5" s="2"/>
      <c r="F5" s="2">
        <f>SUM(J5:Q5)</f>
        <v>-289</v>
      </c>
      <c r="G5" s="2"/>
      <c r="H5" s="2"/>
      <c r="I5" s="2"/>
      <c r="J5" s="2">
        <f>SUM(J6:J21)</f>
        <v>-150</v>
      </c>
      <c r="K5" s="2">
        <f t="shared" ref="K5:Q5" si="0">ROUND(SUM(K6:K21),0)</f>
        <v>-38</v>
      </c>
      <c r="L5" s="2">
        <f t="shared" si="0"/>
        <v>-12</v>
      </c>
      <c r="M5" s="2">
        <f t="shared" si="0"/>
        <v>-9</v>
      </c>
      <c r="N5" s="2">
        <f t="shared" si="0"/>
        <v>-47</v>
      </c>
      <c r="O5" s="2">
        <f t="shared" si="0"/>
        <v>-1</v>
      </c>
      <c r="P5" s="2">
        <f t="shared" si="0"/>
        <v>-8</v>
      </c>
      <c r="Q5" s="2">
        <f t="shared" si="0"/>
        <v>-24</v>
      </c>
    </row>
    <row r="6" spans="2:17">
      <c r="B6" s="1" t="s">
        <v>8</v>
      </c>
      <c r="C6" s="2">
        <v>25000</v>
      </c>
      <c r="E6" s="24">
        <v>43474</v>
      </c>
      <c r="F6" s="4" t="s">
        <v>9</v>
      </c>
      <c r="G6" s="3" t="s">
        <v>10</v>
      </c>
      <c r="H6" s="2">
        <v>10</v>
      </c>
      <c r="I6" s="2">
        <v>100.75</v>
      </c>
      <c r="J6" s="2">
        <f t="shared" ref="J6:J11" si="1">IF(G6="B",-1,1)*H6*I6</f>
        <v>-1007.5</v>
      </c>
      <c r="K6" s="2">
        <f>-MIN(20,0.01%*ABS(J6))</f>
        <v>-0.10075000000000001</v>
      </c>
      <c r="L6" s="2">
        <f>-ABS(J6)*0.00325%</f>
        <v>-3.2743749999999995E-2</v>
      </c>
      <c r="M6" s="2">
        <f>18%*(K6+L6)</f>
        <v>-2.4028874999999998E-2</v>
      </c>
      <c r="N6" s="2">
        <f>-IF(G6="S",1,0)*ABS(J6)*0.025%</f>
        <v>0</v>
      </c>
      <c r="O6" s="2">
        <f>-15/10000000*ABS(J6)</f>
        <v>-1.51125E-3</v>
      </c>
      <c r="P6" s="2">
        <f>-0.002%*ABS(J6)</f>
        <v>-2.0150000000000001E-2</v>
      </c>
      <c r="Q6" s="2"/>
    </row>
    <row r="7" spans="2:17">
      <c r="B7" s="1" t="s">
        <v>17</v>
      </c>
      <c r="C7" s="2">
        <v>-10</v>
      </c>
      <c r="E7" s="24">
        <v>43474</v>
      </c>
      <c r="F7" s="4" t="s">
        <v>9</v>
      </c>
      <c r="G7" s="3" t="s">
        <v>12</v>
      </c>
      <c r="H7" s="2">
        <v>10</v>
      </c>
      <c r="I7" s="2">
        <v>98.95</v>
      </c>
      <c r="J7" s="2">
        <f t="shared" si="1"/>
        <v>989.5</v>
      </c>
      <c r="K7" s="2">
        <f t="shared" ref="K7:K11" si="2">-MIN(20,0.01%*ABS(J7))</f>
        <v>-9.895000000000001E-2</v>
      </c>
      <c r="L7" s="2">
        <f t="shared" ref="L7:L11" si="3">-ABS(J7)*0.00325%</f>
        <v>-3.215875E-2</v>
      </c>
      <c r="M7" s="2">
        <f t="shared" ref="M7:M11" si="4">18%*(K7+L7)</f>
        <v>-2.3599574999999998E-2</v>
      </c>
      <c r="N7" s="2">
        <f t="shared" ref="N7:N11" si="5">-IF(G7="S",1,0)*ABS(J7)*0.025%</f>
        <v>-0.24737500000000001</v>
      </c>
      <c r="O7" s="2">
        <f t="shared" ref="O7:O11" si="6">-15/10000000*ABS(J7)</f>
        <v>-1.4842500000000001E-3</v>
      </c>
      <c r="P7" s="2">
        <f t="shared" ref="P7:P11" si="7">-0.002%*ABS(J7)</f>
        <v>-1.9790000000000002E-2</v>
      </c>
      <c r="Q7" s="2"/>
    </row>
    <row r="8" spans="2:17">
      <c r="B8" s="1"/>
      <c r="C8" s="2"/>
      <c r="E8" s="24">
        <v>43474</v>
      </c>
      <c r="F8" s="4" t="s">
        <v>11</v>
      </c>
      <c r="G8" s="3" t="s">
        <v>10</v>
      </c>
      <c r="H8" s="2">
        <v>20</v>
      </c>
      <c r="I8" s="2">
        <v>855.5</v>
      </c>
      <c r="J8" s="2">
        <f t="shared" si="1"/>
        <v>-17110</v>
      </c>
      <c r="K8" s="2">
        <f t="shared" si="2"/>
        <v>-1.7110000000000001</v>
      </c>
      <c r="L8" s="2">
        <f t="shared" si="3"/>
        <v>-0.55607499999999999</v>
      </c>
      <c r="M8" s="2">
        <f t="shared" si="4"/>
        <v>-0.40807350000000003</v>
      </c>
      <c r="N8" s="2">
        <f t="shared" si="5"/>
        <v>0</v>
      </c>
      <c r="O8" s="2">
        <f t="shared" si="6"/>
        <v>-2.5665E-2</v>
      </c>
      <c r="P8" s="2">
        <f t="shared" si="7"/>
        <v>-0.3422</v>
      </c>
      <c r="Q8" s="2"/>
    </row>
    <row r="9" spans="2:17">
      <c r="B9" s="1"/>
      <c r="C9" s="2"/>
      <c r="E9" s="24">
        <v>43474</v>
      </c>
      <c r="F9" s="4" t="s">
        <v>11</v>
      </c>
      <c r="G9" s="3" t="s">
        <v>12</v>
      </c>
      <c r="H9" s="2">
        <v>20</v>
      </c>
      <c r="I9" s="2">
        <v>858.35</v>
      </c>
      <c r="J9" s="2">
        <f t="shared" si="1"/>
        <v>17167</v>
      </c>
      <c r="K9" s="2">
        <f t="shared" si="2"/>
        <v>-1.7167000000000001</v>
      </c>
      <c r="L9" s="2">
        <f t="shared" si="3"/>
        <v>-0.55792749999999991</v>
      </c>
      <c r="M9" s="2">
        <f t="shared" si="4"/>
        <v>-0.40943295000000002</v>
      </c>
      <c r="N9" s="2">
        <f t="shared" si="5"/>
        <v>-4.2917500000000004</v>
      </c>
      <c r="O9" s="2">
        <f t="shared" si="6"/>
        <v>-2.5750499999999999E-2</v>
      </c>
      <c r="P9" s="2">
        <f t="shared" si="7"/>
        <v>-0.34334000000000003</v>
      </c>
      <c r="Q9" s="2">
        <f>-20*(1.18)</f>
        <v>-23.599999999999998</v>
      </c>
    </row>
    <row r="10" spans="2:17">
      <c r="B10" s="1"/>
      <c r="C10" s="2"/>
      <c r="E10" s="24">
        <v>43475</v>
      </c>
      <c r="F10" s="4" t="s">
        <v>1158</v>
      </c>
      <c r="G10" s="3" t="s">
        <v>10</v>
      </c>
      <c r="H10" s="2">
        <v>700</v>
      </c>
      <c r="I10" s="2">
        <v>244</v>
      </c>
      <c r="J10" s="2">
        <f t="shared" si="1"/>
        <v>-170800</v>
      </c>
      <c r="K10" s="2">
        <f t="shared" si="2"/>
        <v>-17.080000000000002</v>
      </c>
      <c r="L10" s="2">
        <f t="shared" si="3"/>
        <v>-5.5509999999999993</v>
      </c>
      <c r="M10" s="2">
        <f t="shared" si="4"/>
        <v>-4.0735799999999998</v>
      </c>
      <c r="N10" s="2">
        <f t="shared" si="5"/>
        <v>0</v>
      </c>
      <c r="O10" s="2">
        <f t="shared" si="6"/>
        <v>-0.25619999999999998</v>
      </c>
      <c r="P10" s="2">
        <f t="shared" si="7"/>
        <v>-3.4160000000000004</v>
      </c>
      <c r="Q10" s="2"/>
    </row>
    <row r="11" spans="2:17">
      <c r="B11" s="1"/>
      <c r="C11" s="2"/>
      <c r="E11" s="24">
        <v>43475</v>
      </c>
      <c r="F11" s="4" t="s">
        <v>1158</v>
      </c>
      <c r="G11" s="3" t="s">
        <v>12</v>
      </c>
      <c r="H11" s="2">
        <v>700</v>
      </c>
      <c r="I11" s="2">
        <v>243.73</v>
      </c>
      <c r="J11" s="2">
        <f t="shared" si="1"/>
        <v>170611</v>
      </c>
      <c r="K11" s="2">
        <f t="shared" si="2"/>
        <v>-17.0611</v>
      </c>
      <c r="L11" s="2">
        <f t="shared" si="3"/>
        <v>-5.5448574999999991</v>
      </c>
      <c r="M11" s="2">
        <f t="shared" si="4"/>
        <v>-4.0690723499999999</v>
      </c>
      <c r="N11" s="2">
        <f t="shared" si="5"/>
        <v>-42.652749999999997</v>
      </c>
      <c r="O11" s="2">
        <f t="shared" si="6"/>
        <v>-0.25591649999999999</v>
      </c>
      <c r="P11" s="2">
        <f t="shared" si="7"/>
        <v>-3.4122200000000005</v>
      </c>
      <c r="Q11" s="2"/>
    </row>
    <row r="12" spans="2:17">
      <c r="B12" s="1"/>
      <c r="C12" s="2"/>
      <c r="E12" s="4"/>
      <c r="F12" s="4"/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2:17">
      <c r="B13" s="1"/>
      <c r="C13" s="2"/>
      <c r="E13" s="4"/>
      <c r="F13" s="4"/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2:17">
      <c r="B14" s="1"/>
      <c r="C14" s="2"/>
      <c r="E14" s="4"/>
      <c r="F14" s="4"/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2:17">
      <c r="B15" s="1"/>
      <c r="C15" s="2"/>
      <c r="E15" s="4"/>
      <c r="F15" s="4"/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1"/>
      <c r="C16" s="2"/>
      <c r="E16" s="4"/>
      <c r="F16" s="4"/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17">
      <c r="B17" s="1"/>
      <c r="C17" s="2"/>
      <c r="E17" s="4"/>
      <c r="F17" s="4"/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2:17">
      <c r="B18" s="1"/>
      <c r="C18" s="2"/>
      <c r="E18" s="4"/>
      <c r="F18" s="4"/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2:17">
      <c r="B19" s="1"/>
      <c r="C19" s="2"/>
      <c r="E19" s="4"/>
      <c r="F19" s="4"/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17">
      <c r="B20" s="1"/>
      <c r="C20" s="2"/>
      <c r="E20" s="4"/>
      <c r="F20" s="4"/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2:17">
      <c r="B21" s="1"/>
      <c r="C21" s="2"/>
      <c r="E21" s="4" t="s">
        <v>18</v>
      </c>
      <c r="F21" s="4" t="s">
        <v>18</v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</row>
  </sheetData>
  <conditionalFormatting sqref="C3:C6">
    <cfRule type="cellIs" dxfId="23" priority="23" stopIfTrue="1" operator="lessThan">
      <formula>0</formula>
    </cfRule>
    <cfRule type="cellIs" dxfId="22" priority="24" stopIfTrue="1" operator="greaterThan">
      <formula>0</formula>
    </cfRule>
  </conditionalFormatting>
  <conditionalFormatting sqref="C3:C6">
    <cfRule type="cellIs" dxfId="21" priority="21" stopIfTrue="1" operator="lessThan">
      <formula>0</formula>
    </cfRule>
    <cfRule type="cellIs" dxfId="20" priority="22" stopIfTrue="1" operator="greaterThan">
      <formula>0</formula>
    </cfRule>
  </conditionalFormatting>
  <conditionalFormatting sqref="C7:C21">
    <cfRule type="cellIs" dxfId="19" priority="19" stopIfTrue="1" operator="lessThan">
      <formula>0</formula>
    </cfRule>
    <cfRule type="cellIs" dxfId="18" priority="20" stopIfTrue="1" operator="greaterThan">
      <formula>0</formula>
    </cfRule>
  </conditionalFormatting>
  <conditionalFormatting sqref="C7:C21">
    <cfRule type="cellIs" dxfId="17" priority="17" stopIfTrue="1" operator="lessThan">
      <formula>0</formula>
    </cfRule>
    <cfRule type="cellIs" dxfId="16" priority="18" stopIfTrue="1" operator="greaterThan">
      <formula>0</formula>
    </cfRule>
  </conditionalFormatting>
  <conditionalFormatting sqref="F5:Q5">
    <cfRule type="cellIs" dxfId="15" priority="15" stopIfTrue="1" operator="lessThan">
      <formula>0</formula>
    </cfRule>
    <cfRule type="cellIs" dxfId="14" priority="16" stopIfTrue="1" operator="greaterThan">
      <formula>0</formula>
    </cfRule>
  </conditionalFormatting>
  <conditionalFormatting sqref="F5:Q5">
    <cfRule type="cellIs" dxfId="13" priority="13" stopIfTrue="1" operator="lessThan">
      <formula>0</formula>
    </cfRule>
    <cfRule type="cellIs" dxfId="12" priority="14" stopIfTrue="1" operator="greaterThan">
      <formula>0</formula>
    </cfRule>
  </conditionalFormatting>
  <conditionalFormatting sqref="H6:Q10 H12:Q21 Q11 K6:P11">
    <cfRule type="cellIs" dxfId="11" priority="11" stopIfTrue="1" operator="lessThan">
      <formula>0</formula>
    </cfRule>
    <cfRule type="cellIs" dxfId="10" priority="12" stopIfTrue="1" operator="greaterThan">
      <formula>0</formula>
    </cfRule>
  </conditionalFormatting>
  <conditionalFormatting sqref="H6:Q10 H12:Q21 Q11 K6:P11">
    <cfRule type="cellIs" dxfId="9" priority="9" stopIfTrue="1" operator="lessThan">
      <formula>0</formula>
    </cfRule>
    <cfRule type="cellIs" dxfId="8" priority="10" stopIfTrue="1" operator="greaterThan">
      <formula>0</formula>
    </cfRule>
  </conditionalFormatting>
  <conditionalFormatting sqref="H11:P11">
    <cfRule type="cellIs" dxfId="7" priority="7" stopIfTrue="1" operator="lessThan">
      <formula>0</formula>
    </cfRule>
    <cfRule type="cellIs" dxfId="6" priority="8" stopIfTrue="1" operator="greaterThan">
      <formula>0</formula>
    </cfRule>
  </conditionalFormatting>
  <conditionalFormatting sqref="H11:P11">
    <cfRule type="cellIs" dxfId="5" priority="5" stopIfTrue="1" operator="lessThan">
      <formula>0</formula>
    </cfRule>
    <cfRule type="cellIs" dxfId="4" priority="6" stopIfTrue="1" operator="greaterThan">
      <formula>0</formula>
    </cfRule>
  </conditionalFormatting>
  <conditionalFormatting sqref="E5">
    <cfRule type="cellIs" dxfId="3" priority="3" stopIfTrue="1" operator="lessThan">
      <formula>0</formula>
    </cfRule>
    <cfRule type="cellIs" dxfId="2" priority="4" stopIfTrue="1" operator="greaterThan">
      <formula>0</formula>
    </cfRule>
  </conditionalFormatting>
  <conditionalFormatting sqref="E5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8"/>
  <sheetViews>
    <sheetView topLeftCell="A331" workbookViewId="0">
      <selection activeCell="F336" sqref="F336"/>
    </sheetView>
  </sheetViews>
  <sheetFormatPr defaultRowHeight="15"/>
  <sheetData>
    <row r="1" spans="1:11" ht="104.25" thickBot="1">
      <c r="A1" s="9" t="s">
        <v>24</v>
      </c>
      <c r="B1" s="9" t="s">
        <v>25</v>
      </c>
      <c r="C1" s="10" t="s">
        <v>26</v>
      </c>
      <c r="D1" s="11"/>
      <c r="E1" s="12" t="s">
        <v>24</v>
      </c>
      <c r="F1" s="13" t="s">
        <v>27</v>
      </c>
      <c r="G1" s="11"/>
      <c r="H1" s="13" t="s">
        <v>24</v>
      </c>
      <c r="I1" s="13" t="s">
        <v>28</v>
      </c>
      <c r="J1" s="13" t="s">
        <v>29</v>
      </c>
    </row>
    <row r="2" spans="1:11" ht="33.75" thickBot="1">
      <c r="A2" s="14">
        <v>1</v>
      </c>
      <c r="B2" s="15" t="s">
        <v>30</v>
      </c>
      <c r="C2" s="16" t="s">
        <v>1144</v>
      </c>
      <c r="D2" s="17"/>
      <c r="E2" s="18">
        <v>1</v>
      </c>
      <c r="F2" s="15" t="s">
        <v>31</v>
      </c>
      <c r="G2" s="17"/>
      <c r="H2" s="19"/>
      <c r="I2" s="19"/>
      <c r="J2" s="19"/>
      <c r="K2" t="str">
        <f>LEFT(C2,LEN(C2)-1)</f>
        <v/>
      </c>
    </row>
    <row r="3" spans="1:11" ht="33.75" thickBot="1">
      <c r="A3" s="14">
        <v>2</v>
      </c>
      <c r="B3" s="15" t="s">
        <v>32</v>
      </c>
      <c r="C3" s="16" t="s">
        <v>1144</v>
      </c>
      <c r="D3" s="17"/>
      <c r="E3" s="18">
        <v>2</v>
      </c>
      <c r="F3" s="15" t="s">
        <v>33</v>
      </c>
      <c r="G3" s="17"/>
      <c r="H3" s="19"/>
      <c r="I3" s="19"/>
      <c r="J3" s="19"/>
      <c r="K3" t="str">
        <f t="shared" ref="K3:K66" si="0">LEFT(C3,LEN(C3)-1)</f>
        <v/>
      </c>
    </row>
    <row r="4" spans="1:11" ht="33.75" thickBot="1">
      <c r="A4" s="14">
        <v>3</v>
      </c>
      <c r="B4" s="15" t="s">
        <v>34</v>
      </c>
      <c r="C4" s="16" t="s">
        <v>1144</v>
      </c>
      <c r="D4" s="17"/>
      <c r="E4" s="18">
        <v>3</v>
      </c>
      <c r="F4" s="15" t="s">
        <v>35</v>
      </c>
      <c r="G4" s="17"/>
      <c r="H4" s="19"/>
      <c r="I4" s="19"/>
      <c r="J4" s="19"/>
      <c r="K4" t="str">
        <f t="shared" si="0"/>
        <v/>
      </c>
    </row>
    <row r="5" spans="1:11" ht="33.75" thickBot="1">
      <c r="A5" s="14">
        <v>4</v>
      </c>
      <c r="B5" s="15" t="s">
        <v>36</v>
      </c>
      <c r="C5" s="16" t="s">
        <v>1144</v>
      </c>
      <c r="D5" s="17"/>
      <c r="E5" s="18">
        <v>4</v>
      </c>
      <c r="F5" s="15" t="s">
        <v>37</v>
      </c>
      <c r="G5" s="17"/>
      <c r="H5" s="19"/>
      <c r="I5" s="19"/>
      <c r="J5" s="19"/>
      <c r="K5" t="str">
        <f t="shared" si="0"/>
        <v/>
      </c>
    </row>
    <row r="6" spans="1:11" ht="33.75" thickBot="1">
      <c r="A6" s="14">
        <v>5</v>
      </c>
      <c r="B6" s="15" t="s">
        <v>38</v>
      </c>
      <c r="C6" s="16" t="s">
        <v>1144</v>
      </c>
      <c r="D6" s="17"/>
      <c r="E6" s="18">
        <v>5</v>
      </c>
      <c r="F6" s="15" t="s">
        <v>39</v>
      </c>
      <c r="G6" s="17"/>
      <c r="H6" s="19"/>
      <c r="I6" s="19"/>
      <c r="J6" s="19"/>
      <c r="K6" t="str">
        <f t="shared" si="0"/>
        <v/>
      </c>
    </row>
    <row r="7" spans="1:11" ht="33.75" thickBot="1">
      <c r="A7" s="14">
        <v>6</v>
      </c>
      <c r="B7" s="15" t="s">
        <v>40</v>
      </c>
      <c r="C7" s="16" t="s">
        <v>1144</v>
      </c>
      <c r="D7" s="17"/>
      <c r="E7" s="18">
        <v>6</v>
      </c>
      <c r="F7" s="15" t="s">
        <v>41</v>
      </c>
      <c r="G7" s="17"/>
      <c r="H7" s="19"/>
      <c r="I7" s="19"/>
      <c r="J7" s="19"/>
      <c r="K7" t="str">
        <f t="shared" si="0"/>
        <v/>
      </c>
    </row>
    <row r="8" spans="1:11" ht="33.75" thickBot="1">
      <c r="A8" s="14">
        <v>7</v>
      </c>
      <c r="B8" s="15" t="s">
        <v>42</v>
      </c>
      <c r="C8" s="16" t="s">
        <v>1145</v>
      </c>
      <c r="D8" s="17"/>
      <c r="E8" s="18">
        <v>7</v>
      </c>
      <c r="F8" s="15" t="s">
        <v>43</v>
      </c>
      <c r="G8" s="17"/>
      <c r="H8" s="19"/>
      <c r="I8" s="19"/>
      <c r="J8" s="19"/>
      <c r="K8" t="str">
        <f t="shared" si="0"/>
        <v>1</v>
      </c>
    </row>
    <row r="9" spans="1:11" ht="33.75" thickBot="1">
      <c r="A9" s="14">
        <v>8</v>
      </c>
      <c r="B9" s="15" t="s">
        <v>44</v>
      </c>
      <c r="C9" s="16" t="s">
        <v>1144</v>
      </c>
      <c r="D9" s="17"/>
      <c r="E9" s="18">
        <v>8</v>
      </c>
      <c r="F9" s="15" t="s">
        <v>45</v>
      </c>
      <c r="G9" s="17"/>
      <c r="H9" s="19"/>
      <c r="I9" s="19"/>
      <c r="J9" s="19"/>
      <c r="K9" t="str">
        <f t="shared" si="0"/>
        <v/>
      </c>
    </row>
    <row r="10" spans="1:11" ht="33.75" thickBot="1">
      <c r="A10" s="14">
        <v>9</v>
      </c>
      <c r="B10" s="15" t="s">
        <v>46</v>
      </c>
      <c r="C10" s="16" t="s">
        <v>1146</v>
      </c>
      <c r="D10" s="17"/>
      <c r="E10" s="18">
        <v>9</v>
      </c>
      <c r="F10" s="15" t="s">
        <v>47</v>
      </c>
      <c r="G10" s="17"/>
      <c r="H10" s="19"/>
      <c r="I10" s="19"/>
      <c r="J10" s="19"/>
      <c r="K10" t="str">
        <f t="shared" si="0"/>
        <v/>
      </c>
    </row>
    <row r="11" spans="1:11" ht="33.75" thickBot="1">
      <c r="A11" s="14">
        <v>10</v>
      </c>
      <c r="B11" s="15" t="s">
        <v>48</v>
      </c>
      <c r="C11" s="16" t="s">
        <v>1144</v>
      </c>
      <c r="D11" s="17"/>
      <c r="E11" s="18">
        <v>10</v>
      </c>
      <c r="F11" s="15" t="s">
        <v>49</v>
      </c>
      <c r="G11" s="17"/>
      <c r="H11" s="19"/>
      <c r="I11" s="19"/>
      <c r="J11" s="19"/>
      <c r="K11" t="str">
        <f t="shared" si="0"/>
        <v/>
      </c>
    </row>
    <row r="12" spans="1:11" ht="50.25" thickBot="1">
      <c r="A12" s="14">
        <v>11</v>
      </c>
      <c r="B12" s="15" t="s">
        <v>50</v>
      </c>
      <c r="C12" s="16" t="s">
        <v>1144</v>
      </c>
      <c r="D12" s="17"/>
      <c r="E12" s="18">
        <v>11</v>
      </c>
      <c r="F12" s="15" t="s">
        <v>51</v>
      </c>
      <c r="G12" s="17"/>
      <c r="H12" s="19"/>
      <c r="I12" s="19"/>
      <c r="J12" s="19"/>
      <c r="K12" t="str">
        <f t="shared" si="0"/>
        <v/>
      </c>
    </row>
    <row r="13" spans="1:11" ht="50.25" thickBot="1">
      <c r="A13" s="14">
        <v>12</v>
      </c>
      <c r="B13" s="15" t="s">
        <v>52</v>
      </c>
      <c r="C13" s="16" t="s">
        <v>1146</v>
      </c>
      <c r="D13" s="17"/>
      <c r="E13" s="18">
        <v>12</v>
      </c>
      <c r="F13" s="15" t="s">
        <v>53</v>
      </c>
      <c r="G13" s="17"/>
      <c r="H13" s="19"/>
      <c r="I13" s="19"/>
      <c r="J13" s="19"/>
      <c r="K13" t="str">
        <f t="shared" si="0"/>
        <v/>
      </c>
    </row>
    <row r="14" spans="1:11" ht="50.25" thickBot="1">
      <c r="A14" s="14">
        <v>13</v>
      </c>
      <c r="B14" s="15" t="s">
        <v>54</v>
      </c>
      <c r="C14" s="16" t="s">
        <v>1147</v>
      </c>
      <c r="D14" s="17"/>
      <c r="E14" s="18">
        <v>13</v>
      </c>
      <c r="F14" s="15" t="s">
        <v>55</v>
      </c>
      <c r="G14" s="17"/>
      <c r="H14" s="19"/>
      <c r="I14" s="19"/>
      <c r="J14" s="19"/>
      <c r="K14" t="str">
        <f t="shared" si="0"/>
        <v/>
      </c>
    </row>
    <row r="15" spans="1:11" ht="33.75" thickBot="1">
      <c r="A15" s="14">
        <v>14</v>
      </c>
      <c r="B15" s="15" t="s">
        <v>56</v>
      </c>
      <c r="C15" s="16" t="s">
        <v>1144</v>
      </c>
      <c r="D15" s="17"/>
      <c r="E15" s="18">
        <v>14</v>
      </c>
      <c r="F15" s="15" t="s">
        <v>57</v>
      </c>
      <c r="G15" s="17"/>
      <c r="H15" s="19"/>
      <c r="I15" s="19"/>
      <c r="J15" s="19"/>
      <c r="K15" t="str">
        <f t="shared" si="0"/>
        <v/>
      </c>
    </row>
    <row r="16" spans="1:11" ht="50.25" thickBot="1">
      <c r="A16" s="14">
        <v>15</v>
      </c>
      <c r="B16" s="15" t="s">
        <v>58</v>
      </c>
      <c r="C16" s="16" t="s">
        <v>1146</v>
      </c>
      <c r="D16" s="17"/>
      <c r="E16" s="18">
        <v>15</v>
      </c>
      <c r="F16" s="15" t="s">
        <v>59</v>
      </c>
      <c r="G16" s="17"/>
      <c r="H16" s="19"/>
      <c r="I16" s="19"/>
      <c r="J16" s="19"/>
      <c r="K16" t="str">
        <f t="shared" si="0"/>
        <v/>
      </c>
    </row>
    <row r="17" spans="1:11" ht="50.25" thickBot="1">
      <c r="A17" s="14">
        <v>16</v>
      </c>
      <c r="B17" s="15" t="s">
        <v>60</v>
      </c>
      <c r="C17" s="16" t="s">
        <v>1144</v>
      </c>
      <c r="D17" s="17"/>
      <c r="E17" s="18">
        <v>16</v>
      </c>
      <c r="F17" s="15" t="s">
        <v>61</v>
      </c>
      <c r="G17" s="17"/>
      <c r="H17" s="19"/>
      <c r="I17" s="19"/>
      <c r="J17" s="19"/>
      <c r="K17" t="str">
        <f t="shared" si="0"/>
        <v/>
      </c>
    </row>
    <row r="18" spans="1:11" ht="33.75" thickBot="1">
      <c r="A18" s="14">
        <v>17</v>
      </c>
      <c r="B18" s="15" t="s">
        <v>62</v>
      </c>
      <c r="C18" s="16" t="s">
        <v>1144</v>
      </c>
      <c r="D18" s="17"/>
      <c r="E18" s="18">
        <v>17</v>
      </c>
      <c r="F18" s="15" t="s">
        <v>63</v>
      </c>
      <c r="G18" s="17"/>
      <c r="H18" s="19"/>
      <c r="I18" s="19"/>
      <c r="J18" s="19"/>
      <c r="K18" t="str">
        <f t="shared" si="0"/>
        <v/>
      </c>
    </row>
    <row r="19" spans="1:11" ht="33.75" thickBot="1">
      <c r="A19" s="14">
        <v>18</v>
      </c>
      <c r="B19" s="15" t="s">
        <v>64</v>
      </c>
      <c r="C19" s="16" t="s">
        <v>1144</v>
      </c>
      <c r="D19" s="17"/>
      <c r="E19" s="18">
        <v>18</v>
      </c>
      <c r="F19" s="15" t="s">
        <v>65</v>
      </c>
      <c r="G19" s="17"/>
      <c r="H19" s="19"/>
      <c r="I19" s="19"/>
      <c r="J19" s="19"/>
      <c r="K19" t="str">
        <f t="shared" si="0"/>
        <v/>
      </c>
    </row>
    <row r="20" spans="1:11" ht="33.75" thickBot="1">
      <c r="A20" s="14">
        <v>19</v>
      </c>
      <c r="B20" s="15" t="s">
        <v>66</v>
      </c>
      <c r="C20" s="16" t="s">
        <v>1146</v>
      </c>
      <c r="D20" s="17"/>
      <c r="E20" s="18">
        <v>19</v>
      </c>
      <c r="F20" s="15" t="s">
        <v>67</v>
      </c>
      <c r="G20" s="17"/>
      <c r="H20" s="19"/>
      <c r="I20" s="19"/>
      <c r="J20" s="19"/>
      <c r="K20" t="str">
        <f t="shared" si="0"/>
        <v/>
      </c>
    </row>
    <row r="21" spans="1:11" ht="33.75" thickBot="1">
      <c r="A21" s="14">
        <v>20</v>
      </c>
      <c r="B21" s="15" t="s">
        <v>68</v>
      </c>
      <c r="C21" s="16" t="s">
        <v>1144</v>
      </c>
      <c r="D21" s="17"/>
      <c r="E21" s="18">
        <v>20</v>
      </c>
      <c r="F21" s="15" t="s">
        <v>69</v>
      </c>
      <c r="G21" s="17"/>
      <c r="H21" s="19"/>
      <c r="I21" s="19"/>
      <c r="J21" s="19"/>
      <c r="K21" t="str">
        <f t="shared" si="0"/>
        <v/>
      </c>
    </row>
    <row r="22" spans="1:11" ht="33.75" thickBot="1">
      <c r="A22" s="14">
        <v>21</v>
      </c>
      <c r="B22" s="15" t="s">
        <v>70</v>
      </c>
      <c r="C22" s="16" t="s">
        <v>1144</v>
      </c>
      <c r="D22" s="17"/>
      <c r="E22" s="18">
        <v>21</v>
      </c>
      <c r="F22" s="15" t="s">
        <v>71</v>
      </c>
      <c r="G22" s="17"/>
      <c r="H22" s="19"/>
      <c r="I22" s="19"/>
      <c r="J22" s="19"/>
      <c r="K22" t="str">
        <f t="shared" si="0"/>
        <v/>
      </c>
    </row>
    <row r="23" spans="1:11" ht="50.25" thickBot="1">
      <c r="A23" s="14">
        <v>22</v>
      </c>
      <c r="B23" s="15" t="s">
        <v>72</v>
      </c>
      <c r="C23" s="16" t="s">
        <v>1145</v>
      </c>
      <c r="D23" s="17"/>
      <c r="E23" s="18">
        <v>22</v>
      </c>
      <c r="F23" s="15" t="s">
        <v>73</v>
      </c>
      <c r="G23" s="17"/>
      <c r="H23" s="19"/>
      <c r="I23" s="19"/>
      <c r="J23" s="19"/>
      <c r="K23" t="str">
        <f t="shared" si="0"/>
        <v>1</v>
      </c>
    </row>
    <row r="24" spans="1:11" ht="33.75" thickBot="1">
      <c r="A24" s="14">
        <v>23</v>
      </c>
      <c r="B24" s="15" t="s">
        <v>74</v>
      </c>
      <c r="C24" s="16" t="s">
        <v>1145</v>
      </c>
      <c r="D24" s="17"/>
      <c r="E24" s="18">
        <v>23</v>
      </c>
      <c r="F24" s="15" t="s">
        <v>75</v>
      </c>
      <c r="G24" s="17"/>
      <c r="H24" s="19"/>
      <c r="I24" s="19"/>
      <c r="J24" s="19"/>
      <c r="K24" t="str">
        <f t="shared" si="0"/>
        <v>1</v>
      </c>
    </row>
    <row r="25" spans="1:11" ht="50.25" thickBot="1">
      <c r="A25" s="14">
        <v>24</v>
      </c>
      <c r="B25" s="15" t="s">
        <v>76</v>
      </c>
      <c r="C25" s="16" t="s">
        <v>1144</v>
      </c>
      <c r="D25" s="17"/>
      <c r="E25" s="18">
        <v>24</v>
      </c>
      <c r="F25" s="15" t="s">
        <v>77</v>
      </c>
      <c r="G25" s="17"/>
      <c r="H25" s="19"/>
      <c r="I25" s="19"/>
      <c r="J25" s="19"/>
      <c r="K25" t="str">
        <f t="shared" si="0"/>
        <v/>
      </c>
    </row>
    <row r="26" spans="1:11" ht="33.75" thickBot="1">
      <c r="A26" s="14">
        <v>25</v>
      </c>
      <c r="B26" s="15" t="s">
        <v>78</v>
      </c>
      <c r="C26" s="16" t="s">
        <v>1144</v>
      </c>
      <c r="D26" s="17"/>
      <c r="E26" s="18">
        <v>25</v>
      </c>
      <c r="F26" s="15" t="s">
        <v>79</v>
      </c>
      <c r="G26" s="17"/>
      <c r="H26" s="19"/>
      <c r="I26" s="19"/>
      <c r="J26" s="19"/>
      <c r="K26" t="str">
        <f t="shared" si="0"/>
        <v/>
      </c>
    </row>
    <row r="27" spans="1:11" ht="50.25" thickBot="1">
      <c r="A27" s="14">
        <v>26</v>
      </c>
      <c r="B27" s="15" t="s">
        <v>80</v>
      </c>
      <c r="C27" s="16" t="s">
        <v>1146</v>
      </c>
      <c r="D27" s="17"/>
      <c r="E27" s="18">
        <v>26</v>
      </c>
      <c r="F27" s="15" t="s">
        <v>81</v>
      </c>
      <c r="G27" s="17"/>
      <c r="H27" s="19"/>
      <c r="I27" s="19"/>
      <c r="J27" s="19"/>
      <c r="K27" t="str">
        <f t="shared" si="0"/>
        <v/>
      </c>
    </row>
    <row r="28" spans="1:11" ht="33.75" thickBot="1">
      <c r="A28" s="14">
        <v>27</v>
      </c>
      <c r="B28" s="15" t="s">
        <v>82</v>
      </c>
      <c r="C28" s="16" t="s">
        <v>1144</v>
      </c>
      <c r="D28" s="17"/>
      <c r="E28" s="18">
        <v>27</v>
      </c>
      <c r="F28" s="15" t="s">
        <v>83</v>
      </c>
      <c r="G28" s="17"/>
      <c r="H28" s="19"/>
      <c r="I28" s="19"/>
      <c r="J28" s="19"/>
      <c r="K28" t="str">
        <f t="shared" si="0"/>
        <v/>
      </c>
    </row>
    <row r="29" spans="1:11" ht="50.25" thickBot="1">
      <c r="A29" s="14">
        <v>28</v>
      </c>
      <c r="B29" s="15" t="s">
        <v>84</v>
      </c>
      <c r="C29" s="16" t="s">
        <v>1145</v>
      </c>
      <c r="D29" s="17"/>
      <c r="E29" s="18">
        <v>28</v>
      </c>
      <c r="F29" s="15" t="s">
        <v>85</v>
      </c>
      <c r="G29" s="17"/>
      <c r="H29" s="19"/>
      <c r="I29" s="19"/>
      <c r="J29" s="19"/>
      <c r="K29" t="str">
        <f t="shared" si="0"/>
        <v>1</v>
      </c>
    </row>
    <row r="30" spans="1:11" ht="50.25" thickBot="1">
      <c r="A30" s="14">
        <v>29</v>
      </c>
      <c r="B30" s="15" t="s">
        <v>86</v>
      </c>
      <c r="C30" s="16" t="s">
        <v>1145</v>
      </c>
      <c r="D30" s="17"/>
      <c r="E30" s="18">
        <v>29</v>
      </c>
      <c r="F30" s="15" t="s">
        <v>87</v>
      </c>
      <c r="G30" s="17"/>
      <c r="H30" s="19"/>
      <c r="I30" s="19"/>
      <c r="J30" s="19"/>
      <c r="K30" t="str">
        <f t="shared" si="0"/>
        <v>1</v>
      </c>
    </row>
    <row r="31" spans="1:11" ht="33.75" thickBot="1">
      <c r="A31" s="14">
        <v>30</v>
      </c>
      <c r="B31" s="15" t="s">
        <v>88</v>
      </c>
      <c r="C31" s="16" t="s">
        <v>1146</v>
      </c>
      <c r="D31" s="17"/>
      <c r="E31" s="18">
        <v>30</v>
      </c>
      <c r="F31" s="15" t="s">
        <v>89</v>
      </c>
      <c r="G31" s="17"/>
      <c r="H31" s="19"/>
      <c r="I31" s="19"/>
      <c r="J31" s="19"/>
      <c r="K31" t="str">
        <f t="shared" si="0"/>
        <v/>
      </c>
    </row>
    <row r="32" spans="1:11" ht="33.75" thickBot="1">
      <c r="A32" s="14">
        <v>31</v>
      </c>
      <c r="B32" s="15" t="s">
        <v>90</v>
      </c>
      <c r="C32" s="16" t="s">
        <v>1144</v>
      </c>
      <c r="D32" s="17"/>
      <c r="E32" s="18">
        <v>31</v>
      </c>
      <c r="F32" s="15" t="s">
        <v>91</v>
      </c>
      <c r="G32" s="17"/>
      <c r="H32" s="19"/>
      <c r="I32" s="19"/>
      <c r="J32" s="19"/>
      <c r="K32" t="str">
        <f t="shared" si="0"/>
        <v/>
      </c>
    </row>
    <row r="33" spans="1:11" ht="50.25" thickBot="1">
      <c r="A33" s="14">
        <v>32</v>
      </c>
      <c r="B33" s="15" t="s">
        <v>92</v>
      </c>
      <c r="C33" s="16" t="s">
        <v>1144</v>
      </c>
      <c r="D33" s="17"/>
      <c r="E33" s="18">
        <v>32</v>
      </c>
      <c r="F33" s="15" t="s">
        <v>93</v>
      </c>
      <c r="G33" s="17"/>
      <c r="H33" s="19"/>
      <c r="I33" s="19"/>
      <c r="J33" s="19"/>
      <c r="K33" t="str">
        <f t="shared" si="0"/>
        <v/>
      </c>
    </row>
    <row r="34" spans="1:11" ht="33.75" thickBot="1">
      <c r="A34" s="14">
        <v>33</v>
      </c>
      <c r="B34" s="15" t="s">
        <v>94</v>
      </c>
      <c r="C34" s="16" t="s">
        <v>1145</v>
      </c>
      <c r="D34" s="17"/>
      <c r="E34" s="18">
        <v>33</v>
      </c>
      <c r="F34" s="15" t="s">
        <v>95</v>
      </c>
      <c r="G34" s="17"/>
      <c r="H34" s="19"/>
      <c r="I34" s="19"/>
      <c r="J34" s="19"/>
      <c r="K34" t="str">
        <f t="shared" si="0"/>
        <v>1</v>
      </c>
    </row>
    <row r="35" spans="1:11" ht="33.75" thickBot="1">
      <c r="A35" s="14">
        <v>34</v>
      </c>
      <c r="B35" s="15" t="s">
        <v>96</v>
      </c>
      <c r="C35" s="16" t="s">
        <v>1145</v>
      </c>
      <c r="D35" s="17"/>
      <c r="E35" s="18">
        <v>34</v>
      </c>
      <c r="F35" s="15" t="s">
        <v>97</v>
      </c>
      <c r="G35" s="17"/>
      <c r="H35" s="19"/>
      <c r="I35" s="19"/>
      <c r="J35" s="19"/>
      <c r="K35" t="str">
        <f t="shared" si="0"/>
        <v>1</v>
      </c>
    </row>
    <row r="36" spans="1:11" ht="33.75" thickBot="1">
      <c r="A36" s="14">
        <v>35</v>
      </c>
      <c r="B36" s="15" t="s">
        <v>98</v>
      </c>
      <c r="C36" s="16" t="s">
        <v>1144</v>
      </c>
      <c r="D36" s="17"/>
      <c r="E36" s="18">
        <v>35</v>
      </c>
      <c r="F36" s="15" t="s">
        <v>99</v>
      </c>
      <c r="G36" s="17"/>
      <c r="H36" s="19"/>
      <c r="I36" s="19"/>
      <c r="J36" s="19"/>
      <c r="K36" t="str">
        <f t="shared" si="0"/>
        <v/>
      </c>
    </row>
    <row r="37" spans="1:11" ht="33.75" thickBot="1">
      <c r="A37" s="14">
        <v>36</v>
      </c>
      <c r="B37" s="15" t="s">
        <v>100</v>
      </c>
      <c r="C37" s="16" t="s">
        <v>1144</v>
      </c>
      <c r="D37" s="17"/>
      <c r="E37" s="18">
        <v>36</v>
      </c>
      <c r="F37" s="15" t="s">
        <v>101</v>
      </c>
      <c r="G37" s="17"/>
      <c r="H37" s="19"/>
      <c r="I37" s="19"/>
      <c r="J37" s="19"/>
      <c r="K37" t="str">
        <f t="shared" si="0"/>
        <v/>
      </c>
    </row>
    <row r="38" spans="1:11" ht="33.75" thickBot="1">
      <c r="A38" s="14">
        <v>37</v>
      </c>
      <c r="B38" s="15" t="s">
        <v>102</v>
      </c>
      <c r="C38" s="16" t="s">
        <v>1144</v>
      </c>
      <c r="D38" s="17"/>
      <c r="E38" s="18">
        <v>37</v>
      </c>
      <c r="F38" s="15" t="s">
        <v>103</v>
      </c>
      <c r="G38" s="17"/>
      <c r="H38" s="19"/>
      <c r="I38" s="19"/>
      <c r="J38" s="19"/>
      <c r="K38" t="str">
        <f t="shared" si="0"/>
        <v/>
      </c>
    </row>
    <row r="39" spans="1:11" ht="33.75" thickBot="1">
      <c r="A39" s="14">
        <v>38</v>
      </c>
      <c r="B39" s="15" t="s">
        <v>104</v>
      </c>
      <c r="C39" s="16" t="s">
        <v>1144</v>
      </c>
      <c r="D39" s="17"/>
      <c r="E39" s="18">
        <v>38</v>
      </c>
      <c r="F39" s="15" t="s">
        <v>105</v>
      </c>
      <c r="G39" s="17"/>
      <c r="H39" s="19"/>
      <c r="I39" s="19"/>
      <c r="J39" s="19"/>
      <c r="K39" t="str">
        <f t="shared" si="0"/>
        <v/>
      </c>
    </row>
    <row r="40" spans="1:11" ht="50.25" thickBot="1">
      <c r="A40" s="14">
        <v>39</v>
      </c>
      <c r="B40" s="15" t="s">
        <v>106</v>
      </c>
      <c r="C40" s="16" t="s">
        <v>1145</v>
      </c>
      <c r="D40" s="17"/>
      <c r="E40" s="18">
        <v>39</v>
      </c>
      <c r="F40" s="15" t="s">
        <v>107</v>
      </c>
      <c r="G40" s="17"/>
      <c r="H40" s="19"/>
      <c r="I40" s="19"/>
      <c r="J40" s="19"/>
      <c r="K40" t="str">
        <f t="shared" si="0"/>
        <v>1</v>
      </c>
    </row>
    <row r="41" spans="1:11" ht="33.75" thickBot="1">
      <c r="A41" s="14">
        <v>40</v>
      </c>
      <c r="B41" s="15" t="s">
        <v>108</v>
      </c>
      <c r="C41" s="16" t="s">
        <v>1144</v>
      </c>
      <c r="D41" s="17"/>
      <c r="E41" s="18">
        <v>40</v>
      </c>
      <c r="F41" s="15" t="s">
        <v>109</v>
      </c>
      <c r="G41" s="17"/>
      <c r="H41" s="19"/>
      <c r="I41" s="19"/>
      <c r="J41" s="19"/>
      <c r="K41" t="str">
        <f t="shared" si="0"/>
        <v/>
      </c>
    </row>
    <row r="42" spans="1:11" ht="33.75" thickBot="1">
      <c r="A42" s="14">
        <v>41</v>
      </c>
      <c r="B42" s="15" t="s">
        <v>110</v>
      </c>
      <c r="C42" s="16" t="s">
        <v>1144</v>
      </c>
      <c r="D42" s="17"/>
      <c r="E42" s="18">
        <v>41</v>
      </c>
      <c r="F42" s="15" t="s">
        <v>111</v>
      </c>
      <c r="G42" s="17"/>
      <c r="H42" s="19"/>
      <c r="I42" s="19"/>
      <c r="J42" s="19"/>
      <c r="K42" t="str">
        <f t="shared" si="0"/>
        <v/>
      </c>
    </row>
    <row r="43" spans="1:11" ht="33.75" thickBot="1">
      <c r="A43" s="14">
        <v>42</v>
      </c>
      <c r="B43" s="15" t="s">
        <v>112</v>
      </c>
      <c r="C43" s="16" t="s">
        <v>1145</v>
      </c>
      <c r="D43" s="17"/>
      <c r="E43" s="18">
        <v>42</v>
      </c>
      <c r="F43" s="15" t="s">
        <v>113</v>
      </c>
      <c r="G43" s="17"/>
      <c r="H43" s="19"/>
      <c r="I43" s="19"/>
      <c r="J43" s="19"/>
      <c r="K43" t="str">
        <f t="shared" si="0"/>
        <v>1</v>
      </c>
    </row>
    <row r="44" spans="1:11" ht="33.75" thickBot="1">
      <c r="A44" s="14">
        <v>43</v>
      </c>
      <c r="B44" s="15" t="s">
        <v>114</v>
      </c>
      <c r="C44" s="16" t="s">
        <v>1144</v>
      </c>
      <c r="D44" s="17"/>
      <c r="E44" s="18">
        <v>43</v>
      </c>
      <c r="F44" s="15" t="s">
        <v>115</v>
      </c>
      <c r="G44" s="17"/>
      <c r="H44" s="19"/>
      <c r="I44" s="19"/>
      <c r="J44" s="19"/>
      <c r="K44" t="str">
        <f t="shared" si="0"/>
        <v/>
      </c>
    </row>
    <row r="45" spans="1:11" ht="50.25" thickBot="1">
      <c r="A45" s="14">
        <v>44</v>
      </c>
      <c r="B45" s="15" t="s">
        <v>116</v>
      </c>
      <c r="C45" s="16" t="s">
        <v>1145</v>
      </c>
      <c r="D45" s="17"/>
      <c r="E45" s="18">
        <v>44</v>
      </c>
      <c r="F45" s="15" t="s">
        <v>117</v>
      </c>
      <c r="G45" s="17"/>
      <c r="H45" s="19"/>
      <c r="I45" s="19"/>
      <c r="J45" s="19"/>
      <c r="K45" t="str">
        <f t="shared" si="0"/>
        <v>1</v>
      </c>
    </row>
    <row r="46" spans="1:11" ht="33.75" thickBot="1">
      <c r="A46" s="14">
        <v>45</v>
      </c>
      <c r="B46" s="15" t="s">
        <v>118</v>
      </c>
      <c r="C46" s="16" t="s">
        <v>1144</v>
      </c>
      <c r="D46" s="17"/>
      <c r="E46" s="18">
        <v>45</v>
      </c>
      <c r="F46" s="15" t="s">
        <v>119</v>
      </c>
      <c r="G46" s="17"/>
      <c r="H46" s="19"/>
      <c r="I46" s="19"/>
      <c r="J46" s="19"/>
      <c r="K46" t="str">
        <f t="shared" si="0"/>
        <v/>
      </c>
    </row>
    <row r="47" spans="1:11" ht="33.75" thickBot="1">
      <c r="A47" s="14">
        <v>46</v>
      </c>
      <c r="B47" s="15" t="s">
        <v>120</v>
      </c>
      <c r="C47" s="16" t="s">
        <v>1144</v>
      </c>
      <c r="D47" s="17"/>
      <c r="E47" s="18">
        <v>46</v>
      </c>
      <c r="F47" s="15" t="s">
        <v>121</v>
      </c>
      <c r="G47" s="17"/>
      <c r="H47" s="19"/>
      <c r="I47" s="19"/>
      <c r="J47" s="19"/>
      <c r="K47" t="str">
        <f t="shared" si="0"/>
        <v/>
      </c>
    </row>
    <row r="48" spans="1:11" ht="33.75" thickBot="1">
      <c r="A48" s="14">
        <v>47</v>
      </c>
      <c r="B48" s="15" t="s">
        <v>122</v>
      </c>
      <c r="C48" s="16" t="s">
        <v>1146</v>
      </c>
      <c r="D48" s="17"/>
      <c r="E48" s="18">
        <v>47</v>
      </c>
      <c r="F48" s="15" t="s">
        <v>123</v>
      </c>
      <c r="G48" s="17"/>
      <c r="H48" s="19"/>
      <c r="I48" s="19"/>
      <c r="J48" s="19"/>
      <c r="K48" t="str">
        <f t="shared" si="0"/>
        <v/>
      </c>
    </row>
    <row r="49" spans="1:11" ht="33.75" thickBot="1">
      <c r="A49" s="14">
        <v>48</v>
      </c>
      <c r="B49" s="15" t="s">
        <v>124</v>
      </c>
      <c r="C49" s="16" t="s">
        <v>1144</v>
      </c>
      <c r="D49" s="17"/>
      <c r="E49" s="18">
        <v>48</v>
      </c>
      <c r="F49" s="15" t="s">
        <v>125</v>
      </c>
      <c r="G49" s="17"/>
      <c r="H49" s="19"/>
      <c r="I49" s="19"/>
      <c r="J49" s="19"/>
      <c r="K49" t="str">
        <f t="shared" si="0"/>
        <v/>
      </c>
    </row>
    <row r="50" spans="1:11" ht="50.25" thickBot="1">
      <c r="A50" s="14">
        <v>49</v>
      </c>
      <c r="B50" s="15" t="s">
        <v>126</v>
      </c>
      <c r="C50" s="16" t="s">
        <v>1144</v>
      </c>
      <c r="D50" s="17"/>
      <c r="E50" s="18">
        <v>49</v>
      </c>
      <c r="F50" s="15" t="s">
        <v>127</v>
      </c>
      <c r="G50" s="17"/>
      <c r="H50" s="19"/>
      <c r="I50" s="19"/>
      <c r="J50" s="19"/>
      <c r="K50" t="str">
        <f t="shared" si="0"/>
        <v/>
      </c>
    </row>
    <row r="51" spans="1:11" ht="33.75" thickBot="1">
      <c r="A51" s="14">
        <v>50</v>
      </c>
      <c r="B51" s="15" t="s">
        <v>128</v>
      </c>
      <c r="C51" s="16" t="s">
        <v>1147</v>
      </c>
      <c r="D51" s="17"/>
      <c r="E51" s="18">
        <v>50</v>
      </c>
      <c r="F51" s="15" t="s">
        <v>129</v>
      </c>
      <c r="G51" s="17"/>
      <c r="H51" s="19"/>
      <c r="I51" s="19"/>
      <c r="J51" s="19"/>
      <c r="K51" t="str">
        <f t="shared" si="0"/>
        <v/>
      </c>
    </row>
    <row r="52" spans="1:11" ht="33.75" thickBot="1">
      <c r="A52" s="14">
        <v>51</v>
      </c>
      <c r="B52" s="15" t="s">
        <v>130</v>
      </c>
      <c r="C52" s="16" t="s">
        <v>1145</v>
      </c>
      <c r="D52" s="17"/>
      <c r="E52" s="18">
        <v>51</v>
      </c>
      <c r="F52" s="15" t="s">
        <v>131</v>
      </c>
      <c r="G52" s="17"/>
      <c r="H52" s="19"/>
      <c r="I52" s="19"/>
      <c r="J52" s="19"/>
      <c r="K52" t="str">
        <f t="shared" si="0"/>
        <v>1</v>
      </c>
    </row>
    <row r="53" spans="1:11" ht="33.75" thickBot="1">
      <c r="A53" s="14">
        <v>52</v>
      </c>
      <c r="B53" s="15" t="s">
        <v>132</v>
      </c>
      <c r="C53" s="16" t="s">
        <v>1144</v>
      </c>
      <c r="D53" s="17"/>
      <c r="E53" s="18">
        <v>52</v>
      </c>
      <c r="F53" s="15" t="s">
        <v>133</v>
      </c>
      <c r="G53" s="17"/>
      <c r="H53" s="19"/>
      <c r="I53" s="19"/>
      <c r="J53" s="19"/>
      <c r="K53" t="str">
        <f t="shared" si="0"/>
        <v/>
      </c>
    </row>
    <row r="54" spans="1:11" ht="33.75" thickBot="1">
      <c r="A54" s="14">
        <v>53</v>
      </c>
      <c r="B54" s="15" t="s">
        <v>134</v>
      </c>
      <c r="C54" s="16" t="s">
        <v>1144</v>
      </c>
      <c r="D54" s="17"/>
      <c r="E54" s="18">
        <v>53</v>
      </c>
      <c r="F54" s="15" t="s">
        <v>135</v>
      </c>
      <c r="G54" s="17"/>
      <c r="H54" s="19"/>
      <c r="I54" s="19"/>
      <c r="J54" s="19"/>
      <c r="K54" t="str">
        <f t="shared" si="0"/>
        <v/>
      </c>
    </row>
    <row r="55" spans="1:11" ht="50.25" thickBot="1">
      <c r="A55" s="14">
        <v>54</v>
      </c>
      <c r="B55" s="15" t="s">
        <v>136</v>
      </c>
      <c r="C55" s="16" t="s">
        <v>1145</v>
      </c>
      <c r="D55" s="17"/>
      <c r="E55" s="18">
        <v>54</v>
      </c>
      <c r="F55" s="15" t="s">
        <v>137</v>
      </c>
      <c r="G55" s="17"/>
      <c r="H55" s="19"/>
      <c r="I55" s="19"/>
      <c r="J55" s="19"/>
      <c r="K55" t="str">
        <f t="shared" si="0"/>
        <v>1</v>
      </c>
    </row>
    <row r="56" spans="1:11" ht="33.75" thickBot="1">
      <c r="A56" s="14">
        <v>55</v>
      </c>
      <c r="B56" s="15" t="s">
        <v>138</v>
      </c>
      <c r="C56" s="16" t="s">
        <v>1148</v>
      </c>
      <c r="D56" s="17"/>
      <c r="E56" s="18">
        <v>55</v>
      </c>
      <c r="F56" s="15" t="s">
        <v>139</v>
      </c>
      <c r="G56" s="17"/>
      <c r="H56" s="19"/>
      <c r="I56" s="19"/>
      <c r="J56" s="19"/>
      <c r="K56" t="str">
        <f t="shared" si="0"/>
        <v>1</v>
      </c>
    </row>
    <row r="57" spans="1:11" ht="33.75" thickBot="1">
      <c r="A57" s="14">
        <v>56</v>
      </c>
      <c r="B57" s="15" t="s">
        <v>140</v>
      </c>
      <c r="C57" s="16" t="s">
        <v>1145</v>
      </c>
      <c r="D57" s="17"/>
      <c r="E57" s="18">
        <v>56</v>
      </c>
      <c r="F57" s="15" t="s">
        <v>141</v>
      </c>
      <c r="G57" s="17"/>
      <c r="H57" s="19"/>
      <c r="I57" s="19"/>
      <c r="J57" s="19"/>
      <c r="K57" t="str">
        <f t="shared" si="0"/>
        <v>1</v>
      </c>
    </row>
    <row r="58" spans="1:11" ht="33.75" thickBot="1">
      <c r="A58" s="14">
        <v>57</v>
      </c>
      <c r="B58" s="15" t="s">
        <v>142</v>
      </c>
      <c r="C58" s="16" t="s">
        <v>1145</v>
      </c>
      <c r="D58" s="17"/>
      <c r="E58" s="18">
        <v>57</v>
      </c>
      <c r="F58" s="15" t="s">
        <v>143</v>
      </c>
      <c r="G58" s="17"/>
      <c r="H58" s="19"/>
      <c r="I58" s="19"/>
      <c r="J58" s="19"/>
      <c r="K58" t="str">
        <f t="shared" si="0"/>
        <v>1</v>
      </c>
    </row>
    <row r="59" spans="1:11" ht="33.75" thickBot="1">
      <c r="A59" s="14">
        <v>58</v>
      </c>
      <c r="B59" s="15" t="s">
        <v>144</v>
      </c>
      <c r="C59" s="16" t="s">
        <v>1144</v>
      </c>
      <c r="D59" s="17"/>
      <c r="E59" s="18">
        <v>58</v>
      </c>
      <c r="F59" s="15" t="s">
        <v>145</v>
      </c>
      <c r="G59" s="17"/>
      <c r="H59" s="19"/>
      <c r="I59" s="19"/>
      <c r="J59" s="19"/>
      <c r="K59" t="str">
        <f t="shared" si="0"/>
        <v/>
      </c>
    </row>
    <row r="60" spans="1:11" ht="17.25" thickBot="1">
      <c r="A60" s="14">
        <v>59</v>
      </c>
      <c r="B60" s="15" t="s">
        <v>146</v>
      </c>
      <c r="C60" s="16" t="s">
        <v>1145</v>
      </c>
      <c r="D60" s="17"/>
      <c r="E60" s="18">
        <v>59</v>
      </c>
      <c r="F60" s="15" t="s">
        <v>147</v>
      </c>
      <c r="G60" s="17"/>
      <c r="H60" s="19"/>
      <c r="I60" s="19"/>
      <c r="J60" s="19"/>
      <c r="K60" t="str">
        <f t="shared" si="0"/>
        <v>1</v>
      </c>
    </row>
    <row r="61" spans="1:11" ht="33.75" thickBot="1">
      <c r="A61" s="14">
        <v>60</v>
      </c>
      <c r="B61" s="15" t="s">
        <v>148</v>
      </c>
      <c r="C61" s="16" t="s">
        <v>1145</v>
      </c>
      <c r="D61" s="17"/>
      <c r="E61" s="18">
        <v>60</v>
      </c>
      <c r="F61" s="15" t="s">
        <v>149</v>
      </c>
      <c r="G61" s="17"/>
      <c r="H61" s="19"/>
      <c r="I61" s="19"/>
      <c r="J61" s="19"/>
      <c r="K61" t="str">
        <f t="shared" si="0"/>
        <v>1</v>
      </c>
    </row>
    <row r="62" spans="1:11" ht="33.75" thickBot="1">
      <c r="A62" s="14">
        <v>61</v>
      </c>
      <c r="B62" s="15" t="s">
        <v>150</v>
      </c>
      <c r="C62" s="16" t="s">
        <v>1146</v>
      </c>
      <c r="D62" s="17"/>
      <c r="E62" s="18">
        <v>61</v>
      </c>
      <c r="F62" s="15" t="s">
        <v>151</v>
      </c>
      <c r="G62" s="17"/>
      <c r="H62" s="19"/>
      <c r="I62" s="19"/>
      <c r="J62" s="19"/>
      <c r="K62" t="str">
        <f t="shared" si="0"/>
        <v/>
      </c>
    </row>
    <row r="63" spans="1:11" ht="33.75" thickBot="1">
      <c r="A63" s="14">
        <v>62</v>
      </c>
      <c r="B63" s="15" t="s">
        <v>152</v>
      </c>
      <c r="C63" s="16" t="s">
        <v>1144</v>
      </c>
      <c r="D63" s="17"/>
      <c r="E63" s="18">
        <v>62</v>
      </c>
      <c r="F63" s="15" t="s">
        <v>153</v>
      </c>
      <c r="G63" s="17"/>
      <c r="H63" s="19"/>
      <c r="I63" s="19"/>
      <c r="J63" s="19"/>
      <c r="K63" t="str">
        <f t="shared" si="0"/>
        <v/>
      </c>
    </row>
    <row r="64" spans="1:11" ht="33.75" thickBot="1">
      <c r="A64" s="14">
        <v>63</v>
      </c>
      <c r="B64" s="15" t="s">
        <v>154</v>
      </c>
      <c r="C64" s="16" t="s">
        <v>1144</v>
      </c>
      <c r="D64" s="17"/>
      <c r="E64" s="18">
        <v>63</v>
      </c>
      <c r="F64" s="15" t="s">
        <v>155</v>
      </c>
      <c r="G64" s="17"/>
      <c r="H64" s="19"/>
      <c r="I64" s="19"/>
      <c r="J64" s="19"/>
      <c r="K64" t="str">
        <f t="shared" si="0"/>
        <v/>
      </c>
    </row>
    <row r="65" spans="1:11" ht="33.75" thickBot="1">
      <c r="A65" s="14">
        <v>64</v>
      </c>
      <c r="B65" s="15" t="s">
        <v>156</v>
      </c>
      <c r="C65" s="16" t="s">
        <v>1144</v>
      </c>
      <c r="D65" s="17"/>
      <c r="E65" s="18">
        <v>64</v>
      </c>
      <c r="F65" s="15" t="s">
        <v>157</v>
      </c>
      <c r="G65" s="17"/>
      <c r="H65" s="19"/>
      <c r="I65" s="19"/>
      <c r="J65" s="19"/>
      <c r="K65" t="str">
        <f t="shared" si="0"/>
        <v/>
      </c>
    </row>
    <row r="66" spans="1:11" ht="33.75" thickBot="1">
      <c r="A66" s="14">
        <v>65</v>
      </c>
      <c r="B66" s="15" t="s">
        <v>158</v>
      </c>
      <c r="C66" s="16" t="s">
        <v>1144</v>
      </c>
      <c r="D66" s="17"/>
      <c r="E66" s="18">
        <v>65</v>
      </c>
      <c r="F66" s="15" t="s">
        <v>159</v>
      </c>
      <c r="G66" s="17"/>
      <c r="H66" s="19"/>
      <c r="I66" s="19"/>
      <c r="J66" s="19"/>
      <c r="K66" t="str">
        <f t="shared" si="0"/>
        <v/>
      </c>
    </row>
    <row r="67" spans="1:11" ht="33.75" thickBot="1">
      <c r="A67" s="14">
        <v>66</v>
      </c>
      <c r="B67" s="15" t="s">
        <v>160</v>
      </c>
      <c r="C67" s="16" t="s">
        <v>1145</v>
      </c>
      <c r="D67" s="17"/>
      <c r="E67" s="18">
        <v>66</v>
      </c>
      <c r="F67" s="15" t="s">
        <v>161</v>
      </c>
      <c r="G67" s="17"/>
      <c r="H67" s="19"/>
      <c r="I67" s="19"/>
      <c r="J67" s="19"/>
      <c r="K67" t="str">
        <f t="shared" ref="K67:K130" si="1">LEFT(C67,LEN(C67)-1)</f>
        <v>1</v>
      </c>
    </row>
    <row r="68" spans="1:11" ht="50.25" thickBot="1">
      <c r="A68" s="14">
        <v>67</v>
      </c>
      <c r="B68" s="15" t="s">
        <v>162</v>
      </c>
      <c r="C68" s="16" t="s">
        <v>1145</v>
      </c>
      <c r="D68" s="17"/>
      <c r="E68" s="18">
        <v>67</v>
      </c>
      <c r="F68" s="15" t="s">
        <v>163</v>
      </c>
      <c r="G68" s="17"/>
      <c r="H68" s="19"/>
      <c r="I68" s="19"/>
      <c r="J68" s="19"/>
      <c r="K68" t="str">
        <f t="shared" si="1"/>
        <v>1</v>
      </c>
    </row>
    <row r="69" spans="1:11" ht="50.25" thickBot="1">
      <c r="A69" s="14">
        <v>68</v>
      </c>
      <c r="B69" s="15" t="s">
        <v>164</v>
      </c>
      <c r="C69" s="16" t="s">
        <v>1145</v>
      </c>
      <c r="D69" s="17"/>
      <c r="E69" s="18">
        <v>68</v>
      </c>
      <c r="F69" s="15" t="s">
        <v>165</v>
      </c>
      <c r="G69" s="17"/>
      <c r="H69" s="19"/>
      <c r="I69" s="19"/>
      <c r="J69" s="19"/>
      <c r="K69" t="str">
        <f t="shared" si="1"/>
        <v>1</v>
      </c>
    </row>
    <row r="70" spans="1:11" ht="33.75" thickBot="1">
      <c r="A70" s="14">
        <v>69</v>
      </c>
      <c r="B70" s="15" t="s">
        <v>166</v>
      </c>
      <c r="C70" s="16" t="s">
        <v>1145</v>
      </c>
      <c r="D70" s="17"/>
      <c r="E70" s="18">
        <v>69</v>
      </c>
      <c r="F70" s="15" t="s">
        <v>167</v>
      </c>
      <c r="G70" s="17"/>
      <c r="H70" s="19"/>
      <c r="I70" s="19"/>
      <c r="J70" s="19"/>
      <c r="K70" t="str">
        <f t="shared" si="1"/>
        <v>1</v>
      </c>
    </row>
    <row r="71" spans="1:11" ht="33.75" thickBot="1">
      <c r="A71" s="14">
        <v>70</v>
      </c>
      <c r="B71" s="15" t="s">
        <v>168</v>
      </c>
      <c r="C71" s="16" t="s">
        <v>1144</v>
      </c>
      <c r="D71" s="17"/>
      <c r="E71" s="18">
        <v>70</v>
      </c>
      <c r="F71" s="15" t="s">
        <v>169</v>
      </c>
      <c r="G71" s="17"/>
      <c r="H71" s="19"/>
      <c r="I71" s="19"/>
      <c r="J71" s="19"/>
      <c r="K71" t="str">
        <f t="shared" si="1"/>
        <v/>
      </c>
    </row>
    <row r="72" spans="1:11" ht="33.75" thickBot="1">
      <c r="A72" s="14">
        <v>71</v>
      </c>
      <c r="B72" s="15" t="s">
        <v>170</v>
      </c>
      <c r="C72" s="16" t="s">
        <v>1145</v>
      </c>
      <c r="D72" s="17"/>
      <c r="E72" s="18">
        <v>71</v>
      </c>
      <c r="F72" s="15" t="s">
        <v>171</v>
      </c>
      <c r="G72" s="17"/>
      <c r="H72" s="19"/>
      <c r="I72" s="19"/>
      <c r="J72" s="19"/>
      <c r="K72" t="str">
        <f t="shared" si="1"/>
        <v>1</v>
      </c>
    </row>
    <row r="73" spans="1:11" ht="33.75" thickBot="1">
      <c r="A73" s="14">
        <v>72</v>
      </c>
      <c r="B73" s="15" t="s">
        <v>172</v>
      </c>
      <c r="C73" s="16" t="s">
        <v>1144</v>
      </c>
      <c r="D73" s="17"/>
      <c r="E73" s="18">
        <v>72</v>
      </c>
      <c r="F73" s="15" t="s">
        <v>173</v>
      </c>
      <c r="G73" s="17"/>
      <c r="H73" s="19"/>
      <c r="I73" s="19"/>
      <c r="J73" s="19"/>
      <c r="K73" t="str">
        <f t="shared" si="1"/>
        <v/>
      </c>
    </row>
    <row r="74" spans="1:11" ht="33.75" thickBot="1">
      <c r="A74" s="14">
        <v>73</v>
      </c>
      <c r="B74" s="15" t="s">
        <v>174</v>
      </c>
      <c r="C74" s="16" t="s">
        <v>1144</v>
      </c>
      <c r="D74" s="17"/>
      <c r="E74" s="18">
        <v>73</v>
      </c>
      <c r="F74" s="15" t="s">
        <v>175</v>
      </c>
      <c r="G74" s="17"/>
      <c r="H74" s="19"/>
      <c r="I74" s="19"/>
      <c r="J74" s="19"/>
      <c r="K74" t="str">
        <f t="shared" si="1"/>
        <v/>
      </c>
    </row>
    <row r="75" spans="1:11" ht="33.75" thickBot="1">
      <c r="A75" s="14">
        <v>74</v>
      </c>
      <c r="B75" s="15" t="s">
        <v>176</v>
      </c>
      <c r="C75" s="16" t="s">
        <v>1144</v>
      </c>
      <c r="D75" s="17"/>
      <c r="E75" s="18">
        <v>74</v>
      </c>
      <c r="F75" s="15" t="s">
        <v>177</v>
      </c>
      <c r="G75" s="17"/>
      <c r="H75" s="19"/>
      <c r="I75" s="19"/>
      <c r="J75" s="19"/>
      <c r="K75" t="str">
        <f t="shared" si="1"/>
        <v/>
      </c>
    </row>
    <row r="76" spans="1:11" ht="33.75" thickBot="1">
      <c r="A76" s="14">
        <v>75</v>
      </c>
      <c r="B76" s="15" t="s">
        <v>178</v>
      </c>
      <c r="C76" s="16" t="s">
        <v>1144</v>
      </c>
      <c r="D76" s="17"/>
      <c r="E76" s="18">
        <v>75</v>
      </c>
      <c r="F76" s="15" t="s">
        <v>179</v>
      </c>
      <c r="G76" s="17"/>
      <c r="H76" s="19"/>
      <c r="I76" s="19"/>
      <c r="J76" s="19"/>
      <c r="K76" t="str">
        <f t="shared" si="1"/>
        <v/>
      </c>
    </row>
    <row r="77" spans="1:11" ht="33.75" thickBot="1">
      <c r="A77" s="14">
        <v>76</v>
      </c>
      <c r="B77" s="15" t="s">
        <v>180</v>
      </c>
      <c r="C77" s="16" t="s">
        <v>1145</v>
      </c>
      <c r="D77" s="17"/>
      <c r="E77" s="18">
        <v>76</v>
      </c>
      <c r="F77" s="15" t="s">
        <v>181</v>
      </c>
      <c r="G77" s="17"/>
      <c r="H77" s="19"/>
      <c r="I77" s="19"/>
      <c r="J77" s="19"/>
      <c r="K77" t="str">
        <f t="shared" si="1"/>
        <v>1</v>
      </c>
    </row>
    <row r="78" spans="1:11" ht="33.75" thickBot="1">
      <c r="A78" s="14">
        <v>77</v>
      </c>
      <c r="B78" s="15" t="s">
        <v>182</v>
      </c>
      <c r="C78" s="16" t="s">
        <v>1146</v>
      </c>
      <c r="D78" s="17"/>
      <c r="E78" s="18">
        <v>77</v>
      </c>
      <c r="F78" s="15" t="s">
        <v>183</v>
      </c>
      <c r="G78" s="17"/>
      <c r="H78" s="19"/>
      <c r="I78" s="19"/>
      <c r="J78" s="19"/>
      <c r="K78" t="str">
        <f t="shared" si="1"/>
        <v/>
      </c>
    </row>
    <row r="79" spans="1:11" ht="33.75" thickBot="1">
      <c r="A79" s="14">
        <v>78</v>
      </c>
      <c r="B79" s="15" t="s">
        <v>184</v>
      </c>
      <c r="C79" s="16" t="s">
        <v>1144</v>
      </c>
      <c r="D79" s="17"/>
      <c r="E79" s="18">
        <v>78</v>
      </c>
      <c r="F79" s="15" t="s">
        <v>185</v>
      </c>
      <c r="G79" s="17"/>
      <c r="H79" s="19"/>
      <c r="I79" s="19"/>
      <c r="J79" s="19"/>
      <c r="K79" t="str">
        <f t="shared" si="1"/>
        <v/>
      </c>
    </row>
    <row r="80" spans="1:11" ht="33.75" thickBot="1">
      <c r="A80" s="14">
        <v>79</v>
      </c>
      <c r="B80" s="15" t="s">
        <v>186</v>
      </c>
      <c r="C80" s="16" t="s">
        <v>1145</v>
      </c>
      <c r="D80" s="17"/>
      <c r="E80" s="18">
        <v>79</v>
      </c>
      <c r="F80" s="15" t="s">
        <v>187</v>
      </c>
      <c r="G80" s="17"/>
      <c r="H80" s="19"/>
      <c r="I80" s="19"/>
      <c r="J80" s="19"/>
      <c r="K80" t="str">
        <f t="shared" si="1"/>
        <v>1</v>
      </c>
    </row>
    <row r="81" spans="1:11" ht="33.75" thickBot="1">
      <c r="A81" s="14">
        <v>80</v>
      </c>
      <c r="B81" s="15" t="s">
        <v>188</v>
      </c>
      <c r="C81" s="16" t="s">
        <v>1144</v>
      </c>
      <c r="D81" s="17"/>
      <c r="E81" s="18">
        <v>80</v>
      </c>
      <c r="F81" s="15" t="s">
        <v>189</v>
      </c>
      <c r="G81" s="17"/>
      <c r="H81" s="19"/>
      <c r="I81" s="19"/>
      <c r="J81" s="19"/>
      <c r="K81" t="str">
        <f t="shared" si="1"/>
        <v/>
      </c>
    </row>
    <row r="82" spans="1:11" ht="33.75" thickBot="1">
      <c r="A82" s="14">
        <v>81</v>
      </c>
      <c r="B82" s="15" t="s">
        <v>190</v>
      </c>
      <c r="C82" s="16" t="s">
        <v>1145</v>
      </c>
      <c r="D82" s="17"/>
      <c r="E82" s="18">
        <v>81</v>
      </c>
      <c r="F82" s="15" t="s">
        <v>191</v>
      </c>
      <c r="G82" s="17"/>
      <c r="H82" s="19"/>
      <c r="I82" s="19"/>
      <c r="J82" s="19"/>
      <c r="K82" t="str">
        <f t="shared" si="1"/>
        <v>1</v>
      </c>
    </row>
    <row r="83" spans="1:11" ht="33.75" thickBot="1">
      <c r="A83" s="14">
        <v>82</v>
      </c>
      <c r="B83" s="15" t="s">
        <v>192</v>
      </c>
      <c r="C83" s="16" t="s">
        <v>1144</v>
      </c>
      <c r="D83" s="17"/>
      <c r="E83" s="18">
        <v>82</v>
      </c>
      <c r="F83" s="15" t="s">
        <v>193</v>
      </c>
      <c r="G83" s="17"/>
      <c r="H83" s="19"/>
      <c r="I83" s="19"/>
      <c r="J83" s="19"/>
      <c r="K83" t="str">
        <f t="shared" si="1"/>
        <v/>
      </c>
    </row>
    <row r="84" spans="1:11" ht="33.75" thickBot="1">
      <c r="A84" s="14">
        <v>83</v>
      </c>
      <c r="B84" s="15" t="s">
        <v>194</v>
      </c>
      <c r="C84" s="16" t="s">
        <v>1145</v>
      </c>
      <c r="D84" s="17"/>
      <c r="E84" s="18">
        <v>83</v>
      </c>
      <c r="F84" s="15" t="s">
        <v>195</v>
      </c>
      <c r="G84" s="17"/>
      <c r="H84" s="19"/>
      <c r="I84" s="19"/>
      <c r="J84" s="19"/>
      <c r="K84" t="str">
        <f t="shared" si="1"/>
        <v>1</v>
      </c>
    </row>
    <row r="85" spans="1:11" ht="50.25" thickBot="1">
      <c r="A85" s="14">
        <v>84</v>
      </c>
      <c r="B85" s="15" t="s">
        <v>196</v>
      </c>
      <c r="C85" s="16" t="s">
        <v>1146</v>
      </c>
      <c r="D85" s="17"/>
      <c r="E85" s="18">
        <v>84</v>
      </c>
      <c r="F85" s="15" t="s">
        <v>197</v>
      </c>
      <c r="G85" s="17"/>
      <c r="H85" s="19"/>
      <c r="I85" s="19"/>
      <c r="J85" s="19"/>
      <c r="K85" t="str">
        <f t="shared" si="1"/>
        <v/>
      </c>
    </row>
    <row r="86" spans="1:11" ht="33.75" thickBot="1">
      <c r="A86" s="14">
        <v>85</v>
      </c>
      <c r="B86" s="15" t="s">
        <v>198</v>
      </c>
      <c r="C86" s="16" t="s">
        <v>1144</v>
      </c>
      <c r="D86" s="17"/>
      <c r="E86" s="18">
        <v>85</v>
      </c>
      <c r="F86" s="15" t="s">
        <v>199</v>
      </c>
      <c r="G86" s="17"/>
      <c r="H86" s="19"/>
      <c r="I86" s="19"/>
      <c r="J86" s="19"/>
      <c r="K86" t="str">
        <f t="shared" si="1"/>
        <v/>
      </c>
    </row>
    <row r="87" spans="1:11" ht="33.75" thickBot="1">
      <c r="A87" s="14">
        <v>86</v>
      </c>
      <c r="B87" s="15" t="s">
        <v>200</v>
      </c>
      <c r="C87" s="16" t="s">
        <v>1146</v>
      </c>
      <c r="D87" s="17"/>
      <c r="E87" s="18">
        <v>86</v>
      </c>
      <c r="F87" s="15" t="s">
        <v>201</v>
      </c>
      <c r="G87" s="17"/>
      <c r="H87" s="19"/>
      <c r="I87" s="19"/>
      <c r="J87" s="19"/>
      <c r="K87" t="str">
        <f t="shared" si="1"/>
        <v/>
      </c>
    </row>
    <row r="88" spans="1:11" ht="33.75" thickBot="1">
      <c r="A88" s="14">
        <v>87</v>
      </c>
      <c r="B88" s="15" t="s">
        <v>202</v>
      </c>
      <c r="C88" s="16" t="s">
        <v>1145</v>
      </c>
      <c r="D88" s="17"/>
      <c r="E88" s="18">
        <v>87</v>
      </c>
      <c r="F88" s="15" t="s">
        <v>203</v>
      </c>
      <c r="G88" s="17"/>
      <c r="H88" s="19"/>
      <c r="I88" s="19"/>
      <c r="J88" s="19"/>
      <c r="K88" t="str">
        <f t="shared" si="1"/>
        <v>1</v>
      </c>
    </row>
    <row r="89" spans="1:11" ht="33.75" thickBot="1">
      <c r="A89" s="14">
        <v>88</v>
      </c>
      <c r="B89" s="15" t="s">
        <v>204</v>
      </c>
      <c r="C89" s="16" t="s">
        <v>1144</v>
      </c>
      <c r="D89" s="17"/>
      <c r="E89" s="18">
        <v>88</v>
      </c>
      <c r="F89" s="15" t="s">
        <v>205</v>
      </c>
      <c r="G89" s="17"/>
      <c r="H89" s="19"/>
      <c r="I89" s="19"/>
      <c r="J89" s="19"/>
      <c r="K89" t="str">
        <f t="shared" si="1"/>
        <v/>
      </c>
    </row>
    <row r="90" spans="1:11" ht="33.75" thickBot="1">
      <c r="A90" s="14">
        <v>89</v>
      </c>
      <c r="B90" s="15" t="s">
        <v>206</v>
      </c>
      <c r="C90" s="16" t="s">
        <v>1145</v>
      </c>
      <c r="D90" s="17"/>
      <c r="E90" s="18">
        <v>89</v>
      </c>
      <c r="F90" s="15" t="s">
        <v>207</v>
      </c>
      <c r="G90" s="17"/>
      <c r="H90" s="19"/>
      <c r="I90" s="19"/>
      <c r="J90" s="19"/>
      <c r="K90" t="str">
        <f t="shared" si="1"/>
        <v>1</v>
      </c>
    </row>
    <row r="91" spans="1:11" ht="33.75" thickBot="1">
      <c r="A91" s="14">
        <v>90</v>
      </c>
      <c r="B91" s="15" t="s">
        <v>208</v>
      </c>
      <c r="C91" s="16" t="s">
        <v>1144</v>
      </c>
      <c r="D91" s="17"/>
      <c r="E91" s="18">
        <v>90</v>
      </c>
      <c r="F91" s="15" t="s">
        <v>209</v>
      </c>
      <c r="G91" s="17"/>
      <c r="H91" s="19"/>
      <c r="I91" s="19"/>
      <c r="J91" s="19"/>
      <c r="K91" t="str">
        <f t="shared" si="1"/>
        <v/>
      </c>
    </row>
    <row r="92" spans="1:11" ht="50.25" thickBot="1">
      <c r="A92" s="14">
        <v>91</v>
      </c>
      <c r="B92" s="15" t="s">
        <v>210</v>
      </c>
      <c r="C92" s="16" t="s">
        <v>1144</v>
      </c>
      <c r="D92" s="17"/>
      <c r="E92" s="18">
        <v>91</v>
      </c>
      <c r="F92" s="15" t="s">
        <v>211</v>
      </c>
      <c r="G92" s="17"/>
      <c r="H92" s="19"/>
      <c r="I92" s="19"/>
      <c r="J92" s="19"/>
      <c r="K92" t="str">
        <f t="shared" si="1"/>
        <v/>
      </c>
    </row>
    <row r="93" spans="1:11" ht="50.25" thickBot="1">
      <c r="A93" s="14">
        <v>92</v>
      </c>
      <c r="B93" s="15" t="s">
        <v>212</v>
      </c>
      <c r="C93" s="16" t="s">
        <v>1145</v>
      </c>
      <c r="D93" s="17"/>
      <c r="E93" s="18">
        <v>92</v>
      </c>
      <c r="F93" s="15" t="s">
        <v>213</v>
      </c>
      <c r="G93" s="17"/>
      <c r="H93" s="19"/>
      <c r="I93" s="19"/>
      <c r="J93" s="19"/>
      <c r="K93" t="str">
        <f t="shared" si="1"/>
        <v>1</v>
      </c>
    </row>
    <row r="94" spans="1:11" ht="33.75" thickBot="1">
      <c r="A94" s="14">
        <v>93</v>
      </c>
      <c r="B94" s="15" t="s">
        <v>214</v>
      </c>
      <c r="C94" s="16" t="s">
        <v>1144</v>
      </c>
      <c r="D94" s="17"/>
      <c r="E94" s="18">
        <v>93</v>
      </c>
      <c r="F94" s="15" t="s">
        <v>215</v>
      </c>
      <c r="G94" s="17"/>
      <c r="H94" s="19"/>
      <c r="I94" s="19"/>
      <c r="J94" s="19"/>
      <c r="K94" t="str">
        <f t="shared" si="1"/>
        <v/>
      </c>
    </row>
    <row r="95" spans="1:11" ht="33.75" thickBot="1">
      <c r="A95" s="14">
        <v>94</v>
      </c>
      <c r="B95" s="15" t="s">
        <v>216</v>
      </c>
      <c r="C95" s="16" t="s">
        <v>1145</v>
      </c>
      <c r="D95" s="17"/>
      <c r="E95" s="18">
        <v>94</v>
      </c>
      <c r="F95" s="15" t="s">
        <v>217</v>
      </c>
      <c r="G95" s="17"/>
      <c r="H95" s="19"/>
      <c r="I95" s="19"/>
      <c r="J95" s="19"/>
      <c r="K95" t="str">
        <f t="shared" si="1"/>
        <v>1</v>
      </c>
    </row>
    <row r="96" spans="1:11" ht="33.75" thickBot="1">
      <c r="A96" s="14">
        <v>95</v>
      </c>
      <c r="B96" s="15" t="s">
        <v>218</v>
      </c>
      <c r="C96" s="16" t="s">
        <v>1144</v>
      </c>
      <c r="D96" s="17"/>
      <c r="E96" s="18">
        <v>95</v>
      </c>
      <c r="F96" s="15" t="s">
        <v>219</v>
      </c>
      <c r="G96" s="17"/>
      <c r="H96" s="19"/>
      <c r="I96" s="19"/>
      <c r="J96" s="19"/>
      <c r="K96" t="str">
        <f t="shared" si="1"/>
        <v/>
      </c>
    </row>
    <row r="97" spans="1:11" ht="33.75" thickBot="1">
      <c r="A97" s="14">
        <v>96</v>
      </c>
      <c r="B97" s="15" t="s">
        <v>220</v>
      </c>
      <c r="C97" s="16" t="s">
        <v>1145</v>
      </c>
      <c r="D97" s="17"/>
      <c r="E97" s="18">
        <v>96</v>
      </c>
      <c r="F97" s="15" t="s">
        <v>221</v>
      </c>
      <c r="G97" s="17"/>
      <c r="H97" s="19"/>
      <c r="I97" s="19"/>
      <c r="J97" s="19"/>
      <c r="K97" t="str">
        <f t="shared" si="1"/>
        <v>1</v>
      </c>
    </row>
    <row r="98" spans="1:11" ht="50.25" thickBot="1">
      <c r="A98" s="14">
        <v>97</v>
      </c>
      <c r="B98" s="15" t="s">
        <v>222</v>
      </c>
      <c r="C98" s="16" t="s">
        <v>1145</v>
      </c>
      <c r="D98" s="17"/>
      <c r="E98" s="18">
        <v>97</v>
      </c>
      <c r="F98" s="15" t="s">
        <v>223</v>
      </c>
      <c r="G98" s="17"/>
      <c r="H98" s="19"/>
      <c r="I98" s="19"/>
      <c r="J98" s="19"/>
      <c r="K98" t="str">
        <f t="shared" si="1"/>
        <v>1</v>
      </c>
    </row>
    <row r="99" spans="1:11" ht="33.75" thickBot="1">
      <c r="A99" s="14">
        <v>98</v>
      </c>
      <c r="B99" s="15" t="s">
        <v>224</v>
      </c>
      <c r="C99" s="16" t="s">
        <v>1146</v>
      </c>
      <c r="D99" s="17"/>
      <c r="E99" s="18">
        <v>98</v>
      </c>
      <c r="F99" s="15" t="s">
        <v>225</v>
      </c>
      <c r="G99" s="17"/>
      <c r="H99" s="19"/>
      <c r="I99" s="19"/>
      <c r="J99" s="19"/>
      <c r="K99" t="str">
        <f t="shared" si="1"/>
        <v/>
      </c>
    </row>
    <row r="100" spans="1:11" ht="33.75" thickBot="1">
      <c r="A100" s="14">
        <v>99</v>
      </c>
      <c r="B100" s="15" t="s">
        <v>226</v>
      </c>
      <c r="C100" s="16" t="s">
        <v>1145</v>
      </c>
      <c r="D100" s="17"/>
      <c r="E100" s="18">
        <v>99</v>
      </c>
      <c r="F100" s="15" t="s">
        <v>227</v>
      </c>
      <c r="G100" s="17"/>
      <c r="H100" s="19"/>
      <c r="I100" s="19"/>
      <c r="J100" s="19"/>
      <c r="K100" t="str">
        <f t="shared" si="1"/>
        <v>1</v>
      </c>
    </row>
    <row r="101" spans="1:11" ht="50.25" thickBot="1">
      <c r="A101" s="14">
        <v>100</v>
      </c>
      <c r="B101" s="15" t="s">
        <v>228</v>
      </c>
      <c r="C101" s="16" t="s">
        <v>1144</v>
      </c>
      <c r="D101" s="17"/>
      <c r="E101" s="18">
        <v>100</v>
      </c>
      <c r="F101" s="15" t="s">
        <v>229</v>
      </c>
      <c r="G101" s="17"/>
      <c r="H101" s="19"/>
      <c r="I101" s="19"/>
      <c r="J101" s="19"/>
      <c r="K101" t="str">
        <f t="shared" si="1"/>
        <v/>
      </c>
    </row>
    <row r="102" spans="1:11" ht="33.75" thickBot="1">
      <c r="A102" s="14">
        <v>101</v>
      </c>
      <c r="B102" s="15" t="s">
        <v>230</v>
      </c>
      <c r="C102" s="16" t="s">
        <v>1145</v>
      </c>
      <c r="D102" s="17"/>
      <c r="E102" s="18">
        <v>101</v>
      </c>
      <c r="F102" s="15" t="s">
        <v>231</v>
      </c>
      <c r="G102" s="17"/>
      <c r="H102" s="19"/>
      <c r="I102" s="19"/>
      <c r="J102" s="19"/>
      <c r="K102" t="str">
        <f t="shared" si="1"/>
        <v>1</v>
      </c>
    </row>
    <row r="103" spans="1:11" ht="33.75" thickBot="1">
      <c r="A103" s="14">
        <v>102</v>
      </c>
      <c r="B103" s="15" t="s">
        <v>232</v>
      </c>
      <c r="C103" s="16" t="s">
        <v>1144</v>
      </c>
      <c r="D103" s="17"/>
      <c r="E103" s="18">
        <v>102</v>
      </c>
      <c r="F103" s="15" t="s">
        <v>233</v>
      </c>
      <c r="G103" s="17"/>
      <c r="H103" s="19"/>
      <c r="I103" s="19"/>
      <c r="J103" s="19"/>
      <c r="K103" t="str">
        <f t="shared" si="1"/>
        <v/>
      </c>
    </row>
    <row r="104" spans="1:11" ht="33.75" thickBot="1">
      <c r="A104" s="14">
        <v>103</v>
      </c>
      <c r="B104" s="15" t="s">
        <v>234</v>
      </c>
      <c r="C104" s="16" t="s">
        <v>1144</v>
      </c>
      <c r="D104" s="17"/>
      <c r="E104" s="18">
        <v>103</v>
      </c>
      <c r="F104" s="15" t="s">
        <v>235</v>
      </c>
      <c r="G104" s="17"/>
      <c r="H104" s="19"/>
      <c r="I104" s="19"/>
      <c r="J104" s="19"/>
      <c r="K104" t="str">
        <f t="shared" si="1"/>
        <v/>
      </c>
    </row>
    <row r="105" spans="1:11" ht="33.75" thickBot="1">
      <c r="A105" s="14">
        <v>104</v>
      </c>
      <c r="B105" s="15" t="s">
        <v>236</v>
      </c>
      <c r="C105" s="16" t="s">
        <v>1145</v>
      </c>
      <c r="D105" s="17"/>
      <c r="E105" s="18">
        <v>104</v>
      </c>
      <c r="F105" s="15" t="s">
        <v>237</v>
      </c>
      <c r="G105" s="17"/>
      <c r="H105" s="19"/>
      <c r="I105" s="19"/>
      <c r="J105" s="19"/>
      <c r="K105" t="str">
        <f t="shared" si="1"/>
        <v>1</v>
      </c>
    </row>
    <row r="106" spans="1:11" ht="33.75" thickBot="1">
      <c r="A106" s="14">
        <v>105</v>
      </c>
      <c r="B106" s="15" t="s">
        <v>238</v>
      </c>
      <c r="C106" s="16" t="s">
        <v>1145</v>
      </c>
      <c r="D106" s="17"/>
      <c r="E106" s="18">
        <v>105</v>
      </c>
      <c r="F106" s="15" t="s">
        <v>239</v>
      </c>
      <c r="G106" s="17"/>
      <c r="H106" s="19"/>
      <c r="I106" s="19"/>
      <c r="J106" s="19"/>
      <c r="K106" t="str">
        <f t="shared" si="1"/>
        <v>1</v>
      </c>
    </row>
    <row r="107" spans="1:11" ht="50.25" thickBot="1">
      <c r="A107" s="14">
        <v>106</v>
      </c>
      <c r="B107" s="15" t="s">
        <v>240</v>
      </c>
      <c r="C107" s="16" t="s">
        <v>1144</v>
      </c>
      <c r="D107" s="17"/>
      <c r="E107" s="18">
        <v>106</v>
      </c>
      <c r="F107" s="15" t="s">
        <v>241</v>
      </c>
      <c r="G107" s="17"/>
      <c r="H107" s="19"/>
      <c r="I107" s="19"/>
      <c r="J107" s="19"/>
      <c r="K107" t="str">
        <f t="shared" si="1"/>
        <v/>
      </c>
    </row>
    <row r="108" spans="1:11" ht="33.75" thickBot="1">
      <c r="A108" s="14">
        <v>107</v>
      </c>
      <c r="B108" s="15" t="s">
        <v>242</v>
      </c>
      <c r="C108" s="16" t="s">
        <v>1144</v>
      </c>
      <c r="D108" s="17"/>
      <c r="E108" s="18">
        <v>107</v>
      </c>
      <c r="F108" s="15" t="s">
        <v>243</v>
      </c>
      <c r="G108" s="17"/>
      <c r="H108" s="19"/>
      <c r="I108" s="19"/>
      <c r="J108" s="19"/>
      <c r="K108" t="str">
        <f t="shared" si="1"/>
        <v/>
      </c>
    </row>
    <row r="109" spans="1:11" ht="33.75" thickBot="1">
      <c r="A109" s="14">
        <v>108</v>
      </c>
      <c r="B109" s="15" t="s">
        <v>244</v>
      </c>
      <c r="C109" s="16" t="s">
        <v>1144</v>
      </c>
      <c r="D109" s="17"/>
      <c r="E109" s="18">
        <v>108</v>
      </c>
      <c r="F109" s="15" t="s">
        <v>245</v>
      </c>
      <c r="G109" s="17"/>
      <c r="H109" s="19"/>
      <c r="I109" s="19"/>
      <c r="J109" s="19"/>
      <c r="K109" t="str">
        <f t="shared" si="1"/>
        <v/>
      </c>
    </row>
    <row r="110" spans="1:11" ht="33.75" thickBot="1">
      <c r="A110" s="14">
        <v>109</v>
      </c>
      <c r="B110" s="15" t="s">
        <v>246</v>
      </c>
      <c r="C110" s="16" t="s">
        <v>1144</v>
      </c>
      <c r="D110" s="17"/>
      <c r="E110" s="18">
        <v>109</v>
      </c>
      <c r="F110" s="15" t="s">
        <v>247</v>
      </c>
      <c r="G110" s="17"/>
      <c r="H110" s="19"/>
      <c r="I110" s="19"/>
      <c r="J110" s="19"/>
      <c r="K110" t="str">
        <f t="shared" si="1"/>
        <v/>
      </c>
    </row>
    <row r="111" spans="1:11" ht="17.25" thickBot="1">
      <c r="A111" s="14">
        <v>110</v>
      </c>
      <c r="B111" s="15" t="s">
        <v>248</v>
      </c>
      <c r="C111" s="16" t="s">
        <v>1144</v>
      </c>
      <c r="D111" s="17"/>
      <c r="E111" s="18">
        <v>110</v>
      </c>
      <c r="F111" s="15" t="s">
        <v>249</v>
      </c>
      <c r="G111" s="17"/>
      <c r="H111" s="19"/>
      <c r="I111" s="19"/>
      <c r="J111" s="19"/>
      <c r="K111" t="str">
        <f t="shared" si="1"/>
        <v/>
      </c>
    </row>
    <row r="112" spans="1:11" ht="33.75" thickBot="1">
      <c r="A112" s="14">
        <v>111</v>
      </c>
      <c r="B112" s="15" t="s">
        <v>250</v>
      </c>
      <c r="C112" s="16" t="s">
        <v>1146</v>
      </c>
      <c r="D112" s="17"/>
      <c r="E112" s="18">
        <v>111</v>
      </c>
      <c r="F112" s="15" t="s">
        <v>251</v>
      </c>
      <c r="G112" s="17"/>
      <c r="H112" s="19"/>
      <c r="I112" s="19"/>
      <c r="J112" s="19"/>
      <c r="K112" t="str">
        <f t="shared" si="1"/>
        <v/>
      </c>
    </row>
    <row r="113" spans="1:11" ht="33.75" thickBot="1">
      <c r="A113" s="14">
        <v>112</v>
      </c>
      <c r="B113" s="15" t="s">
        <v>252</v>
      </c>
      <c r="C113" s="16" t="s">
        <v>1144</v>
      </c>
      <c r="D113" s="17"/>
      <c r="E113" s="18">
        <v>112</v>
      </c>
      <c r="F113" s="15" t="s">
        <v>253</v>
      </c>
      <c r="G113" s="17"/>
      <c r="H113" s="19"/>
      <c r="I113" s="19"/>
      <c r="J113" s="19"/>
      <c r="K113" t="str">
        <f t="shared" si="1"/>
        <v/>
      </c>
    </row>
    <row r="114" spans="1:11" ht="33.75" thickBot="1">
      <c r="A114" s="14">
        <v>113</v>
      </c>
      <c r="B114" s="15" t="s">
        <v>254</v>
      </c>
      <c r="C114" s="16" t="s">
        <v>1144</v>
      </c>
      <c r="D114" s="17"/>
      <c r="E114" s="18">
        <v>113</v>
      </c>
      <c r="F114" s="15" t="s">
        <v>255</v>
      </c>
      <c r="G114" s="17"/>
      <c r="H114" s="19"/>
      <c r="I114" s="19"/>
      <c r="J114" s="19"/>
      <c r="K114" t="str">
        <f t="shared" si="1"/>
        <v/>
      </c>
    </row>
    <row r="115" spans="1:11" ht="33.75" thickBot="1">
      <c r="A115" s="14">
        <v>114</v>
      </c>
      <c r="B115" s="15" t="s">
        <v>256</v>
      </c>
      <c r="C115" s="16" t="s">
        <v>1145</v>
      </c>
      <c r="D115" s="17"/>
      <c r="E115" s="18">
        <v>114</v>
      </c>
      <c r="F115" s="15" t="s">
        <v>257</v>
      </c>
      <c r="G115" s="17"/>
      <c r="H115" s="19"/>
      <c r="I115" s="19"/>
      <c r="J115" s="19"/>
      <c r="K115" t="str">
        <f t="shared" si="1"/>
        <v>1</v>
      </c>
    </row>
    <row r="116" spans="1:11" ht="33.75" thickBot="1">
      <c r="A116" s="14">
        <v>115</v>
      </c>
      <c r="B116" s="15" t="s">
        <v>258</v>
      </c>
      <c r="C116" s="16" t="s">
        <v>1144</v>
      </c>
      <c r="D116" s="17"/>
      <c r="E116" s="18">
        <v>115</v>
      </c>
      <c r="F116" s="15" t="s">
        <v>259</v>
      </c>
      <c r="G116" s="17"/>
      <c r="H116" s="19"/>
      <c r="I116" s="19"/>
      <c r="J116" s="19"/>
      <c r="K116" t="str">
        <f t="shared" si="1"/>
        <v/>
      </c>
    </row>
    <row r="117" spans="1:11" ht="33.75" thickBot="1">
      <c r="A117" s="14">
        <v>116</v>
      </c>
      <c r="B117" s="15" t="s">
        <v>260</v>
      </c>
      <c r="C117" s="16" t="s">
        <v>1144</v>
      </c>
      <c r="D117" s="17"/>
      <c r="E117" s="18">
        <v>116</v>
      </c>
      <c r="F117" s="15" t="s">
        <v>261</v>
      </c>
      <c r="G117" s="17"/>
      <c r="H117" s="19"/>
      <c r="I117" s="19"/>
      <c r="J117" s="19"/>
      <c r="K117" t="str">
        <f t="shared" si="1"/>
        <v/>
      </c>
    </row>
    <row r="118" spans="1:11" ht="33.75" thickBot="1">
      <c r="A118" s="14">
        <v>117</v>
      </c>
      <c r="B118" s="15" t="s">
        <v>262</v>
      </c>
      <c r="C118" s="16" t="s">
        <v>1144</v>
      </c>
      <c r="D118" s="17"/>
      <c r="E118" s="18">
        <v>117</v>
      </c>
      <c r="F118" s="15" t="s">
        <v>263</v>
      </c>
      <c r="G118" s="17"/>
      <c r="H118" s="19"/>
      <c r="I118" s="19"/>
      <c r="J118" s="19"/>
      <c r="K118" t="str">
        <f t="shared" si="1"/>
        <v/>
      </c>
    </row>
    <row r="119" spans="1:11" ht="33.75" thickBot="1">
      <c r="A119" s="14">
        <v>118</v>
      </c>
      <c r="B119" s="15" t="s">
        <v>264</v>
      </c>
      <c r="C119" s="16" t="s">
        <v>1144</v>
      </c>
      <c r="D119" s="17"/>
      <c r="E119" s="18">
        <v>118</v>
      </c>
      <c r="F119" s="15" t="s">
        <v>265</v>
      </c>
      <c r="G119" s="17"/>
      <c r="H119" s="19"/>
      <c r="I119" s="19"/>
      <c r="J119" s="19"/>
      <c r="K119" t="str">
        <f t="shared" si="1"/>
        <v/>
      </c>
    </row>
    <row r="120" spans="1:11" ht="33.75" thickBot="1">
      <c r="A120" s="14">
        <v>119</v>
      </c>
      <c r="B120" s="15" t="s">
        <v>266</v>
      </c>
      <c r="C120" s="16" t="s">
        <v>1145</v>
      </c>
      <c r="D120" s="17"/>
      <c r="E120" s="18">
        <v>119</v>
      </c>
      <c r="F120" s="15" t="s">
        <v>267</v>
      </c>
      <c r="G120" s="17"/>
      <c r="H120" s="19"/>
      <c r="I120" s="19"/>
      <c r="J120" s="19"/>
      <c r="K120" t="str">
        <f t="shared" si="1"/>
        <v>1</v>
      </c>
    </row>
    <row r="121" spans="1:11" ht="33.75" thickBot="1">
      <c r="A121" s="14">
        <v>120</v>
      </c>
      <c r="B121" s="15" t="s">
        <v>268</v>
      </c>
      <c r="C121" s="16" t="s">
        <v>1144</v>
      </c>
      <c r="D121" s="17"/>
      <c r="E121" s="18">
        <v>120</v>
      </c>
      <c r="F121" s="15" t="s">
        <v>269</v>
      </c>
      <c r="G121" s="17"/>
      <c r="H121" s="19"/>
      <c r="I121" s="19"/>
      <c r="J121" s="19"/>
      <c r="K121" t="str">
        <f t="shared" si="1"/>
        <v/>
      </c>
    </row>
    <row r="122" spans="1:11" ht="33.75" thickBot="1">
      <c r="A122" s="14">
        <v>121</v>
      </c>
      <c r="B122" s="15" t="s">
        <v>270</v>
      </c>
      <c r="C122" s="16" t="s">
        <v>1144</v>
      </c>
      <c r="D122" s="17"/>
      <c r="E122" s="18">
        <v>121</v>
      </c>
      <c r="F122" s="15" t="s">
        <v>271</v>
      </c>
      <c r="G122" s="17"/>
      <c r="H122" s="19"/>
      <c r="I122" s="19"/>
      <c r="J122" s="19"/>
      <c r="K122" t="str">
        <f t="shared" si="1"/>
        <v/>
      </c>
    </row>
    <row r="123" spans="1:11" ht="33.75" thickBot="1">
      <c r="A123" s="14">
        <v>122</v>
      </c>
      <c r="B123" s="15" t="s">
        <v>272</v>
      </c>
      <c r="C123" s="16" t="s">
        <v>1144</v>
      </c>
      <c r="D123" s="17"/>
      <c r="E123" s="18">
        <v>122</v>
      </c>
      <c r="F123" s="15" t="s">
        <v>273</v>
      </c>
      <c r="G123" s="17"/>
      <c r="H123" s="19"/>
      <c r="I123" s="19"/>
      <c r="J123" s="19"/>
      <c r="K123" t="str">
        <f t="shared" si="1"/>
        <v/>
      </c>
    </row>
    <row r="124" spans="1:11" ht="33.75" thickBot="1">
      <c r="A124" s="14">
        <v>123</v>
      </c>
      <c r="B124" s="15" t="s">
        <v>274</v>
      </c>
      <c r="C124" s="16" t="s">
        <v>1144</v>
      </c>
      <c r="D124" s="17"/>
      <c r="E124" s="18">
        <v>123</v>
      </c>
      <c r="F124" s="15" t="s">
        <v>275</v>
      </c>
      <c r="G124" s="17"/>
      <c r="H124" s="19"/>
      <c r="I124" s="19"/>
      <c r="J124" s="19"/>
      <c r="K124" t="str">
        <f t="shared" si="1"/>
        <v/>
      </c>
    </row>
    <row r="125" spans="1:11" ht="50.25" thickBot="1">
      <c r="A125" s="14">
        <v>124</v>
      </c>
      <c r="B125" s="15" t="s">
        <v>276</v>
      </c>
      <c r="C125" s="16" t="s">
        <v>1144</v>
      </c>
      <c r="D125" s="17"/>
      <c r="E125" s="18">
        <v>124</v>
      </c>
      <c r="F125" s="15" t="s">
        <v>277</v>
      </c>
      <c r="G125" s="17"/>
      <c r="H125" s="19"/>
      <c r="I125" s="19"/>
      <c r="J125" s="19"/>
      <c r="K125" t="str">
        <f t="shared" si="1"/>
        <v/>
      </c>
    </row>
    <row r="126" spans="1:11" ht="33.75" thickBot="1">
      <c r="A126" s="14">
        <v>125</v>
      </c>
      <c r="B126" s="15" t="s">
        <v>278</v>
      </c>
      <c r="C126" s="16" t="s">
        <v>1146</v>
      </c>
      <c r="D126" s="17"/>
      <c r="E126" s="18">
        <v>125</v>
      </c>
      <c r="F126" s="15" t="s">
        <v>279</v>
      </c>
      <c r="G126" s="17"/>
      <c r="H126" s="19"/>
      <c r="I126" s="19"/>
      <c r="J126" s="19"/>
      <c r="K126" t="str">
        <f t="shared" si="1"/>
        <v/>
      </c>
    </row>
    <row r="127" spans="1:11" ht="33.75" thickBot="1">
      <c r="A127" s="14">
        <v>126</v>
      </c>
      <c r="B127" s="15" t="s">
        <v>280</v>
      </c>
      <c r="C127" s="16" t="s">
        <v>1144</v>
      </c>
      <c r="D127" s="17"/>
      <c r="E127" s="18">
        <v>126</v>
      </c>
      <c r="F127" s="15" t="s">
        <v>281</v>
      </c>
      <c r="G127" s="17"/>
      <c r="H127" s="19"/>
      <c r="I127" s="19"/>
      <c r="J127" s="19"/>
      <c r="K127" t="str">
        <f t="shared" si="1"/>
        <v/>
      </c>
    </row>
    <row r="128" spans="1:11" ht="33.75" thickBot="1">
      <c r="A128" s="14">
        <v>127</v>
      </c>
      <c r="B128" s="15" t="s">
        <v>282</v>
      </c>
      <c r="C128" s="16" t="s">
        <v>1149</v>
      </c>
      <c r="D128" s="17"/>
      <c r="E128" s="18">
        <v>127</v>
      </c>
      <c r="F128" s="15" t="s">
        <v>283</v>
      </c>
      <c r="G128" s="17"/>
      <c r="H128" s="19"/>
      <c r="I128" s="19"/>
      <c r="J128" s="19"/>
      <c r="K128" t="str">
        <f t="shared" si="1"/>
        <v>1</v>
      </c>
    </row>
    <row r="129" spans="1:11" ht="33.75" thickBot="1">
      <c r="A129" s="14">
        <v>128</v>
      </c>
      <c r="B129" s="15" t="s">
        <v>284</v>
      </c>
      <c r="C129" s="16" t="s">
        <v>1149</v>
      </c>
      <c r="D129" s="17"/>
      <c r="E129" s="18">
        <v>128</v>
      </c>
      <c r="F129" s="15" t="s">
        <v>285</v>
      </c>
      <c r="G129" s="17"/>
      <c r="H129" s="19"/>
      <c r="I129" s="19"/>
      <c r="J129" s="19"/>
      <c r="K129" t="str">
        <f t="shared" si="1"/>
        <v>1</v>
      </c>
    </row>
    <row r="130" spans="1:11" ht="33.75" thickBot="1">
      <c r="A130" s="14">
        <v>129</v>
      </c>
      <c r="B130" s="15" t="s">
        <v>286</v>
      </c>
      <c r="C130" s="16" t="s">
        <v>1144</v>
      </c>
      <c r="D130" s="17"/>
      <c r="E130" s="18">
        <v>129</v>
      </c>
      <c r="F130" s="15" t="s">
        <v>287</v>
      </c>
      <c r="G130" s="17"/>
      <c r="H130" s="19"/>
      <c r="I130" s="19"/>
      <c r="J130" s="19"/>
      <c r="K130" t="str">
        <f t="shared" si="1"/>
        <v/>
      </c>
    </row>
    <row r="131" spans="1:11" ht="17.25" thickBot="1">
      <c r="A131" s="14">
        <v>130</v>
      </c>
      <c r="B131" s="15" t="s">
        <v>288</v>
      </c>
      <c r="C131" s="16" t="s">
        <v>1145</v>
      </c>
      <c r="D131" s="17"/>
      <c r="E131" s="18">
        <v>130</v>
      </c>
      <c r="F131" s="15" t="s">
        <v>289</v>
      </c>
      <c r="G131" s="17"/>
      <c r="H131" s="19"/>
      <c r="I131" s="19"/>
      <c r="J131" s="19"/>
      <c r="K131" t="str">
        <f t="shared" ref="K131:K194" si="2">LEFT(C131,LEN(C131)-1)</f>
        <v>1</v>
      </c>
    </row>
    <row r="132" spans="1:11" ht="33.75" thickBot="1">
      <c r="A132" s="14">
        <v>131</v>
      </c>
      <c r="B132" s="15" t="s">
        <v>290</v>
      </c>
      <c r="C132" s="16" t="s">
        <v>1144</v>
      </c>
      <c r="D132" s="17"/>
      <c r="E132" s="18">
        <v>131</v>
      </c>
      <c r="F132" s="15" t="s">
        <v>291</v>
      </c>
      <c r="G132" s="17"/>
      <c r="H132" s="19"/>
      <c r="I132" s="19"/>
      <c r="J132" s="19"/>
      <c r="K132" t="str">
        <f t="shared" si="2"/>
        <v/>
      </c>
    </row>
    <row r="133" spans="1:11" ht="50.25" thickBot="1">
      <c r="A133" s="14">
        <v>132</v>
      </c>
      <c r="B133" s="15" t="s">
        <v>292</v>
      </c>
      <c r="C133" s="16" t="s">
        <v>1144</v>
      </c>
      <c r="D133" s="17"/>
      <c r="E133" s="18">
        <v>132</v>
      </c>
      <c r="F133" s="15" t="s">
        <v>293</v>
      </c>
      <c r="G133" s="17"/>
      <c r="H133" s="19"/>
      <c r="I133" s="19"/>
      <c r="J133" s="19"/>
      <c r="K133" t="str">
        <f t="shared" si="2"/>
        <v/>
      </c>
    </row>
    <row r="134" spans="1:11" ht="50.25" thickBot="1">
      <c r="A134" s="14">
        <v>133</v>
      </c>
      <c r="B134" s="15" t="s">
        <v>294</v>
      </c>
      <c r="C134" s="16" t="s">
        <v>1144</v>
      </c>
      <c r="D134" s="17"/>
      <c r="E134" s="18">
        <v>133</v>
      </c>
      <c r="F134" s="15" t="s">
        <v>295</v>
      </c>
      <c r="G134" s="17"/>
      <c r="H134" s="19"/>
      <c r="I134" s="19"/>
      <c r="J134" s="19"/>
      <c r="K134" t="str">
        <f t="shared" si="2"/>
        <v/>
      </c>
    </row>
    <row r="135" spans="1:11" ht="33.75" thickBot="1">
      <c r="A135" s="14">
        <v>134</v>
      </c>
      <c r="B135" s="15" t="s">
        <v>296</v>
      </c>
      <c r="C135" s="16" t="s">
        <v>1149</v>
      </c>
      <c r="D135" s="17"/>
      <c r="E135" s="18">
        <v>134</v>
      </c>
      <c r="F135" s="15" t="s">
        <v>297</v>
      </c>
      <c r="G135" s="17"/>
      <c r="H135" s="19"/>
      <c r="I135" s="19"/>
      <c r="J135" s="19"/>
      <c r="K135" t="str">
        <f t="shared" si="2"/>
        <v>1</v>
      </c>
    </row>
    <row r="136" spans="1:11" ht="33.75" thickBot="1">
      <c r="A136" s="14">
        <v>135</v>
      </c>
      <c r="B136" s="15" t="s">
        <v>298</v>
      </c>
      <c r="C136" s="16" t="s">
        <v>1144</v>
      </c>
      <c r="D136" s="17"/>
      <c r="E136" s="18">
        <v>135</v>
      </c>
      <c r="F136" s="15" t="s">
        <v>299</v>
      </c>
      <c r="G136" s="17"/>
      <c r="H136" s="19"/>
      <c r="I136" s="19"/>
      <c r="J136" s="19"/>
      <c r="K136" t="str">
        <f t="shared" si="2"/>
        <v/>
      </c>
    </row>
    <row r="137" spans="1:11" ht="33.75" thickBot="1">
      <c r="A137" s="14">
        <v>136</v>
      </c>
      <c r="B137" s="15" t="s">
        <v>300</v>
      </c>
      <c r="C137" s="16" t="s">
        <v>1145</v>
      </c>
      <c r="D137" s="17"/>
      <c r="E137" s="18">
        <v>136</v>
      </c>
      <c r="F137" s="15" t="s">
        <v>301</v>
      </c>
      <c r="G137" s="17"/>
      <c r="H137" s="19"/>
      <c r="I137" s="19"/>
      <c r="J137" s="19"/>
      <c r="K137" t="str">
        <f t="shared" si="2"/>
        <v>1</v>
      </c>
    </row>
    <row r="138" spans="1:11" ht="33.75" thickBot="1">
      <c r="A138" s="14">
        <v>137</v>
      </c>
      <c r="B138" s="15" t="s">
        <v>302</v>
      </c>
      <c r="C138" s="16" t="s">
        <v>1144</v>
      </c>
      <c r="D138" s="17"/>
      <c r="E138" s="18">
        <v>137</v>
      </c>
      <c r="F138" s="15" t="s">
        <v>303</v>
      </c>
      <c r="G138" s="17"/>
      <c r="H138" s="19"/>
      <c r="I138" s="19"/>
      <c r="J138" s="19"/>
      <c r="K138" t="str">
        <f t="shared" si="2"/>
        <v/>
      </c>
    </row>
    <row r="139" spans="1:11" ht="33.75" thickBot="1">
      <c r="A139" s="14">
        <v>138</v>
      </c>
      <c r="B139" s="15" t="s">
        <v>304</v>
      </c>
      <c r="C139" s="16" t="s">
        <v>1144</v>
      </c>
      <c r="D139" s="17"/>
      <c r="E139" s="18">
        <v>138</v>
      </c>
      <c r="F139" s="15" t="s">
        <v>305</v>
      </c>
      <c r="G139" s="17"/>
      <c r="H139" s="19"/>
      <c r="I139" s="19"/>
      <c r="J139" s="19"/>
      <c r="K139" t="str">
        <f t="shared" si="2"/>
        <v/>
      </c>
    </row>
    <row r="140" spans="1:11" ht="33.75" thickBot="1">
      <c r="A140" s="14">
        <v>139</v>
      </c>
      <c r="B140" s="15" t="s">
        <v>306</v>
      </c>
      <c r="C140" s="16" t="s">
        <v>1144</v>
      </c>
      <c r="D140" s="17"/>
      <c r="E140" s="18">
        <v>139</v>
      </c>
      <c r="F140" s="15" t="s">
        <v>307</v>
      </c>
      <c r="G140" s="17"/>
      <c r="H140" s="19"/>
      <c r="I140" s="19"/>
      <c r="J140" s="19"/>
      <c r="K140" t="str">
        <f t="shared" si="2"/>
        <v/>
      </c>
    </row>
    <row r="141" spans="1:11" ht="33.75" thickBot="1">
      <c r="A141" s="14">
        <v>140</v>
      </c>
      <c r="B141" s="15" t="s">
        <v>308</v>
      </c>
      <c r="C141" s="16" t="s">
        <v>1144</v>
      </c>
      <c r="D141" s="17"/>
      <c r="E141" s="18">
        <v>140</v>
      </c>
      <c r="F141" s="15" t="s">
        <v>309</v>
      </c>
      <c r="G141" s="17"/>
      <c r="H141" s="19"/>
      <c r="I141" s="19"/>
      <c r="J141" s="19"/>
      <c r="K141" t="str">
        <f t="shared" si="2"/>
        <v/>
      </c>
    </row>
    <row r="142" spans="1:11" ht="33.75" thickBot="1">
      <c r="A142" s="14">
        <v>141</v>
      </c>
      <c r="B142" s="15" t="s">
        <v>310</v>
      </c>
      <c r="C142" s="16" t="s">
        <v>1144</v>
      </c>
      <c r="D142" s="17"/>
      <c r="E142" s="18">
        <v>141</v>
      </c>
      <c r="F142" s="15" t="s">
        <v>311</v>
      </c>
      <c r="G142" s="17"/>
      <c r="H142" s="19"/>
      <c r="I142" s="19"/>
      <c r="J142" s="19"/>
      <c r="K142" t="str">
        <f t="shared" si="2"/>
        <v/>
      </c>
    </row>
    <row r="143" spans="1:11" ht="33.75" thickBot="1">
      <c r="A143" s="14">
        <v>142</v>
      </c>
      <c r="B143" s="15" t="s">
        <v>312</v>
      </c>
      <c r="C143" s="16" t="s">
        <v>1145</v>
      </c>
      <c r="D143" s="17"/>
      <c r="E143" s="18">
        <v>142</v>
      </c>
      <c r="F143" s="15" t="s">
        <v>313</v>
      </c>
      <c r="G143" s="17"/>
      <c r="H143" s="19"/>
      <c r="I143" s="19"/>
      <c r="J143" s="19"/>
      <c r="K143" t="str">
        <f t="shared" si="2"/>
        <v>1</v>
      </c>
    </row>
    <row r="144" spans="1:11" ht="33.75" thickBot="1">
      <c r="A144" s="14">
        <v>143</v>
      </c>
      <c r="B144" s="15" t="s">
        <v>314</v>
      </c>
      <c r="C144" s="16" t="s">
        <v>1150</v>
      </c>
      <c r="D144" s="17"/>
      <c r="E144" s="18">
        <v>143</v>
      </c>
      <c r="F144" s="15" t="s">
        <v>315</v>
      </c>
      <c r="G144" s="17"/>
      <c r="H144" s="19"/>
      <c r="I144" s="19"/>
      <c r="J144" s="19"/>
      <c r="K144" t="str">
        <f t="shared" si="2"/>
        <v/>
      </c>
    </row>
    <row r="145" spans="1:11" ht="33.75" thickBot="1">
      <c r="A145" s="14">
        <v>144</v>
      </c>
      <c r="B145" s="15" t="s">
        <v>316</v>
      </c>
      <c r="C145" s="16" t="s">
        <v>1144</v>
      </c>
      <c r="D145" s="17"/>
      <c r="E145" s="18">
        <v>144</v>
      </c>
      <c r="F145" s="15" t="s">
        <v>317</v>
      </c>
      <c r="G145" s="17"/>
      <c r="H145" s="19"/>
      <c r="I145" s="19"/>
      <c r="J145" s="19"/>
      <c r="K145" t="str">
        <f t="shared" si="2"/>
        <v/>
      </c>
    </row>
    <row r="146" spans="1:11" ht="33.75" thickBot="1">
      <c r="A146" s="14">
        <v>145</v>
      </c>
      <c r="B146" s="15" t="s">
        <v>318</v>
      </c>
      <c r="C146" s="16" t="s">
        <v>1144</v>
      </c>
      <c r="D146" s="17"/>
      <c r="E146" s="18">
        <v>145</v>
      </c>
      <c r="F146" s="15" t="s">
        <v>319</v>
      </c>
      <c r="G146" s="17"/>
      <c r="H146" s="19"/>
      <c r="I146" s="19"/>
      <c r="J146" s="19"/>
      <c r="K146" t="str">
        <f t="shared" si="2"/>
        <v/>
      </c>
    </row>
    <row r="147" spans="1:11" ht="33.75" thickBot="1">
      <c r="A147" s="14">
        <v>146</v>
      </c>
      <c r="B147" s="15" t="s">
        <v>320</v>
      </c>
      <c r="C147" s="16" t="s">
        <v>1146</v>
      </c>
      <c r="D147" s="17"/>
      <c r="E147" s="18">
        <v>146</v>
      </c>
      <c r="F147" s="15" t="s">
        <v>321</v>
      </c>
      <c r="G147" s="17"/>
      <c r="H147" s="19"/>
      <c r="I147" s="19"/>
      <c r="J147" s="19"/>
      <c r="K147" t="str">
        <f t="shared" si="2"/>
        <v/>
      </c>
    </row>
    <row r="148" spans="1:11" ht="33.75" thickBot="1">
      <c r="A148" s="14">
        <v>147</v>
      </c>
      <c r="B148" s="15" t="s">
        <v>322</v>
      </c>
      <c r="C148" s="16" t="s">
        <v>1144</v>
      </c>
      <c r="D148" s="17"/>
      <c r="E148" s="18">
        <v>147</v>
      </c>
      <c r="F148" s="15" t="s">
        <v>323</v>
      </c>
      <c r="G148" s="17"/>
      <c r="H148" s="19"/>
      <c r="I148" s="19"/>
      <c r="J148" s="19"/>
      <c r="K148" t="str">
        <f t="shared" si="2"/>
        <v/>
      </c>
    </row>
    <row r="149" spans="1:11" ht="33.75" thickBot="1">
      <c r="A149" s="14">
        <v>148</v>
      </c>
      <c r="B149" s="15" t="s">
        <v>324</v>
      </c>
      <c r="C149" s="16" t="s">
        <v>1144</v>
      </c>
      <c r="D149" s="17"/>
      <c r="E149" s="18">
        <v>148</v>
      </c>
      <c r="F149" s="15" t="s">
        <v>325</v>
      </c>
      <c r="G149" s="17"/>
      <c r="H149" s="19"/>
      <c r="I149" s="19"/>
      <c r="J149" s="19"/>
      <c r="K149" t="str">
        <f t="shared" si="2"/>
        <v/>
      </c>
    </row>
    <row r="150" spans="1:11" ht="33.75" thickBot="1">
      <c r="A150" s="14">
        <v>149</v>
      </c>
      <c r="B150" s="15" t="s">
        <v>326</v>
      </c>
      <c r="C150" s="16" t="s">
        <v>1144</v>
      </c>
      <c r="D150" s="17"/>
      <c r="E150" s="18">
        <v>149</v>
      </c>
      <c r="F150" s="15" t="s">
        <v>327</v>
      </c>
      <c r="G150" s="17"/>
      <c r="H150" s="19"/>
      <c r="I150" s="19"/>
      <c r="J150" s="19"/>
      <c r="K150" t="str">
        <f t="shared" si="2"/>
        <v/>
      </c>
    </row>
    <row r="151" spans="1:11" ht="33.75" thickBot="1">
      <c r="A151" s="14">
        <v>150</v>
      </c>
      <c r="B151" s="15" t="s">
        <v>328</v>
      </c>
      <c r="C151" s="16" t="s">
        <v>1145</v>
      </c>
      <c r="D151" s="17"/>
      <c r="E151" s="18">
        <v>150</v>
      </c>
      <c r="F151" s="15" t="s">
        <v>329</v>
      </c>
      <c r="G151" s="17"/>
      <c r="H151" s="19"/>
      <c r="I151" s="19"/>
      <c r="J151" s="19"/>
      <c r="K151" t="str">
        <f t="shared" si="2"/>
        <v>1</v>
      </c>
    </row>
    <row r="152" spans="1:11" ht="33.75" thickBot="1">
      <c r="A152" s="14">
        <v>151</v>
      </c>
      <c r="B152" s="15" t="s">
        <v>330</v>
      </c>
      <c r="C152" s="16" t="s">
        <v>1144</v>
      </c>
      <c r="D152" s="17"/>
      <c r="E152" s="18">
        <v>151</v>
      </c>
      <c r="F152" s="15" t="s">
        <v>331</v>
      </c>
      <c r="G152" s="17"/>
      <c r="H152" s="19"/>
      <c r="I152" s="19"/>
      <c r="J152" s="19"/>
      <c r="K152" t="str">
        <f t="shared" si="2"/>
        <v/>
      </c>
    </row>
    <row r="153" spans="1:11" ht="33.75" thickBot="1">
      <c r="A153" s="14">
        <v>152</v>
      </c>
      <c r="B153" s="15" t="s">
        <v>332</v>
      </c>
      <c r="C153" s="16" t="s">
        <v>1144</v>
      </c>
      <c r="D153" s="17"/>
      <c r="E153" s="18">
        <v>152</v>
      </c>
      <c r="F153" s="15" t="s">
        <v>333</v>
      </c>
      <c r="G153" s="17"/>
      <c r="H153" s="19"/>
      <c r="I153" s="19"/>
      <c r="J153" s="19"/>
      <c r="K153" t="str">
        <f t="shared" si="2"/>
        <v/>
      </c>
    </row>
    <row r="154" spans="1:11" ht="50.25" thickBot="1">
      <c r="A154" s="14">
        <v>153</v>
      </c>
      <c r="B154" s="15" t="s">
        <v>334</v>
      </c>
      <c r="C154" s="16" t="s">
        <v>1145</v>
      </c>
      <c r="D154" s="17"/>
      <c r="E154" s="18">
        <v>153</v>
      </c>
      <c r="F154" s="15" t="s">
        <v>335</v>
      </c>
      <c r="G154" s="17"/>
      <c r="H154" s="19"/>
      <c r="I154" s="19"/>
      <c r="J154" s="19"/>
      <c r="K154" t="str">
        <f t="shared" si="2"/>
        <v>1</v>
      </c>
    </row>
    <row r="155" spans="1:11" ht="33.75" thickBot="1">
      <c r="A155" s="14">
        <v>154</v>
      </c>
      <c r="B155" s="15" t="s">
        <v>336</v>
      </c>
      <c r="C155" s="16" t="s">
        <v>1144</v>
      </c>
      <c r="D155" s="17"/>
      <c r="E155" s="18">
        <v>154</v>
      </c>
      <c r="F155" s="15" t="s">
        <v>337</v>
      </c>
      <c r="G155" s="17"/>
      <c r="H155" s="19"/>
      <c r="I155" s="19"/>
      <c r="J155" s="19"/>
      <c r="K155" t="str">
        <f t="shared" si="2"/>
        <v/>
      </c>
    </row>
    <row r="156" spans="1:11" ht="33.75" thickBot="1">
      <c r="A156" s="14">
        <v>155</v>
      </c>
      <c r="B156" s="15" t="s">
        <v>338</v>
      </c>
      <c r="C156" s="16" t="s">
        <v>1144</v>
      </c>
      <c r="D156" s="17"/>
      <c r="E156" s="18">
        <v>155</v>
      </c>
      <c r="F156" s="15" t="s">
        <v>339</v>
      </c>
      <c r="G156" s="17"/>
      <c r="H156" s="19"/>
      <c r="I156" s="19"/>
      <c r="J156" s="19"/>
      <c r="K156" t="str">
        <f t="shared" si="2"/>
        <v/>
      </c>
    </row>
    <row r="157" spans="1:11" ht="33.75" thickBot="1">
      <c r="A157" s="14">
        <v>156</v>
      </c>
      <c r="B157" s="15" t="s">
        <v>340</v>
      </c>
      <c r="C157" s="16" t="s">
        <v>1144</v>
      </c>
      <c r="D157" s="17"/>
      <c r="E157" s="18">
        <v>156</v>
      </c>
      <c r="F157" s="15" t="s">
        <v>341</v>
      </c>
      <c r="G157" s="17"/>
      <c r="H157" s="19"/>
      <c r="I157" s="19"/>
      <c r="J157" s="19"/>
      <c r="K157" t="str">
        <f t="shared" si="2"/>
        <v/>
      </c>
    </row>
    <row r="158" spans="1:11" ht="33.75" thickBot="1">
      <c r="A158" s="14">
        <v>157</v>
      </c>
      <c r="B158" s="15" t="s">
        <v>342</v>
      </c>
      <c r="C158" s="16" t="s">
        <v>1144</v>
      </c>
      <c r="D158" s="17"/>
      <c r="E158" s="18">
        <v>157</v>
      </c>
      <c r="F158" s="15" t="s">
        <v>343</v>
      </c>
      <c r="G158" s="17"/>
      <c r="H158" s="19"/>
      <c r="I158" s="19"/>
      <c r="J158" s="19"/>
      <c r="K158" t="str">
        <f t="shared" si="2"/>
        <v/>
      </c>
    </row>
    <row r="159" spans="1:11" ht="33.75" thickBot="1">
      <c r="A159" s="14">
        <v>158</v>
      </c>
      <c r="B159" s="15" t="s">
        <v>344</v>
      </c>
      <c r="C159" s="16" t="s">
        <v>1144</v>
      </c>
      <c r="D159" s="17"/>
      <c r="E159" s="18">
        <v>158</v>
      </c>
      <c r="F159" s="15" t="s">
        <v>345</v>
      </c>
      <c r="G159" s="17"/>
      <c r="H159" s="19"/>
      <c r="I159" s="19"/>
      <c r="J159" s="19"/>
      <c r="K159" t="str">
        <f t="shared" si="2"/>
        <v/>
      </c>
    </row>
    <row r="160" spans="1:11" ht="17.25" thickBot="1">
      <c r="A160" s="14">
        <v>159</v>
      </c>
      <c r="B160" s="15" t="s">
        <v>346</v>
      </c>
      <c r="C160" s="16" t="s">
        <v>1149</v>
      </c>
      <c r="D160" s="17"/>
      <c r="E160" s="18">
        <v>159</v>
      </c>
      <c r="F160" s="15" t="s">
        <v>347</v>
      </c>
      <c r="G160" s="17"/>
      <c r="H160" s="19"/>
      <c r="I160" s="19"/>
      <c r="J160" s="19"/>
      <c r="K160" t="str">
        <f t="shared" si="2"/>
        <v>1</v>
      </c>
    </row>
    <row r="161" spans="1:11" ht="33.75" thickBot="1">
      <c r="A161" s="14">
        <v>160</v>
      </c>
      <c r="B161" s="15" t="s">
        <v>348</v>
      </c>
      <c r="C161" s="16" t="s">
        <v>1144</v>
      </c>
      <c r="D161" s="17"/>
      <c r="E161" s="18">
        <v>160</v>
      </c>
      <c r="F161" s="15" t="s">
        <v>349</v>
      </c>
      <c r="G161" s="17"/>
      <c r="H161" s="19"/>
      <c r="I161" s="19"/>
      <c r="J161" s="19"/>
      <c r="K161" t="str">
        <f t="shared" si="2"/>
        <v/>
      </c>
    </row>
    <row r="162" spans="1:11" ht="33.75" thickBot="1">
      <c r="A162" s="14">
        <v>161</v>
      </c>
      <c r="B162" s="15" t="s">
        <v>350</v>
      </c>
      <c r="C162" s="16" t="s">
        <v>1144</v>
      </c>
      <c r="D162" s="17"/>
      <c r="E162" s="18">
        <v>161</v>
      </c>
      <c r="F162" s="15" t="s">
        <v>351</v>
      </c>
      <c r="G162" s="17"/>
      <c r="H162" s="19"/>
      <c r="I162" s="19"/>
      <c r="J162" s="19"/>
      <c r="K162" t="str">
        <f t="shared" si="2"/>
        <v/>
      </c>
    </row>
    <row r="163" spans="1:11" ht="33.75" thickBot="1">
      <c r="A163" s="14">
        <v>162</v>
      </c>
      <c r="B163" s="15" t="s">
        <v>352</v>
      </c>
      <c r="C163" s="16" t="s">
        <v>1144</v>
      </c>
      <c r="D163" s="17"/>
      <c r="E163" s="18">
        <v>162</v>
      </c>
      <c r="F163" s="15" t="s">
        <v>353</v>
      </c>
      <c r="G163" s="17"/>
      <c r="H163" s="19"/>
      <c r="I163" s="19"/>
      <c r="J163" s="19"/>
      <c r="K163" t="str">
        <f t="shared" si="2"/>
        <v/>
      </c>
    </row>
    <row r="164" spans="1:11" ht="50.25" thickBot="1">
      <c r="A164" s="14">
        <v>163</v>
      </c>
      <c r="B164" s="15" t="s">
        <v>354</v>
      </c>
      <c r="C164" s="16" t="s">
        <v>1144</v>
      </c>
      <c r="D164" s="17"/>
      <c r="E164" s="18">
        <v>163</v>
      </c>
      <c r="F164" s="15" t="s">
        <v>355</v>
      </c>
      <c r="G164" s="17"/>
      <c r="H164" s="19"/>
      <c r="I164" s="19"/>
      <c r="J164" s="19"/>
      <c r="K164" t="str">
        <f t="shared" si="2"/>
        <v/>
      </c>
    </row>
    <row r="165" spans="1:11" ht="33.75" thickBot="1">
      <c r="A165" s="14">
        <v>164</v>
      </c>
      <c r="B165" s="15" t="s">
        <v>356</v>
      </c>
      <c r="C165" s="16" t="s">
        <v>1144</v>
      </c>
      <c r="D165" s="17"/>
      <c r="E165" s="18">
        <v>164</v>
      </c>
      <c r="F165" s="15" t="s">
        <v>357</v>
      </c>
      <c r="G165" s="17"/>
      <c r="H165" s="19"/>
      <c r="I165" s="19"/>
      <c r="J165" s="19"/>
      <c r="K165" t="str">
        <f t="shared" si="2"/>
        <v/>
      </c>
    </row>
    <row r="166" spans="1:11" ht="33.75" thickBot="1">
      <c r="A166" s="14">
        <v>165</v>
      </c>
      <c r="B166" s="15" t="s">
        <v>358</v>
      </c>
      <c r="C166" s="16" t="s">
        <v>1144</v>
      </c>
      <c r="D166" s="17"/>
      <c r="E166" s="18">
        <v>165</v>
      </c>
      <c r="F166" s="15" t="s">
        <v>359</v>
      </c>
      <c r="G166" s="17"/>
      <c r="H166" s="19"/>
      <c r="I166" s="19"/>
      <c r="J166" s="19"/>
      <c r="K166" t="str">
        <f t="shared" si="2"/>
        <v/>
      </c>
    </row>
    <row r="167" spans="1:11" ht="33.75" thickBot="1">
      <c r="A167" s="14">
        <v>166</v>
      </c>
      <c r="B167" s="15" t="s">
        <v>360</v>
      </c>
      <c r="C167" s="16" t="s">
        <v>1144</v>
      </c>
      <c r="D167" s="17"/>
      <c r="E167" s="18">
        <v>166</v>
      </c>
      <c r="F167" s="15" t="s">
        <v>361</v>
      </c>
      <c r="G167" s="17"/>
      <c r="H167" s="19"/>
      <c r="I167" s="19"/>
      <c r="J167" s="19"/>
      <c r="K167" t="str">
        <f t="shared" si="2"/>
        <v/>
      </c>
    </row>
    <row r="168" spans="1:11" ht="33.75" thickBot="1">
      <c r="A168" s="14">
        <v>167</v>
      </c>
      <c r="B168" s="15" t="s">
        <v>362</v>
      </c>
      <c r="C168" s="16" t="s">
        <v>1144</v>
      </c>
      <c r="D168" s="17"/>
      <c r="E168" s="18">
        <v>167</v>
      </c>
      <c r="F168" s="15" t="s">
        <v>363</v>
      </c>
      <c r="G168" s="17"/>
      <c r="H168" s="19"/>
      <c r="I168" s="19"/>
      <c r="J168" s="19"/>
      <c r="K168" t="str">
        <f t="shared" si="2"/>
        <v/>
      </c>
    </row>
    <row r="169" spans="1:11" ht="33.75" thickBot="1">
      <c r="A169" s="14">
        <v>168</v>
      </c>
      <c r="B169" s="15" t="s">
        <v>364</v>
      </c>
      <c r="C169" s="16" t="s">
        <v>1144</v>
      </c>
      <c r="D169" s="17"/>
      <c r="E169" s="18">
        <v>168</v>
      </c>
      <c r="F169" s="15" t="s">
        <v>365</v>
      </c>
      <c r="G169" s="17"/>
      <c r="H169" s="19"/>
      <c r="I169" s="19"/>
      <c r="J169" s="19"/>
      <c r="K169" t="str">
        <f t="shared" si="2"/>
        <v/>
      </c>
    </row>
    <row r="170" spans="1:11" ht="33.75" thickBot="1">
      <c r="A170" s="14">
        <v>169</v>
      </c>
      <c r="B170" s="15" t="s">
        <v>366</v>
      </c>
      <c r="C170" s="16" t="s">
        <v>1144</v>
      </c>
      <c r="D170" s="17"/>
      <c r="E170" s="18">
        <v>169</v>
      </c>
      <c r="F170" s="15" t="s">
        <v>367</v>
      </c>
      <c r="G170" s="17"/>
      <c r="H170" s="19"/>
      <c r="I170" s="19"/>
      <c r="J170" s="19"/>
      <c r="K170" t="str">
        <f t="shared" si="2"/>
        <v/>
      </c>
    </row>
    <row r="171" spans="1:11" ht="33.75" thickBot="1">
      <c r="A171" s="14">
        <v>170</v>
      </c>
      <c r="B171" s="15" t="s">
        <v>368</v>
      </c>
      <c r="C171" s="16" t="s">
        <v>1144</v>
      </c>
      <c r="D171" s="17"/>
      <c r="E171" s="18">
        <v>170</v>
      </c>
      <c r="F171" s="15" t="s">
        <v>369</v>
      </c>
      <c r="G171" s="17"/>
      <c r="H171" s="19"/>
      <c r="I171" s="19"/>
      <c r="J171" s="19"/>
      <c r="K171" t="str">
        <f t="shared" si="2"/>
        <v/>
      </c>
    </row>
    <row r="172" spans="1:11" ht="33.75" thickBot="1">
      <c r="A172" s="14">
        <v>171</v>
      </c>
      <c r="B172" s="15" t="s">
        <v>370</v>
      </c>
      <c r="C172" s="16" t="s">
        <v>1144</v>
      </c>
      <c r="D172" s="17"/>
      <c r="E172" s="18">
        <v>171</v>
      </c>
      <c r="F172" s="15" t="s">
        <v>371</v>
      </c>
      <c r="G172" s="17"/>
      <c r="H172" s="19"/>
      <c r="I172" s="19"/>
      <c r="J172" s="19"/>
      <c r="K172" t="str">
        <f t="shared" si="2"/>
        <v/>
      </c>
    </row>
    <row r="173" spans="1:11" ht="33.75" thickBot="1">
      <c r="A173" s="14">
        <v>172</v>
      </c>
      <c r="B173" s="15" t="s">
        <v>372</v>
      </c>
      <c r="C173" s="16" t="s">
        <v>1145</v>
      </c>
      <c r="D173" s="17"/>
      <c r="E173" s="18">
        <v>172</v>
      </c>
      <c r="F173" s="15" t="s">
        <v>373</v>
      </c>
      <c r="G173" s="17"/>
      <c r="H173" s="19"/>
      <c r="I173" s="19"/>
      <c r="J173" s="19"/>
      <c r="K173" t="str">
        <f t="shared" si="2"/>
        <v>1</v>
      </c>
    </row>
    <row r="174" spans="1:11" ht="33.75" thickBot="1">
      <c r="A174" s="14">
        <v>173</v>
      </c>
      <c r="B174" s="15" t="s">
        <v>374</v>
      </c>
      <c r="C174" s="16" t="s">
        <v>1144</v>
      </c>
      <c r="D174" s="17"/>
      <c r="E174" s="18">
        <v>173</v>
      </c>
      <c r="F174" s="15" t="s">
        <v>375</v>
      </c>
      <c r="G174" s="17"/>
      <c r="H174" s="19"/>
      <c r="I174" s="19"/>
      <c r="J174" s="19"/>
      <c r="K174" t="str">
        <f t="shared" si="2"/>
        <v/>
      </c>
    </row>
    <row r="175" spans="1:11" ht="33.75" thickBot="1">
      <c r="A175" s="14">
        <v>174</v>
      </c>
      <c r="B175" s="15" t="s">
        <v>376</v>
      </c>
      <c r="C175" s="16" t="s">
        <v>1144</v>
      </c>
      <c r="D175" s="17"/>
      <c r="E175" s="18">
        <v>174</v>
      </c>
      <c r="F175" s="15" t="s">
        <v>377</v>
      </c>
      <c r="G175" s="17"/>
      <c r="H175" s="19"/>
      <c r="I175" s="19"/>
      <c r="J175" s="19"/>
      <c r="K175" t="str">
        <f t="shared" si="2"/>
        <v/>
      </c>
    </row>
    <row r="176" spans="1:11" ht="33.75" thickBot="1">
      <c r="A176" s="14">
        <v>175</v>
      </c>
      <c r="B176" s="15" t="s">
        <v>378</v>
      </c>
      <c r="C176" s="16" t="s">
        <v>1146</v>
      </c>
      <c r="D176" s="17"/>
      <c r="E176" s="18">
        <v>175</v>
      </c>
      <c r="F176" s="15" t="s">
        <v>379</v>
      </c>
      <c r="G176" s="17"/>
      <c r="H176" s="19"/>
      <c r="I176" s="19"/>
      <c r="J176" s="19"/>
      <c r="K176" t="str">
        <f t="shared" si="2"/>
        <v/>
      </c>
    </row>
    <row r="177" spans="1:11" ht="33.75" thickBot="1">
      <c r="A177" s="14">
        <v>176</v>
      </c>
      <c r="B177" s="15" t="s">
        <v>380</v>
      </c>
      <c r="C177" s="16" t="s">
        <v>1144</v>
      </c>
      <c r="D177" s="17"/>
      <c r="E177" s="18">
        <v>176</v>
      </c>
      <c r="F177" s="15" t="s">
        <v>381</v>
      </c>
      <c r="G177" s="17"/>
      <c r="H177" s="19"/>
      <c r="I177" s="19"/>
      <c r="J177" s="19"/>
      <c r="K177" t="str">
        <f t="shared" si="2"/>
        <v/>
      </c>
    </row>
    <row r="178" spans="1:11" ht="33.75" thickBot="1">
      <c r="A178" s="14">
        <v>177</v>
      </c>
      <c r="B178" s="15" t="s">
        <v>382</v>
      </c>
      <c r="C178" s="16" t="s">
        <v>1144</v>
      </c>
      <c r="D178" s="17"/>
      <c r="E178" s="18">
        <v>177</v>
      </c>
      <c r="F178" s="15" t="s">
        <v>383</v>
      </c>
      <c r="G178" s="17"/>
      <c r="H178" s="19"/>
      <c r="I178" s="19"/>
      <c r="J178" s="19"/>
      <c r="K178" t="str">
        <f t="shared" si="2"/>
        <v/>
      </c>
    </row>
    <row r="179" spans="1:11" ht="50.25" thickBot="1">
      <c r="A179" s="14">
        <v>178</v>
      </c>
      <c r="B179" s="15" t="s">
        <v>384</v>
      </c>
      <c r="C179" s="16" t="s">
        <v>1146</v>
      </c>
      <c r="D179" s="17"/>
      <c r="E179" s="18">
        <v>178</v>
      </c>
      <c r="F179" s="15" t="s">
        <v>385</v>
      </c>
      <c r="G179" s="17"/>
      <c r="H179" s="19"/>
      <c r="I179" s="19"/>
      <c r="J179" s="19"/>
      <c r="K179" t="str">
        <f t="shared" si="2"/>
        <v/>
      </c>
    </row>
    <row r="180" spans="1:11" ht="50.25" thickBot="1">
      <c r="A180" s="14">
        <v>179</v>
      </c>
      <c r="B180" s="15" t="s">
        <v>386</v>
      </c>
      <c r="C180" s="16" t="s">
        <v>1144</v>
      </c>
      <c r="D180" s="17"/>
      <c r="E180" s="18">
        <v>179</v>
      </c>
      <c r="F180" s="15" t="s">
        <v>387</v>
      </c>
      <c r="G180" s="17"/>
      <c r="H180" s="19"/>
      <c r="I180" s="19"/>
      <c r="J180" s="19"/>
      <c r="K180" t="str">
        <f t="shared" si="2"/>
        <v/>
      </c>
    </row>
    <row r="181" spans="1:11" ht="33.75" thickBot="1">
      <c r="A181" s="14">
        <v>180</v>
      </c>
      <c r="B181" s="15" t="s">
        <v>388</v>
      </c>
      <c r="C181" s="16" t="s">
        <v>1146</v>
      </c>
      <c r="D181" s="17"/>
      <c r="E181" s="18">
        <v>180</v>
      </c>
      <c r="F181" s="15" t="s">
        <v>389</v>
      </c>
      <c r="G181" s="17"/>
      <c r="H181" s="19"/>
      <c r="I181" s="19"/>
      <c r="J181" s="19"/>
      <c r="K181" t="str">
        <f t="shared" si="2"/>
        <v/>
      </c>
    </row>
    <row r="182" spans="1:11" ht="33.75" thickBot="1">
      <c r="A182" s="14">
        <v>181</v>
      </c>
      <c r="B182" s="15" t="s">
        <v>390</v>
      </c>
      <c r="C182" s="16" t="s">
        <v>1149</v>
      </c>
      <c r="D182" s="17"/>
      <c r="E182" s="18">
        <v>181</v>
      </c>
      <c r="F182" s="15" t="s">
        <v>391</v>
      </c>
      <c r="G182" s="17"/>
      <c r="H182" s="19"/>
      <c r="I182" s="19"/>
      <c r="J182" s="19"/>
      <c r="K182" t="str">
        <f t="shared" si="2"/>
        <v>1</v>
      </c>
    </row>
    <row r="183" spans="1:11" ht="50.25" thickBot="1">
      <c r="A183" s="14">
        <v>182</v>
      </c>
      <c r="B183" s="15" t="s">
        <v>392</v>
      </c>
      <c r="C183" s="16" t="s">
        <v>1144</v>
      </c>
      <c r="D183" s="17"/>
      <c r="E183" s="18">
        <v>182</v>
      </c>
      <c r="F183" s="15" t="s">
        <v>393</v>
      </c>
      <c r="G183" s="17"/>
      <c r="H183" s="19"/>
      <c r="I183" s="19"/>
      <c r="J183" s="19"/>
      <c r="K183" t="str">
        <f t="shared" si="2"/>
        <v/>
      </c>
    </row>
    <row r="184" spans="1:11" ht="33.75" thickBot="1">
      <c r="A184" s="14">
        <v>183</v>
      </c>
      <c r="B184" s="15" t="s">
        <v>394</v>
      </c>
      <c r="C184" s="16" t="s">
        <v>1148</v>
      </c>
      <c r="D184" s="17"/>
      <c r="E184" s="18">
        <v>183</v>
      </c>
      <c r="F184" s="15" t="s">
        <v>395</v>
      </c>
      <c r="G184" s="17"/>
      <c r="H184" s="19"/>
      <c r="I184" s="19"/>
      <c r="J184" s="19"/>
      <c r="K184" t="str">
        <f t="shared" si="2"/>
        <v>1</v>
      </c>
    </row>
    <row r="185" spans="1:11" ht="33.75" thickBot="1">
      <c r="A185" s="14">
        <v>184</v>
      </c>
      <c r="B185" s="15" t="s">
        <v>396</v>
      </c>
      <c r="C185" s="16" t="s">
        <v>1144</v>
      </c>
      <c r="D185" s="17"/>
      <c r="E185" s="18">
        <v>184</v>
      </c>
      <c r="F185" s="15" t="s">
        <v>397</v>
      </c>
      <c r="G185" s="17"/>
      <c r="H185" s="19"/>
      <c r="I185" s="19"/>
      <c r="J185" s="19"/>
      <c r="K185" t="str">
        <f t="shared" si="2"/>
        <v/>
      </c>
    </row>
    <row r="186" spans="1:11" ht="33.75" thickBot="1">
      <c r="A186" s="14">
        <v>185</v>
      </c>
      <c r="B186" s="15" t="s">
        <v>398</v>
      </c>
      <c r="C186" s="16" t="s">
        <v>1144</v>
      </c>
      <c r="D186" s="17"/>
      <c r="E186" s="18">
        <v>185</v>
      </c>
      <c r="F186" s="15" t="s">
        <v>399</v>
      </c>
      <c r="G186" s="17"/>
      <c r="H186" s="19"/>
      <c r="I186" s="19"/>
      <c r="J186" s="19"/>
      <c r="K186" t="str">
        <f t="shared" si="2"/>
        <v/>
      </c>
    </row>
    <row r="187" spans="1:11" ht="33.75" thickBot="1">
      <c r="A187" s="14">
        <v>186</v>
      </c>
      <c r="B187" s="15" t="s">
        <v>400</v>
      </c>
      <c r="C187" s="16" t="s">
        <v>1148</v>
      </c>
      <c r="D187" s="17"/>
      <c r="E187" s="18">
        <v>186</v>
      </c>
      <c r="F187" s="15" t="s">
        <v>401</v>
      </c>
      <c r="G187" s="17"/>
      <c r="H187" s="19"/>
      <c r="I187" s="19"/>
      <c r="J187" s="19"/>
      <c r="K187" t="str">
        <f t="shared" si="2"/>
        <v>1</v>
      </c>
    </row>
    <row r="188" spans="1:11" ht="33.75" thickBot="1">
      <c r="A188" s="14">
        <v>187</v>
      </c>
      <c r="B188" s="15" t="s">
        <v>402</v>
      </c>
      <c r="C188" s="16" t="s">
        <v>1144</v>
      </c>
      <c r="D188" s="17"/>
      <c r="E188" s="18">
        <v>187</v>
      </c>
      <c r="F188" s="15" t="s">
        <v>403</v>
      </c>
      <c r="G188" s="17"/>
      <c r="H188" s="19"/>
      <c r="I188" s="19"/>
      <c r="J188" s="19"/>
      <c r="K188" t="str">
        <f t="shared" si="2"/>
        <v/>
      </c>
    </row>
    <row r="189" spans="1:11" ht="33.75" thickBot="1">
      <c r="A189" s="14">
        <v>188</v>
      </c>
      <c r="B189" s="15" t="s">
        <v>404</v>
      </c>
      <c r="C189" s="16" t="s">
        <v>1149</v>
      </c>
      <c r="D189" s="17"/>
      <c r="E189" s="18">
        <v>188</v>
      </c>
      <c r="F189" s="15" t="s">
        <v>405</v>
      </c>
      <c r="G189" s="17"/>
      <c r="H189" s="19"/>
      <c r="I189" s="19"/>
      <c r="J189" s="19"/>
      <c r="K189" t="str">
        <f t="shared" si="2"/>
        <v>1</v>
      </c>
    </row>
    <row r="190" spans="1:11" ht="50.25" thickBot="1">
      <c r="A190" s="14">
        <v>189</v>
      </c>
      <c r="B190" s="15" t="s">
        <v>406</v>
      </c>
      <c r="C190" s="16" t="s">
        <v>1144</v>
      </c>
      <c r="D190" s="17"/>
      <c r="E190" s="18">
        <v>189</v>
      </c>
      <c r="F190" s="15" t="s">
        <v>407</v>
      </c>
      <c r="G190" s="17"/>
      <c r="H190" s="19"/>
      <c r="I190" s="19"/>
      <c r="J190" s="19"/>
      <c r="K190" t="str">
        <f t="shared" si="2"/>
        <v/>
      </c>
    </row>
    <row r="191" spans="1:11" ht="33.75" thickBot="1">
      <c r="A191" s="14">
        <v>190</v>
      </c>
      <c r="B191" s="15" t="s">
        <v>408</v>
      </c>
      <c r="C191" s="16" t="s">
        <v>1144</v>
      </c>
      <c r="D191" s="17"/>
      <c r="E191" s="18">
        <v>190</v>
      </c>
      <c r="F191" s="15" t="s">
        <v>409</v>
      </c>
      <c r="G191" s="17"/>
      <c r="H191" s="19"/>
      <c r="I191" s="19"/>
      <c r="J191" s="19"/>
      <c r="K191" t="str">
        <f t="shared" si="2"/>
        <v/>
      </c>
    </row>
    <row r="192" spans="1:11" ht="33.75" thickBot="1">
      <c r="A192" s="14">
        <v>191</v>
      </c>
      <c r="B192" s="15" t="s">
        <v>410</v>
      </c>
      <c r="C192" s="16" t="s">
        <v>1149</v>
      </c>
      <c r="D192" s="17"/>
      <c r="E192" s="18">
        <v>191</v>
      </c>
      <c r="F192" s="15" t="s">
        <v>411</v>
      </c>
      <c r="G192" s="17"/>
      <c r="H192" s="19"/>
      <c r="I192" s="19"/>
      <c r="J192" s="19"/>
      <c r="K192" t="str">
        <f t="shared" si="2"/>
        <v>1</v>
      </c>
    </row>
    <row r="193" spans="1:11" ht="33.75" thickBot="1">
      <c r="A193" s="14">
        <v>192</v>
      </c>
      <c r="B193" s="15" t="s">
        <v>412</v>
      </c>
      <c r="C193" s="16" t="s">
        <v>1144</v>
      </c>
      <c r="D193" s="17"/>
      <c r="E193" s="18">
        <v>192</v>
      </c>
      <c r="F193" s="15" t="s">
        <v>413</v>
      </c>
      <c r="G193" s="17"/>
      <c r="H193" s="19"/>
      <c r="I193" s="19"/>
      <c r="J193" s="19"/>
      <c r="K193" t="str">
        <f t="shared" si="2"/>
        <v/>
      </c>
    </row>
    <row r="194" spans="1:11" ht="33.75" thickBot="1">
      <c r="A194" s="14">
        <v>193</v>
      </c>
      <c r="B194" s="15" t="s">
        <v>414</v>
      </c>
      <c r="C194" s="16" t="s">
        <v>1144</v>
      </c>
      <c r="D194" s="17"/>
      <c r="E194" s="18">
        <v>193</v>
      </c>
      <c r="F194" s="15" t="s">
        <v>415</v>
      </c>
      <c r="G194" s="17"/>
      <c r="H194" s="19"/>
      <c r="I194" s="19"/>
      <c r="J194" s="19"/>
      <c r="K194" t="str">
        <f t="shared" si="2"/>
        <v/>
      </c>
    </row>
    <row r="195" spans="1:11" ht="17.25" thickBot="1">
      <c r="A195" s="14">
        <v>194</v>
      </c>
      <c r="B195" s="15" t="s">
        <v>416</v>
      </c>
      <c r="C195" s="16" t="s">
        <v>1144</v>
      </c>
      <c r="D195" s="17"/>
      <c r="E195" s="18">
        <v>194</v>
      </c>
      <c r="F195" s="15" t="s">
        <v>417</v>
      </c>
      <c r="G195" s="17"/>
      <c r="H195" s="19"/>
      <c r="I195" s="19"/>
      <c r="J195" s="19"/>
      <c r="K195" t="str">
        <f t="shared" ref="K195:K258" si="3">LEFT(C195,LEN(C195)-1)</f>
        <v/>
      </c>
    </row>
    <row r="196" spans="1:11" ht="50.25" thickBot="1">
      <c r="A196" s="14">
        <v>195</v>
      </c>
      <c r="B196" s="15" t="s">
        <v>418</v>
      </c>
      <c r="C196" s="16" t="s">
        <v>1144</v>
      </c>
      <c r="D196" s="17"/>
      <c r="E196" s="18">
        <v>195</v>
      </c>
      <c r="F196" s="15" t="s">
        <v>419</v>
      </c>
      <c r="G196" s="17"/>
      <c r="H196" s="19"/>
      <c r="I196" s="19"/>
      <c r="J196" s="19"/>
      <c r="K196" t="str">
        <f t="shared" si="3"/>
        <v/>
      </c>
    </row>
    <row r="197" spans="1:11" ht="33.75" thickBot="1">
      <c r="A197" s="14">
        <v>196</v>
      </c>
      <c r="B197" s="15" t="s">
        <v>420</v>
      </c>
      <c r="C197" s="16" t="s">
        <v>1144</v>
      </c>
      <c r="D197" s="17"/>
      <c r="E197" s="18">
        <v>196</v>
      </c>
      <c r="F197" s="15" t="s">
        <v>421</v>
      </c>
      <c r="G197" s="17"/>
      <c r="H197" s="19"/>
      <c r="I197" s="19"/>
      <c r="J197" s="19"/>
      <c r="K197" t="str">
        <f t="shared" si="3"/>
        <v/>
      </c>
    </row>
    <row r="198" spans="1:11" ht="33.75" thickBot="1">
      <c r="A198" s="14">
        <v>197</v>
      </c>
      <c r="B198" s="15" t="s">
        <v>422</v>
      </c>
      <c r="C198" s="16" t="s">
        <v>1144</v>
      </c>
      <c r="D198" s="17"/>
      <c r="E198" s="18">
        <v>197</v>
      </c>
      <c r="F198" s="15" t="s">
        <v>423</v>
      </c>
      <c r="G198" s="17"/>
      <c r="H198" s="19"/>
      <c r="I198" s="19"/>
      <c r="J198" s="19"/>
      <c r="K198" t="str">
        <f t="shared" si="3"/>
        <v/>
      </c>
    </row>
    <row r="199" spans="1:11" ht="33.75" thickBot="1">
      <c r="A199" s="14">
        <v>198</v>
      </c>
      <c r="B199" s="15" t="s">
        <v>424</v>
      </c>
      <c r="C199" s="16" t="s">
        <v>1144</v>
      </c>
      <c r="D199" s="17"/>
      <c r="E199" s="18">
        <v>198</v>
      </c>
      <c r="F199" s="15" t="s">
        <v>425</v>
      </c>
      <c r="G199" s="17"/>
      <c r="H199" s="19"/>
      <c r="I199" s="19"/>
      <c r="J199" s="19"/>
      <c r="K199" t="str">
        <f t="shared" si="3"/>
        <v/>
      </c>
    </row>
    <row r="200" spans="1:11" ht="33.75" thickBot="1">
      <c r="A200" s="14">
        <v>199</v>
      </c>
      <c r="B200" s="15" t="s">
        <v>426</v>
      </c>
      <c r="C200" s="16" t="s">
        <v>1144</v>
      </c>
      <c r="D200" s="17"/>
      <c r="E200" s="18">
        <v>199</v>
      </c>
      <c r="F200" s="15" t="s">
        <v>427</v>
      </c>
      <c r="G200" s="17"/>
      <c r="H200" s="19"/>
      <c r="I200" s="19"/>
      <c r="J200" s="19"/>
      <c r="K200" t="str">
        <f t="shared" si="3"/>
        <v/>
      </c>
    </row>
    <row r="201" spans="1:11" ht="33.75" thickBot="1">
      <c r="A201" s="14">
        <v>200</v>
      </c>
      <c r="B201" s="15" t="s">
        <v>428</v>
      </c>
      <c r="C201" s="16" t="s">
        <v>1149</v>
      </c>
      <c r="D201" s="17"/>
      <c r="E201" s="18">
        <v>200</v>
      </c>
      <c r="F201" s="15" t="s">
        <v>429</v>
      </c>
      <c r="G201" s="17"/>
      <c r="H201" s="19"/>
      <c r="I201" s="19"/>
      <c r="J201" s="19"/>
      <c r="K201" t="str">
        <f t="shared" si="3"/>
        <v>1</v>
      </c>
    </row>
    <row r="202" spans="1:11" ht="33.75" thickBot="1">
      <c r="A202" s="14">
        <v>201</v>
      </c>
      <c r="B202" s="15" t="s">
        <v>430</v>
      </c>
      <c r="C202" s="16" t="s">
        <v>1144</v>
      </c>
      <c r="D202" s="17"/>
      <c r="E202" s="18">
        <v>201</v>
      </c>
      <c r="F202" s="15" t="s">
        <v>431</v>
      </c>
      <c r="G202" s="17"/>
      <c r="H202" s="19"/>
      <c r="I202" s="19"/>
      <c r="J202" s="19"/>
      <c r="K202" t="str">
        <f t="shared" si="3"/>
        <v/>
      </c>
    </row>
    <row r="203" spans="1:11" ht="50.25" thickBot="1">
      <c r="A203" s="14">
        <v>202</v>
      </c>
      <c r="B203" s="15" t="s">
        <v>432</v>
      </c>
      <c r="C203" s="16" t="s">
        <v>1144</v>
      </c>
      <c r="D203" s="17"/>
      <c r="E203" s="18">
        <v>202</v>
      </c>
      <c r="F203" s="15" t="s">
        <v>433</v>
      </c>
      <c r="G203" s="17"/>
      <c r="H203" s="19"/>
      <c r="I203" s="19"/>
      <c r="J203" s="19"/>
      <c r="K203" t="str">
        <f t="shared" si="3"/>
        <v/>
      </c>
    </row>
    <row r="204" spans="1:11" ht="33.75" thickBot="1">
      <c r="A204" s="14">
        <v>203</v>
      </c>
      <c r="B204" s="15" t="s">
        <v>434</v>
      </c>
      <c r="C204" s="16" t="s">
        <v>1145</v>
      </c>
      <c r="D204" s="17"/>
      <c r="E204" s="18">
        <v>203</v>
      </c>
      <c r="F204" s="15" t="s">
        <v>435</v>
      </c>
      <c r="G204" s="17"/>
      <c r="H204" s="19"/>
      <c r="I204" s="19"/>
      <c r="J204" s="19"/>
      <c r="K204" t="str">
        <f t="shared" si="3"/>
        <v>1</v>
      </c>
    </row>
    <row r="205" spans="1:11" ht="33.75" thickBot="1">
      <c r="A205" s="14">
        <v>204</v>
      </c>
      <c r="B205" s="15" t="s">
        <v>436</v>
      </c>
      <c r="C205" s="16" t="s">
        <v>1145</v>
      </c>
      <c r="D205" s="17"/>
      <c r="E205" s="18">
        <v>204</v>
      </c>
      <c r="F205" s="15" t="s">
        <v>437</v>
      </c>
      <c r="G205" s="17"/>
      <c r="H205" s="19"/>
      <c r="I205" s="19"/>
      <c r="J205" s="19"/>
      <c r="K205" t="str">
        <f t="shared" si="3"/>
        <v>1</v>
      </c>
    </row>
    <row r="206" spans="1:11" ht="33.75" thickBot="1">
      <c r="A206" s="14">
        <v>205</v>
      </c>
      <c r="B206" s="15" t="s">
        <v>438</v>
      </c>
      <c r="C206" s="16" t="s">
        <v>1144</v>
      </c>
      <c r="D206" s="17"/>
      <c r="E206" s="18">
        <v>205</v>
      </c>
      <c r="F206" s="15" t="s">
        <v>439</v>
      </c>
      <c r="G206" s="17"/>
      <c r="H206" s="19"/>
      <c r="I206" s="19"/>
      <c r="J206" s="19"/>
      <c r="K206" t="str">
        <f t="shared" si="3"/>
        <v/>
      </c>
    </row>
    <row r="207" spans="1:11" ht="33.75" thickBot="1">
      <c r="A207" s="14">
        <v>206</v>
      </c>
      <c r="B207" s="15" t="s">
        <v>440</v>
      </c>
      <c r="C207" s="16" t="s">
        <v>1145</v>
      </c>
      <c r="D207" s="17"/>
      <c r="E207" s="18">
        <v>206</v>
      </c>
      <c r="F207" s="15" t="s">
        <v>441</v>
      </c>
      <c r="G207" s="17"/>
      <c r="H207" s="19"/>
      <c r="I207" s="19"/>
      <c r="J207" s="19"/>
      <c r="K207" t="str">
        <f t="shared" si="3"/>
        <v>1</v>
      </c>
    </row>
    <row r="208" spans="1:11" ht="33.75" thickBot="1">
      <c r="A208" s="14">
        <v>207</v>
      </c>
      <c r="B208" s="15" t="s">
        <v>442</v>
      </c>
      <c r="C208" s="16" t="s">
        <v>1144</v>
      </c>
      <c r="D208" s="17"/>
      <c r="E208" s="18">
        <v>207</v>
      </c>
      <c r="F208" s="15" t="s">
        <v>443</v>
      </c>
      <c r="G208" s="17"/>
      <c r="H208" s="19"/>
      <c r="I208" s="19"/>
      <c r="J208" s="19"/>
      <c r="K208" t="str">
        <f t="shared" si="3"/>
        <v/>
      </c>
    </row>
    <row r="209" spans="1:11" ht="33.75" thickBot="1">
      <c r="A209" s="14">
        <v>208</v>
      </c>
      <c r="B209" s="15" t="s">
        <v>444</v>
      </c>
      <c r="C209" s="16" t="s">
        <v>1144</v>
      </c>
      <c r="D209" s="17"/>
      <c r="E209" s="18">
        <v>208</v>
      </c>
      <c r="F209" s="15" t="s">
        <v>445</v>
      </c>
      <c r="G209" s="17"/>
      <c r="H209" s="19"/>
      <c r="I209" s="19"/>
      <c r="J209" s="19"/>
      <c r="K209" t="str">
        <f t="shared" si="3"/>
        <v/>
      </c>
    </row>
    <row r="210" spans="1:11" ht="33.75" thickBot="1">
      <c r="A210" s="14">
        <v>209</v>
      </c>
      <c r="B210" s="15" t="s">
        <v>446</v>
      </c>
      <c r="C210" s="16" t="s">
        <v>1144</v>
      </c>
      <c r="D210" s="17"/>
      <c r="E210" s="18">
        <v>209</v>
      </c>
      <c r="F210" s="15" t="s">
        <v>447</v>
      </c>
      <c r="G210" s="17"/>
      <c r="H210" s="19"/>
      <c r="I210" s="19"/>
      <c r="J210" s="19"/>
      <c r="K210" t="str">
        <f t="shared" si="3"/>
        <v/>
      </c>
    </row>
    <row r="211" spans="1:11" ht="50.25" thickBot="1">
      <c r="A211" s="14">
        <v>210</v>
      </c>
      <c r="B211" s="15" t="s">
        <v>448</v>
      </c>
      <c r="C211" s="16" t="s">
        <v>1145</v>
      </c>
      <c r="D211" s="17"/>
      <c r="E211" s="18">
        <v>210</v>
      </c>
      <c r="F211" s="15" t="s">
        <v>449</v>
      </c>
      <c r="G211" s="17"/>
      <c r="H211" s="19"/>
      <c r="I211" s="19"/>
      <c r="J211" s="19"/>
      <c r="K211" t="str">
        <f t="shared" si="3"/>
        <v>1</v>
      </c>
    </row>
    <row r="212" spans="1:11" ht="33.75" thickBot="1">
      <c r="A212" s="14">
        <v>211</v>
      </c>
      <c r="B212" s="15" t="s">
        <v>450</v>
      </c>
      <c r="C212" s="16" t="s">
        <v>1149</v>
      </c>
      <c r="D212" s="17"/>
      <c r="E212" s="18">
        <v>211</v>
      </c>
      <c r="F212" s="15" t="s">
        <v>451</v>
      </c>
      <c r="G212" s="17"/>
      <c r="H212" s="19"/>
      <c r="I212" s="19"/>
      <c r="J212" s="19"/>
      <c r="K212" t="str">
        <f t="shared" si="3"/>
        <v>1</v>
      </c>
    </row>
    <row r="213" spans="1:11" ht="33.75" thickBot="1">
      <c r="A213" s="14">
        <v>212</v>
      </c>
      <c r="B213" s="15" t="s">
        <v>452</v>
      </c>
      <c r="C213" s="16" t="s">
        <v>1144</v>
      </c>
      <c r="D213" s="17"/>
      <c r="E213" s="18">
        <v>212</v>
      </c>
      <c r="F213" s="15" t="s">
        <v>453</v>
      </c>
      <c r="G213" s="17"/>
      <c r="H213" s="19"/>
      <c r="I213" s="19"/>
      <c r="J213" s="19"/>
      <c r="K213" t="str">
        <f t="shared" si="3"/>
        <v/>
      </c>
    </row>
    <row r="214" spans="1:11" ht="33.75" thickBot="1">
      <c r="A214" s="14">
        <v>213</v>
      </c>
      <c r="B214" s="15" t="s">
        <v>454</v>
      </c>
      <c r="C214" s="16" t="s">
        <v>1144</v>
      </c>
      <c r="D214" s="17"/>
      <c r="E214" s="18">
        <v>213</v>
      </c>
      <c r="F214" s="15" t="s">
        <v>455</v>
      </c>
      <c r="G214" s="17"/>
      <c r="H214" s="19"/>
      <c r="I214" s="19"/>
      <c r="J214" s="19"/>
      <c r="K214" t="str">
        <f t="shared" si="3"/>
        <v/>
      </c>
    </row>
    <row r="215" spans="1:11" ht="33.75" thickBot="1">
      <c r="A215" s="14">
        <v>214</v>
      </c>
      <c r="B215" s="15" t="s">
        <v>456</v>
      </c>
      <c r="C215" s="16" t="s">
        <v>1149</v>
      </c>
      <c r="D215" s="17"/>
      <c r="E215" s="18">
        <v>214</v>
      </c>
      <c r="F215" s="15" t="s">
        <v>457</v>
      </c>
      <c r="G215" s="17"/>
      <c r="H215" s="19"/>
      <c r="I215" s="19"/>
      <c r="J215" s="19"/>
      <c r="K215" t="str">
        <f t="shared" si="3"/>
        <v>1</v>
      </c>
    </row>
    <row r="216" spans="1:11" ht="33.75" thickBot="1">
      <c r="A216" s="14">
        <v>215</v>
      </c>
      <c r="B216" s="15" t="s">
        <v>458</v>
      </c>
      <c r="C216" s="16" t="s">
        <v>1144</v>
      </c>
      <c r="D216" s="17"/>
      <c r="E216" s="18">
        <v>215</v>
      </c>
      <c r="F216" s="15" t="s">
        <v>459</v>
      </c>
      <c r="G216" s="17"/>
      <c r="H216" s="19"/>
      <c r="I216" s="19"/>
      <c r="J216" s="19"/>
      <c r="K216" t="str">
        <f t="shared" si="3"/>
        <v/>
      </c>
    </row>
    <row r="217" spans="1:11" ht="33.75" thickBot="1">
      <c r="A217" s="14">
        <v>216</v>
      </c>
      <c r="B217" s="15" t="s">
        <v>460</v>
      </c>
      <c r="C217" s="16" t="s">
        <v>1148</v>
      </c>
      <c r="D217" s="17"/>
      <c r="E217" s="18">
        <v>216</v>
      </c>
      <c r="F217" s="15" t="s">
        <v>461</v>
      </c>
      <c r="G217" s="17"/>
      <c r="H217" s="19"/>
      <c r="I217" s="19"/>
      <c r="J217" s="19"/>
      <c r="K217" t="str">
        <f t="shared" si="3"/>
        <v>1</v>
      </c>
    </row>
    <row r="218" spans="1:11" ht="33.75" thickBot="1">
      <c r="A218" s="14">
        <v>217</v>
      </c>
      <c r="B218" s="15" t="s">
        <v>462</v>
      </c>
      <c r="C218" s="16" t="s">
        <v>1145</v>
      </c>
      <c r="D218" s="17"/>
      <c r="E218" s="18">
        <v>217</v>
      </c>
      <c r="F218" s="15" t="s">
        <v>463</v>
      </c>
      <c r="G218" s="17"/>
      <c r="H218" s="19"/>
      <c r="I218" s="19"/>
      <c r="J218" s="19"/>
      <c r="K218" t="str">
        <f t="shared" si="3"/>
        <v>1</v>
      </c>
    </row>
    <row r="219" spans="1:11" ht="33.75" thickBot="1">
      <c r="A219" s="14">
        <v>218</v>
      </c>
      <c r="B219" s="15" t="s">
        <v>464</v>
      </c>
      <c r="C219" s="16" t="s">
        <v>1149</v>
      </c>
      <c r="D219" s="17"/>
      <c r="E219" s="18">
        <v>218</v>
      </c>
      <c r="F219" s="15" t="s">
        <v>465</v>
      </c>
      <c r="G219" s="17"/>
      <c r="H219" s="19"/>
      <c r="I219" s="19"/>
      <c r="J219" s="19"/>
      <c r="K219" t="str">
        <f t="shared" si="3"/>
        <v>1</v>
      </c>
    </row>
    <row r="220" spans="1:11" ht="33.75" thickBot="1">
      <c r="A220" s="14">
        <v>219</v>
      </c>
      <c r="B220" s="15" t="s">
        <v>466</v>
      </c>
      <c r="C220" s="16" t="s">
        <v>1144</v>
      </c>
      <c r="D220" s="17"/>
      <c r="E220" s="18">
        <v>219</v>
      </c>
      <c r="F220" s="15" t="s">
        <v>467</v>
      </c>
      <c r="G220" s="17"/>
      <c r="H220" s="19"/>
      <c r="I220" s="19"/>
      <c r="J220" s="19"/>
      <c r="K220" t="str">
        <f t="shared" si="3"/>
        <v/>
      </c>
    </row>
    <row r="221" spans="1:11" ht="33.75" thickBot="1">
      <c r="A221" s="14">
        <v>220</v>
      </c>
      <c r="B221" s="15" t="s">
        <v>468</v>
      </c>
      <c r="C221" s="16" t="s">
        <v>1144</v>
      </c>
      <c r="D221" s="17"/>
      <c r="E221" s="18">
        <v>220</v>
      </c>
      <c r="F221" s="15" t="s">
        <v>469</v>
      </c>
      <c r="G221" s="17"/>
      <c r="H221" s="19"/>
      <c r="I221" s="19"/>
      <c r="J221" s="19"/>
      <c r="K221" t="str">
        <f t="shared" si="3"/>
        <v/>
      </c>
    </row>
    <row r="222" spans="1:11" ht="33.75" thickBot="1">
      <c r="A222" s="14">
        <v>221</v>
      </c>
      <c r="B222" s="15" t="s">
        <v>470</v>
      </c>
      <c r="C222" s="16" t="s">
        <v>1144</v>
      </c>
      <c r="D222" s="17"/>
      <c r="E222" s="18">
        <v>221</v>
      </c>
      <c r="F222" s="15" t="s">
        <v>471</v>
      </c>
      <c r="G222" s="17"/>
      <c r="H222" s="19"/>
      <c r="I222" s="19"/>
      <c r="J222" s="19"/>
      <c r="K222" t="str">
        <f t="shared" si="3"/>
        <v/>
      </c>
    </row>
    <row r="223" spans="1:11" ht="33.75" thickBot="1">
      <c r="A223" s="14">
        <v>222</v>
      </c>
      <c r="B223" s="15" t="s">
        <v>472</v>
      </c>
      <c r="C223" s="16" t="s">
        <v>1144</v>
      </c>
      <c r="D223" s="17"/>
      <c r="E223" s="18">
        <v>222</v>
      </c>
      <c r="F223" s="15" t="s">
        <v>473</v>
      </c>
      <c r="G223" s="17"/>
      <c r="H223" s="19"/>
      <c r="I223" s="19"/>
      <c r="J223" s="19"/>
      <c r="K223" t="str">
        <f t="shared" si="3"/>
        <v/>
      </c>
    </row>
    <row r="224" spans="1:11" ht="33.75" thickBot="1">
      <c r="A224" s="14">
        <v>223</v>
      </c>
      <c r="B224" s="15" t="s">
        <v>474</v>
      </c>
      <c r="C224" s="16" t="s">
        <v>1147</v>
      </c>
      <c r="D224" s="17"/>
      <c r="E224" s="18">
        <v>223</v>
      </c>
      <c r="F224" s="15" t="s">
        <v>475</v>
      </c>
      <c r="G224" s="17"/>
      <c r="H224" s="19"/>
      <c r="I224" s="19"/>
      <c r="J224" s="19"/>
      <c r="K224" t="str">
        <f t="shared" si="3"/>
        <v/>
      </c>
    </row>
    <row r="225" spans="1:11" ht="50.25" thickBot="1">
      <c r="A225" s="14">
        <v>224</v>
      </c>
      <c r="B225" s="15" t="s">
        <v>476</v>
      </c>
      <c r="C225" s="16" t="s">
        <v>1144</v>
      </c>
      <c r="D225" s="17"/>
      <c r="E225" s="18">
        <v>224</v>
      </c>
      <c r="F225" s="15" t="s">
        <v>477</v>
      </c>
      <c r="G225" s="17"/>
      <c r="H225" s="19"/>
      <c r="I225" s="19"/>
      <c r="J225" s="19"/>
      <c r="K225" t="str">
        <f t="shared" si="3"/>
        <v/>
      </c>
    </row>
    <row r="226" spans="1:11" ht="33.75" thickBot="1">
      <c r="A226" s="14">
        <v>225</v>
      </c>
      <c r="B226" s="15" t="s">
        <v>478</v>
      </c>
      <c r="C226" s="16" t="s">
        <v>1145</v>
      </c>
      <c r="D226" s="17"/>
      <c r="E226" s="18">
        <v>225</v>
      </c>
      <c r="F226" s="15" t="s">
        <v>479</v>
      </c>
      <c r="G226" s="17"/>
      <c r="H226" s="19"/>
      <c r="I226" s="19"/>
      <c r="J226" s="19"/>
      <c r="K226" t="str">
        <f t="shared" si="3"/>
        <v>1</v>
      </c>
    </row>
    <row r="227" spans="1:11" ht="33.75" thickBot="1">
      <c r="A227" s="14">
        <v>226</v>
      </c>
      <c r="B227" s="15" t="s">
        <v>480</v>
      </c>
      <c r="C227" s="16" t="s">
        <v>1144</v>
      </c>
      <c r="D227" s="17"/>
      <c r="E227" s="18">
        <v>226</v>
      </c>
      <c r="F227" s="15" t="s">
        <v>481</v>
      </c>
      <c r="G227" s="17"/>
      <c r="H227" s="19"/>
      <c r="I227" s="19"/>
      <c r="J227" s="19"/>
      <c r="K227" t="str">
        <f t="shared" si="3"/>
        <v/>
      </c>
    </row>
    <row r="228" spans="1:11" ht="33.75" thickBot="1">
      <c r="A228" s="14">
        <v>227</v>
      </c>
      <c r="B228" s="15" t="s">
        <v>482</v>
      </c>
      <c r="C228" s="16" t="s">
        <v>1144</v>
      </c>
      <c r="D228" s="17"/>
      <c r="E228" s="18">
        <v>227</v>
      </c>
      <c r="F228" s="15" t="s">
        <v>483</v>
      </c>
      <c r="G228" s="17"/>
      <c r="H228" s="19"/>
      <c r="I228" s="19"/>
      <c r="J228" s="19"/>
      <c r="K228" t="str">
        <f t="shared" si="3"/>
        <v/>
      </c>
    </row>
    <row r="229" spans="1:11" ht="33.75" thickBot="1">
      <c r="A229" s="14">
        <v>228</v>
      </c>
      <c r="B229" s="15" t="s">
        <v>484</v>
      </c>
      <c r="C229" s="16" t="s">
        <v>1149</v>
      </c>
      <c r="D229" s="17"/>
      <c r="E229" s="18">
        <v>228</v>
      </c>
      <c r="F229" s="15" t="s">
        <v>485</v>
      </c>
      <c r="G229" s="17"/>
      <c r="H229" s="19"/>
      <c r="I229" s="19"/>
      <c r="J229" s="19"/>
      <c r="K229" t="str">
        <f t="shared" si="3"/>
        <v>1</v>
      </c>
    </row>
    <row r="230" spans="1:11" ht="33.75" thickBot="1">
      <c r="A230" s="14">
        <v>229</v>
      </c>
      <c r="B230" s="15" t="s">
        <v>486</v>
      </c>
      <c r="C230" s="16" t="s">
        <v>1144</v>
      </c>
      <c r="D230" s="17"/>
      <c r="E230" s="18">
        <v>229</v>
      </c>
      <c r="F230" s="15" t="s">
        <v>487</v>
      </c>
      <c r="G230" s="17"/>
      <c r="H230" s="19"/>
      <c r="I230" s="19"/>
      <c r="J230" s="19"/>
      <c r="K230" t="str">
        <f t="shared" si="3"/>
        <v/>
      </c>
    </row>
    <row r="231" spans="1:11" ht="33.75" thickBot="1">
      <c r="A231" s="14">
        <v>231</v>
      </c>
      <c r="B231" s="15" t="s">
        <v>488</v>
      </c>
      <c r="C231" s="16" t="s">
        <v>1149</v>
      </c>
      <c r="D231" s="17"/>
      <c r="E231" s="18">
        <v>230</v>
      </c>
      <c r="F231" s="15" t="s">
        <v>489</v>
      </c>
      <c r="G231" s="17"/>
      <c r="H231" s="19"/>
      <c r="I231" s="19"/>
      <c r="J231" s="19"/>
      <c r="K231" t="str">
        <f t="shared" si="3"/>
        <v>1</v>
      </c>
    </row>
    <row r="232" spans="1:11" ht="33.75" thickBot="1">
      <c r="A232" s="14">
        <v>232</v>
      </c>
      <c r="B232" s="15" t="s">
        <v>490</v>
      </c>
      <c r="C232" s="16" t="s">
        <v>1149</v>
      </c>
      <c r="D232" s="17"/>
      <c r="E232" s="18">
        <v>231</v>
      </c>
      <c r="F232" s="15" t="s">
        <v>491</v>
      </c>
      <c r="G232" s="17"/>
      <c r="H232" s="19"/>
      <c r="I232" s="19"/>
      <c r="J232" s="19"/>
      <c r="K232" t="str">
        <f t="shared" si="3"/>
        <v>1</v>
      </c>
    </row>
    <row r="233" spans="1:11" ht="33.75" thickBot="1">
      <c r="A233" s="14">
        <v>233</v>
      </c>
      <c r="B233" s="15" t="s">
        <v>492</v>
      </c>
      <c r="C233" s="16" t="s">
        <v>1149</v>
      </c>
      <c r="D233" s="17"/>
      <c r="E233" s="18">
        <v>232</v>
      </c>
      <c r="F233" s="15" t="s">
        <v>493</v>
      </c>
      <c r="G233" s="17"/>
      <c r="H233" s="19"/>
      <c r="I233" s="19"/>
      <c r="J233" s="19"/>
      <c r="K233" t="str">
        <f t="shared" si="3"/>
        <v>1</v>
      </c>
    </row>
    <row r="234" spans="1:11" ht="33.75" thickBot="1">
      <c r="A234" s="14">
        <v>234</v>
      </c>
      <c r="B234" s="15" t="s">
        <v>494</v>
      </c>
      <c r="C234" s="16" t="s">
        <v>1149</v>
      </c>
      <c r="D234" s="17"/>
      <c r="E234" s="18">
        <v>233</v>
      </c>
      <c r="F234" s="15" t="s">
        <v>495</v>
      </c>
      <c r="G234" s="17"/>
      <c r="H234" s="19"/>
      <c r="I234" s="19"/>
      <c r="J234" s="19"/>
      <c r="K234" t="str">
        <f t="shared" si="3"/>
        <v>1</v>
      </c>
    </row>
    <row r="235" spans="1:11" ht="33.75" thickBot="1">
      <c r="A235" s="14">
        <v>235</v>
      </c>
      <c r="B235" s="15" t="s">
        <v>496</v>
      </c>
      <c r="C235" s="16" t="s">
        <v>1144</v>
      </c>
      <c r="D235" s="17"/>
      <c r="E235" s="18">
        <v>234</v>
      </c>
      <c r="F235" s="15" t="s">
        <v>497</v>
      </c>
      <c r="G235" s="17"/>
      <c r="H235" s="19"/>
      <c r="I235" s="19"/>
      <c r="J235" s="19"/>
      <c r="K235" t="str">
        <f t="shared" si="3"/>
        <v/>
      </c>
    </row>
    <row r="236" spans="1:11" ht="17.25" thickBot="1">
      <c r="A236" s="14">
        <v>236</v>
      </c>
      <c r="B236" s="15" t="s">
        <v>498</v>
      </c>
      <c r="C236" s="16" t="s">
        <v>1149</v>
      </c>
      <c r="D236" s="17"/>
      <c r="E236" s="18">
        <v>235</v>
      </c>
      <c r="F236" s="15" t="s">
        <v>499</v>
      </c>
      <c r="G236" s="17"/>
      <c r="H236" s="19"/>
      <c r="I236" s="19"/>
      <c r="J236" s="19"/>
      <c r="K236" t="str">
        <f t="shared" si="3"/>
        <v>1</v>
      </c>
    </row>
    <row r="237" spans="1:11" ht="33.75" thickBot="1">
      <c r="A237" s="14">
        <v>237</v>
      </c>
      <c r="B237" s="15" t="s">
        <v>500</v>
      </c>
      <c r="C237" s="16" t="s">
        <v>1144</v>
      </c>
      <c r="D237" s="17"/>
      <c r="E237" s="18">
        <v>236</v>
      </c>
      <c r="F237" s="15" t="s">
        <v>501</v>
      </c>
      <c r="G237" s="17"/>
      <c r="H237" s="19"/>
      <c r="I237" s="19"/>
      <c r="J237" s="19"/>
      <c r="K237" t="str">
        <f t="shared" si="3"/>
        <v/>
      </c>
    </row>
    <row r="238" spans="1:11" ht="33.75" thickBot="1">
      <c r="A238" s="14">
        <v>238</v>
      </c>
      <c r="B238" s="15" t="s">
        <v>502</v>
      </c>
      <c r="C238" s="16" t="s">
        <v>1145</v>
      </c>
      <c r="D238" s="17"/>
      <c r="E238" s="18">
        <v>237</v>
      </c>
      <c r="F238" s="15" t="s">
        <v>503</v>
      </c>
      <c r="G238" s="17"/>
      <c r="H238" s="19"/>
      <c r="I238" s="19"/>
      <c r="J238" s="19"/>
      <c r="K238" t="str">
        <f t="shared" si="3"/>
        <v>1</v>
      </c>
    </row>
    <row r="239" spans="1:11" ht="33.75" thickBot="1">
      <c r="A239" s="14">
        <v>239</v>
      </c>
      <c r="B239" s="15" t="s">
        <v>504</v>
      </c>
      <c r="C239" s="16" t="s">
        <v>1144</v>
      </c>
      <c r="D239" s="17"/>
      <c r="E239" s="18">
        <v>238</v>
      </c>
      <c r="F239" s="15" t="s">
        <v>505</v>
      </c>
      <c r="G239" s="17"/>
      <c r="H239" s="19"/>
      <c r="I239" s="19"/>
      <c r="J239" s="19"/>
      <c r="K239" t="str">
        <f t="shared" si="3"/>
        <v/>
      </c>
    </row>
    <row r="240" spans="1:11" ht="17.25" thickBot="1">
      <c r="A240" s="14">
        <v>240</v>
      </c>
      <c r="B240" s="15" t="s">
        <v>506</v>
      </c>
      <c r="C240" s="16" t="s">
        <v>1144</v>
      </c>
      <c r="D240" s="17"/>
      <c r="E240" s="18">
        <v>239</v>
      </c>
      <c r="F240" s="15" t="s">
        <v>507</v>
      </c>
      <c r="G240" s="17"/>
      <c r="H240" s="19"/>
      <c r="I240" s="19"/>
      <c r="J240" s="19"/>
      <c r="K240" t="str">
        <f t="shared" si="3"/>
        <v/>
      </c>
    </row>
    <row r="241" spans="1:11" ht="33.75" thickBot="1">
      <c r="A241" s="14">
        <v>241</v>
      </c>
      <c r="B241" s="15" t="s">
        <v>508</v>
      </c>
      <c r="C241" s="16" t="s">
        <v>1144</v>
      </c>
      <c r="D241" s="17"/>
      <c r="E241" s="18">
        <v>240</v>
      </c>
      <c r="F241" s="15" t="s">
        <v>509</v>
      </c>
      <c r="G241" s="17"/>
      <c r="H241" s="19"/>
      <c r="I241" s="19"/>
      <c r="J241" s="19"/>
      <c r="K241" t="str">
        <f t="shared" si="3"/>
        <v/>
      </c>
    </row>
    <row r="242" spans="1:11" ht="50.25" thickBot="1">
      <c r="A242" s="14">
        <v>242</v>
      </c>
      <c r="B242" s="15" t="s">
        <v>510</v>
      </c>
      <c r="C242" s="16" t="s">
        <v>1144</v>
      </c>
      <c r="D242" s="17"/>
      <c r="E242" s="18">
        <v>241</v>
      </c>
      <c r="F242" s="15" t="s">
        <v>511</v>
      </c>
      <c r="G242" s="17"/>
      <c r="H242" s="19"/>
      <c r="I242" s="19"/>
      <c r="J242" s="19"/>
      <c r="K242" t="str">
        <f t="shared" si="3"/>
        <v/>
      </c>
    </row>
    <row r="243" spans="1:11" ht="33.75" thickBot="1">
      <c r="A243" s="14">
        <v>243</v>
      </c>
      <c r="B243" s="15" t="s">
        <v>512</v>
      </c>
      <c r="C243" s="16" t="s">
        <v>1145</v>
      </c>
      <c r="D243" s="17"/>
      <c r="E243" s="18">
        <v>242</v>
      </c>
      <c r="F243" s="15" t="s">
        <v>513</v>
      </c>
      <c r="G243" s="17"/>
      <c r="H243" s="19"/>
      <c r="I243" s="19"/>
      <c r="J243" s="19"/>
      <c r="K243" t="str">
        <f t="shared" si="3"/>
        <v>1</v>
      </c>
    </row>
    <row r="244" spans="1:11" ht="33.75" thickBot="1">
      <c r="A244" s="14">
        <v>244</v>
      </c>
      <c r="B244" s="15" t="s">
        <v>514</v>
      </c>
      <c r="C244" s="16" t="s">
        <v>1144</v>
      </c>
      <c r="D244" s="17"/>
      <c r="E244" s="18">
        <v>243</v>
      </c>
      <c r="F244" s="15" t="s">
        <v>515</v>
      </c>
      <c r="G244" s="17"/>
      <c r="H244" s="19"/>
      <c r="I244" s="19"/>
      <c r="J244" s="19"/>
      <c r="K244" t="str">
        <f t="shared" si="3"/>
        <v/>
      </c>
    </row>
    <row r="245" spans="1:11" ht="33.75" thickBot="1">
      <c r="A245" s="14">
        <v>245</v>
      </c>
      <c r="B245" s="15" t="s">
        <v>516</v>
      </c>
      <c r="C245" s="16" t="s">
        <v>1149</v>
      </c>
      <c r="D245" s="17"/>
      <c r="E245" s="18">
        <v>244</v>
      </c>
      <c r="F245" s="15" t="s">
        <v>517</v>
      </c>
      <c r="G245" s="17"/>
      <c r="H245" s="19"/>
      <c r="I245" s="19"/>
      <c r="J245" s="19"/>
      <c r="K245" t="str">
        <f t="shared" si="3"/>
        <v>1</v>
      </c>
    </row>
    <row r="246" spans="1:11" ht="33.75" thickBot="1">
      <c r="A246" s="14">
        <v>246</v>
      </c>
      <c r="B246" s="15" t="s">
        <v>518</v>
      </c>
      <c r="C246" s="16" t="s">
        <v>1149</v>
      </c>
      <c r="D246" s="17"/>
      <c r="E246" s="18">
        <v>245</v>
      </c>
      <c r="F246" s="15" t="s">
        <v>519</v>
      </c>
      <c r="G246" s="17"/>
      <c r="H246" s="19"/>
      <c r="I246" s="19"/>
      <c r="J246" s="19"/>
      <c r="K246" t="str">
        <f t="shared" si="3"/>
        <v>1</v>
      </c>
    </row>
    <row r="247" spans="1:11" ht="33.75" thickBot="1">
      <c r="A247" s="14">
        <v>247</v>
      </c>
      <c r="B247" s="15" t="s">
        <v>520</v>
      </c>
      <c r="C247" s="16" t="s">
        <v>1144</v>
      </c>
      <c r="D247" s="17"/>
      <c r="E247" s="18">
        <v>246</v>
      </c>
      <c r="F247" s="15" t="s">
        <v>521</v>
      </c>
      <c r="G247" s="17"/>
      <c r="H247" s="19"/>
      <c r="I247" s="19"/>
      <c r="J247" s="19"/>
      <c r="K247" t="str">
        <f t="shared" si="3"/>
        <v/>
      </c>
    </row>
    <row r="248" spans="1:11" ht="33.75" thickBot="1">
      <c r="A248" s="14">
        <v>248</v>
      </c>
      <c r="B248" s="15" t="s">
        <v>522</v>
      </c>
      <c r="C248" s="16" t="s">
        <v>1149</v>
      </c>
      <c r="D248" s="17"/>
      <c r="E248" s="18">
        <v>247</v>
      </c>
      <c r="F248" s="15" t="s">
        <v>523</v>
      </c>
      <c r="G248" s="17"/>
      <c r="H248" s="19"/>
      <c r="I248" s="19"/>
      <c r="J248" s="19"/>
      <c r="K248" t="str">
        <f t="shared" si="3"/>
        <v>1</v>
      </c>
    </row>
    <row r="249" spans="1:11" ht="33.75" thickBot="1">
      <c r="A249" s="14">
        <v>249</v>
      </c>
      <c r="B249" s="15" t="s">
        <v>524</v>
      </c>
      <c r="C249" s="16" t="s">
        <v>1144</v>
      </c>
      <c r="D249" s="17"/>
      <c r="E249" s="18">
        <v>248</v>
      </c>
      <c r="F249" s="15" t="s">
        <v>525</v>
      </c>
      <c r="G249" s="17"/>
      <c r="H249" s="19"/>
      <c r="I249" s="19"/>
      <c r="J249" s="19"/>
      <c r="K249" t="str">
        <f t="shared" si="3"/>
        <v/>
      </c>
    </row>
    <row r="250" spans="1:11" ht="33.75" thickBot="1">
      <c r="A250" s="14">
        <v>250</v>
      </c>
      <c r="B250" s="15" t="s">
        <v>526</v>
      </c>
      <c r="C250" s="16" t="s">
        <v>1149</v>
      </c>
      <c r="D250" s="17"/>
      <c r="E250" s="18">
        <v>249</v>
      </c>
      <c r="F250" s="15" t="s">
        <v>527</v>
      </c>
      <c r="G250" s="17"/>
      <c r="H250" s="19"/>
      <c r="I250" s="19"/>
      <c r="J250" s="19"/>
      <c r="K250" t="str">
        <f t="shared" si="3"/>
        <v>1</v>
      </c>
    </row>
    <row r="251" spans="1:11" ht="33.75" thickBot="1">
      <c r="A251" s="14">
        <v>251</v>
      </c>
      <c r="B251" s="15" t="s">
        <v>528</v>
      </c>
      <c r="C251" s="16" t="s">
        <v>1145</v>
      </c>
      <c r="D251" s="17"/>
      <c r="E251" s="18">
        <v>250</v>
      </c>
      <c r="F251" s="15" t="s">
        <v>529</v>
      </c>
      <c r="G251" s="17"/>
      <c r="H251" s="19"/>
      <c r="I251" s="19"/>
      <c r="J251" s="19"/>
      <c r="K251" t="str">
        <f t="shared" si="3"/>
        <v>1</v>
      </c>
    </row>
    <row r="252" spans="1:11" ht="33.75" thickBot="1">
      <c r="A252" s="14">
        <v>252</v>
      </c>
      <c r="B252" s="15" t="s">
        <v>530</v>
      </c>
      <c r="C252" s="16" t="s">
        <v>1144</v>
      </c>
      <c r="D252" s="17"/>
      <c r="E252" s="18">
        <v>251</v>
      </c>
      <c r="F252" s="15" t="s">
        <v>531</v>
      </c>
      <c r="G252" s="17"/>
      <c r="H252" s="19"/>
      <c r="I252" s="19"/>
      <c r="J252" s="19"/>
      <c r="K252" t="str">
        <f t="shared" si="3"/>
        <v/>
      </c>
    </row>
    <row r="253" spans="1:11" ht="33.75" thickBot="1">
      <c r="A253" s="14">
        <v>253</v>
      </c>
      <c r="B253" s="15" t="s">
        <v>532</v>
      </c>
      <c r="C253" s="16" t="s">
        <v>1144</v>
      </c>
      <c r="D253" s="17"/>
      <c r="E253" s="18">
        <v>252</v>
      </c>
      <c r="F253" s="15" t="s">
        <v>533</v>
      </c>
      <c r="G253" s="17"/>
      <c r="H253" s="19"/>
      <c r="I253" s="19"/>
      <c r="J253" s="19"/>
      <c r="K253" t="str">
        <f t="shared" si="3"/>
        <v/>
      </c>
    </row>
    <row r="254" spans="1:11" ht="33.75" thickBot="1">
      <c r="A254" s="14">
        <v>254</v>
      </c>
      <c r="B254" s="15" t="s">
        <v>534</v>
      </c>
      <c r="C254" s="16" t="s">
        <v>1144</v>
      </c>
      <c r="D254" s="17"/>
      <c r="E254" s="18">
        <v>253</v>
      </c>
      <c r="F254" s="15" t="s">
        <v>535</v>
      </c>
      <c r="G254" s="17"/>
      <c r="H254" s="19"/>
      <c r="I254" s="19"/>
      <c r="J254" s="19"/>
      <c r="K254" t="str">
        <f t="shared" si="3"/>
        <v/>
      </c>
    </row>
    <row r="255" spans="1:11" ht="33.75" thickBot="1">
      <c r="A255" s="14">
        <v>255</v>
      </c>
      <c r="B255" s="15" t="s">
        <v>536</v>
      </c>
      <c r="C255" s="16" t="s">
        <v>1144</v>
      </c>
      <c r="D255" s="17"/>
      <c r="E255" s="18">
        <v>254</v>
      </c>
      <c r="F255" s="15" t="s">
        <v>537</v>
      </c>
      <c r="G255" s="17"/>
      <c r="H255" s="19"/>
      <c r="I255" s="19"/>
      <c r="J255" s="19"/>
      <c r="K255" t="str">
        <f t="shared" si="3"/>
        <v/>
      </c>
    </row>
    <row r="256" spans="1:11" ht="33.75" thickBot="1">
      <c r="A256" s="14">
        <v>256</v>
      </c>
      <c r="B256" s="15" t="s">
        <v>538</v>
      </c>
      <c r="C256" s="16" t="s">
        <v>1151</v>
      </c>
      <c r="D256" s="17"/>
      <c r="E256" s="18">
        <v>255</v>
      </c>
      <c r="F256" s="15" t="s">
        <v>539</v>
      </c>
      <c r="G256" s="17"/>
      <c r="H256" s="19"/>
      <c r="I256" s="19"/>
      <c r="J256" s="19"/>
      <c r="K256" t="str">
        <f t="shared" si="3"/>
        <v>1</v>
      </c>
    </row>
    <row r="257" spans="1:11" ht="33.75" thickBot="1">
      <c r="A257" s="14">
        <v>257</v>
      </c>
      <c r="B257" s="15" t="s">
        <v>540</v>
      </c>
      <c r="C257" s="16" t="s">
        <v>1144</v>
      </c>
      <c r="D257" s="17"/>
      <c r="E257" s="18">
        <v>256</v>
      </c>
      <c r="F257" s="15" t="s">
        <v>541</v>
      </c>
      <c r="G257" s="17"/>
      <c r="H257" s="19"/>
      <c r="I257" s="19"/>
      <c r="J257" s="19"/>
      <c r="K257" t="str">
        <f t="shared" si="3"/>
        <v/>
      </c>
    </row>
    <row r="258" spans="1:11" ht="33.75" thickBot="1">
      <c r="A258" s="14">
        <v>258</v>
      </c>
      <c r="B258" s="15" t="s">
        <v>542</v>
      </c>
      <c r="C258" s="16" t="s">
        <v>1144</v>
      </c>
      <c r="D258" s="17"/>
      <c r="E258" s="18">
        <v>257</v>
      </c>
      <c r="F258" s="15" t="s">
        <v>543</v>
      </c>
      <c r="G258" s="17"/>
      <c r="H258" s="19"/>
      <c r="I258" s="19"/>
      <c r="J258" s="19"/>
      <c r="K258" t="str">
        <f t="shared" si="3"/>
        <v/>
      </c>
    </row>
    <row r="259" spans="1:11" ht="33.75" thickBot="1">
      <c r="A259" s="14">
        <v>259</v>
      </c>
      <c r="B259" s="15" t="s">
        <v>544</v>
      </c>
      <c r="C259" s="16" t="s">
        <v>1151</v>
      </c>
      <c r="D259" s="17"/>
      <c r="E259" s="18">
        <v>258</v>
      </c>
      <c r="F259" s="15" t="s">
        <v>545</v>
      </c>
      <c r="G259" s="17"/>
      <c r="H259" s="19"/>
      <c r="I259" s="19"/>
      <c r="J259" s="19"/>
      <c r="K259" t="str">
        <f t="shared" ref="K259:K322" si="4">LEFT(C259,LEN(C259)-1)</f>
        <v>1</v>
      </c>
    </row>
    <row r="260" spans="1:11" ht="17.25" thickBot="1">
      <c r="A260" s="14">
        <v>260</v>
      </c>
      <c r="B260" s="15" t="s">
        <v>546</v>
      </c>
      <c r="C260" s="16" t="s">
        <v>1145</v>
      </c>
      <c r="D260" s="17"/>
      <c r="E260" s="18">
        <v>259</v>
      </c>
      <c r="F260" s="15" t="s">
        <v>547</v>
      </c>
      <c r="G260" s="17"/>
      <c r="H260" s="19"/>
      <c r="I260" s="19"/>
      <c r="J260" s="19"/>
      <c r="K260" t="str">
        <f t="shared" si="4"/>
        <v>1</v>
      </c>
    </row>
    <row r="261" spans="1:11" ht="33.75" thickBot="1">
      <c r="A261" s="14">
        <v>261</v>
      </c>
      <c r="B261" s="15" t="s">
        <v>548</v>
      </c>
      <c r="C261" s="16" t="s">
        <v>1144</v>
      </c>
      <c r="D261" s="17"/>
      <c r="E261" s="18">
        <v>260</v>
      </c>
      <c r="F261" s="15" t="s">
        <v>549</v>
      </c>
      <c r="G261" s="17"/>
      <c r="H261" s="19"/>
      <c r="I261" s="19"/>
      <c r="J261" s="19"/>
      <c r="K261" t="str">
        <f t="shared" si="4"/>
        <v/>
      </c>
    </row>
    <row r="262" spans="1:11" ht="33.75" thickBot="1">
      <c r="A262" s="14">
        <v>262</v>
      </c>
      <c r="B262" s="15" t="s">
        <v>550</v>
      </c>
      <c r="C262" s="16" t="s">
        <v>1144</v>
      </c>
      <c r="D262" s="17"/>
      <c r="E262" s="18">
        <v>261</v>
      </c>
      <c r="F262" s="15" t="s">
        <v>551</v>
      </c>
      <c r="G262" s="17"/>
      <c r="H262" s="19"/>
      <c r="I262" s="19"/>
      <c r="J262" s="19"/>
      <c r="K262" t="str">
        <f t="shared" si="4"/>
        <v/>
      </c>
    </row>
    <row r="263" spans="1:11" ht="33.75" thickBot="1">
      <c r="A263" s="14">
        <v>263</v>
      </c>
      <c r="B263" s="15" t="s">
        <v>552</v>
      </c>
      <c r="C263" s="16" t="s">
        <v>1144</v>
      </c>
      <c r="D263" s="17"/>
      <c r="E263" s="18">
        <v>262</v>
      </c>
      <c r="F263" s="15" t="s">
        <v>553</v>
      </c>
      <c r="G263" s="17"/>
      <c r="H263" s="19"/>
      <c r="I263" s="19"/>
      <c r="J263" s="19"/>
      <c r="K263" t="str">
        <f t="shared" si="4"/>
        <v/>
      </c>
    </row>
    <row r="264" spans="1:11" ht="33.75" thickBot="1">
      <c r="A264" s="14">
        <v>264</v>
      </c>
      <c r="B264" s="15" t="s">
        <v>554</v>
      </c>
      <c r="C264" s="16" t="s">
        <v>1144</v>
      </c>
      <c r="D264" s="17"/>
      <c r="E264" s="18">
        <v>263</v>
      </c>
      <c r="F264" s="15" t="s">
        <v>555</v>
      </c>
      <c r="G264" s="17"/>
      <c r="H264" s="19"/>
      <c r="I264" s="19"/>
      <c r="J264" s="19"/>
      <c r="K264" t="str">
        <f t="shared" si="4"/>
        <v/>
      </c>
    </row>
    <row r="265" spans="1:11" ht="33.75" thickBot="1">
      <c r="A265" s="14">
        <v>265</v>
      </c>
      <c r="B265" s="15" t="s">
        <v>556</v>
      </c>
      <c r="C265" s="16" t="s">
        <v>1144</v>
      </c>
      <c r="D265" s="17"/>
      <c r="E265" s="18">
        <v>264</v>
      </c>
      <c r="F265" s="15" t="s">
        <v>557</v>
      </c>
      <c r="G265" s="17"/>
      <c r="H265" s="19"/>
      <c r="I265" s="19"/>
      <c r="J265" s="19"/>
      <c r="K265" t="str">
        <f t="shared" si="4"/>
        <v/>
      </c>
    </row>
    <row r="266" spans="1:11" ht="33.75" thickBot="1">
      <c r="A266" s="14">
        <v>266</v>
      </c>
      <c r="B266" s="15" t="s">
        <v>558</v>
      </c>
      <c r="C266" s="16" t="s">
        <v>1144</v>
      </c>
      <c r="D266" s="17"/>
      <c r="E266" s="18">
        <v>265</v>
      </c>
      <c r="F266" s="15" t="s">
        <v>559</v>
      </c>
      <c r="G266" s="17"/>
      <c r="H266" s="19"/>
      <c r="I266" s="19"/>
      <c r="J266" s="19"/>
      <c r="K266" t="str">
        <f t="shared" si="4"/>
        <v/>
      </c>
    </row>
    <row r="267" spans="1:11" ht="33.75" thickBot="1">
      <c r="A267" s="14">
        <v>267</v>
      </c>
      <c r="B267" s="15" t="s">
        <v>560</v>
      </c>
      <c r="C267" s="16" t="s">
        <v>1144</v>
      </c>
      <c r="D267" s="17"/>
      <c r="E267" s="18">
        <v>266</v>
      </c>
      <c r="F267" s="15" t="s">
        <v>561</v>
      </c>
      <c r="G267" s="17"/>
      <c r="H267" s="19"/>
      <c r="I267" s="19"/>
      <c r="J267" s="19"/>
      <c r="K267" t="str">
        <f t="shared" si="4"/>
        <v/>
      </c>
    </row>
    <row r="268" spans="1:11" ht="50.25" thickBot="1">
      <c r="A268" s="14">
        <v>268</v>
      </c>
      <c r="B268" s="15" t="s">
        <v>562</v>
      </c>
      <c r="C268" s="16" t="s">
        <v>1150</v>
      </c>
      <c r="D268" s="17"/>
      <c r="E268" s="18">
        <v>267</v>
      </c>
      <c r="F268" s="15" t="s">
        <v>563</v>
      </c>
      <c r="G268" s="17"/>
      <c r="H268" s="19"/>
      <c r="I268" s="19"/>
      <c r="J268" s="19"/>
      <c r="K268" t="str">
        <f t="shared" si="4"/>
        <v/>
      </c>
    </row>
    <row r="269" spans="1:11" ht="33.75" thickBot="1">
      <c r="A269" s="14">
        <v>269</v>
      </c>
      <c r="B269" s="15" t="s">
        <v>564</v>
      </c>
      <c r="C269" s="16" t="s">
        <v>1144</v>
      </c>
      <c r="D269" s="17"/>
      <c r="E269" s="18">
        <v>268</v>
      </c>
      <c r="F269" s="15" t="s">
        <v>565</v>
      </c>
      <c r="G269" s="17"/>
      <c r="H269" s="19"/>
      <c r="I269" s="19"/>
      <c r="J269" s="19"/>
      <c r="K269" t="str">
        <f t="shared" si="4"/>
        <v/>
      </c>
    </row>
    <row r="270" spans="1:11" ht="33.75" thickBot="1">
      <c r="A270" s="14">
        <v>270</v>
      </c>
      <c r="B270" s="15" t="s">
        <v>566</v>
      </c>
      <c r="C270" s="16" t="s">
        <v>1144</v>
      </c>
      <c r="D270" s="17"/>
      <c r="E270" s="18">
        <v>269</v>
      </c>
      <c r="F270" s="15" t="s">
        <v>567</v>
      </c>
      <c r="G270" s="17"/>
      <c r="H270" s="19"/>
      <c r="I270" s="19"/>
      <c r="J270" s="19"/>
      <c r="K270" t="str">
        <f t="shared" si="4"/>
        <v/>
      </c>
    </row>
    <row r="271" spans="1:11" ht="33.75" thickBot="1">
      <c r="A271" s="14">
        <v>271</v>
      </c>
      <c r="B271" s="15" t="s">
        <v>568</v>
      </c>
      <c r="C271" s="16" t="s">
        <v>1151</v>
      </c>
      <c r="D271" s="17"/>
      <c r="E271" s="18">
        <v>270</v>
      </c>
      <c r="F271" s="15" t="s">
        <v>569</v>
      </c>
      <c r="G271" s="17"/>
      <c r="H271" s="19"/>
      <c r="I271" s="19"/>
      <c r="J271" s="19"/>
      <c r="K271" t="str">
        <f t="shared" si="4"/>
        <v>1</v>
      </c>
    </row>
    <row r="272" spans="1:11" ht="33.75" thickBot="1">
      <c r="A272" s="14">
        <v>272</v>
      </c>
      <c r="B272" s="15" t="s">
        <v>570</v>
      </c>
      <c r="C272" s="16" t="s">
        <v>1144</v>
      </c>
      <c r="D272" s="17"/>
      <c r="E272" s="18">
        <v>271</v>
      </c>
      <c r="F272" s="15" t="s">
        <v>571</v>
      </c>
      <c r="G272" s="17"/>
      <c r="H272" s="19"/>
      <c r="I272" s="19"/>
      <c r="J272" s="19"/>
      <c r="K272" t="str">
        <f t="shared" si="4"/>
        <v/>
      </c>
    </row>
    <row r="273" spans="1:11" ht="33.75" thickBot="1">
      <c r="A273" s="14">
        <v>273</v>
      </c>
      <c r="B273" s="15" t="s">
        <v>572</v>
      </c>
      <c r="C273" s="16" t="s">
        <v>1151</v>
      </c>
      <c r="D273" s="17"/>
      <c r="E273" s="18">
        <v>272</v>
      </c>
      <c r="F273" s="15" t="s">
        <v>573</v>
      </c>
      <c r="G273" s="17"/>
      <c r="H273" s="19"/>
      <c r="I273" s="19"/>
      <c r="J273" s="19"/>
      <c r="K273" t="str">
        <f t="shared" si="4"/>
        <v>1</v>
      </c>
    </row>
    <row r="274" spans="1:11" ht="33.75" thickBot="1">
      <c r="A274" s="14">
        <v>274</v>
      </c>
      <c r="B274" s="15" t="s">
        <v>574</v>
      </c>
      <c r="C274" s="16" t="s">
        <v>1144</v>
      </c>
      <c r="D274" s="17"/>
      <c r="E274" s="18">
        <v>273</v>
      </c>
      <c r="F274" s="15" t="s">
        <v>575</v>
      </c>
      <c r="G274" s="17"/>
      <c r="H274" s="19"/>
      <c r="I274" s="19"/>
      <c r="J274" s="19"/>
      <c r="K274" t="str">
        <f t="shared" si="4"/>
        <v/>
      </c>
    </row>
    <row r="275" spans="1:11" ht="33.75" thickBot="1">
      <c r="A275" s="14">
        <v>275</v>
      </c>
      <c r="B275" s="15" t="s">
        <v>576</v>
      </c>
      <c r="C275" s="16" t="s">
        <v>1144</v>
      </c>
      <c r="D275" s="17"/>
      <c r="E275" s="18">
        <v>274</v>
      </c>
      <c r="F275" s="15" t="s">
        <v>577</v>
      </c>
      <c r="G275" s="17"/>
      <c r="H275" s="19"/>
      <c r="I275" s="19"/>
      <c r="J275" s="19"/>
      <c r="K275" t="str">
        <f t="shared" si="4"/>
        <v/>
      </c>
    </row>
    <row r="276" spans="1:11" ht="33.75" thickBot="1">
      <c r="A276" s="14">
        <v>276</v>
      </c>
      <c r="B276" s="15" t="s">
        <v>578</v>
      </c>
      <c r="C276" s="16" t="s">
        <v>1144</v>
      </c>
      <c r="D276" s="17"/>
      <c r="E276" s="18">
        <v>275</v>
      </c>
      <c r="F276" s="15" t="s">
        <v>579</v>
      </c>
      <c r="G276" s="17"/>
      <c r="H276" s="19"/>
      <c r="I276" s="19"/>
      <c r="J276" s="19"/>
      <c r="K276" t="str">
        <f t="shared" si="4"/>
        <v/>
      </c>
    </row>
    <row r="277" spans="1:11" ht="33.75" thickBot="1">
      <c r="A277" s="14">
        <v>277</v>
      </c>
      <c r="B277" s="15" t="s">
        <v>580</v>
      </c>
      <c r="C277" s="16" t="s">
        <v>1144</v>
      </c>
      <c r="D277" s="17"/>
      <c r="E277" s="18">
        <v>276</v>
      </c>
      <c r="F277" s="15" t="s">
        <v>581</v>
      </c>
      <c r="G277" s="17"/>
      <c r="H277" s="19"/>
      <c r="I277" s="19"/>
      <c r="J277" s="19"/>
      <c r="K277" t="str">
        <f t="shared" si="4"/>
        <v/>
      </c>
    </row>
    <row r="278" spans="1:11" ht="33.75" thickBot="1">
      <c r="A278" s="14">
        <v>278</v>
      </c>
      <c r="B278" s="15" t="s">
        <v>582</v>
      </c>
      <c r="C278" s="16" t="s">
        <v>1150</v>
      </c>
      <c r="D278" s="17"/>
      <c r="E278" s="18">
        <v>277</v>
      </c>
      <c r="F278" s="15" t="s">
        <v>583</v>
      </c>
      <c r="G278" s="17"/>
      <c r="H278" s="19"/>
      <c r="I278" s="19"/>
      <c r="J278" s="19"/>
      <c r="K278" t="str">
        <f t="shared" si="4"/>
        <v/>
      </c>
    </row>
    <row r="279" spans="1:11" ht="17.25" thickBot="1">
      <c r="A279" s="14">
        <v>279</v>
      </c>
      <c r="B279" s="15" t="s">
        <v>584</v>
      </c>
      <c r="C279" s="16" t="s">
        <v>1144</v>
      </c>
      <c r="D279" s="17"/>
      <c r="E279" s="18">
        <v>278</v>
      </c>
      <c r="F279" s="15" t="s">
        <v>585</v>
      </c>
      <c r="G279" s="17"/>
      <c r="H279" s="19"/>
      <c r="I279" s="19"/>
      <c r="J279" s="19"/>
      <c r="K279" t="str">
        <f t="shared" si="4"/>
        <v/>
      </c>
    </row>
    <row r="280" spans="1:11" ht="33.75" thickBot="1">
      <c r="A280" s="14">
        <v>280</v>
      </c>
      <c r="B280" s="15" t="s">
        <v>586</v>
      </c>
      <c r="C280" s="16" t="s">
        <v>1144</v>
      </c>
      <c r="D280" s="17"/>
      <c r="E280" s="18">
        <v>279</v>
      </c>
      <c r="F280" s="15" t="s">
        <v>587</v>
      </c>
      <c r="G280" s="17"/>
      <c r="H280" s="19"/>
      <c r="I280" s="19"/>
      <c r="J280" s="19"/>
      <c r="K280" t="str">
        <f t="shared" si="4"/>
        <v/>
      </c>
    </row>
    <row r="281" spans="1:11" ht="33.75" thickBot="1">
      <c r="A281" s="14">
        <v>281</v>
      </c>
      <c r="B281" s="15" t="s">
        <v>588</v>
      </c>
      <c r="C281" s="16" t="s">
        <v>1146</v>
      </c>
      <c r="D281" s="17"/>
      <c r="E281" s="18">
        <v>280</v>
      </c>
      <c r="F281" s="15" t="s">
        <v>589</v>
      </c>
      <c r="G281" s="17"/>
      <c r="H281" s="19"/>
      <c r="I281" s="19"/>
      <c r="J281" s="19"/>
      <c r="K281" t="str">
        <f t="shared" si="4"/>
        <v/>
      </c>
    </row>
    <row r="282" spans="1:11" ht="33.75" thickBot="1">
      <c r="A282" s="14">
        <v>282</v>
      </c>
      <c r="B282" s="15" t="s">
        <v>590</v>
      </c>
      <c r="C282" s="16" t="s">
        <v>1145</v>
      </c>
      <c r="D282" s="17"/>
      <c r="E282" s="18">
        <v>281</v>
      </c>
      <c r="F282" s="15" t="s">
        <v>591</v>
      </c>
      <c r="G282" s="17"/>
      <c r="H282" s="19"/>
      <c r="I282" s="19"/>
      <c r="J282" s="19"/>
      <c r="K282" t="str">
        <f t="shared" si="4"/>
        <v>1</v>
      </c>
    </row>
    <row r="283" spans="1:11" ht="33.75" thickBot="1">
      <c r="A283" s="14">
        <v>283</v>
      </c>
      <c r="B283" s="15" t="s">
        <v>592</v>
      </c>
      <c r="C283" s="16" t="s">
        <v>1144</v>
      </c>
      <c r="D283" s="17"/>
      <c r="E283" s="18">
        <v>282</v>
      </c>
      <c r="F283" s="15" t="s">
        <v>593</v>
      </c>
      <c r="G283" s="17"/>
      <c r="H283" s="19"/>
      <c r="I283" s="19"/>
      <c r="J283" s="19"/>
      <c r="K283" t="str">
        <f t="shared" si="4"/>
        <v/>
      </c>
    </row>
    <row r="284" spans="1:11" ht="33.75" thickBot="1">
      <c r="A284" s="14">
        <v>284</v>
      </c>
      <c r="B284" s="15" t="s">
        <v>594</v>
      </c>
      <c r="C284" s="16" t="s">
        <v>1151</v>
      </c>
      <c r="D284" s="17"/>
      <c r="E284" s="18">
        <v>283</v>
      </c>
      <c r="F284" s="15" t="s">
        <v>595</v>
      </c>
      <c r="G284" s="17"/>
      <c r="H284" s="19"/>
      <c r="I284" s="19"/>
      <c r="J284" s="19"/>
      <c r="K284" t="str">
        <f t="shared" si="4"/>
        <v>1</v>
      </c>
    </row>
    <row r="285" spans="1:11" ht="33.75" thickBot="1">
      <c r="A285" s="14">
        <v>285</v>
      </c>
      <c r="B285" s="15" t="s">
        <v>596</v>
      </c>
      <c r="C285" s="16" t="s">
        <v>1150</v>
      </c>
      <c r="D285" s="17"/>
      <c r="E285" s="18">
        <v>284</v>
      </c>
      <c r="F285" s="15" t="s">
        <v>597</v>
      </c>
      <c r="G285" s="17"/>
      <c r="H285" s="19"/>
      <c r="I285" s="19"/>
      <c r="J285" s="19"/>
      <c r="K285" t="str">
        <f t="shared" si="4"/>
        <v/>
      </c>
    </row>
    <row r="286" spans="1:11" ht="33.75" thickBot="1">
      <c r="A286" s="14">
        <v>286</v>
      </c>
      <c r="B286" s="15" t="s">
        <v>598</v>
      </c>
      <c r="C286" s="16" t="s">
        <v>1144</v>
      </c>
      <c r="D286" s="17"/>
      <c r="E286" s="18">
        <v>285</v>
      </c>
      <c r="F286" s="15" t="s">
        <v>599</v>
      </c>
      <c r="G286" s="17"/>
      <c r="H286" s="19"/>
      <c r="I286" s="19"/>
      <c r="J286" s="19"/>
      <c r="K286" t="str">
        <f t="shared" si="4"/>
        <v/>
      </c>
    </row>
    <row r="287" spans="1:11" ht="33.75" thickBot="1">
      <c r="A287" s="14">
        <v>287</v>
      </c>
      <c r="B287" s="15" t="s">
        <v>600</v>
      </c>
      <c r="C287" s="16" t="s">
        <v>1150</v>
      </c>
      <c r="D287" s="17"/>
      <c r="E287" s="18">
        <v>286</v>
      </c>
      <c r="F287" s="15" t="s">
        <v>601</v>
      </c>
      <c r="G287" s="17"/>
      <c r="H287" s="19"/>
      <c r="I287" s="19"/>
      <c r="J287" s="19"/>
      <c r="K287" t="str">
        <f t="shared" si="4"/>
        <v/>
      </c>
    </row>
    <row r="288" spans="1:11" ht="50.25" thickBot="1">
      <c r="A288" s="14">
        <v>288</v>
      </c>
      <c r="B288" s="15" t="s">
        <v>602</v>
      </c>
      <c r="C288" s="16" t="s">
        <v>1144</v>
      </c>
      <c r="D288" s="17"/>
      <c r="E288" s="18">
        <v>287</v>
      </c>
      <c r="F288" s="15" t="s">
        <v>603</v>
      </c>
      <c r="G288" s="17"/>
      <c r="H288" s="19"/>
      <c r="I288" s="19"/>
      <c r="J288" s="19"/>
      <c r="K288" t="str">
        <f t="shared" si="4"/>
        <v/>
      </c>
    </row>
    <row r="289" spans="1:11" ht="33.75" thickBot="1">
      <c r="A289" s="14">
        <v>289</v>
      </c>
      <c r="B289" s="15" t="s">
        <v>604</v>
      </c>
      <c r="C289" s="16" t="s">
        <v>1144</v>
      </c>
      <c r="D289" s="17"/>
      <c r="E289" s="18">
        <v>288</v>
      </c>
      <c r="F289" s="15" t="s">
        <v>605</v>
      </c>
      <c r="G289" s="17"/>
      <c r="H289" s="19"/>
      <c r="I289" s="19"/>
      <c r="J289" s="19"/>
      <c r="K289" t="str">
        <f t="shared" si="4"/>
        <v/>
      </c>
    </row>
    <row r="290" spans="1:11" ht="50.25" thickBot="1">
      <c r="A290" s="14">
        <v>290</v>
      </c>
      <c r="B290" s="15" t="s">
        <v>606</v>
      </c>
      <c r="C290" s="16" t="s">
        <v>1144</v>
      </c>
      <c r="D290" s="17"/>
      <c r="E290" s="18">
        <v>289</v>
      </c>
      <c r="F290" s="15" t="s">
        <v>607</v>
      </c>
      <c r="G290" s="17"/>
      <c r="H290" s="19"/>
      <c r="I290" s="19"/>
      <c r="J290" s="19"/>
      <c r="K290" t="str">
        <f t="shared" si="4"/>
        <v/>
      </c>
    </row>
    <row r="291" spans="1:11" ht="33.75" thickBot="1">
      <c r="A291" s="14">
        <v>291</v>
      </c>
      <c r="B291" s="15" t="s">
        <v>608</v>
      </c>
      <c r="C291" s="16" t="s">
        <v>1144</v>
      </c>
      <c r="D291" s="17"/>
      <c r="E291" s="18">
        <v>290</v>
      </c>
      <c r="F291" s="15" t="s">
        <v>609</v>
      </c>
      <c r="G291" s="17"/>
      <c r="H291" s="19"/>
      <c r="I291" s="19"/>
      <c r="J291" s="19"/>
      <c r="K291" t="str">
        <f t="shared" si="4"/>
        <v/>
      </c>
    </row>
    <row r="292" spans="1:11" ht="17.25" thickBot="1">
      <c r="A292" s="14">
        <v>292</v>
      </c>
      <c r="B292" s="15" t="s">
        <v>610</v>
      </c>
      <c r="C292" s="16" t="s">
        <v>1144</v>
      </c>
      <c r="D292" s="17"/>
      <c r="E292" s="18">
        <v>291</v>
      </c>
      <c r="F292" s="15" t="s">
        <v>611</v>
      </c>
      <c r="G292" s="17"/>
      <c r="H292" s="19"/>
      <c r="I292" s="19"/>
      <c r="J292" s="19"/>
      <c r="K292" t="str">
        <f t="shared" si="4"/>
        <v/>
      </c>
    </row>
    <row r="293" spans="1:11" ht="33.75" thickBot="1">
      <c r="A293" s="14">
        <v>293</v>
      </c>
      <c r="B293" s="15" t="s">
        <v>612</v>
      </c>
      <c r="C293" s="16" t="s">
        <v>1144</v>
      </c>
      <c r="D293" s="17"/>
      <c r="E293" s="18">
        <v>292</v>
      </c>
      <c r="F293" s="15" t="s">
        <v>613</v>
      </c>
      <c r="G293" s="17"/>
      <c r="H293" s="19"/>
      <c r="I293" s="19"/>
      <c r="J293" s="19"/>
      <c r="K293" t="str">
        <f t="shared" si="4"/>
        <v/>
      </c>
    </row>
    <row r="294" spans="1:11" ht="33.75" thickBot="1">
      <c r="A294" s="14">
        <v>294</v>
      </c>
      <c r="B294" s="15" t="s">
        <v>614</v>
      </c>
      <c r="C294" s="16" t="s">
        <v>1144</v>
      </c>
      <c r="D294" s="17"/>
      <c r="E294" s="18">
        <v>293</v>
      </c>
      <c r="F294" s="15" t="s">
        <v>615</v>
      </c>
      <c r="G294" s="17"/>
      <c r="H294" s="19"/>
      <c r="I294" s="19"/>
      <c r="J294" s="19"/>
      <c r="K294" t="str">
        <f t="shared" si="4"/>
        <v/>
      </c>
    </row>
    <row r="295" spans="1:11" ht="33.75" thickBot="1">
      <c r="A295" s="14">
        <v>295</v>
      </c>
      <c r="B295" s="15" t="s">
        <v>616</v>
      </c>
      <c r="C295" s="16" t="s">
        <v>1144</v>
      </c>
      <c r="D295" s="17"/>
      <c r="E295" s="18">
        <v>294</v>
      </c>
      <c r="F295" s="15" t="s">
        <v>617</v>
      </c>
      <c r="G295" s="17"/>
      <c r="H295" s="19"/>
      <c r="I295" s="19"/>
      <c r="J295" s="19"/>
      <c r="K295" t="str">
        <f t="shared" si="4"/>
        <v/>
      </c>
    </row>
    <row r="296" spans="1:11" ht="33.75" thickBot="1">
      <c r="A296" s="14">
        <v>296</v>
      </c>
      <c r="B296" s="15" t="s">
        <v>618</v>
      </c>
      <c r="C296" s="16" t="s">
        <v>1151</v>
      </c>
      <c r="D296" s="17"/>
      <c r="E296" s="18">
        <v>295</v>
      </c>
      <c r="F296" s="15" t="s">
        <v>619</v>
      </c>
      <c r="G296" s="17"/>
      <c r="H296" s="19"/>
      <c r="I296" s="19"/>
      <c r="J296" s="19"/>
      <c r="K296" t="str">
        <f t="shared" si="4"/>
        <v>1</v>
      </c>
    </row>
    <row r="297" spans="1:11" ht="33.75" thickBot="1">
      <c r="A297" s="14">
        <v>297</v>
      </c>
      <c r="B297" s="15" t="s">
        <v>620</v>
      </c>
      <c r="C297" s="16" t="s">
        <v>1144</v>
      </c>
      <c r="D297" s="17"/>
      <c r="E297" s="18">
        <v>296</v>
      </c>
      <c r="F297" s="15" t="s">
        <v>621</v>
      </c>
      <c r="G297" s="17"/>
      <c r="H297" s="19"/>
      <c r="I297" s="19"/>
      <c r="J297" s="19"/>
      <c r="K297" t="str">
        <f t="shared" si="4"/>
        <v/>
      </c>
    </row>
    <row r="298" spans="1:11" ht="33.75" thickBot="1">
      <c r="A298" s="14">
        <v>298</v>
      </c>
      <c r="B298" s="15" t="s">
        <v>622</v>
      </c>
      <c r="C298" s="16" t="s">
        <v>1151</v>
      </c>
      <c r="D298" s="17"/>
      <c r="E298" s="18">
        <v>297</v>
      </c>
      <c r="F298" s="15" t="s">
        <v>623</v>
      </c>
      <c r="G298" s="17"/>
      <c r="H298" s="19"/>
      <c r="I298" s="19"/>
      <c r="J298" s="19"/>
      <c r="K298" t="str">
        <f t="shared" si="4"/>
        <v>1</v>
      </c>
    </row>
    <row r="299" spans="1:11" ht="33.75" thickBot="1">
      <c r="A299" s="14">
        <v>299</v>
      </c>
      <c r="B299" s="15" t="s">
        <v>624</v>
      </c>
      <c r="C299" s="16" t="s">
        <v>1144</v>
      </c>
      <c r="D299" s="17"/>
      <c r="E299" s="18">
        <v>298</v>
      </c>
      <c r="F299" s="15" t="s">
        <v>625</v>
      </c>
      <c r="G299" s="17"/>
      <c r="H299" s="19"/>
      <c r="I299" s="19"/>
      <c r="J299" s="19"/>
      <c r="K299" t="str">
        <f t="shared" si="4"/>
        <v/>
      </c>
    </row>
    <row r="300" spans="1:11" ht="33.75" thickBot="1">
      <c r="A300" s="14">
        <v>300</v>
      </c>
      <c r="B300" s="15" t="s">
        <v>626</v>
      </c>
      <c r="C300" s="16" t="s">
        <v>1151</v>
      </c>
      <c r="D300" s="17"/>
      <c r="E300" s="18">
        <v>299</v>
      </c>
      <c r="F300" s="15" t="s">
        <v>627</v>
      </c>
      <c r="G300" s="17"/>
      <c r="H300" s="19"/>
      <c r="I300" s="19"/>
      <c r="J300" s="19"/>
      <c r="K300" t="str">
        <f t="shared" si="4"/>
        <v>1</v>
      </c>
    </row>
    <row r="301" spans="1:11" ht="33.75" thickBot="1">
      <c r="A301" s="14">
        <v>301</v>
      </c>
      <c r="B301" s="15" t="s">
        <v>628</v>
      </c>
      <c r="C301" s="16" t="s">
        <v>1151</v>
      </c>
      <c r="D301" s="17"/>
      <c r="E301" s="18">
        <v>300</v>
      </c>
      <c r="F301" s="15" t="s">
        <v>629</v>
      </c>
      <c r="G301" s="17"/>
      <c r="H301" s="19"/>
      <c r="I301" s="19"/>
      <c r="J301" s="19"/>
      <c r="K301" t="str">
        <f t="shared" si="4"/>
        <v>1</v>
      </c>
    </row>
    <row r="302" spans="1:11" ht="66.75" thickBot="1">
      <c r="A302" s="14">
        <v>302</v>
      </c>
      <c r="B302" s="15" t="s">
        <v>630</v>
      </c>
      <c r="C302" s="16" t="s">
        <v>1151</v>
      </c>
      <c r="D302" s="17"/>
      <c r="E302" s="18">
        <v>301</v>
      </c>
      <c r="F302" s="15" t="s">
        <v>631</v>
      </c>
      <c r="G302" s="17"/>
      <c r="H302" s="19"/>
      <c r="I302" s="19"/>
      <c r="J302" s="19"/>
      <c r="K302" t="str">
        <f t="shared" si="4"/>
        <v>1</v>
      </c>
    </row>
    <row r="303" spans="1:11" ht="50.25" thickBot="1">
      <c r="A303" s="14">
        <v>303</v>
      </c>
      <c r="B303" s="15" t="s">
        <v>632</v>
      </c>
      <c r="C303" s="16" t="s">
        <v>1144</v>
      </c>
      <c r="D303" s="17"/>
      <c r="E303" s="18">
        <v>302</v>
      </c>
      <c r="F303" s="15" t="s">
        <v>633</v>
      </c>
      <c r="G303" s="17"/>
      <c r="H303" s="19"/>
      <c r="I303" s="19"/>
      <c r="J303" s="19"/>
      <c r="K303" t="str">
        <f t="shared" si="4"/>
        <v/>
      </c>
    </row>
    <row r="304" spans="1:11" ht="17.25" thickBot="1">
      <c r="A304" s="14">
        <v>304</v>
      </c>
      <c r="B304" s="15" t="s">
        <v>634</v>
      </c>
      <c r="C304" s="16" t="s">
        <v>1144</v>
      </c>
      <c r="D304" s="17"/>
      <c r="E304" s="18">
        <v>303</v>
      </c>
      <c r="F304" s="15" t="s">
        <v>635</v>
      </c>
      <c r="G304" s="17"/>
      <c r="H304" s="19"/>
      <c r="I304" s="19"/>
      <c r="J304" s="19"/>
      <c r="K304" t="str">
        <f t="shared" si="4"/>
        <v/>
      </c>
    </row>
    <row r="305" spans="1:11" ht="33.75" thickBot="1">
      <c r="A305" s="14">
        <v>305</v>
      </c>
      <c r="B305" s="15" t="s">
        <v>636</v>
      </c>
      <c r="C305" s="16" t="s">
        <v>1144</v>
      </c>
      <c r="D305" s="17"/>
      <c r="E305" s="18">
        <v>304</v>
      </c>
      <c r="F305" s="15" t="s">
        <v>637</v>
      </c>
      <c r="G305" s="17"/>
      <c r="H305" s="19"/>
      <c r="I305" s="19"/>
      <c r="J305" s="19"/>
      <c r="K305" t="str">
        <f t="shared" si="4"/>
        <v/>
      </c>
    </row>
    <row r="306" spans="1:11" ht="33.75" thickBot="1">
      <c r="A306" s="14">
        <v>306</v>
      </c>
      <c r="B306" s="15" t="s">
        <v>638</v>
      </c>
      <c r="C306" s="16" t="s">
        <v>1144</v>
      </c>
      <c r="D306" s="17"/>
      <c r="E306" s="18">
        <v>305</v>
      </c>
      <c r="F306" s="15" t="s">
        <v>639</v>
      </c>
      <c r="G306" s="17"/>
      <c r="H306" s="19"/>
      <c r="I306" s="19"/>
      <c r="J306" s="19"/>
      <c r="K306" t="str">
        <f t="shared" si="4"/>
        <v/>
      </c>
    </row>
    <row r="307" spans="1:11" ht="33.75" thickBot="1">
      <c r="A307" s="14">
        <v>307</v>
      </c>
      <c r="B307" s="15" t="s">
        <v>640</v>
      </c>
      <c r="C307" s="16" t="s">
        <v>1151</v>
      </c>
      <c r="D307" s="17"/>
      <c r="E307" s="18">
        <v>306</v>
      </c>
      <c r="F307" s="15" t="s">
        <v>641</v>
      </c>
      <c r="G307" s="17"/>
      <c r="H307" s="19"/>
      <c r="I307" s="19"/>
      <c r="J307" s="19"/>
      <c r="K307" t="str">
        <f t="shared" si="4"/>
        <v>1</v>
      </c>
    </row>
    <row r="308" spans="1:11" ht="33.75" thickBot="1">
      <c r="A308" s="14">
        <v>308</v>
      </c>
      <c r="B308" s="15" t="s">
        <v>642</v>
      </c>
      <c r="C308" s="16" t="s">
        <v>1144</v>
      </c>
      <c r="D308" s="17"/>
      <c r="E308" s="18">
        <v>307</v>
      </c>
      <c r="F308" s="15" t="s">
        <v>643</v>
      </c>
      <c r="G308" s="17"/>
      <c r="H308" s="19"/>
      <c r="I308" s="19"/>
      <c r="J308" s="19"/>
      <c r="K308" t="str">
        <f t="shared" si="4"/>
        <v/>
      </c>
    </row>
    <row r="309" spans="1:11" ht="33.75" thickBot="1">
      <c r="A309" s="14">
        <v>309</v>
      </c>
      <c r="B309" s="15" t="s">
        <v>644</v>
      </c>
      <c r="C309" s="16" t="s">
        <v>1144</v>
      </c>
      <c r="D309" s="17"/>
      <c r="E309" s="18">
        <v>308</v>
      </c>
      <c r="F309" s="15" t="s">
        <v>645</v>
      </c>
      <c r="G309" s="17"/>
      <c r="H309" s="19"/>
      <c r="I309" s="19"/>
      <c r="J309" s="19"/>
      <c r="K309" t="str">
        <f t="shared" si="4"/>
        <v/>
      </c>
    </row>
    <row r="310" spans="1:11" ht="33.75" thickBot="1">
      <c r="A310" s="14">
        <v>310</v>
      </c>
      <c r="B310" s="15" t="s">
        <v>646</v>
      </c>
      <c r="C310" s="16" t="s">
        <v>1148</v>
      </c>
      <c r="D310" s="17"/>
      <c r="E310" s="18">
        <v>309</v>
      </c>
      <c r="F310" s="15" t="s">
        <v>647</v>
      </c>
      <c r="G310" s="17"/>
      <c r="H310" s="19"/>
      <c r="I310" s="19"/>
      <c r="J310" s="19"/>
      <c r="K310" t="str">
        <f t="shared" si="4"/>
        <v>1</v>
      </c>
    </row>
    <row r="311" spans="1:11" ht="33.75" thickBot="1">
      <c r="A311" s="14">
        <v>311</v>
      </c>
      <c r="B311" s="15" t="s">
        <v>648</v>
      </c>
      <c r="C311" s="16" t="s">
        <v>1144</v>
      </c>
      <c r="D311" s="17"/>
      <c r="E311" s="18">
        <v>310</v>
      </c>
      <c r="F311" s="15" t="s">
        <v>649</v>
      </c>
      <c r="G311" s="17"/>
      <c r="H311" s="19"/>
      <c r="I311" s="19"/>
      <c r="J311" s="19"/>
      <c r="K311" t="str">
        <f t="shared" si="4"/>
        <v/>
      </c>
    </row>
    <row r="312" spans="1:11" ht="17.25" thickBot="1">
      <c r="A312" s="14">
        <v>312</v>
      </c>
      <c r="B312" s="15" t="s">
        <v>650</v>
      </c>
      <c r="C312" s="16" t="s">
        <v>1145</v>
      </c>
      <c r="D312" s="17"/>
      <c r="E312" s="18">
        <v>311</v>
      </c>
      <c r="F312" s="15" t="s">
        <v>651</v>
      </c>
      <c r="G312" s="17"/>
      <c r="H312" s="19"/>
      <c r="I312" s="19"/>
      <c r="J312" s="19"/>
      <c r="K312" t="str">
        <f t="shared" si="4"/>
        <v>1</v>
      </c>
    </row>
    <row r="313" spans="1:11" ht="33.75" thickBot="1">
      <c r="A313" s="14">
        <v>313</v>
      </c>
      <c r="B313" s="15" t="s">
        <v>652</v>
      </c>
      <c r="C313" s="16" t="s">
        <v>1151</v>
      </c>
      <c r="D313" s="17"/>
      <c r="E313" s="18">
        <v>312</v>
      </c>
      <c r="F313" s="15" t="s">
        <v>653</v>
      </c>
      <c r="G313" s="17"/>
      <c r="H313" s="19"/>
      <c r="I313" s="19"/>
      <c r="J313" s="19"/>
      <c r="K313" t="str">
        <f t="shared" si="4"/>
        <v>1</v>
      </c>
    </row>
    <row r="314" spans="1:11" ht="33.75" thickBot="1">
      <c r="A314" s="14">
        <v>314</v>
      </c>
      <c r="B314" s="15" t="s">
        <v>654</v>
      </c>
      <c r="C314" s="16" t="s">
        <v>1145</v>
      </c>
      <c r="D314" s="17"/>
      <c r="E314" s="18">
        <v>313</v>
      </c>
      <c r="F314" s="15" t="s">
        <v>655</v>
      </c>
      <c r="G314" s="17"/>
      <c r="H314" s="19"/>
      <c r="I314" s="19"/>
      <c r="J314" s="19"/>
      <c r="K314" t="str">
        <f t="shared" si="4"/>
        <v>1</v>
      </c>
    </row>
    <row r="315" spans="1:11" ht="33.75" thickBot="1">
      <c r="A315" s="14">
        <v>315</v>
      </c>
      <c r="B315" s="15" t="s">
        <v>656</v>
      </c>
      <c r="C315" s="16" t="s">
        <v>1151</v>
      </c>
      <c r="D315" s="17"/>
      <c r="E315" s="18">
        <v>314</v>
      </c>
      <c r="F315" s="15" t="s">
        <v>657</v>
      </c>
      <c r="G315" s="17"/>
      <c r="H315" s="19"/>
      <c r="I315" s="19"/>
      <c r="J315" s="19"/>
      <c r="K315" t="str">
        <f t="shared" si="4"/>
        <v>1</v>
      </c>
    </row>
    <row r="316" spans="1:11" ht="33.75" thickBot="1">
      <c r="A316" s="14">
        <v>316</v>
      </c>
      <c r="B316" s="15" t="s">
        <v>658</v>
      </c>
      <c r="C316" s="16" t="s">
        <v>1144</v>
      </c>
      <c r="D316" s="17"/>
      <c r="E316" s="18">
        <v>315</v>
      </c>
      <c r="F316" s="15" t="s">
        <v>659</v>
      </c>
      <c r="G316" s="17"/>
      <c r="H316" s="19"/>
      <c r="I316" s="19"/>
      <c r="J316" s="19"/>
      <c r="K316" t="str">
        <f t="shared" si="4"/>
        <v/>
      </c>
    </row>
    <row r="317" spans="1:11" ht="33.75" thickBot="1">
      <c r="A317" s="14">
        <v>317</v>
      </c>
      <c r="B317" s="15" t="s">
        <v>660</v>
      </c>
      <c r="C317" s="16" t="s">
        <v>1144</v>
      </c>
      <c r="D317" s="17"/>
      <c r="E317" s="18">
        <v>316</v>
      </c>
      <c r="F317" s="15" t="s">
        <v>661</v>
      </c>
      <c r="G317" s="17"/>
      <c r="H317" s="19"/>
      <c r="I317" s="19"/>
      <c r="J317" s="19"/>
      <c r="K317" t="str">
        <f t="shared" si="4"/>
        <v/>
      </c>
    </row>
    <row r="318" spans="1:11" ht="33.75" thickBot="1">
      <c r="A318" s="14">
        <v>318</v>
      </c>
      <c r="B318" s="15" t="s">
        <v>662</v>
      </c>
      <c r="C318" s="16" t="s">
        <v>1144</v>
      </c>
      <c r="D318" s="17"/>
      <c r="E318" s="18">
        <v>317</v>
      </c>
      <c r="F318" s="15" t="s">
        <v>663</v>
      </c>
      <c r="G318" s="17"/>
      <c r="H318" s="19"/>
      <c r="I318" s="19"/>
      <c r="J318" s="19"/>
      <c r="K318" t="str">
        <f t="shared" si="4"/>
        <v/>
      </c>
    </row>
    <row r="319" spans="1:11" ht="33.75" thickBot="1">
      <c r="A319" s="14">
        <v>319</v>
      </c>
      <c r="B319" s="15" t="s">
        <v>664</v>
      </c>
      <c r="C319" s="16" t="s">
        <v>1144</v>
      </c>
      <c r="D319" s="17"/>
      <c r="E319" s="18">
        <v>318</v>
      </c>
      <c r="F319" s="15" t="s">
        <v>665</v>
      </c>
      <c r="G319" s="17"/>
      <c r="H319" s="19"/>
      <c r="I319" s="19"/>
      <c r="J319" s="19"/>
      <c r="K319" t="str">
        <f t="shared" si="4"/>
        <v/>
      </c>
    </row>
    <row r="320" spans="1:11" ht="50.25" thickBot="1">
      <c r="A320" s="14">
        <v>320</v>
      </c>
      <c r="B320" s="15" t="s">
        <v>666</v>
      </c>
      <c r="C320" s="16" t="s">
        <v>1144</v>
      </c>
      <c r="D320" s="17"/>
      <c r="E320" s="18">
        <v>319</v>
      </c>
      <c r="F320" s="15" t="s">
        <v>667</v>
      </c>
      <c r="G320" s="17"/>
      <c r="H320" s="19"/>
      <c r="I320" s="19"/>
      <c r="J320" s="19"/>
      <c r="K320" t="str">
        <f t="shared" si="4"/>
        <v/>
      </c>
    </row>
    <row r="321" spans="1:11" ht="33.75" thickBot="1">
      <c r="A321" s="14">
        <v>321</v>
      </c>
      <c r="B321" s="15" t="s">
        <v>668</v>
      </c>
      <c r="C321" s="16" t="s">
        <v>1144</v>
      </c>
      <c r="D321" s="17"/>
      <c r="E321" s="18">
        <v>320</v>
      </c>
      <c r="F321" s="15" t="s">
        <v>669</v>
      </c>
      <c r="G321" s="17"/>
      <c r="H321" s="19"/>
      <c r="I321" s="19"/>
      <c r="J321" s="19"/>
      <c r="K321" t="str">
        <f t="shared" si="4"/>
        <v/>
      </c>
    </row>
    <row r="322" spans="1:11" ht="50.25" thickBot="1">
      <c r="A322" s="14">
        <v>322</v>
      </c>
      <c r="B322" s="15" t="s">
        <v>670</v>
      </c>
      <c r="C322" s="16" t="s">
        <v>1144</v>
      </c>
      <c r="D322" s="17"/>
      <c r="E322" s="18">
        <v>321</v>
      </c>
      <c r="F322" s="15" t="s">
        <v>671</v>
      </c>
      <c r="G322" s="17"/>
      <c r="H322" s="19"/>
      <c r="I322" s="19"/>
      <c r="J322" s="19"/>
      <c r="K322" t="str">
        <f t="shared" si="4"/>
        <v/>
      </c>
    </row>
    <row r="323" spans="1:11" ht="50.25" thickBot="1">
      <c r="A323" s="14">
        <v>323</v>
      </c>
      <c r="B323" s="15" t="s">
        <v>672</v>
      </c>
      <c r="C323" s="16" t="s">
        <v>1150</v>
      </c>
      <c r="D323" s="17"/>
      <c r="E323" s="18">
        <v>322</v>
      </c>
      <c r="F323" s="15" t="s">
        <v>673</v>
      </c>
      <c r="G323" s="17"/>
      <c r="H323" s="19"/>
      <c r="I323" s="19"/>
      <c r="J323" s="19"/>
      <c r="K323" t="str">
        <f t="shared" ref="K323:K386" si="5">LEFT(C323,LEN(C323)-1)</f>
        <v/>
      </c>
    </row>
    <row r="324" spans="1:11" ht="50.25" thickBot="1">
      <c r="A324" s="14">
        <v>324</v>
      </c>
      <c r="B324" s="15" t="s">
        <v>674</v>
      </c>
      <c r="C324" s="16" t="s">
        <v>1144</v>
      </c>
      <c r="D324" s="17"/>
      <c r="E324" s="18">
        <v>323</v>
      </c>
      <c r="F324" s="15" t="s">
        <v>675</v>
      </c>
      <c r="G324" s="17"/>
      <c r="H324" s="19"/>
      <c r="I324" s="19"/>
      <c r="J324" s="19"/>
      <c r="K324" t="str">
        <f t="shared" si="5"/>
        <v/>
      </c>
    </row>
    <row r="325" spans="1:11" ht="33.75" thickBot="1">
      <c r="A325" s="14">
        <v>325</v>
      </c>
      <c r="B325" s="15" t="s">
        <v>676</v>
      </c>
      <c r="C325" s="16" t="s">
        <v>1144</v>
      </c>
      <c r="D325" s="17"/>
      <c r="E325" s="18">
        <v>324</v>
      </c>
      <c r="F325" s="15" t="s">
        <v>677</v>
      </c>
      <c r="G325" s="17"/>
      <c r="H325" s="19"/>
      <c r="I325" s="19"/>
      <c r="J325" s="19"/>
      <c r="K325" t="str">
        <f t="shared" si="5"/>
        <v/>
      </c>
    </row>
    <row r="326" spans="1:11" ht="33.75" thickBot="1">
      <c r="A326" s="14">
        <v>326</v>
      </c>
      <c r="B326" s="15" t="s">
        <v>678</v>
      </c>
      <c r="C326" s="16" t="s">
        <v>1144</v>
      </c>
      <c r="D326" s="17"/>
      <c r="E326" s="18">
        <v>325</v>
      </c>
      <c r="F326" s="15" t="s">
        <v>679</v>
      </c>
      <c r="G326" s="17"/>
      <c r="H326" s="19"/>
      <c r="I326" s="19"/>
      <c r="J326" s="19"/>
      <c r="K326" t="str">
        <f t="shared" si="5"/>
        <v/>
      </c>
    </row>
    <row r="327" spans="1:11" ht="33.75" thickBot="1">
      <c r="A327" s="14">
        <v>327</v>
      </c>
      <c r="B327" s="15" t="s">
        <v>680</v>
      </c>
      <c r="C327" s="16" t="s">
        <v>1151</v>
      </c>
      <c r="D327" s="17"/>
      <c r="E327" s="18">
        <v>326</v>
      </c>
      <c r="F327" s="15" t="s">
        <v>681</v>
      </c>
      <c r="G327" s="17"/>
      <c r="H327" s="19"/>
      <c r="I327" s="19"/>
      <c r="J327" s="19"/>
      <c r="K327" t="str">
        <f t="shared" si="5"/>
        <v>1</v>
      </c>
    </row>
    <row r="328" spans="1:11" ht="33.75" thickBot="1">
      <c r="A328" s="14">
        <v>328</v>
      </c>
      <c r="B328" s="15" t="s">
        <v>682</v>
      </c>
      <c r="C328" s="16" t="s">
        <v>1144</v>
      </c>
      <c r="D328" s="17"/>
      <c r="E328" s="18">
        <v>327</v>
      </c>
      <c r="F328" s="15" t="s">
        <v>683</v>
      </c>
      <c r="G328" s="17"/>
      <c r="H328" s="19"/>
      <c r="I328" s="19"/>
      <c r="J328" s="19"/>
      <c r="K328" t="str">
        <f t="shared" si="5"/>
        <v/>
      </c>
    </row>
    <row r="329" spans="1:11" ht="33.75" thickBot="1">
      <c r="A329" s="14">
        <v>329</v>
      </c>
      <c r="B329" s="15" t="s">
        <v>684</v>
      </c>
      <c r="C329" s="16" t="s">
        <v>1145</v>
      </c>
      <c r="D329" s="17"/>
      <c r="E329" s="18">
        <v>328</v>
      </c>
      <c r="F329" s="15" t="s">
        <v>685</v>
      </c>
      <c r="G329" s="17"/>
      <c r="H329" s="19"/>
      <c r="I329" s="19"/>
      <c r="J329" s="19"/>
      <c r="K329" t="str">
        <f t="shared" si="5"/>
        <v>1</v>
      </c>
    </row>
    <row r="330" spans="1:11" ht="33.75" thickBot="1">
      <c r="A330" s="14">
        <v>330</v>
      </c>
      <c r="B330" s="15" t="s">
        <v>686</v>
      </c>
      <c r="C330" s="16" t="s">
        <v>1144</v>
      </c>
      <c r="D330" s="17"/>
      <c r="E330" s="18">
        <v>329</v>
      </c>
      <c r="F330" s="15" t="s">
        <v>687</v>
      </c>
      <c r="G330" s="17"/>
      <c r="H330" s="19"/>
      <c r="I330" s="19"/>
      <c r="J330" s="19"/>
      <c r="K330" t="str">
        <f t="shared" si="5"/>
        <v/>
      </c>
    </row>
    <row r="331" spans="1:11" ht="33.75" thickBot="1">
      <c r="A331" s="14">
        <v>331</v>
      </c>
      <c r="B331" s="15" t="s">
        <v>688</v>
      </c>
      <c r="C331" s="16" t="s">
        <v>1144</v>
      </c>
      <c r="D331" s="17"/>
      <c r="E331" s="18">
        <v>330</v>
      </c>
      <c r="F331" s="15" t="s">
        <v>689</v>
      </c>
      <c r="G331" s="17"/>
      <c r="H331" s="19"/>
      <c r="I331" s="19"/>
      <c r="J331" s="19"/>
      <c r="K331" t="str">
        <f t="shared" si="5"/>
        <v/>
      </c>
    </row>
    <row r="332" spans="1:11" ht="33.75" thickBot="1">
      <c r="A332" s="14">
        <v>332</v>
      </c>
      <c r="B332" s="15" t="s">
        <v>690</v>
      </c>
      <c r="C332" s="16" t="s">
        <v>1144</v>
      </c>
      <c r="D332" s="17"/>
      <c r="E332" s="18">
        <v>331</v>
      </c>
      <c r="F332" s="15" t="s">
        <v>691</v>
      </c>
      <c r="G332" s="17"/>
      <c r="H332" s="19"/>
      <c r="I332" s="19"/>
      <c r="J332" s="19"/>
      <c r="K332" t="str">
        <f t="shared" si="5"/>
        <v/>
      </c>
    </row>
    <row r="333" spans="1:11" ht="50.25" thickBot="1">
      <c r="A333" s="14">
        <v>333</v>
      </c>
      <c r="B333" s="15" t="s">
        <v>692</v>
      </c>
      <c r="C333" s="16" t="s">
        <v>1151</v>
      </c>
      <c r="D333" s="17"/>
      <c r="E333" s="18">
        <v>332</v>
      </c>
      <c r="F333" s="15" t="s">
        <v>693</v>
      </c>
      <c r="G333" s="17"/>
      <c r="H333" s="19"/>
      <c r="I333" s="19"/>
      <c r="J333" s="19"/>
      <c r="K333" t="str">
        <f t="shared" si="5"/>
        <v>1</v>
      </c>
    </row>
    <row r="334" spans="1:11" ht="33.75" thickBot="1">
      <c r="A334" s="14">
        <v>334</v>
      </c>
      <c r="B334" s="15" t="s">
        <v>694</v>
      </c>
      <c r="C334" s="16" t="s">
        <v>1149</v>
      </c>
      <c r="D334" s="17"/>
      <c r="E334" s="18">
        <v>333</v>
      </c>
      <c r="F334" s="15" t="s">
        <v>695</v>
      </c>
      <c r="G334" s="17"/>
      <c r="H334" s="19"/>
      <c r="I334" s="19"/>
      <c r="J334" s="19"/>
      <c r="K334" t="str">
        <f t="shared" si="5"/>
        <v>1</v>
      </c>
    </row>
    <row r="335" spans="1:11" ht="17.25" thickBot="1">
      <c r="A335" s="14">
        <v>335</v>
      </c>
      <c r="B335" s="15" t="s">
        <v>696</v>
      </c>
      <c r="C335" s="16" t="s">
        <v>1151</v>
      </c>
      <c r="D335" s="17"/>
      <c r="E335" s="18">
        <v>334</v>
      </c>
      <c r="F335" s="15" t="s">
        <v>697</v>
      </c>
      <c r="G335" s="17"/>
      <c r="H335" s="19"/>
      <c r="I335" s="19"/>
      <c r="J335" s="19"/>
      <c r="K335" t="str">
        <f t="shared" si="5"/>
        <v>1</v>
      </c>
    </row>
    <row r="336" spans="1:11" ht="33.75" thickBot="1">
      <c r="A336" s="14">
        <v>336</v>
      </c>
      <c r="B336" s="15" t="s">
        <v>698</v>
      </c>
      <c r="C336" s="16" t="s">
        <v>1144</v>
      </c>
      <c r="D336" s="17"/>
      <c r="E336" s="18">
        <v>335</v>
      </c>
      <c r="F336" s="15" t="s">
        <v>699</v>
      </c>
      <c r="G336" s="17"/>
      <c r="H336" s="19"/>
      <c r="I336" s="19"/>
      <c r="J336" s="19"/>
      <c r="K336" t="str">
        <f t="shared" si="5"/>
        <v/>
      </c>
    </row>
    <row r="337" spans="1:11" ht="33.75" thickBot="1">
      <c r="A337" s="14">
        <v>337</v>
      </c>
      <c r="B337" s="15" t="s">
        <v>700</v>
      </c>
      <c r="C337" s="16" t="s">
        <v>1151</v>
      </c>
      <c r="D337" s="17"/>
      <c r="E337" s="18">
        <v>336</v>
      </c>
      <c r="F337" s="15" t="s">
        <v>701</v>
      </c>
      <c r="G337" s="17"/>
      <c r="H337" s="19"/>
      <c r="I337" s="19"/>
      <c r="J337" s="19"/>
      <c r="K337" t="str">
        <f t="shared" si="5"/>
        <v>1</v>
      </c>
    </row>
    <row r="338" spans="1:11" ht="33.75" thickBot="1">
      <c r="A338" s="14">
        <v>338</v>
      </c>
      <c r="B338" s="15" t="s">
        <v>702</v>
      </c>
      <c r="C338" s="16" t="s">
        <v>1151</v>
      </c>
      <c r="D338" s="17"/>
      <c r="E338" s="18">
        <v>337</v>
      </c>
      <c r="F338" s="15" t="s">
        <v>703</v>
      </c>
      <c r="G338" s="17"/>
      <c r="H338" s="19"/>
      <c r="I338" s="19"/>
      <c r="J338" s="19"/>
      <c r="K338" t="str">
        <f t="shared" si="5"/>
        <v>1</v>
      </c>
    </row>
    <row r="339" spans="1:11" ht="33.75" thickBot="1">
      <c r="A339" s="14">
        <v>339</v>
      </c>
      <c r="B339" s="15" t="s">
        <v>704</v>
      </c>
      <c r="C339" s="16" t="s">
        <v>1144</v>
      </c>
      <c r="D339" s="17"/>
      <c r="E339" s="18">
        <v>338</v>
      </c>
      <c r="F339" s="15" t="s">
        <v>705</v>
      </c>
      <c r="G339" s="17"/>
      <c r="H339" s="19"/>
      <c r="I339" s="19"/>
      <c r="J339" s="19"/>
      <c r="K339" t="str">
        <f t="shared" si="5"/>
        <v/>
      </c>
    </row>
    <row r="340" spans="1:11" ht="33.75" thickBot="1">
      <c r="A340" s="14">
        <v>340</v>
      </c>
      <c r="B340" s="15" t="s">
        <v>706</v>
      </c>
      <c r="C340" s="16" t="s">
        <v>1144</v>
      </c>
      <c r="D340" s="17"/>
      <c r="E340" s="18">
        <v>339</v>
      </c>
      <c r="F340" s="15" t="s">
        <v>707</v>
      </c>
      <c r="G340" s="17"/>
      <c r="H340" s="19"/>
      <c r="I340" s="19"/>
      <c r="J340" s="19"/>
      <c r="K340" t="str">
        <f t="shared" si="5"/>
        <v/>
      </c>
    </row>
    <row r="341" spans="1:11" ht="33.75" thickBot="1">
      <c r="A341" s="14">
        <v>341</v>
      </c>
      <c r="B341" s="15" t="s">
        <v>708</v>
      </c>
      <c r="C341" s="16" t="s">
        <v>1144</v>
      </c>
      <c r="D341" s="17"/>
      <c r="E341" s="18">
        <v>340</v>
      </c>
      <c r="F341" s="15" t="s">
        <v>709</v>
      </c>
      <c r="G341" s="17"/>
      <c r="H341" s="19"/>
      <c r="I341" s="19"/>
      <c r="J341" s="19"/>
      <c r="K341" t="str">
        <f t="shared" si="5"/>
        <v/>
      </c>
    </row>
    <row r="342" spans="1:11" ht="33.75" thickBot="1">
      <c r="A342" s="14">
        <v>342</v>
      </c>
      <c r="B342" s="15" t="s">
        <v>710</v>
      </c>
      <c r="C342" s="16" t="s">
        <v>1151</v>
      </c>
      <c r="D342" s="17"/>
      <c r="E342" s="18">
        <v>341</v>
      </c>
      <c r="F342" s="15" t="s">
        <v>711</v>
      </c>
      <c r="G342" s="17"/>
      <c r="H342" s="19"/>
      <c r="I342" s="19"/>
      <c r="J342" s="19"/>
      <c r="K342" t="str">
        <f t="shared" si="5"/>
        <v>1</v>
      </c>
    </row>
    <row r="343" spans="1:11" ht="33.75" thickBot="1">
      <c r="A343" s="14">
        <v>343</v>
      </c>
      <c r="B343" s="15" t="s">
        <v>712</v>
      </c>
      <c r="C343" s="16" t="s">
        <v>1144</v>
      </c>
      <c r="D343" s="17"/>
      <c r="E343" s="18">
        <v>342</v>
      </c>
      <c r="F343" s="15" t="s">
        <v>713</v>
      </c>
      <c r="G343" s="17"/>
      <c r="H343" s="19"/>
      <c r="I343" s="19"/>
      <c r="J343" s="19"/>
      <c r="K343" t="str">
        <f t="shared" si="5"/>
        <v/>
      </c>
    </row>
    <row r="344" spans="1:11" ht="17.25" thickBot="1">
      <c r="A344" s="14">
        <v>344</v>
      </c>
      <c r="B344" s="15" t="s">
        <v>714</v>
      </c>
      <c r="C344" s="16" t="s">
        <v>1144</v>
      </c>
      <c r="D344" s="17"/>
      <c r="E344" s="18">
        <v>343</v>
      </c>
      <c r="F344" s="15" t="s">
        <v>715</v>
      </c>
      <c r="G344" s="17"/>
      <c r="H344" s="19"/>
      <c r="I344" s="19"/>
      <c r="J344" s="19"/>
      <c r="K344" t="str">
        <f t="shared" si="5"/>
        <v/>
      </c>
    </row>
    <row r="345" spans="1:11" ht="33.75" thickBot="1">
      <c r="A345" s="14">
        <v>345</v>
      </c>
      <c r="B345" s="15" t="s">
        <v>716</v>
      </c>
      <c r="C345" s="16" t="s">
        <v>1144</v>
      </c>
      <c r="D345" s="17"/>
      <c r="E345" s="18">
        <v>344</v>
      </c>
      <c r="F345" s="15" t="s">
        <v>717</v>
      </c>
      <c r="G345" s="17"/>
      <c r="H345" s="19"/>
      <c r="I345" s="19"/>
      <c r="J345" s="19"/>
      <c r="K345" t="str">
        <f t="shared" si="5"/>
        <v/>
      </c>
    </row>
    <row r="346" spans="1:11" ht="50.25" thickBot="1">
      <c r="A346" s="14">
        <v>346</v>
      </c>
      <c r="B346" s="15" t="s">
        <v>718</v>
      </c>
      <c r="C346" s="16" t="s">
        <v>1144</v>
      </c>
      <c r="D346" s="17"/>
      <c r="E346" s="18">
        <v>345</v>
      </c>
      <c r="F346" s="15" t="s">
        <v>719</v>
      </c>
      <c r="G346" s="17"/>
      <c r="H346" s="19"/>
      <c r="I346" s="19"/>
      <c r="J346" s="19"/>
      <c r="K346" t="str">
        <f t="shared" si="5"/>
        <v/>
      </c>
    </row>
    <row r="347" spans="1:11" ht="33.75" thickBot="1">
      <c r="A347" s="14">
        <v>347</v>
      </c>
      <c r="B347" s="15" t="s">
        <v>720</v>
      </c>
      <c r="C347" s="16" t="s">
        <v>1151</v>
      </c>
      <c r="D347" s="17"/>
      <c r="E347" s="18">
        <v>346</v>
      </c>
      <c r="F347" s="15" t="s">
        <v>721</v>
      </c>
      <c r="G347" s="17"/>
      <c r="H347" s="19"/>
      <c r="I347" s="19"/>
      <c r="J347" s="19"/>
      <c r="K347" t="str">
        <f t="shared" si="5"/>
        <v>1</v>
      </c>
    </row>
    <row r="348" spans="1:11" ht="33.75" thickBot="1">
      <c r="A348" s="14">
        <v>348</v>
      </c>
      <c r="B348" s="15" t="s">
        <v>722</v>
      </c>
      <c r="C348" s="16" t="s">
        <v>1144</v>
      </c>
      <c r="D348" s="17"/>
      <c r="E348" s="18">
        <v>347</v>
      </c>
      <c r="F348" s="15" t="s">
        <v>723</v>
      </c>
      <c r="G348" s="17"/>
      <c r="H348" s="19"/>
      <c r="I348" s="19"/>
      <c r="J348" s="19"/>
      <c r="K348" t="str">
        <f t="shared" si="5"/>
        <v/>
      </c>
    </row>
    <row r="349" spans="1:11" ht="33.75" thickBot="1">
      <c r="A349" s="14">
        <v>349</v>
      </c>
      <c r="B349" s="15" t="s">
        <v>724</v>
      </c>
      <c r="C349" s="16" t="s">
        <v>1151</v>
      </c>
      <c r="D349" s="17"/>
      <c r="E349" s="18">
        <v>348</v>
      </c>
      <c r="F349" s="15" t="s">
        <v>725</v>
      </c>
      <c r="G349" s="17"/>
      <c r="H349" s="19"/>
      <c r="I349" s="19"/>
      <c r="J349" s="19"/>
      <c r="K349" t="str">
        <f t="shared" si="5"/>
        <v>1</v>
      </c>
    </row>
    <row r="350" spans="1:11" ht="33.75" thickBot="1">
      <c r="A350" s="14">
        <v>350</v>
      </c>
      <c r="B350" s="15" t="s">
        <v>726</v>
      </c>
      <c r="C350" s="16" t="s">
        <v>1151</v>
      </c>
      <c r="D350" s="17"/>
      <c r="E350" s="18">
        <v>349</v>
      </c>
      <c r="F350" s="15" t="s">
        <v>727</v>
      </c>
      <c r="G350" s="17"/>
      <c r="H350" s="19"/>
      <c r="I350" s="19"/>
      <c r="J350" s="19"/>
      <c r="K350" t="str">
        <f t="shared" si="5"/>
        <v>1</v>
      </c>
    </row>
    <row r="351" spans="1:11" ht="50.25" thickBot="1">
      <c r="A351" s="14">
        <v>351</v>
      </c>
      <c r="B351" s="15" t="s">
        <v>728</v>
      </c>
      <c r="C351" s="16" t="s">
        <v>1144</v>
      </c>
      <c r="D351" s="17"/>
      <c r="E351" s="18">
        <v>350</v>
      </c>
      <c r="F351" s="15" t="s">
        <v>729</v>
      </c>
      <c r="G351" s="17"/>
      <c r="H351" s="19"/>
      <c r="I351" s="19"/>
      <c r="J351" s="19"/>
      <c r="K351" t="str">
        <f t="shared" si="5"/>
        <v/>
      </c>
    </row>
    <row r="352" spans="1:11" ht="33.75" thickBot="1">
      <c r="A352" s="14">
        <v>352</v>
      </c>
      <c r="B352" s="15" t="s">
        <v>730</v>
      </c>
      <c r="C352" s="16" t="s">
        <v>1144</v>
      </c>
      <c r="D352" s="17"/>
      <c r="E352" s="18">
        <v>351</v>
      </c>
      <c r="F352" s="15" t="s">
        <v>731</v>
      </c>
      <c r="G352" s="17"/>
      <c r="H352" s="19"/>
      <c r="I352" s="19"/>
      <c r="J352" s="19"/>
      <c r="K352" t="str">
        <f t="shared" si="5"/>
        <v/>
      </c>
    </row>
    <row r="353" spans="1:11" ht="50.25" thickBot="1">
      <c r="A353" s="14">
        <v>353</v>
      </c>
      <c r="B353" s="15" t="s">
        <v>732</v>
      </c>
      <c r="C353" s="16" t="s">
        <v>1151</v>
      </c>
      <c r="D353" s="17"/>
      <c r="E353" s="18">
        <v>352</v>
      </c>
      <c r="F353" s="15" t="s">
        <v>733</v>
      </c>
      <c r="G353" s="17"/>
      <c r="H353" s="19"/>
      <c r="I353" s="19"/>
      <c r="J353" s="19"/>
      <c r="K353" t="str">
        <f t="shared" si="5"/>
        <v>1</v>
      </c>
    </row>
    <row r="354" spans="1:11" ht="50.25" thickBot="1">
      <c r="A354" s="14">
        <v>354</v>
      </c>
      <c r="B354" s="15" t="s">
        <v>734</v>
      </c>
      <c r="C354" s="16" t="s">
        <v>1144</v>
      </c>
      <c r="D354" s="17"/>
      <c r="E354" s="18">
        <v>353</v>
      </c>
      <c r="F354" s="15" t="s">
        <v>735</v>
      </c>
      <c r="G354" s="17"/>
      <c r="H354" s="19"/>
      <c r="I354" s="19"/>
      <c r="J354" s="19"/>
      <c r="K354" t="str">
        <f t="shared" si="5"/>
        <v/>
      </c>
    </row>
    <row r="355" spans="1:11" ht="50.25" thickBot="1">
      <c r="A355" s="14">
        <v>355</v>
      </c>
      <c r="B355" s="15" t="s">
        <v>736</v>
      </c>
      <c r="C355" s="16" t="s">
        <v>1151</v>
      </c>
      <c r="D355" s="17"/>
      <c r="E355" s="18">
        <v>354</v>
      </c>
      <c r="F355" s="15" t="s">
        <v>737</v>
      </c>
      <c r="G355" s="17"/>
      <c r="H355" s="19"/>
      <c r="I355" s="19"/>
      <c r="J355" s="19"/>
      <c r="K355" t="str">
        <f t="shared" si="5"/>
        <v>1</v>
      </c>
    </row>
    <row r="356" spans="1:11" ht="33.75" thickBot="1">
      <c r="A356" s="14">
        <v>356</v>
      </c>
      <c r="B356" s="15" t="s">
        <v>738</v>
      </c>
      <c r="C356" s="16" t="s">
        <v>1144</v>
      </c>
      <c r="D356" s="17"/>
      <c r="E356" s="18">
        <v>355</v>
      </c>
      <c r="F356" s="15" t="s">
        <v>739</v>
      </c>
      <c r="G356" s="17"/>
      <c r="H356" s="19"/>
      <c r="I356" s="19"/>
      <c r="J356" s="19"/>
      <c r="K356" t="str">
        <f t="shared" si="5"/>
        <v/>
      </c>
    </row>
    <row r="357" spans="1:11" ht="50.25" thickBot="1">
      <c r="A357" s="14">
        <v>357</v>
      </c>
      <c r="B357" s="15" t="s">
        <v>740</v>
      </c>
      <c r="C357" s="16" t="s">
        <v>1144</v>
      </c>
      <c r="D357" s="17"/>
      <c r="E357" s="18">
        <v>356</v>
      </c>
      <c r="F357" s="15" t="s">
        <v>741</v>
      </c>
      <c r="G357" s="17"/>
      <c r="H357" s="19"/>
      <c r="I357" s="19"/>
      <c r="J357" s="19"/>
      <c r="K357" t="str">
        <f t="shared" si="5"/>
        <v/>
      </c>
    </row>
    <row r="358" spans="1:11" ht="50.25" thickBot="1">
      <c r="A358" s="14">
        <v>358</v>
      </c>
      <c r="B358" s="15" t="s">
        <v>742</v>
      </c>
      <c r="C358" s="16" t="s">
        <v>1144</v>
      </c>
      <c r="D358" s="17"/>
      <c r="E358" s="18">
        <v>357</v>
      </c>
      <c r="F358" s="15" t="s">
        <v>743</v>
      </c>
      <c r="G358" s="17"/>
      <c r="H358" s="19"/>
      <c r="I358" s="19"/>
      <c r="J358" s="19"/>
      <c r="K358" t="str">
        <f t="shared" si="5"/>
        <v/>
      </c>
    </row>
    <row r="359" spans="1:11" ht="33.75" thickBot="1">
      <c r="A359" s="14">
        <v>359</v>
      </c>
      <c r="B359" s="15" t="s">
        <v>744</v>
      </c>
      <c r="C359" s="16" t="s">
        <v>1151</v>
      </c>
      <c r="D359" s="17"/>
      <c r="E359" s="18">
        <v>358</v>
      </c>
      <c r="F359" s="15" t="s">
        <v>745</v>
      </c>
      <c r="G359" s="17"/>
      <c r="H359" s="19"/>
      <c r="I359" s="19"/>
      <c r="J359" s="19"/>
      <c r="K359" t="str">
        <f t="shared" si="5"/>
        <v>1</v>
      </c>
    </row>
    <row r="360" spans="1:11" ht="33.75" thickBot="1">
      <c r="A360" s="14">
        <v>360</v>
      </c>
      <c r="B360" s="15" t="s">
        <v>746</v>
      </c>
      <c r="C360" s="16" t="s">
        <v>1149</v>
      </c>
      <c r="D360" s="17"/>
      <c r="E360" s="18">
        <v>359</v>
      </c>
      <c r="F360" s="15" t="s">
        <v>747</v>
      </c>
      <c r="G360" s="17"/>
      <c r="H360" s="19"/>
      <c r="I360" s="19"/>
      <c r="J360" s="19"/>
      <c r="K360" t="str">
        <f t="shared" si="5"/>
        <v>1</v>
      </c>
    </row>
    <row r="361" spans="1:11" ht="33.75" thickBot="1">
      <c r="A361" s="14">
        <v>361</v>
      </c>
      <c r="B361" s="15" t="s">
        <v>748</v>
      </c>
      <c r="C361" s="16" t="s">
        <v>1151</v>
      </c>
      <c r="D361" s="17"/>
      <c r="E361" s="18">
        <v>360</v>
      </c>
      <c r="F361" s="15" t="s">
        <v>749</v>
      </c>
      <c r="G361" s="17"/>
      <c r="H361" s="19"/>
      <c r="I361" s="19"/>
      <c r="J361" s="19"/>
      <c r="K361" t="str">
        <f t="shared" si="5"/>
        <v>1</v>
      </c>
    </row>
    <row r="362" spans="1:11" ht="50.25" thickBot="1">
      <c r="A362" s="14">
        <v>362</v>
      </c>
      <c r="B362" s="15" t="s">
        <v>750</v>
      </c>
      <c r="C362" s="16" t="s">
        <v>1144</v>
      </c>
      <c r="D362" s="17"/>
      <c r="E362" s="18">
        <v>361</v>
      </c>
      <c r="F362" s="15" t="s">
        <v>751</v>
      </c>
      <c r="G362" s="17"/>
      <c r="H362" s="19"/>
      <c r="I362" s="19"/>
      <c r="J362" s="19"/>
      <c r="K362" t="str">
        <f t="shared" si="5"/>
        <v/>
      </c>
    </row>
    <row r="363" spans="1:11" ht="33.75" thickBot="1">
      <c r="A363" s="14">
        <v>363</v>
      </c>
      <c r="B363" s="15" t="s">
        <v>752</v>
      </c>
      <c r="C363" s="16" t="s">
        <v>1144</v>
      </c>
      <c r="D363" s="17"/>
      <c r="E363" s="18">
        <v>362</v>
      </c>
      <c r="F363" s="15" t="s">
        <v>753</v>
      </c>
      <c r="G363" s="17"/>
      <c r="H363" s="19"/>
      <c r="I363" s="19"/>
      <c r="J363" s="19"/>
      <c r="K363" t="str">
        <f t="shared" si="5"/>
        <v/>
      </c>
    </row>
    <row r="364" spans="1:11" ht="33.75" thickBot="1">
      <c r="A364" s="14">
        <v>364</v>
      </c>
      <c r="B364" s="15" t="s">
        <v>754</v>
      </c>
      <c r="C364" s="16" t="s">
        <v>1144</v>
      </c>
      <c r="D364" s="17"/>
      <c r="E364" s="18">
        <v>363</v>
      </c>
      <c r="F364" s="15" t="s">
        <v>755</v>
      </c>
      <c r="G364" s="17"/>
      <c r="H364" s="19"/>
      <c r="I364" s="19"/>
      <c r="J364" s="19"/>
      <c r="K364" t="str">
        <f t="shared" si="5"/>
        <v/>
      </c>
    </row>
    <row r="365" spans="1:11" ht="33.75" thickBot="1">
      <c r="A365" s="14">
        <v>365</v>
      </c>
      <c r="B365" s="15" t="s">
        <v>756</v>
      </c>
      <c r="C365" s="16" t="s">
        <v>1151</v>
      </c>
      <c r="D365" s="17"/>
      <c r="E365" s="18">
        <v>364</v>
      </c>
      <c r="F365" s="15" t="s">
        <v>757</v>
      </c>
      <c r="G365" s="17"/>
      <c r="H365" s="19"/>
      <c r="I365" s="19"/>
      <c r="J365" s="19"/>
      <c r="K365" t="str">
        <f t="shared" si="5"/>
        <v>1</v>
      </c>
    </row>
    <row r="366" spans="1:11" ht="33.75" thickBot="1">
      <c r="A366" s="14">
        <v>366</v>
      </c>
      <c r="B366" s="15" t="s">
        <v>758</v>
      </c>
      <c r="C366" s="16" t="s">
        <v>1144</v>
      </c>
      <c r="D366" s="17"/>
      <c r="E366" s="18">
        <v>365</v>
      </c>
      <c r="F366" s="15" t="s">
        <v>759</v>
      </c>
      <c r="G366" s="17"/>
      <c r="H366" s="19"/>
      <c r="I366" s="19"/>
      <c r="J366" s="19"/>
      <c r="K366" t="str">
        <f t="shared" si="5"/>
        <v/>
      </c>
    </row>
    <row r="367" spans="1:11" ht="33.75" thickBot="1">
      <c r="A367" s="14">
        <v>367</v>
      </c>
      <c r="B367" s="15" t="s">
        <v>760</v>
      </c>
      <c r="C367" s="16" t="s">
        <v>1148</v>
      </c>
      <c r="D367" s="17"/>
      <c r="E367" s="18">
        <v>366</v>
      </c>
      <c r="F367" s="15" t="s">
        <v>761</v>
      </c>
      <c r="G367" s="17"/>
      <c r="H367" s="19"/>
      <c r="I367" s="19"/>
      <c r="J367" s="19"/>
      <c r="K367" t="str">
        <f t="shared" si="5"/>
        <v>1</v>
      </c>
    </row>
    <row r="368" spans="1:11" ht="33.75" thickBot="1">
      <c r="A368" s="14">
        <v>368</v>
      </c>
      <c r="B368" s="15" t="s">
        <v>762</v>
      </c>
      <c r="C368" s="16" t="s">
        <v>1144</v>
      </c>
      <c r="D368" s="17"/>
      <c r="E368" s="18">
        <v>367</v>
      </c>
      <c r="F368" s="15" t="s">
        <v>763</v>
      </c>
      <c r="G368" s="17"/>
      <c r="H368" s="19"/>
      <c r="I368" s="19"/>
      <c r="J368" s="19"/>
      <c r="K368" t="str">
        <f t="shared" si="5"/>
        <v/>
      </c>
    </row>
    <row r="369" spans="1:11" ht="33.75" thickBot="1">
      <c r="A369" s="14">
        <v>369</v>
      </c>
      <c r="B369" s="15" t="s">
        <v>764</v>
      </c>
      <c r="C369" s="16" t="s">
        <v>1151</v>
      </c>
      <c r="D369" s="17"/>
      <c r="E369" s="18">
        <v>368</v>
      </c>
      <c r="F369" s="15" t="s">
        <v>765</v>
      </c>
      <c r="G369" s="17"/>
      <c r="H369" s="19"/>
      <c r="I369" s="19"/>
      <c r="J369" s="19"/>
      <c r="K369" t="str">
        <f t="shared" si="5"/>
        <v>1</v>
      </c>
    </row>
    <row r="370" spans="1:11" ht="33.75" thickBot="1">
      <c r="A370" s="14">
        <v>370</v>
      </c>
      <c r="B370" s="15" t="s">
        <v>766</v>
      </c>
      <c r="C370" s="16" t="s">
        <v>1144</v>
      </c>
      <c r="D370" s="17"/>
      <c r="E370" s="18">
        <v>369</v>
      </c>
      <c r="F370" s="15" t="s">
        <v>767</v>
      </c>
      <c r="G370" s="17"/>
      <c r="H370" s="19"/>
      <c r="I370" s="19"/>
      <c r="J370" s="19"/>
      <c r="K370" t="str">
        <f t="shared" si="5"/>
        <v/>
      </c>
    </row>
    <row r="371" spans="1:11" ht="33.75" thickBot="1">
      <c r="A371" s="14">
        <v>371</v>
      </c>
      <c r="B371" s="15" t="s">
        <v>768</v>
      </c>
      <c r="C371" s="16" t="s">
        <v>1151</v>
      </c>
      <c r="D371" s="17"/>
      <c r="E371" s="18">
        <v>370</v>
      </c>
      <c r="F371" s="15" t="s">
        <v>769</v>
      </c>
      <c r="G371" s="17"/>
      <c r="H371" s="19"/>
      <c r="I371" s="19"/>
      <c r="J371" s="19"/>
      <c r="K371" t="str">
        <f t="shared" si="5"/>
        <v>1</v>
      </c>
    </row>
    <row r="372" spans="1:11" ht="33.75" thickBot="1">
      <c r="A372" s="14">
        <v>372</v>
      </c>
      <c r="B372" s="15" t="s">
        <v>770</v>
      </c>
      <c r="C372" s="16" t="s">
        <v>1144</v>
      </c>
      <c r="D372" s="17"/>
      <c r="E372" s="18">
        <v>371</v>
      </c>
      <c r="F372" s="15" t="s">
        <v>771</v>
      </c>
      <c r="G372" s="17"/>
      <c r="H372" s="19"/>
      <c r="I372" s="19"/>
      <c r="J372" s="19"/>
      <c r="K372" t="str">
        <f t="shared" si="5"/>
        <v/>
      </c>
    </row>
    <row r="373" spans="1:11" ht="33.75" thickBot="1">
      <c r="A373" s="14">
        <v>373</v>
      </c>
      <c r="B373" s="15" t="s">
        <v>772</v>
      </c>
      <c r="C373" s="16" t="s">
        <v>1144</v>
      </c>
      <c r="D373" s="17"/>
      <c r="E373" s="18">
        <v>372</v>
      </c>
      <c r="F373" s="15" t="s">
        <v>773</v>
      </c>
      <c r="G373" s="17"/>
      <c r="H373" s="19"/>
      <c r="I373" s="19"/>
      <c r="J373" s="19"/>
      <c r="K373" t="str">
        <f t="shared" si="5"/>
        <v/>
      </c>
    </row>
    <row r="374" spans="1:11" ht="33.75" thickBot="1">
      <c r="A374" s="14">
        <v>374</v>
      </c>
      <c r="B374" s="15" t="s">
        <v>774</v>
      </c>
      <c r="C374" s="16" t="s">
        <v>1151</v>
      </c>
      <c r="D374" s="17"/>
      <c r="E374" s="18">
        <v>373</v>
      </c>
      <c r="F374" s="15" t="s">
        <v>775</v>
      </c>
      <c r="G374" s="17"/>
      <c r="H374" s="19"/>
      <c r="I374" s="19"/>
      <c r="J374" s="19"/>
      <c r="K374" t="str">
        <f t="shared" si="5"/>
        <v>1</v>
      </c>
    </row>
    <row r="375" spans="1:11" ht="50.25" thickBot="1">
      <c r="A375" s="14">
        <v>375</v>
      </c>
      <c r="B375" s="15" t="s">
        <v>776</v>
      </c>
      <c r="C375" s="16" t="s">
        <v>1144</v>
      </c>
      <c r="D375" s="17"/>
      <c r="E375" s="18">
        <v>374</v>
      </c>
      <c r="F375" s="15" t="s">
        <v>777</v>
      </c>
      <c r="G375" s="17"/>
      <c r="H375" s="19"/>
      <c r="I375" s="19"/>
      <c r="J375" s="19"/>
      <c r="K375" t="str">
        <f t="shared" si="5"/>
        <v/>
      </c>
    </row>
    <row r="376" spans="1:11" ht="33.75" thickBot="1">
      <c r="A376" s="14">
        <v>376</v>
      </c>
      <c r="B376" s="15" t="s">
        <v>778</v>
      </c>
      <c r="C376" s="16" t="s">
        <v>1151</v>
      </c>
      <c r="D376" s="17"/>
      <c r="E376" s="18">
        <v>375</v>
      </c>
      <c r="F376" s="15" t="s">
        <v>779</v>
      </c>
      <c r="G376" s="17"/>
      <c r="H376" s="19"/>
      <c r="I376" s="19"/>
      <c r="J376" s="19"/>
      <c r="K376" t="str">
        <f t="shared" si="5"/>
        <v>1</v>
      </c>
    </row>
    <row r="377" spans="1:11" ht="33.75" thickBot="1">
      <c r="A377" s="14">
        <v>377</v>
      </c>
      <c r="B377" s="15" t="s">
        <v>780</v>
      </c>
      <c r="C377" s="16" t="s">
        <v>1151</v>
      </c>
      <c r="D377" s="17"/>
      <c r="E377" s="18">
        <v>376</v>
      </c>
      <c r="F377" s="15" t="s">
        <v>781</v>
      </c>
      <c r="G377" s="17"/>
      <c r="H377" s="19"/>
      <c r="I377" s="19"/>
      <c r="J377" s="19"/>
      <c r="K377" t="str">
        <f t="shared" si="5"/>
        <v>1</v>
      </c>
    </row>
    <row r="378" spans="1:11" ht="33.75" thickBot="1">
      <c r="A378" s="14">
        <v>378</v>
      </c>
      <c r="B378" s="15" t="s">
        <v>782</v>
      </c>
      <c r="C378" s="16" t="s">
        <v>1144</v>
      </c>
      <c r="D378" s="17"/>
      <c r="E378" s="18">
        <v>377</v>
      </c>
      <c r="F378" s="15" t="s">
        <v>783</v>
      </c>
      <c r="G378" s="17"/>
      <c r="H378" s="19"/>
      <c r="I378" s="19"/>
      <c r="J378" s="19"/>
      <c r="K378" t="str">
        <f t="shared" si="5"/>
        <v/>
      </c>
    </row>
    <row r="379" spans="1:11" ht="33.75" thickBot="1">
      <c r="A379" s="14">
        <v>379</v>
      </c>
      <c r="B379" s="15" t="s">
        <v>784</v>
      </c>
      <c r="C379" s="16" t="s">
        <v>1151</v>
      </c>
      <c r="D379" s="17"/>
      <c r="E379" s="18">
        <v>378</v>
      </c>
      <c r="F379" s="15" t="s">
        <v>785</v>
      </c>
      <c r="G379" s="17"/>
      <c r="H379" s="19"/>
      <c r="I379" s="19"/>
      <c r="J379" s="19"/>
      <c r="K379" t="str">
        <f t="shared" si="5"/>
        <v>1</v>
      </c>
    </row>
    <row r="380" spans="1:11" ht="33.75" thickBot="1">
      <c r="A380" s="14">
        <v>380</v>
      </c>
      <c r="B380" s="15" t="s">
        <v>786</v>
      </c>
      <c r="C380" s="16" t="s">
        <v>1144</v>
      </c>
      <c r="D380" s="17"/>
      <c r="E380" s="18">
        <v>379</v>
      </c>
      <c r="F380" s="15" t="s">
        <v>787</v>
      </c>
      <c r="G380" s="17"/>
      <c r="H380" s="19"/>
      <c r="I380" s="19"/>
      <c r="J380" s="19"/>
      <c r="K380" t="str">
        <f t="shared" si="5"/>
        <v/>
      </c>
    </row>
    <row r="381" spans="1:11" ht="50.25" thickBot="1">
      <c r="A381" s="14">
        <v>381</v>
      </c>
      <c r="B381" s="15" t="s">
        <v>788</v>
      </c>
      <c r="C381" s="16" t="s">
        <v>1148</v>
      </c>
      <c r="D381" s="17"/>
      <c r="E381" s="18">
        <v>380</v>
      </c>
      <c r="F381" s="15" t="s">
        <v>789</v>
      </c>
      <c r="G381" s="17"/>
      <c r="H381" s="19"/>
      <c r="I381" s="19"/>
      <c r="J381" s="19"/>
      <c r="K381" t="str">
        <f t="shared" si="5"/>
        <v>1</v>
      </c>
    </row>
    <row r="382" spans="1:11" ht="33.75" thickBot="1">
      <c r="A382" s="14">
        <v>382</v>
      </c>
      <c r="B382" s="15" t="s">
        <v>790</v>
      </c>
      <c r="C382" s="16" t="s">
        <v>1144</v>
      </c>
      <c r="D382" s="17"/>
      <c r="E382" s="18">
        <v>381</v>
      </c>
      <c r="F382" s="15" t="s">
        <v>791</v>
      </c>
      <c r="G382" s="17"/>
      <c r="H382" s="19"/>
      <c r="I382" s="19"/>
      <c r="J382" s="19"/>
      <c r="K382" t="str">
        <f t="shared" si="5"/>
        <v/>
      </c>
    </row>
    <row r="383" spans="1:11" ht="33.75" thickBot="1">
      <c r="A383" s="14">
        <v>383</v>
      </c>
      <c r="B383" s="15" t="s">
        <v>792</v>
      </c>
      <c r="C383" s="16" t="s">
        <v>1151</v>
      </c>
      <c r="D383" s="17"/>
      <c r="E383" s="18">
        <v>382</v>
      </c>
      <c r="F383" s="15" t="s">
        <v>793</v>
      </c>
      <c r="G383" s="17"/>
      <c r="H383" s="19"/>
      <c r="I383" s="19"/>
      <c r="J383" s="19"/>
      <c r="K383" t="str">
        <f t="shared" si="5"/>
        <v>1</v>
      </c>
    </row>
    <row r="384" spans="1:11" ht="33.75" thickBot="1">
      <c r="A384" s="14">
        <v>384</v>
      </c>
      <c r="B384" s="15" t="s">
        <v>794</v>
      </c>
      <c r="C384" s="16" t="s">
        <v>1144</v>
      </c>
      <c r="D384" s="17"/>
      <c r="E384" s="18">
        <v>383</v>
      </c>
      <c r="F384" s="15" t="s">
        <v>795</v>
      </c>
      <c r="G384" s="17"/>
      <c r="H384" s="19"/>
      <c r="I384" s="19"/>
      <c r="J384" s="19"/>
      <c r="K384" t="str">
        <f t="shared" si="5"/>
        <v/>
      </c>
    </row>
    <row r="385" spans="1:11" ht="33.75" thickBot="1">
      <c r="A385" s="14">
        <v>385</v>
      </c>
      <c r="B385" s="15" t="s">
        <v>796</v>
      </c>
      <c r="C385" s="16" t="s">
        <v>1144</v>
      </c>
      <c r="D385" s="17"/>
      <c r="E385" s="18">
        <v>384</v>
      </c>
      <c r="F385" s="15" t="s">
        <v>797</v>
      </c>
      <c r="G385" s="17"/>
      <c r="H385" s="19"/>
      <c r="I385" s="19"/>
      <c r="J385" s="19"/>
      <c r="K385" t="str">
        <f t="shared" si="5"/>
        <v/>
      </c>
    </row>
    <row r="386" spans="1:11" ht="33.75" thickBot="1">
      <c r="A386" s="14">
        <v>386</v>
      </c>
      <c r="B386" s="15" t="s">
        <v>798</v>
      </c>
      <c r="C386" s="16" t="s">
        <v>1144</v>
      </c>
      <c r="D386" s="17"/>
      <c r="E386" s="18">
        <v>385</v>
      </c>
      <c r="F386" s="15" t="s">
        <v>799</v>
      </c>
      <c r="G386" s="17"/>
      <c r="H386" s="19"/>
      <c r="I386" s="19"/>
      <c r="J386" s="19"/>
      <c r="K386" t="str">
        <f t="shared" si="5"/>
        <v/>
      </c>
    </row>
    <row r="387" spans="1:11" ht="33.75" thickBot="1">
      <c r="A387" s="14">
        <v>387</v>
      </c>
      <c r="B387" s="15" t="s">
        <v>800</v>
      </c>
      <c r="C387" s="16" t="s">
        <v>1146</v>
      </c>
      <c r="D387" s="17"/>
      <c r="E387" s="18">
        <v>386</v>
      </c>
      <c r="F387" s="15" t="s">
        <v>801</v>
      </c>
      <c r="G387" s="17"/>
      <c r="H387" s="19"/>
      <c r="I387" s="19"/>
      <c r="J387" s="19"/>
      <c r="K387" t="str">
        <f t="shared" ref="K387:K450" si="6">LEFT(C387,LEN(C387)-1)</f>
        <v/>
      </c>
    </row>
    <row r="388" spans="1:11" ht="33.75" thickBot="1">
      <c r="A388" s="14">
        <v>388</v>
      </c>
      <c r="B388" s="15" t="s">
        <v>802</v>
      </c>
      <c r="C388" s="16" t="s">
        <v>1151</v>
      </c>
      <c r="D388" s="17"/>
      <c r="E388" s="18">
        <v>387</v>
      </c>
      <c r="F388" s="15" t="s">
        <v>803</v>
      </c>
      <c r="G388" s="17"/>
      <c r="H388" s="19"/>
      <c r="I388" s="19"/>
      <c r="J388" s="19"/>
      <c r="K388" t="str">
        <f t="shared" si="6"/>
        <v>1</v>
      </c>
    </row>
    <row r="389" spans="1:11" ht="33.75" thickBot="1">
      <c r="A389" s="14">
        <v>389</v>
      </c>
      <c r="B389" s="15" t="s">
        <v>804</v>
      </c>
      <c r="C389" s="16" t="s">
        <v>1144</v>
      </c>
      <c r="D389" s="17"/>
      <c r="E389" s="18">
        <v>388</v>
      </c>
      <c r="F389" s="15" t="s">
        <v>805</v>
      </c>
      <c r="G389" s="17"/>
      <c r="H389" s="19"/>
      <c r="I389" s="19"/>
      <c r="J389" s="19"/>
      <c r="K389" t="str">
        <f t="shared" si="6"/>
        <v/>
      </c>
    </row>
    <row r="390" spans="1:11" ht="33.75" thickBot="1">
      <c r="A390" s="14">
        <v>390</v>
      </c>
      <c r="B390" s="15" t="s">
        <v>806</v>
      </c>
      <c r="C390" s="16" t="s">
        <v>1145</v>
      </c>
      <c r="D390" s="17"/>
      <c r="E390" s="18">
        <v>389</v>
      </c>
      <c r="F390" s="15" t="s">
        <v>807</v>
      </c>
      <c r="G390" s="17"/>
      <c r="H390" s="19"/>
      <c r="I390" s="19"/>
      <c r="J390" s="19"/>
      <c r="K390" t="str">
        <f t="shared" si="6"/>
        <v>1</v>
      </c>
    </row>
    <row r="391" spans="1:11" ht="17.25" thickBot="1">
      <c r="A391" s="14">
        <v>391</v>
      </c>
      <c r="B391" s="15" t="s">
        <v>808</v>
      </c>
      <c r="C391" s="16" t="s">
        <v>1151</v>
      </c>
      <c r="D391" s="17"/>
      <c r="E391" s="18">
        <v>390</v>
      </c>
      <c r="F391" s="15" t="s">
        <v>809</v>
      </c>
      <c r="G391" s="17"/>
      <c r="H391" s="19"/>
      <c r="I391" s="19"/>
      <c r="J391" s="19"/>
      <c r="K391" t="str">
        <f t="shared" si="6"/>
        <v>1</v>
      </c>
    </row>
    <row r="392" spans="1:11" ht="33.75" thickBot="1">
      <c r="A392" s="14">
        <v>392</v>
      </c>
      <c r="B392" s="15" t="s">
        <v>810</v>
      </c>
      <c r="C392" s="16" t="s">
        <v>1144</v>
      </c>
      <c r="D392" s="17"/>
      <c r="E392" s="18">
        <v>391</v>
      </c>
      <c r="F392" s="15" t="s">
        <v>811</v>
      </c>
      <c r="G392" s="17"/>
      <c r="H392" s="19"/>
      <c r="I392" s="19"/>
      <c r="J392" s="19"/>
      <c r="K392" t="str">
        <f t="shared" si="6"/>
        <v/>
      </c>
    </row>
    <row r="393" spans="1:11" ht="33.75" thickBot="1">
      <c r="A393" s="14">
        <v>393</v>
      </c>
      <c r="B393" s="15" t="s">
        <v>812</v>
      </c>
      <c r="C393" s="16" t="s">
        <v>1144</v>
      </c>
      <c r="D393" s="17"/>
      <c r="E393" s="18">
        <v>392</v>
      </c>
      <c r="F393" s="15" t="s">
        <v>813</v>
      </c>
      <c r="G393" s="17"/>
      <c r="H393" s="19"/>
      <c r="I393" s="19"/>
      <c r="J393" s="19"/>
      <c r="K393" t="str">
        <f t="shared" si="6"/>
        <v/>
      </c>
    </row>
    <row r="394" spans="1:11" ht="33.75" thickBot="1">
      <c r="A394" s="14">
        <v>394</v>
      </c>
      <c r="B394" s="15" t="s">
        <v>814</v>
      </c>
      <c r="C394" s="16" t="s">
        <v>1144</v>
      </c>
      <c r="D394" s="17"/>
      <c r="E394" s="18">
        <v>393</v>
      </c>
      <c r="F394" s="15" t="s">
        <v>815</v>
      </c>
      <c r="G394" s="17"/>
      <c r="H394" s="19"/>
      <c r="I394" s="19"/>
      <c r="J394" s="19"/>
      <c r="K394" t="str">
        <f t="shared" si="6"/>
        <v/>
      </c>
    </row>
    <row r="395" spans="1:11" ht="50.25" thickBot="1">
      <c r="A395" s="14">
        <v>395</v>
      </c>
      <c r="B395" s="15" t="s">
        <v>816</v>
      </c>
      <c r="C395" s="16" t="s">
        <v>1144</v>
      </c>
      <c r="D395" s="17"/>
      <c r="E395" s="18">
        <v>394</v>
      </c>
      <c r="F395" s="15" t="s">
        <v>817</v>
      </c>
      <c r="G395" s="17"/>
      <c r="H395" s="19"/>
      <c r="I395" s="19"/>
      <c r="J395" s="19"/>
      <c r="K395" t="str">
        <f t="shared" si="6"/>
        <v/>
      </c>
    </row>
    <row r="396" spans="1:11" ht="33.75" thickBot="1">
      <c r="A396" s="14">
        <v>396</v>
      </c>
      <c r="B396" s="15" t="s">
        <v>818</v>
      </c>
      <c r="C396" s="16" t="s">
        <v>1151</v>
      </c>
      <c r="D396" s="17"/>
      <c r="E396" s="18">
        <v>395</v>
      </c>
      <c r="F396" s="15" t="s">
        <v>819</v>
      </c>
      <c r="G396" s="17"/>
      <c r="H396" s="19"/>
      <c r="I396" s="19"/>
      <c r="J396" s="19"/>
      <c r="K396" t="str">
        <f t="shared" si="6"/>
        <v>1</v>
      </c>
    </row>
    <row r="397" spans="1:11" ht="33.75" thickBot="1">
      <c r="A397" s="14">
        <v>397</v>
      </c>
      <c r="B397" s="15" t="s">
        <v>820</v>
      </c>
      <c r="C397" s="16" t="s">
        <v>1144</v>
      </c>
      <c r="D397" s="17"/>
      <c r="E397" s="18">
        <v>396</v>
      </c>
      <c r="F397" s="15" t="s">
        <v>821</v>
      </c>
      <c r="G397" s="17"/>
      <c r="H397" s="19"/>
      <c r="I397" s="19"/>
      <c r="J397" s="19"/>
      <c r="K397" t="str">
        <f t="shared" si="6"/>
        <v/>
      </c>
    </row>
    <row r="398" spans="1:11" ht="17.25" thickBot="1">
      <c r="A398" s="14">
        <v>398</v>
      </c>
      <c r="B398" s="15" t="s">
        <v>822</v>
      </c>
      <c r="C398" s="16" t="s">
        <v>1151</v>
      </c>
      <c r="D398" s="17"/>
      <c r="E398" s="18">
        <v>397</v>
      </c>
      <c r="F398" s="15" t="s">
        <v>823</v>
      </c>
      <c r="G398" s="17"/>
      <c r="H398" s="19"/>
      <c r="I398" s="19"/>
      <c r="J398" s="19"/>
      <c r="K398" t="str">
        <f t="shared" si="6"/>
        <v>1</v>
      </c>
    </row>
    <row r="399" spans="1:11" ht="33.75" thickBot="1">
      <c r="A399" s="14">
        <v>399</v>
      </c>
      <c r="B399" s="15" t="s">
        <v>824</v>
      </c>
      <c r="C399" s="16" t="s">
        <v>1144</v>
      </c>
      <c r="D399" s="17"/>
      <c r="E399" s="18">
        <v>398</v>
      </c>
      <c r="F399" s="15" t="s">
        <v>825</v>
      </c>
      <c r="G399" s="17"/>
      <c r="H399" s="19"/>
      <c r="I399" s="19"/>
      <c r="J399" s="19"/>
      <c r="K399" t="str">
        <f t="shared" si="6"/>
        <v/>
      </c>
    </row>
    <row r="400" spans="1:11" ht="33.75" thickBot="1">
      <c r="A400" s="14">
        <v>400</v>
      </c>
      <c r="B400" s="15" t="s">
        <v>826</v>
      </c>
      <c r="C400" s="16" t="s">
        <v>1144</v>
      </c>
      <c r="D400" s="17"/>
      <c r="E400" s="18">
        <v>399</v>
      </c>
      <c r="F400" s="15" t="s">
        <v>827</v>
      </c>
      <c r="G400" s="17"/>
      <c r="H400" s="19"/>
      <c r="I400" s="19"/>
      <c r="J400" s="19"/>
      <c r="K400" t="str">
        <f t="shared" si="6"/>
        <v/>
      </c>
    </row>
    <row r="401" spans="1:11" ht="50.25" thickBot="1">
      <c r="A401" s="14">
        <v>401</v>
      </c>
      <c r="B401" s="15" t="s">
        <v>828</v>
      </c>
      <c r="C401" s="16" t="s">
        <v>1144</v>
      </c>
      <c r="D401" s="17"/>
      <c r="E401" s="18">
        <v>400</v>
      </c>
      <c r="F401" s="15" t="s">
        <v>829</v>
      </c>
      <c r="G401" s="17"/>
      <c r="H401" s="19"/>
      <c r="I401" s="19"/>
      <c r="J401" s="19"/>
      <c r="K401" t="str">
        <f t="shared" si="6"/>
        <v/>
      </c>
    </row>
    <row r="402" spans="1:11" ht="33.75" thickBot="1">
      <c r="A402" s="14">
        <v>402</v>
      </c>
      <c r="B402" s="15" t="s">
        <v>830</v>
      </c>
      <c r="C402" s="16" t="s">
        <v>1151</v>
      </c>
      <c r="D402" s="17"/>
      <c r="E402" s="18">
        <v>401</v>
      </c>
      <c r="F402" s="15" t="s">
        <v>831</v>
      </c>
      <c r="G402" s="17"/>
      <c r="H402" s="19"/>
      <c r="I402" s="19"/>
      <c r="J402" s="19"/>
      <c r="K402" t="str">
        <f t="shared" si="6"/>
        <v>1</v>
      </c>
    </row>
    <row r="403" spans="1:11" ht="33.75" thickBot="1">
      <c r="A403" s="14">
        <v>403</v>
      </c>
      <c r="B403" s="15" t="s">
        <v>832</v>
      </c>
      <c r="C403" s="16" t="s">
        <v>1144</v>
      </c>
      <c r="D403" s="17"/>
      <c r="E403" s="18">
        <v>402</v>
      </c>
      <c r="F403" s="15" t="s">
        <v>833</v>
      </c>
      <c r="G403" s="17"/>
      <c r="H403" s="19"/>
      <c r="I403" s="19"/>
      <c r="J403" s="19"/>
      <c r="K403" t="str">
        <f t="shared" si="6"/>
        <v/>
      </c>
    </row>
    <row r="404" spans="1:11" ht="33.75" thickBot="1">
      <c r="A404" s="14">
        <v>404</v>
      </c>
      <c r="B404" s="15" t="s">
        <v>834</v>
      </c>
      <c r="C404" s="16" t="s">
        <v>1144</v>
      </c>
      <c r="D404" s="17"/>
      <c r="E404" s="18">
        <v>403</v>
      </c>
      <c r="F404" s="15" t="s">
        <v>835</v>
      </c>
      <c r="G404" s="17"/>
      <c r="H404" s="19"/>
      <c r="I404" s="19"/>
      <c r="J404" s="19"/>
      <c r="K404" t="str">
        <f t="shared" si="6"/>
        <v/>
      </c>
    </row>
    <row r="405" spans="1:11" ht="33.75" thickBot="1">
      <c r="A405" s="14">
        <v>405</v>
      </c>
      <c r="B405" s="15" t="s">
        <v>836</v>
      </c>
      <c r="C405" s="16" t="s">
        <v>1144</v>
      </c>
      <c r="D405" s="17"/>
      <c r="E405" s="18">
        <v>404</v>
      </c>
      <c r="F405" s="15" t="s">
        <v>837</v>
      </c>
      <c r="G405" s="17"/>
      <c r="H405" s="19"/>
      <c r="I405" s="19"/>
      <c r="J405" s="19"/>
      <c r="K405" t="str">
        <f t="shared" si="6"/>
        <v/>
      </c>
    </row>
    <row r="406" spans="1:11" ht="33.75" thickBot="1">
      <c r="A406" s="14">
        <v>406</v>
      </c>
      <c r="B406" s="15" t="s">
        <v>838</v>
      </c>
      <c r="C406" s="16" t="s">
        <v>1151</v>
      </c>
      <c r="D406" s="17"/>
      <c r="E406" s="18">
        <v>405</v>
      </c>
      <c r="F406" s="15" t="s">
        <v>839</v>
      </c>
      <c r="G406" s="17"/>
      <c r="H406" s="19"/>
      <c r="I406" s="19"/>
      <c r="J406" s="19"/>
      <c r="K406" t="str">
        <f t="shared" si="6"/>
        <v>1</v>
      </c>
    </row>
    <row r="407" spans="1:11" ht="33.75" thickBot="1">
      <c r="A407" s="14">
        <v>407</v>
      </c>
      <c r="B407" s="15" t="s">
        <v>840</v>
      </c>
      <c r="C407" s="16" t="s">
        <v>1144</v>
      </c>
      <c r="D407" s="17"/>
      <c r="E407" s="18">
        <v>406</v>
      </c>
      <c r="F407" s="15" t="s">
        <v>841</v>
      </c>
      <c r="G407" s="17"/>
      <c r="H407" s="19"/>
      <c r="I407" s="19"/>
      <c r="J407" s="19"/>
      <c r="K407" t="str">
        <f t="shared" si="6"/>
        <v/>
      </c>
    </row>
    <row r="408" spans="1:11" ht="33.75" thickBot="1">
      <c r="A408" s="14">
        <v>408</v>
      </c>
      <c r="B408" s="15" t="s">
        <v>842</v>
      </c>
      <c r="C408" s="16" t="s">
        <v>1151</v>
      </c>
      <c r="D408" s="17"/>
      <c r="E408" s="18">
        <v>407</v>
      </c>
      <c r="F408" s="15" t="s">
        <v>843</v>
      </c>
      <c r="G408" s="17"/>
      <c r="H408" s="19"/>
      <c r="I408" s="19"/>
      <c r="J408" s="19"/>
      <c r="K408" t="str">
        <f t="shared" si="6"/>
        <v>1</v>
      </c>
    </row>
    <row r="409" spans="1:11" ht="33.75" thickBot="1">
      <c r="A409" s="14">
        <v>409</v>
      </c>
      <c r="B409" s="15" t="s">
        <v>844</v>
      </c>
      <c r="C409" s="16" t="s">
        <v>1144</v>
      </c>
      <c r="D409" s="17"/>
      <c r="E409" s="18">
        <v>408</v>
      </c>
      <c r="F409" s="15" t="s">
        <v>845</v>
      </c>
      <c r="G409" s="17"/>
      <c r="H409" s="19"/>
      <c r="I409" s="19"/>
      <c r="J409" s="19"/>
      <c r="K409" t="str">
        <f t="shared" si="6"/>
        <v/>
      </c>
    </row>
    <row r="410" spans="1:11" ht="33.75" thickBot="1">
      <c r="A410" s="14">
        <v>410</v>
      </c>
      <c r="B410" s="15" t="s">
        <v>846</v>
      </c>
      <c r="C410" s="16" t="s">
        <v>1144</v>
      </c>
      <c r="D410" s="17"/>
      <c r="E410" s="18">
        <v>409</v>
      </c>
      <c r="F410" s="15" t="s">
        <v>847</v>
      </c>
      <c r="G410" s="17"/>
      <c r="H410" s="19"/>
      <c r="I410" s="19"/>
      <c r="J410" s="19"/>
      <c r="K410" t="str">
        <f t="shared" si="6"/>
        <v/>
      </c>
    </row>
    <row r="411" spans="1:11" ht="33.75" thickBot="1">
      <c r="A411" s="14">
        <v>411</v>
      </c>
      <c r="B411" s="15" t="s">
        <v>848</v>
      </c>
      <c r="C411" s="16" t="s">
        <v>1144</v>
      </c>
      <c r="D411" s="17"/>
      <c r="E411" s="18">
        <v>410</v>
      </c>
      <c r="F411" s="15" t="s">
        <v>849</v>
      </c>
      <c r="G411" s="17"/>
      <c r="H411" s="19"/>
      <c r="I411" s="19"/>
      <c r="J411" s="19"/>
      <c r="K411" t="str">
        <f t="shared" si="6"/>
        <v/>
      </c>
    </row>
    <row r="412" spans="1:11" ht="50.25" thickBot="1">
      <c r="A412" s="14">
        <v>412</v>
      </c>
      <c r="B412" s="15" t="s">
        <v>850</v>
      </c>
      <c r="C412" s="16" t="s">
        <v>1144</v>
      </c>
      <c r="D412" s="17"/>
      <c r="E412" s="18">
        <v>411</v>
      </c>
      <c r="F412" s="15" t="s">
        <v>851</v>
      </c>
      <c r="G412" s="17"/>
      <c r="H412" s="19"/>
      <c r="I412" s="19"/>
      <c r="J412" s="19"/>
      <c r="K412" t="str">
        <f t="shared" si="6"/>
        <v/>
      </c>
    </row>
    <row r="413" spans="1:11" ht="33.75" thickBot="1">
      <c r="A413" s="14">
        <v>413</v>
      </c>
      <c r="B413" s="15" t="s">
        <v>852</v>
      </c>
      <c r="C413" s="16" t="s">
        <v>1144</v>
      </c>
      <c r="D413" s="17"/>
      <c r="E413" s="18">
        <v>412</v>
      </c>
      <c r="F413" s="15" t="s">
        <v>853</v>
      </c>
      <c r="G413" s="17"/>
      <c r="H413" s="19"/>
      <c r="I413" s="19"/>
      <c r="J413" s="19"/>
      <c r="K413" t="str">
        <f t="shared" si="6"/>
        <v/>
      </c>
    </row>
    <row r="414" spans="1:11" ht="33.75" thickBot="1">
      <c r="A414" s="14">
        <v>414</v>
      </c>
      <c r="B414" s="15" t="s">
        <v>854</v>
      </c>
      <c r="C414" s="16" t="s">
        <v>1144</v>
      </c>
      <c r="D414" s="17"/>
      <c r="E414" s="18">
        <v>413</v>
      </c>
      <c r="F414" s="15" t="s">
        <v>855</v>
      </c>
      <c r="G414" s="17"/>
      <c r="H414" s="19"/>
      <c r="I414" s="19"/>
      <c r="J414" s="19"/>
      <c r="K414" t="str">
        <f t="shared" si="6"/>
        <v/>
      </c>
    </row>
    <row r="415" spans="1:11" ht="33.75" thickBot="1">
      <c r="A415" s="14">
        <v>415</v>
      </c>
      <c r="B415" s="15" t="s">
        <v>856</v>
      </c>
      <c r="C415" s="16" t="s">
        <v>1151</v>
      </c>
      <c r="D415" s="17"/>
      <c r="E415" s="18">
        <v>414</v>
      </c>
      <c r="F415" s="15" t="s">
        <v>857</v>
      </c>
      <c r="G415" s="17"/>
      <c r="H415" s="19"/>
      <c r="I415" s="19"/>
      <c r="J415" s="19"/>
      <c r="K415" t="str">
        <f t="shared" si="6"/>
        <v>1</v>
      </c>
    </row>
    <row r="416" spans="1:11" ht="33.75" thickBot="1">
      <c r="A416" s="14">
        <v>416</v>
      </c>
      <c r="B416" s="15" t="s">
        <v>858</v>
      </c>
      <c r="C416" s="16" t="s">
        <v>1144</v>
      </c>
      <c r="D416" s="17"/>
      <c r="E416" s="18">
        <v>415</v>
      </c>
      <c r="F416" s="15" t="s">
        <v>859</v>
      </c>
      <c r="G416" s="17"/>
      <c r="H416" s="19"/>
      <c r="I416" s="19"/>
      <c r="J416" s="19"/>
      <c r="K416" t="str">
        <f t="shared" si="6"/>
        <v/>
      </c>
    </row>
    <row r="417" spans="1:11" ht="33.75" thickBot="1">
      <c r="A417" s="14">
        <v>417</v>
      </c>
      <c r="B417" s="15" t="s">
        <v>860</v>
      </c>
      <c r="C417" s="16" t="s">
        <v>1144</v>
      </c>
      <c r="D417" s="17"/>
      <c r="E417" s="18">
        <v>416</v>
      </c>
      <c r="F417" s="15" t="s">
        <v>861</v>
      </c>
      <c r="G417" s="17"/>
      <c r="H417" s="19"/>
      <c r="I417" s="19"/>
      <c r="J417" s="19"/>
      <c r="K417" t="str">
        <f t="shared" si="6"/>
        <v/>
      </c>
    </row>
    <row r="418" spans="1:11" ht="33.75" thickBot="1">
      <c r="A418" s="14">
        <v>418</v>
      </c>
      <c r="B418" s="15" t="s">
        <v>862</v>
      </c>
      <c r="C418" s="16" t="s">
        <v>1151</v>
      </c>
      <c r="D418" s="17"/>
      <c r="E418" s="18">
        <v>417</v>
      </c>
      <c r="F418" s="15" t="s">
        <v>863</v>
      </c>
      <c r="G418" s="17"/>
      <c r="H418" s="19"/>
      <c r="I418" s="19"/>
      <c r="J418" s="19"/>
      <c r="K418" t="str">
        <f t="shared" si="6"/>
        <v>1</v>
      </c>
    </row>
    <row r="419" spans="1:11" ht="33.75" thickBot="1">
      <c r="A419" s="14">
        <v>419</v>
      </c>
      <c r="B419" s="15" t="s">
        <v>864</v>
      </c>
      <c r="C419" s="16" t="s">
        <v>1151</v>
      </c>
      <c r="D419" s="17"/>
      <c r="E419" s="18">
        <v>418</v>
      </c>
      <c r="F419" s="15" t="s">
        <v>865</v>
      </c>
      <c r="G419" s="17"/>
      <c r="H419" s="19"/>
      <c r="I419" s="19"/>
      <c r="J419" s="19"/>
      <c r="K419" t="str">
        <f t="shared" si="6"/>
        <v>1</v>
      </c>
    </row>
    <row r="420" spans="1:11" ht="33.75" thickBot="1">
      <c r="A420" s="14">
        <v>420</v>
      </c>
      <c r="B420" s="15" t="s">
        <v>866</v>
      </c>
      <c r="C420" s="16" t="s">
        <v>1144</v>
      </c>
      <c r="D420" s="17"/>
      <c r="E420" s="18">
        <v>419</v>
      </c>
      <c r="F420" s="15" t="s">
        <v>867</v>
      </c>
      <c r="G420" s="17"/>
      <c r="H420" s="19"/>
      <c r="I420" s="19"/>
      <c r="J420" s="19"/>
      <c r="K420" t="str">
        <f t="shared" si="6"/>
        <v/>
      </c>
    </row>
    <row r="421" spans="1:11" ht="33.75" thickBot="1">
      <c r="A421" s="14">
        <v>421</v>
      </c>
      <c r="B421" s="15" t="s">
        <v>868</v>
      </c>
      <c r="C421" s="16" t="s">
        <v>1146</v>
      </c>
      <c r="D421" s="17"/>
      <c r="E421" s="18">
        <v>420</v>
      </c>
      <c r="F421" s="15" t="s">
        <v>869</v>
      </c>
      <c r="G421" s="17"/>
      <c r="H421" s="19"/>
      <c r="I421" s="19"/>
      <c r="J421" s="19"/>
      <c r="K421" t="str">
        <f t="shared" si="6"/>
        <v/>
      </c>
    </row>
    <row r="422" spans="1:11" ht="33.75" thickBot="1">
      <c r="A422" s="14">
        <v>422</v>
      </c>
      <c r="B422" s="15" t="s">
        <v>870</v>
      </c>
      <c r="C422" s="16" t="s">
        <v>1151</v>
      </c>
      <c r="D422" s="17"/>
      <c r="E422" s="18">
        <v>421</v>
      </c>
      <c r="F422" s="15" t="s">
        <v>871</v>
      </c>
      <c r="G422" s="17"/>
      <c r="H422" s="19"/>
      <c r="I422" s="19"/>
      <c r="J422" s="19"/>
      <c r="K422" t="str">
        <f t="shared" si="6"/>
        <v>1</v>
      </c>
    </row>
    <row r="423" spans="1:11" ht="33.75" thickBot="1">
      <c r="A423" s="14">
        <v>423</v>
      </c>
      <c r="B423" s="15" t="s">
        <v>872</v>
      </c>
      <c r="C423" s="16" t="s">
        <v>1144</v>
      </c>
      <c r="D423" s="17"/>
      <c r="E423" s="18">
        <v>422</v>
      </c>
      <c r="F423" s="15" t="s">
        <v>873</v>
      </c>
      <c r="G423" s="17"/>
      <c r="H423" s="19"/>
      <c r="I423" s="19"/>
      <c r="J423" s="19"/>
      <c r="K423" t="str">
        <f t="shared" si="6"/>
        <v/>
      </c>
    </row>
    <row r="424" spans="1:11" ht="33.75" thickBot="1">
      <c r="A424" s="14">
        <v>424</v>
      </c>
      <c r="B424" s="15" t="s">
        <v>874</v>
      </c>
      <c r="C424" s="16" t="s">
        <v>1149</v>
      </c>
      <c r="D424" s="17"/>
      <c r="E424" s="18">
        <v>423</v>
      </c>
      <c r="F424" s="15" t="s">
        <v>875</v>
      </c>
      <c r="G424" s="17"/>
      <c r="H424" s="19"/>
      <c r="I424" s="19"/>
      <c r="J424" s="19"/>
      <c r="K424" t="str">
        <f t="shared" si="6"/>
        <v>1</v>
      </c>
    </row>
    <row r="425" spans="1:11" ht="33.75" thickBot="1">
      <c r="A425" s="14">
        <v>425</v>
      </c>
      <c r="B425" s="15" t="s">
        <v>876</v>
      </c>
      <c r="C425" s="16" t="s">
        <v>1145</v>
      </c>
      <c r="D425" s="17"/>
      <c r="E425" s="18">
        <v>424</v>
      </c>
      <c r="F425" s="15" t="s">
        <v>877</v>
      </c>
      <c r="G425" s="17"/>
      <c r="H425" s="19"/>
      <c r="I425" s="19"/>
      <c r="J425" s="19"/>
      <c r="K425" t="str">
        <f t="shared" si="6"/>
        <v>1</v>
      </c>
    </row>
    <row r="426" spans="1:11" ht="33.75" thickBot="1">
      <c r="A426" s="14">
        <v>426</v>
      </c>
      <c r="B426" s="15" t="s">
        <v>878</v>
      </c>
      <c r="C426" s="16" t="s">
        <v>1144</v>
      </c>
      <c r="D426" s="17"/>
      <c r="E426" s="18">
        <v>425</v>
      </c>
      <c r="F426" s="15" t="s">
        <v>879</v>
      </c>
      <c r="G426" s="17"/>
      <c r="H426" s="19"/>
      <c r="I426" s="19"/>
      <c r="J426" s="19"/>
      <c r="K426" t="str">
        <f t="shared" si="6"/>
        <v/>
      </c>
    </row>
    <row r="427" spans="1:11" ht="33.75" thickBot="1">
      <c r="A427" s="14">
        <v>427</v>
      </c>
      <c r="B427" s="15" t="s">
        <v>880</v>
      </c>
      <c r="C427" s="16" t="s">
        <v>1149</v>
      </c>
      <c r="D427" s="17"/>
      <c r="E427" s="18">
        <v>426</v>
      </c>
      <c r="F427" s="15" t="s">
        <v>881</v>
      </c>
      <c r="G427" s="17"/>
      <c r="H427" s="19"/>
      <c r="I427" s="19"/>
      <c r="J427" s="19"/>
      <c r="K427" t="str">
        <f t="shared" si="6"/>
        <v>1</v>
      </c>
    </row>
    <row r="428" spans="1:11" ht="33.75" thickBot="1">
      <c r="A428" s="14">
        <v>428</v>
      </c>
      <c r="B428" s="15" t="s">
        <v>882</v>
      </c>
      <c r="C428" s="16" t="s">
        <v>1149</v>
      </c>
      <c r="D428" s="17"/>
      <c r="E428" s="18">
        <v>427</v>
      </c>
      <c r="F428" s="15" t="s">
        <v>883</v>
      </c>
      <c r="G428" s="17"/>
      <c r="H428" s="19"/>
      <c r="I428" s="19"/>
      <c r="J428" s="19"/>
      <c r="K428" t="str">
        <f t="shared" si="6"/>
        <v>1</v>
      </c>
    </row>
    <row r="429" spans="1:11" ht="33.75" thickBot="1">
      <c r="A429" s="14">
        <v>429</v>
      </c>
      <c r="B429" s="15" t="s">
        <v>884</v>
      </c>
      <c r="C429" s="16" t="s">
        <v>1144</v>
      </c>
      <c r="D429" s="17"/>
      <c r="E429" s="18">
        <v>428</v>
      </c>
      <c r="F429" s="15" t="s">
        <v>885</v>
      </c>
      <c r="G429" s="17"/>
      <c r="H429" s="19"/>
      <c r="I429" s="19"/>
      <c r="J429" s="19"/>
      <c r="K429" t="str">
        <f t="shared" si="6"/>
        <v/>
      </c>
    </row>
    <row r="430" spans="1:11" ht="33.75" thickBot="1">
      <c r="A430" s="20">
        <v>430</v>
      </c>
      <c r="B430" s="15" t="s">
        <v>886</v>
      </c>
      <c r="C430" s="16" t="s">
        <v>1144</v>
      </c>
      <c r="D430" s="17"/>
      <c r="E430" s="18">
        <v>429</v>
      </c>
      <c r="F430" s="15" t="s">
        <v>887</v>
      </c>
      <c r="G430" s="17"/>
      <c r="H430" s="19"/>
      <c r="I430" s="19"/>
      <c r="J430" s="19"/>
      <c r="K430" t="str">
        <f t="shared" si="6"/>
        <v/>
      </c>
    </row>
    <row r="431" spans="1:11" ht="33.75" thickBot="1">
      <c r="A431" s="20">
        <v>431</v>
      </c>
      <c r="B431" s="15" t="s">
        <v>888</v>
      </c>
      <c r="C431" s="16" t="s">
        <v>1144</v>
      </c>
      <c r="D431" s="17"/>
      <c r="E431" s="18">
        <v>430</v>
      </c>
      <c r="F431" s="15" t="s">
        <v>889</v>
      </c>
      <c r="G431" s="17"/>
      <c r="H431" s="19"/>
      <c r="I431" s="19"/>
      <c r="J431" s="19"/>
      <c r="K431" t="str">
        <f t="shared" si="6"/>
        <v/>
      </c>
    </row>
    <row r="432" spans="1:11" ht="33.75" thickBot="1">
      <c r="A432" s="20">
        <v>432</v>
      </c>
      <c r="B432" s="15" t="s">
        <v>890</v>
      </c>
      <c r="C432" s="16" t="s">
        <v>1144</v>
      </c>
      <c r="D432" s="17"/>
      <c r="E432" s="18">
        <v>431</v>
      </c>
      <c r="F432" s="15" t="s">
        <v>891</v>
      </c>
      <c r="G432" s="17"/>
      <c r="H432" s="19"/>
      <c r="I432" s="19"/>
      <c r="J432" s="19"/>
      <c r="K432" t="str">
        <f t="shared" si="6"/>
        <v/>
      </c>
    </row>
    <row r="433" spans="1:11" ht="33.75" thickBot="1">
      <c r="A433" s="20">
        <v>433</v>
      </c>
      <c r="B433" s="15" t="s">
        <v>892</v>
      </c>
      <c r="C433" s="16" t="s">
        <v>1149</v>
      </c>
      <c r="D433" s="17"/>
      <c r="E433" s="18">
        <v>432</v>
      </c>
      <c r="F433" s="15" t="s">
        <v>893</v>
      </c>
      <c r="G433" s="17"/>
      <c r="H433" s="19"/>
      <c r="I433" s="19"/>
      <c r="J433" s="19"/>
      <c r="K433" t="str">
        <f t="shared" si="6"/>
        <v>1</v>
      </c>
    </row>
    <row r="434" spans="1:11" ht="33.75" thickBot="1">
      <c r="A434" s="20">
        <v>434</v>
      </c>
      <c r="B434" s="15" t="s">
        <v>894</v>
      </c>
      <c r="C434" s="16" t="s">
        <v>1144</v>
      </c>
      <c r="D434" s="17"/>
      <c r="E434" s="18">
        <v>433</v>
      </c>
      <c r="F434" s="15" t="s">
        <v>895</v>
      </c>
      <c r="G434" s="17"/>
      <c r="H434" s="19"/>
      <c r="I434" s="19"/>
      <c r="J434" s="19"/>
      <c r="K434" t="str">
        <f t="shared" si="6"/>
        <v/>
      </c>
    </row>
    <row r="435" spans="1:11" ht="33.75" thickBot="1">
      <c r="A435" s="20">
        <v>435</v>
      </c>
      <c r="B435" s="15" t="s">
        <v>896</v>
      </c>
      <c r="C435" s="16" t="s">
        <v>1144</v>
      </c>
      <c r="D435" s="17"/>
      <c r="E435" s="18">
        <v>434</v>
      </c>
      <c r="F435" s="15" t="s">
        <v>897</v>
      </c>
      <c r="G435" s="17"/>
      <c r="H435" s="19"/>
      <c r="I435" s="19"/>
      <c r="J435" s="19"/>
      <c r="K435" t="str">
        <f t="shared" si="6"/>
        <v/>
      </c>
    </row>
    <row r="436" spans="1:11" ht="33.75" thickBot="1">
      <c r="A436" s="20">
        <v>436</v>
      </c>
      <c r="B436" s="15" t="s">
        <v>898</v>
      </c>
      <c r="C436" s="16" t="s">
        <v>1151</v>
      </c>
      <c r="D436" s="17"/>
      <c r="E436" s="18">
        <v>435</v>
      </c>
      <c r="F436" s="15" t="s">
        <v>899</v>
      </c>
      <c r="G436" s="17"/>
      <c r="H436" s="19"/>
      <c r="I436" s="19"/>
      <c r="J436" s="19"/>
      <c r="K436" t="str">
        <f t="shared" si="6"/>
        <v>1</v>
      </c>
    </row>
    <row r="437" spans="1:11" ht="33.75" thickBot="1">
      <c r="A437" s="20">
        <v>437</v>
      </c>
      <c r="B437" s="15" t="s">
        <v>900</v>
      </c>
      <c r="C437" s="16" t="s">
        <v>1144</v>
      </c>
      <c r="D437" s="17"/>
      <c r="E437" s="18">
        <v>436</v>
      </c>
      <c r="F437" s="15" t="s">
        <v>901</v>
      </c>
      <c r="G437" s="17"/>
      <c r="H437" s="19"/>
      <c r="I437" s="19"/>
      <c r="J437" s="19"/>
      <c r="K437" t="str">
        <f t="shared" si="6"/>
        <v/>
      </c>
    </row>
    <row r="438" spans="1:11" ht="33.75" thickBot="1">
      <c r="A438" s="20">
        <v>438</v>
      </c>
      <c r="B438" s="15" t="s">
        <v>902</v>
      </c>
      <c r="C438" s="16" t="s">
        <v>1144</v>
      </c>
      <c r="D438" s="17"/>
      <c r="E438" s="18">
        <v>437</v>
      </c>
      <c r="F438" s="15" t="s">
        <v>903</v>
      </c>
      <c r="G438" s="17"/>
      <c r="H438" s="19"/>
      <c r="I438" s="19"/>
      <c r="J438" s="19"/>
      <c r="K438" t="str">
        <f t="shared" si="6"/>
        <v/>
      </c>
    </row>
    <row r="439" spans="1:11" ht="33.75" thickBot="1">
      <c r="A439" s="20">
        <v>439</v>
      </c>
      <c r="B439" s="15" t="s">
        <v>904</v>
      </c>
      <c r="C439" s="16" t="s">
        <v>1144</v>
      </c>
      <c r="D439" s="17"/>
      <c r="E439" s="18">
        <v>438</v>
      </c>
      <c r="F439" s="15" t="s">
        <v>905</v>
      </c>
      <c r="G439" s="17"/>
      <c r="H439" s="19"/>
      <c r="I439" s="19"/>
      <c r="J439" s="19"/>
      <c r="K439" t="str">
        <f t="shared" si="6"/>
        <v/>
      </c>
    </row>
    <row r="440" spans="1:11" ht="33.75" thickBot="1">
      <c r="A440" s="20">
        <v>440</v>
      </c>
      <c r="B440" s="15" t="s">
        <v>906</v>
      </c>
      <c r="C440" s="16" t="s">
        <v>1144</v>
      </c>
      <c r="D440" s="17"/>
      <c r="E440" s="18">
        <v>439</v>
      </c>
      <c r="F440" s="15" t="s">
        <v>907</v>
      </c>
      <c r="G440" s="17"/>
      <c r="H440" s="19"/>
      <c r="I440" s="19"/>
      <c r="J440" s="19"/>
      <c r="K440" t="str">
        <f t="shared" si="6"/>
        <v/>
      </c>
    </row>
    <row r="441" spans="1:11" ht="50.25" thickBot="1">
      <c r="A441" s="20">
        <v>441</v>
      </c>
      <c r="B441" s="15" t="s">
        <v>908</v>
      </c>
      <c r="C441" s="16" t="s">
        <v>1144</v>
      </c>
      <c r="D441" s="17"/>
      <c r="E441" s="18">
        <v>440</v>
      </c>
      <c r="F441" s="15" t="s">
        <v>909</v>
      </c>
      <c r="G441" s="17"/>
      <c r="H441" s="19"/>
      <c r="I441" s="19"/>
      <c r="J441" s="19"/>
      <c r="K441" t="str">
        <f t="shared" si="6"/>
        <v/>
      </c>
    </row>
    <row r="442" spans="1:11" ht="33.75" thickBot="1">
      <c r="A442" s="20">
        <v>442</v>
      </c>
      <c r="B442" s="15" t="s">
        <v>910</v>
      </c>
      <c r="C442" s="16" t="s">
        <v>1144</v>
      </c>
      <c r="D442" s="17"/>
      <c r="E442" s="18">
        <v>441</v>
      </c>
      <c r="F442" s="15" t="s">
        <v>911</v>
      </c>
      <c r="G442" s="17"/>
      <c r="H442" s="19"/>
      <c r="I442" s="19"/>
      <c r="J442" s="19"/>
      <c r="K442" t="str">
        <f t="shared" si="6"/>
        <v/>
      </c>
    </row>
    <row r="443" spans="1:11" ht="33.75" thickBot="1">
      <c r="A443" s="20">
        <v>443</v>
      </c>
      <c r="B443" s="15" t="s">
        <v>912</v>
      </c>
      <c r="C443" s="16" t="s">
        <v>1144</v>
      </c>
      <c r="D443" s="17"/>
      <c r="E443" s="18">
        <v>442</v>
      </c>
      <c r="F443" s="15" t="s">
        <v>913</v>
      </c>
      <c r="G443" s="17"/>
      <c r="H443" s="19"/>
      <c r="I443" s="19"/>
      <c r="J443" s="19"/>
      <c r="K443" t="str">
        <f t="shared" si="6"/>
        <v/>
      </c>
    </row>
    <row r="444" spans="1:11" ht="33.75" thickBot="1">
      <c r="A444" s="20">
        <v>444</v>
      </c>
      <c r="B444" s="15" t="s">
        <v>914</v>
      </c>
      <c r="C444" s="16" t="s">
        <v>1144</v>
      </c>
      <c r="D444" s="17"/>
      <c r="E444" s="18">
        <v>443</v>
      </c>
      <c r="F444" s="15" t="s">
        <v>915</v>
      </c>
      <c r="G444" s="17"/>
      <c r="H444" s="19"/>
      <c r="I444" s="19"/>
      <c r="J444" s="19"/>
      <c r="K444" t="str">
        <f t="shared" si="6"/>
        <v/>
      </c>
    </row>
    <row r="445" spans="1:11" ht="33.75" thickBot="1">
      <c r="A445" s="20">
        <v>445</v>
      </c>
      <c r="B445" s="15" t="s">
        <v>916</v>
      </c>
      <c r="C445" s="16" t="s">
        <v>1144</v>
      </c>
      <c r="D445" s="17"/>
      <c r="E445" s="18">
        <v>444</v>
      </c>
      <c r="F445" s="15" t="s">
        <v>917</v>
      </c>
      <c r="G445" s="17"/>
      <c r="H445" s="19"/>
      <c r="I445" s="19"/>
      <c r="J445" s="19"/>
      <c r="K445" t="str">
        <f t="shared" si="6"/>
        <v/>
      </c>
    </row>
    <row r="446" spans="1:11" ht="33.75" thickBot="1">
      <c r="A446" s="20">
        <v>446</v>
      </c>
      <c r="B446" s="15" t="s">
        <v>918</v>
      </c>
      <c r="C446" s="16" t="s">
        <v>1145</v>
      </c>
      <c r="D446" s="17"/>
      <c r="E446" s="18">
        <v>445</v>
      </c>
      <c r="F446" s="15" t="s">
        <v>919</v>
      </c>
      <c r="G446" s="17"/>
      <c r="H446" s="19"/>
      <c r="I446" s="19"/>
      <c r="J446" s="19"/>
      <c r="K446" t="str">
        <f t="shared" si="6"/>
        <v>1</v>
      </c>
    </row>
    <row r="447" spans="1:11" ht="33.75" thickBot="1">
      <c r="A447" s="20">
        <v>447</v>
      </c>
      <c r="B447" s="15" t="s">
        <v>920</v>
      </c>
      <c r="C447" s="16" t="s">
        <v>1144</v>
      </c>
      <c r="D447" s="17"/>
      <c r="E447" s="18">
        <v>446</v>
      </c>
      <c r="F447" s="15" t="s">
        <v>921</v>
      </c>
      <c r="G447" s="17"/>
      <c r="H447" s="19"/>
      <c r="I447" s="19"/>
      <c r="J447" s="19"/>
      <c r="K447" t="str">
        <f t="shared" si="6"/>
        <v/>
      </c>
    </row>
    <row r="448" spans="1:11" ht="33.75" thickBot="1">
      <c r="A448" s="20">
        <v>448</v>
      </c>
      <c r="B448" s="15" t="s">
        <v>922</v>
      </c>
      <c r="C448" s="16" t="s">
        <v>1144</v>
      </c>
      <c r="D448" s="17"/>
      <c r="E448" s="18">
        <v>447</v>
      </c>
      <c r="F448" s="15" t="s">
        <v>923</v>
      </c>
      <c r="G448" s="17"/>
      <c r="H448" s="19"/>
      <c r="I448" s="19"/>
      <c r="J448" s="19"/>
      <c r="K448" t="str">
        <f t="shared" si="6"/>
        <v/>
      </c>
    </row>
    <row r="449" spans="1:11" ht="33.75" thickBot="1">
      <c r="A449" s="20">
        <v>449</v>
      </c>
      <c r="B449" s="15" t="s">
        <v>924</v>
      </c>
      <c r="C449" s="16" t="s">
        <v>1144</v>
      </c>
      <c r="D449" s="17"/>
      <c r="E449" s="18">
        <v>448</v>
      </c>
      <c r="F449" s="15" t="s">
        <v>925</v>
      </c>
      <c r="G449" s="17"/>
      <c r="H449" s="19"/>
      <c r="I449" s="19"/>
      <c r="J449" s="19"/>
      <c r="K449" t="str">
        <f t="shared" si="6"/>
        <v/>
      </c>
    </row>
    <row r="450" spans="1:11" ht="17.25" thickBot="1">
      <c r="A450" s="20">
        <v>450</v>
      </c>
      <c r="B450" s="15" t="s">
        <v>926</v>
      </c>
      <c r="C450" s="16" t="s">
        <v>1144</v>
      </c>
      <c r="D450" s="17"/>
      <c r="E450" s="18">
        <v>449</v>
      </c>
      <c r="F450" s="15" t="s">
        <v>927</v>
      </c>
      <c r="G450" s="17"/>
      <c r="H450" s="19"/>
      <c r="I450" s="19"/>
      <c r="J450" s="19"/>
      <c r="K450" t="str">
        <f t="shared" si="6"/>
        <v/>
      </c>
    </row>
    <row r="451" spans="1:11" ht="33.75" thickBot="1">
      <c r="A451" s="20">
        <v>451</v>
      </c>
      <c r="B451" s="15" t="s">
        <v>928</v>
      </c>
      <c r="C451" s="16" t="s">
        <v>1144</v>
      </c>
      <c r="D451" s="17"/>
      <c r="E451" s="18">
        <v>450</v>
      </c>
      <c r="F451" s="15" t="s">
        <v>929</v>
      </c>
      <c r="G451" s="17"/>
      <c r="H451" s="19"/>
      <c r="I451" s="19"/>
      <c r="J451" s="19"/>
      <c r="K451" t="str">
        <f t="shared" ref="K451:K514" si="7">LEFT(C451,LEN(C451)-1)</f>
        <v/>
      </c>
    </row>
    <row r="452" spans="1:11" ht="33.75" thickBot="1">
      <c r="A452" s="20">
        <v>452</v>
      </c>
      <c r="B452" s="15" t="s">
        <v>930</v>
      </c>
      <c r="C452" s="16" t="s">
        <v>1144</v>
      </c>
      <c r="D452" s="17"/>
      <c r="E452" s="18">
        <v>451</v>
      </c>
      <c r="F452" s="15" t="s">
        <v>931</v>
      </c>
      <c r="G452" s="17"/>
      <c r="H452" s="19"/>
      <c r="I452" s="19"/>
      <c r="J452" s="19"/>
      <c r="K452" t="str">
        <f t="shared" si="7"/>
        <v/>
      </c>
    </row>
    <row r="453" spans="1:11" ht="33.75" thickBot="1">
      <c r="A453" s="20">
        <v>453</v>
      </c>
      <c r="B453" s="15" t="s">
        <v>932</v>
      </c>
      <c r="C453" s="16" t="s">
        <v>1144</v>
      </c>
      <c r="D453" s="17"/>
      <c r="E453" s="18">
        <v>452</v>
      </c>
      <c r="F453" s="15" t="s">
        <v>933</v>
      </c>
      <c r="G453" s="17"/>
      <c r="H453" s="19"/>
      <c r="I453" s="19"/>
      <c r="J453" s="19"/>
      <c r="K453" t="str">
        <f t="shared" si="7"/>
        <v/>
      </c>
    </row>
    <row r="454" spans="1:11" ht="50.25" thickBot="1">
      <c r="A454" s="20">
        <v>454</v>
      </c>
      <c r="B454" s="15" t="s">
        <v>934</v>
      </c>
      <c r="C454" s="16" t="s">
        <v>1144</v>
      </c>
      <c r="D454" s="17"/>
      <c r="E454" s="18">
        <v>453</v>
      </c>
      <c r="F454" s="15" t="s">
        <v>935</v>
      </c>
      <c r="G454" s="17"/>
      <c r="H454" s="19"/>
      <c r="I454" s="19"/>
      <c r="J454" s="19"/>
      <c r="K454" t="str">
        <f t="shared" si="7"/>
        <v/>
      </c>
    </row>
    <row r="455" spans="1:11" ht="50.25" thickBot="1">
      <c r="A455" s="20">
        <v>455</v>
      </c>
      <c r="B455" s="15" t="s">
        <v>936</v>
      </c>
      <c r="C455" s="16" t="s">
        <v>1144</v>
      </c>
      <c r="D455" s="17"/>
      <c r="E455" s="18">
        <v>454</v>
      </c>
      <c r="F455" s="15" t="s">
        <v>937</v>
      </c>
      <c r="G455" s="17"/>
      <c r="H455" s="19"/>
      <c r="I455" s="19"/>
      <c r="J455" s="19"/>
      <c r="K455" t="str">
        <f t="shared" si="7"/>
        <v/>
      </c>
    </row>
    <row r="456" spans="1:11" ht="33.75" thickBot="1">
      <c r="A456" s="20">
        <v>456</v>
      </c>
      <c r="B456" s="15" t="s">
        <v>938</v>
      </c>
      <c r="C456" s="16" t="s">
        <v>1151</v>
      </c>
      <c r="D456" s="17"/>
      <c r="E456" s="18">
        <v>455</v>
      </c>
      <c r="F456" s="15" t="s">
        <v>939</v>
      </c>
      <c r="G456" s="17"/>
      <c r="H456" s="19"/>
      <c r="I456" s="19"/>
      <c r="J456" s="19"/>
      <c r="K456" t="str">
        <f t="shared" si="7"/>
        <v>1</v>
      </c>
    </row>
    <row r="457" spans="1:11" ht="33.75" thickBot="1">
      <c r="A457" s="20">
        <v>457</v>
      </c>
      <c r="B457" s="15" t="s">
        <v>940</v>
      </c>
      <c r="C457" s="16" t="s">
        <v>1144</v>
      </c>
      <c r="D457" s="17"/>
      <c r="E457" s="18">
        <v>456</v>
      </c>
      <c r="F457" s="15" t="s">
        <v>941</v>
      </c>
      <c r="G457" s="17"/>
      <c r="H457" s="19"/>
      <c r="I457" s="19"/>
      <c r="J457" s="19"/>
      <c r="K457" t="str">
        <f t="shared" si="7"/>
        <v/>
      </c>
    </row>
    <row r="458" spans="1:11" ht="33.75" thickBot="1">
      <c r="A458" s="20">
        <v>458</v>
      </c>
      <c r="B458" s="15" t="s">
        <v>942</v>
      </c>
      <c r="C458" s="16" t="s">
        <v>1151</v>
      </c>
      <c r="D458" s="17"/>
      <c r="E458" s="18">
        <v>457</v>
      </c>
      <c r="F458" s="15" t="s">
        <v>943</v>
      </c>
      <c r="G458" s="17"/>
      <c r="H458" s="19"/>
      <c r="I458" s="19"/>
      <c r="J458" s="19"/>
      <c r="K458" t="str">
        <f t="shared" si="7"/>
        <v>1</v>
      </c>
    </row>
    <row r="459" spans="1:11" ht="33.75" thickBot="1">
      <c r="A459" s="20">
        <v>459</v>
      </c>
      <c r="B459" s="15" t="s">
        <v>944</v>
      </c>
      <c r="C459" s="16" t="s">
        <v>1144</v>
      </c>
      <c r="D459" s="17"/>
      <c r="E459" s="18">
        <v>458</v>
      </c>
      <c r="F459" s="15" t="s">
        <v>945</v>
      </c>
      <c r="G459" s="17"/>
      <c r="H459" s="19"/>
      <c r="I459" s="19"/>
      <c r="J459" s="19"/>
      <c r="K459" t="str">
        <f t="shared" si="7"/>
        <v/>
      </c>
    </row>
    <row r="460" spans="1:11" ht="33.75" thickBot="1">
      <c r="A460" s="20">
        <v>460</v>
      </c>
      <c r="B460" s="15" t="s">
        <v>946</v>
      </c>
      <c r="C460" s="16" t="s">
        <v>1144</v>
      </c>
      <c r="D460" s="17"/>
      <c r="E460" s="18">
        <v>459</v>
      </c>
      <c r="F460" s="15" t="s">
        <v>947</v>
      </c>
      <c r="G460" s="17"/>
      <c r="H460" s="19"/>
      <c r="I460" s="19"/>
      <c r="J460" s="19"/>
      <c r="K460" t="str">
        <f t="shared" si="7"/>
        <v/>
      </c>
    </row>
    <row r="461" spans="1:11" ht="33.75" thickBot="1">
      <c r="A461" s="20">
        <v>461</v>
      </c>
      <c r="B461" s="15" t="s">
        <v>948</v>
      </c>
      <c r="C461" s="16" t="s">
        <v>1144</v>
      </c>
      <c r="D461" s="17"/>
      <c r="E461" s="18">
        <v>460</v>
      </c>
      <c r="F461" s="15" t="s">
        <v>949</v>
      </c>
      <c r="G461" s="17"/>
      <c r="H461" s="19"/>
      <c r="I461" s="19"/>
      <c r="J461" s="19"/>
      <c r="K461" t="str">
        <f t="shared" si="7"/>
        <v/>
      </c>
    </row>
    <row r="462" spans="1:11" ht="17.25" thickBot="1">
      <c r="A462" s="20">
        <v>462</v>
      </c>
      <c r="B462" s="15" t="s">
        <v>950</v>
      </c>
      <c r="C462" s="16" t="s">
        <v>1144</v>
      </c>
      <c r="D462" s="17"/>
      <c r="E462" s="18">
        <v>461</v>
      </c>
      <c r="F462" s="15" t="s">
        <v>951</v>
      </c>
      <c r="G462" s="17"/>
      <c r="H462" s="19"/>
      <c r="I462" s="19"/>
      <c r="J462" s="19"/>
      <c r="K462" t="str">
        <f t="shared" si="7"/>
        <v/>
      </c>
    </row>
    <row r="463" spans="1:11" ht="33.75" thickBot="1">
      <c r="A463" s="20">
        <v>463</v>
      </c>
      <c r="B463" s="15" t="s">
        <v>952</v>
      </c>
      <c r="C463" s="16" t="s">
        <v>1144</v>
      </c>
      <c r="D463" s="17"/>
      <c r="E463" s="18">
        <v>462</v>
      </c>
      <c r="F463" s="15" t="s">
        <v>953</v>
      </c>
      <c r="G463" s="17"/>
      <c r="H463" s="19"/>
      <c r="I463" s="19"/>
      <c r="J463" s="19"/>
      <c r="K463" t="str">
        <f t="shared" si="7"/>
        <v/>
      </c>
    </row>
    <row r="464" spans="1:11" ht="33.75" thickBot="1">
      <c r="A464" s="20">
        <v>464</v>
      </c>
      <c r="B464" s="15" t="s">
        <v>954</v>
      </c>
      <c r="C464" s="16" t="s">
        <v>1144</v>
      </c>
      <c r="D464" s="17"/>
      <c r="E464" s="18">
        <v>463</v>
      </c>
      <c r="F464" s="15" t="s">
        <v>955</v>
      </c>
      <c r="G464" s="17"/>
      <c r="H464" s="19"/>
      <c r="I464" s="19"/>
      <c r="J464" s="19"/>
      <c r="K464" t="str">
        <f t="shared" si="7"/>
        <v/>
      </c>
    </row>
    <row r="465" spans="1:11" ht="33.75" thickBot="1">
      <c r="A465" s="20">
        <v>465</v>
      </c>
      <c r="B465" s="15" t="s">
        <v>956</v>
      </c>
      <c r="C465" s="16" t="s">
        <v>1144</v>
      </c>
      <c r="D465" s="17"/>
      <c r="E465" s="18">
        <v>464</v>
      </c>
      <c r="F465" s="15" t="s">
        <v>957</v>
      </c>
      <c r="G465" s="17"/>
      <c r="H465" s="19"/>
      <c r="I465" s="19"/>
      <c r="J465" s="19"/>
      <c r="K465" t="str">
        <f t="shared" si="7"/>
        <v/>
      </c>
    </row>
    <row r="466" spans="1:11" ht="33.75" thickBot="1">
      <c r="A466" s="20">
        <v>466</v>
      </c>
      <c r="B466" s="15" t="s">
        <v>958</v>
      </c>
      <c r="C466" s="16" t="s">
        <v>1144</v>
      </c>
      <c r="D466" s="17"/>
      <c r="E466" s="18">
        <v>465</v>
      </c>
      <c r="F466" s="15" t="s">
        <v>959</v>
      </c>
      <c r="G466" s="17"/>
      <c r="H466" s="19"/>
      <c r="I466" s="19"/>
      <c r="J466" s="19"/>
      <c r="K466" t="str">
        <f t="shared" si="7"/>
        <v/>
      </c>
    </row>
    <row r="467" spans="1:11" ht="33.75" thickBot="1">
      <c r="A467" s="20">
        <v>467</v>
      </c>
      <c r="B467" s="15" t="s">
        <v>960</v>
      </c>
      <c r="C467" s="16" t="s">
        <v>1151</v>
      </c>
      <c r="D467" s="17"/>
      <c r="E467" s="18">
        <v>466</v>
      </c>
      <c r="F467" s="15" t="s">
        <v>961</v>
      </c>
      <c r="G467" s="17"/>
      <c r="H467" s="19"/>
      <c r="I467" s="19"/>
      <c r="J467" s="19"/>
      <c r="K467" t="str">
        <f t="shared" si="7"/>
        <v>1</v>
      </c>
    </row>
    <row r="468" spans="1:11" ht="33.75" thickBot="1">
      <c r="A468" s="20">
        <v>468</v>
      </c>
      <c r="B468" s="15" t="s">
        <v>962</v>
      </c>
      <c r="C468" s="16" t="s">
        <v>1144</v>
      </c>
      <c r="D468" s="17"/>
      <c r="E468" s="18">
        <v>467</v>
      </c>
      <c r="F468" s="15" t="s">
        <v>963</v>
      </c>
      <c r="G468" s="17"/>
      <c r="H468" s="19"/>
      <c r="I468" s="19"/>
      <c r="J468" s="19"/>
      <c r="K468" t="str">
        <f t="shared" si="7"/>
        <v/>
      </c>
    </row>
    <row r="469" spans="1:11" ht="33.75" thickBot="1">
      <c r="A469" s="20">
        <v>469</v>
      </c>
      <c r="B469" s="15" t="s">
        <v>964</v>
      </c>
      <c r="C469" s="16" t="s">
        <v>1144</v>
      </c>
      <c r="D469" s="17"/>
      <c r="E469" s="18">
        <v>468</v>
      </c>
      <c r="F469" s="15" t="s">
        <v>965</v>
      </c>
      <c r="G469" s="17"/>
      <c r="H469" s="19"/>
      <c r="I469" s="19"/>
      <c r="J469" s="19"/>
      <c r="K469" t="str">
        <f t="shared" si="7"/>
        <v/>
      </c>
    </row>
    <row r="470" spans="1:11" ht="33.75" thickBot="1">
      <c r="A470" s="20">
        <v>470</v>
      </c>
      <c r="B470" s="15" t="s">
        <v>966</v>
      </c>
      <c r="C470" s="16" t="s">
        <v>1150</v>
      </c>
      <c r="D470" s="17"/>
      <c r="E470" s="18">
        <v>469</v>
      </c>
      <c r="F470" s="15" t="s">
        <v>967</v>
      </c>
      <c r="G470" s="17"/>
      <c r="H470" s="19"/>
      <c r="I470" s="19"/>
      <c r="J470" s="19"/>
      <c r="K470" t="str">
        <f t="shared" si="7"/>
        <v/>
      </c>
    </row>
    <row r="471" spans="1:11" ht="33.75" thickBot="1">
      <c r="A471" s="20">
        <v>471</v>
      </c>
      <c r="B471" s="15" t="s">
        <v>968</v>
      </c>
      <c r="C471" s="16" t="s">
        <v>1151</v>
      </c>
      <c r="D471" s="17"/>
      <c r="E471" s="18">
        <v>470</v>
      </c>
      <c r="F471" s="15" t="s">
        <v>969</v>
      </c>
      <c r="G471" s="17"/>
      <c r="H471" s="19"/>
      <c r="I471" s="19"/>
      <c r="J471" s="19"/>
      <c r="K471" t="str">
        <f t="shared" si="7"/>
        <v>1</v>
      </c>
    </row>
    <row r="472" spans="1:11" ht="33.75" thickBot="1">
      <c r="A472" s="20">
        <v>472</v>
      </c>
      <c r="B472" s="15" t="s">
        <v>970</v>
      </c>
      <c r="C472" s="16" t="s">
        <v>1151</v>
      </c>
      <c r="D472" s="17"/>
      <c r="E472" s="18">
        <v>471</v>
      </c>
      <c r="F472" s="15" t="s">
        <v>971</v>
      </c>
      <c r="G472" s="17"/>
      <c r="H472" s="19"/>
      <c r="I472" s="19"/>
      <c r="J472" s="19"/>
      <c r="K472" t="str">
        <f t="shared" si="7"/>
        <v>1</v>
      </c>
    </row>
    <row r="473" spans="1:11" ht="33.75" thickBot="1">
      <c r="A473" s="20">
        <v>473</v>
      </c>
      <c r="B473" s="15" t="s">
        <v>972</v>
      </c>
      <c r="C473" s="16" t="s">
        <v>1151</v>
      </c>
      <c r="D473" s="17"/>
      <c r="E473" s="18">
        <v>472</v>
      </c>
      <c r="F473" s="15" t="s">
        <v>973</v>
      </c>
      <c r="G473" s="17"/>
      <c r="H473" s="19"/>
      <c r="I473" s="19"/>
      <c r="J473" s="19"/>
      <c r="K473" t="str">
        <f t="shared" si="7"/>
        <v>1</v>
      </c>
    </row>
    <row r="474" spans="1:11" ht="33.75" thickBot="1">
      <c r="A474" s="20">
        <v>474</v>
      </c>
      <c r="B474" s="15" t="s">
        <v>974</v>
      </c>
      <c r="C474" s="16" t="s">
        <v>1144</v>
      </c>
      <c r="D474" s="17"/>
      <c r="E474" s="18">
        <v>473</v>
      </c>
      <c r="F474" s="15" t="s">
        <v>975</v>
      </c>
      <c r="G474" s="17"/>
      <c r="H474" s="19"/>
      <c r="I474" s="19"/>
      <c r="J474" s="19"/>
      <c r="K474" t="str">
        <f t="shared" si="7"/>
        <v/>
      </c>
    </row>
    <row r="475" spans="1:11" ht="33.75" thickBot="1">
      <c r="A475" s="20">
        <v>475</v>
      </c>
      <c r="B475" s="15" t="s">
        <v>976</v>
      </c>
      <c r="C475" s="16" t="s">
        <v>1144</v>
      </c>
      <c r="D475" s="17"/>
      <c r="E475" s="18">
        <v>474</v>
      </c>
      <c r="F475" s="15" t="s">
        <v>977</v>
      </c>
      <c r="G475" s="17"/>
      <c r="H475" s="19"/>
      <c r="I475" s="19"/>
      <c r="J475" s="19"/>
      <c r="K475" t="str">
        <f t="shared" si="7"/>
        <v/>
      </c>
    </row>
    <row r="476" spans="1:11" ht="33.75" thickBot="1">
      <c r="A476" s="20">
        <v>476</v>
      </c>
      <c r="B476" s="15" t="s">
        <v>978</v>
      </c>
      <c r="C476" s="16" t="s">
        <v>1144</v>
      </c>
      <c r="D476" s="17"/>
      <c r="E476" s="18">
        <v>475</v>
      </c>
      <c r="F476" s="15" t="s">
        <v>979</v>
      </c>
      <c r="G476" s="17"/>
      <c r="H476" s="19"/>
      <c r="I476" s="19"/>
      <c r="J476" s="19"/>
      <c r="K476" t="str">
        <f t="shared" si="7"/>
        <v/>
      </c>
    </row>
    <row r="477" spans="1:11" ht="33.75" thickBot="1">
      <c r="A477" s="20">
        <v>477</v>
      </c>
      <c r="B477" s="15" t="s">
        <v>980</v>
      </c>
      <c r="C477" s="16" t="s">
        <v>1144</v>
      </c>
      <c r="D477" s="17"/>
      <c r="E477" s="18">
        <v>476</v>
      </c>
      <c r="F477" s="15" t="s">
        <v>981</v>
      </c>
      <c r="G477" s="17"/>
      <c r="H477" s="19"/>
      <c r="I477" s="19"/>
      <c r="J477" s="19"/>
      <c r="K477" t="str">
        <f t="shared" si="7"/>
        <v/>
      </c>
    </row>
    <row r="478" spans="1:11" ht="33.75" thickBot="1">
      <c r="A478" s="20">
        <v>478</v>
      </c>
      <c r="B478" s="15" t="s">
        <v>982</v>
      </c>
      <c r="C478" s="16" t="s">
        <v>1144</v>
      </c>
      <c r="D478" s="17"/>
      <c r="E478" s="18">
        <v>477</v>
      </c>
      <c r="F478" s="15" t="s">
        <v>983</v>
      </c>
      <c r="G478" s="17"/>
      <c r="H478" s="19"/>
      <c r="I478" s="19"/>
      <c r="J478" s="19"/>
      <c r="K478" t="str">
        <f t="shared" si="7"/>
        <v/>
      </c>
    </row>
    <row r="479" spans="1:11" ht="33.75" thickBot="1">
      <c r="A479" s="20">
        <v>479</v>
      </c>
      <c r="B479" s="15" t="s">
        <v>984</v>
      </c>
      <c r="C479" s="16" t="s">
        <v>1148</v>
      </c>
      <c r="D479" s="17"/>
      <c r="E479" s="18">
        <v>478</v>
      </c>
      <c r="F479" s="15" t="s">
        <v>985</v>
      </c>
      <c r="G479" s="17"/>
      <c r="H479" s="19"/>
      <c r="I479" s="19"/>
      <c r="J479" s="19"/>
      <c r="K479" t="str">
        <f t="shared" si="7"/>
        <v>1</v>
      </c>
    </row>
    <row r="480" spans="1:11" ht="33.75" thickBot="1">
      <c r="A480" s="20">
        <v>480</v>
      </c>
      <c r="B480" s="15" t="s">
        <v>986</v>
      </c>
      <c r="C480" s="16" t="s">
        <v>1144</v>
      </c>
      <c r="D480" s="17"/>
      <c r="E480" s="18">
        <v>479</v>
      </c>
      <c r="F480" s="15" t="s">
        <v>987</v>
      </c>
      <c r="G480" s="17"/>
      <c r="H480" s="19"/>
      <c r="I480" s="19"/>
      <c r="J480" s="19"/>
      <c r="K480" t="str">
        <f t="shared" si="7"/>
        <v/>
      </c>
    </row>
    <row r="481" spans="1:11" ht="33.75" thickBot="1">
      <c r="A481" s="20">
        <v>481</v>
      </c>
      <c r="B481" s="15" t="s">
        <v>988</v>
      </c>
      <c r="C481" s="16" t="s">
        <v>1151</v>
      </c>
      <c r="D481" s="17"/>
      <c r="E481" s="18">
        <v>480</v>
      </c>
      <c r="F481" s="15" t="s">
        <v>989</v>
      </c>
      <c r="G481" s="17"/>
      <c r="H481" s="19"/>
      <c r="I481" s="19"/>
      <c r="J481" s="19"/>
      <c r="K481" t="str">
        <f t="shared" si="7"/>
        <v>1</v>
      </c>
    </row>
    <row r="482" spans="1:11" ht="33.75" thickBot="1">
      <c r="A482" s="20">
        <v>482</v>
      </c>
      <c r="B482" s="15" t="s">
        <v>990</v>
      </c>
      <c r="C482" s="16" t="s">
        <v>1144</v>
      </c>
      <c r="D482" s="17"/>
      <c r="E482" s="18">
        <v>481</v>
      </c>
      <c r="F482" s="15" t="s">
        <v>991</v>
      </c>
      <c r="G482" s="17"/>
      <c r="H482" s="19"/>
      <c r="I482" s="19"/>
      <c r="J482" s="19"/>
      <c r="K482" t="str">
        <f t="shared" si="7"/>
        <v/>
      </c>
    </row>
    <row r="483" spans="1:11" ht="33.75" thickBot="1">
      <c r="A483" s="20">
        <v>483</v>
      </c>
      <c r="B483" s="15" t="s">
        <v>992</v>
      </c>
      <c r="C483" s="16" t="s">
        <v>1144</v>
      </c>
      <c r="D483" s="17"/>
      <c r="E483" s="18">
        <v>482</v>
      </c>
      <c r="F483" s="15" t="s">
        <v>993</v>
      </c>
      <c r="G483" s="17"/>
      <c r="H483" s="19"/>
      <c r="I483" s="19"/>
      <c r="J483" s="19"/>
      <c r="K483" t="str">
        <f t="shared" si="7"/>
        <v/>
      </c>
    </row>
    <row r="484" spans="1:11" ht="33.75" thickBot="1">
      <c r="A484" s="20">
        <v>484</v>
      </c>
      <c r="B484" s="15" t="s">
        <v>994</v>
      </c>
      <c r="C484" s="16" t="s">
        <v>1148</v>
      </c>
      <c r="D484" s="17"/>
      <c r="E484" s="18">
        <v>483</v>
      </c>
      <c r="F484" s="15" t="s">
        <v>995</v>
      </c>
      <c r="G484" s="17"/>
      <c r="H484" s="19"/>
      <c r="I484" s="19"/>
      <c r="J484" s="19"/>
      <c r="K484" t="str">
        <f t="shared" si="7"/>
        <v>1</v>
      </c>
    </row>
    <row r="485" spans="1:11" ht="50.25" thickBot="1">
      <c r="A485" s="20">
        <v>485</v>
      </c>
      <c r="B485" s="15" t="s">
        <v>996</v>
      </c>
      <c r="C485" s="16" t="s">
        <v>1144</v>
      </c>
      <c r="D485" s="17"/>
      <c r="E485" s="18">
        <v>484</v>
      </c>
      <c r="F485" s="15" t="s">
        <v>997</v>
      </c>
      <c r="G485" s="17"/>
      <c r="H485" s="19"/>
      <c r="I485" s="19"/>
      <c r="J485" s="19"/>
      <c r="K485" t="str">
        <f t="shared" si="7"/>
        <v/>
      </c>
    </row>
    <row r="486" spans="1:11" ht="33.75" thickBot="1">
      <c r="A486" s="20">
        <v>486</v>
      </c>
      <c r="B486" s="15" t="s">
        <v>998</v>
      </c>
      <c r="C486" s="16" t="s">
        <v>1151</v>
      </c>
      <c r="D486" s="17"/>
      <c r="E486" s="18">
        <v>485</v>
      </c>
      <c r="F486" s="15" t="s">
        <v>999</v>
      </c>
      <c r="G486" s="17"/>
      <c r="H486" s="19"/>
      <c r="I486" s="19"/>
      <c r="J486" s="19"/>
      <c r="K486" t="str">
        <f t="shared" si="7"/>
        <v>1</v>
      </c>
    </row>
    <row r="487" spans="1:11" ht="33.75" thickBot="1">
      <c r="A487" s="20">
        <v>487</v>
      </c>
      <c r="B487" s="15" t="s">
        <v>1000</v>
      </c>
      <c r="C487" s="16" t="s">
        <v>1144</v>
      </c>
      <c r="D487" s="17"/>
      <c r="E487" s="18">
        <v>486</v>
      </c>
      <c r="F487" s="15" t="s">
        <v>1001</v>
      </c>
      <c r="G487" s="17"/>
      <c r="H487" s="19"/>
      <c r="I487" s="19"/>
      <c r="J487" s="19"/>
      <c r="K487" t="str">
        <f t="shared" si="7"/>
        <v/>
      </c>
    </row>
    <row r="488" spans="1:11" ht="33.75" thickBot="1">
      <c r="A488" s="20">
        <v>488</v>
      </c>
      <c r="B488" s="15" t="s">
        <v>1002</v>
      </c>
      <c r="C488" s="16" t="s">
        <v>1144</v>
      </c>
      <c r="D488" s="17"/>
      <c r="E488" s="18">
        <v>487</v>
      </c>
      <c r="F488" s="15" t="s">
        <v>1003</v>
      </c>
      <c r="G488" s="17"/>
      <c r="H488" s="19"/>
      <c r="I488" s="19"/>
      <c r="J488" s="19"/>
      <c r="K488" t="str">
        <f t="shared" si="7"/>
        <v/>
      </c>
    </row>
    <row r="489" spans="1:11" ht="50.25" thickBot="1">
      <c r="A489" s="20">
        <v>489</v>
      </c>
      <c r="B489" s="15" t="s">
        <v>1004</v>
      </c>
      <c r="C489" s="16" t="s">
        <v>1144</v>
      </c>
      <c r="D489" s="17"/>
      <c r="E489" s="18">
        <v>488</v>
      </c>
      <c r="F489" s="15" t="s">
        <v>1005</v>
      </c>
      <c r="G489" s="17"/>
      <c r="H489" s="19"/>
      <c r="I489" s="19"/>
      <c r="J489" s="19"/>
      <c r="K489" t="str">
        <f t="shared" si="7"/>
        <v/>
      </c>
    </row>
    <row r="490" spans="1:11" ht="33.75" thickBot="1">
      <c r="A490" s="20">
        <v>490</v>
      </c>
      <c r="B490" s="15" t="s">
        <v>1006</v>
      </c>
      <c r="C490" s="16" t="s">
        <v>1144</v>
      </c>
      <c r="D490" s="17"/>
      <c r="E490" s="18">
        <v>489</v>
      </c>
      <c r="F490" s="15" t="s">
        <v>1007</v>
      </c>
      <c r="G490" s="17"/>
      <c r="H490" s="19"/>
      <c r="I490" s="19"/>
      <c r="J490" s="19"/>
      <c r="K490" t="str">
        <f t="shared" si="7"/>
        <v/>
      </c>
    </row>
    <row r="491" spans="1:11" ht="33.75" thickBot="1">
      <c r="A491" s="20">
        <v>491</v>
      </c>
      <c r="B491" s="15" t="s">
        <v>1008</v>
      </c>
      <c r="C491" s="16" t="s">
        <v>1151</v>
      </c>
      <c r="D491" s="17"/>
      <c r="E491" s="18">
        <v>490</v>
      </c>
      <c r="F491" s="15" t="s">
        <v>1009</v>
      </c>
      <c r="G491" s="17"/>
      <c r="H491" s="19"/>
      <c r="I491" s="19"/>
      <c r="J491" s="19"/>
      <c r="K491" t="str">
        <f t="shared" si="7"/>
        <v>1</v>
      </c>
    </row>
    <row r="492" spans="1:11" ht="33.75" thickBot="1">
      <c r="A492" s="20">
        <v>492</v>
      </c>
      <c r="B492" s="15" t="s">
        <v>1010</v>
      </c>
      <c r="C492" s="16" t="s">
        <v>1144</v>
      </c>
      <c r="D492" s="17"/>
      <c r="E492" s="18">
        <v>491</v>
      </c>
      <c r="F492" s="15" t="s">
        <v>1011</v>
      </c>
      <c r="G492" s="17"/>
      <c r="H492" s="19"/>
      <c r="I492" s="19"/>
      <c r="J492" s="19"/>
      <c r="K492" t="str">
        <f t="shared" si="7"/>
        <v/>
      </c>
    </row>
    <row r="493" spans="1:11" ht="33.75" thickBot="1">
      <c r="A493" s="20">
        <v>493</v>
      </c>
      <c r="B493" s="15" t="s">
        <v>1012</v>
      </c>
      <c r="C493" s="16" t="s">
        <v>1151</v>
      </c>
      <c r="D493" s="17"/>
      <c r="E493" s="18">
        <v>492</v>
      </c>
      <c r="F493" s="15" t="s">
        <v>1013</v>
      </c>
      <c r="G493" s="17"/>
      <c r="H493" s="19"/>
      <c r="I493" s="19"/>
      <c r="J493" s="19"/>
      <c r="K493" t="str">
        <f t="shared" si="7"/>
        <v>1</v>
      </c>
    </row>
    <row r="494" spans="1:11" ht="33.75" thickBot="1">
      <c r="A494" s="20">
        <v>494</v>
      </c>
      <c r="B494" s="15" t="s">
        <v>1014</v>
      </c>
      <c r="C494" s="16" t="s">
        <v>1151</v>
      </c>
      <c r="D494" s="17"/>
      <c r="E494" s="18">
        <v>493</v>
      </c>
      <c r="F494" s="15" t="s">
        <v>1015</v>
      </c>
      <c r="G494" s="17"/>
      <c r="H494" s="19"/>
      <c r="I494" s="19"/>
      <c r="J494" s="19"/>
      <c r="K494" t="str">
        <f t="shared" si="7"/>
        <v>1</v>
      </c>
    </row>
    <row r="495" spans="1:11" ht="50.25" thickBot="1">
      <c r="A495" s="20">
        <v>495</v>
      </c>
      <c r="B495" s="15" t="s">
        <v>1016</v>
      </c>
      <c r="C495" s="16" t="s">
        <v>1151</v>
      </c>
      <c r="D495" s="17"/>
      <c r="E495" s="18">
        <v>494</v>
      </c>
      <c r="F495" s="15" t="s">
        <v>1017</v>
      </c>
      <c r="G495" s="17"/>
      <c r="H495" s="19"/>
      <c r="I495" s="19"/>
      <c r="J495" s="19"/>
      <c r="K495" t="str">
        <f t="shared" si="7"/>
        <v>1</v>
      </c>
    </row>
    <row r="496" spans="1:11" ht="33.75" thickBot="1">
      <c r="A496" s="20">
        <v>496</v>
      </c>
      <c r="B496" s="15" t="s">
        <v>1018</v>
      </c>
      <c r="C496" s="16" t="s">
        <v>1144</v>
      </c>
      <c r="D496" s="17"/>
      <c r="E496" s="18">
        <v>495</v>
      </c>
      <c r="F496" s="15" t="s">
        <v>1019</v>
      </c>
      <c r="G496" s="17"/>
      <c r="H496" s="19"/>
      <c r="I496" s="19"/>
      <c r="J496" s="19"/>
      <c r="K496" t="str">
        <f t="shared" si="7"/>
        <v/>
      </c>
    </row>
    <row r="497" spans="1:11" ht="50.25" thickBot="1">
      <c r="A497" s="20">
        <v>497</v>
      </c>
      <c r="B497" s="15" t="s">
        <v>1020</v>
      </c>
      <c r="C497" s="16" t="s">
        <v>1151</v>
      </c>
      <c r="D497" s="17"/>
      <c r="E497" s="18">
        <v>496</v>
      </c>
      <c r="F497" s="15" t="s">
        <v>1021</v>
      </c>
      <c r="G497" s="17"/>
      <c r="H497" s="19"/>
      <c r="I497" s="19"/>
      <c r="J497" s="19"/>
      <c r="K497" t="str">
        <f t="shared" si="7"/>
        <v>1</v>
      </c>
    </row>
    <row r="498" spans="1:11" ht="50.25" thickBot="1">
      <c r="A498" s="20">
        <v>498</v>
      </c>
      <c r="B498" s="15" t="s">
        <v>1022</v>
      </c>
      <c r="C498" s="16" t="s">
        <v>1151</v>
      </c>
      <c r="D498" s="17"/>
      <c r="E498" s="18">
        <v>497</v>
      </c>
      <c r="F498" s="15" t="s">
        <v>1023</v>
      </c>
      <c r="G498" s="17"/>
      <c r="H498" s="19"/>
      <c r="I498" s="19"/>
      <c r="J498" s="19"/>
      <c r="K498" t="str">
        <f t="shared" si="7"/>
        <v>1</v>
      </c>
    </row>
    <row r="499" spans="1:11" ht="33.75" thickBot="1">
      <c r="A499" s="20">
        <v>499</v>
      </c>
      <c r="B499" s="15" t="s">
        <v>1024</v>
      </c>
      <c r="C499" s="16" t="s">
        <v>1151</v>
      </c>
      <c r="D499" s="17"/>
      <c r="E499" s="18">
        <v>498</v>
      </c>
      <c r="F499" s="15" t="s">
        <v>1025</v>
      </c>
      <c r="G499" s="17"/>
      <c r="H499" s="19"/>
      <c r="I499" s="19"/>
      <c r="J499" s="19"/>
      <c r="K499" t="str">
        <f t="shared" si="7"/>
        <v>1</v>
      </c>
    </row>
    <row r="500" spans="1:11" ht="50.25" thickBot="1">
      <c r="A500" s="20">
        <v>500</v>
      </c>
      <c r="B500" s="15" t="s">
        <v>1026</v>
      </c>
      <c r="C500" s="16" t="s">
        <v>1144</v>
      </c>
      <c r="D500" s="17"/>
      <c r="E500" s="18">
        <v>499</v>
      </c>
      <c r="F500" s="15" t="s">
        <v>1027</v>
      </c>
      <c r="G500" s="17"/>
      <c r="H500" s="19"/>
      <c r="I500" s="19"/>
      <c r="J500" s="19"/>
      <c r="K500" t="str">
        <f t="shared" si="7"/>
        <v/>
      </c>
    </row>
    <row r="501" spans="1:11" ht="33.75" thickBot="1">
      <c r="A501" s="20">
        <v>501</v>
      </c>
      <c r="B501" s="15" t="s">
        <v>1028</v>
      </c>
      <c r="C501" s="16" t="s">
        <v>1151</v>
      </c>
      <c r="D501" s="17"/>
      <c r="E501" s="18">
        <v>500</v>
      </c>
      <c r="F501" s="15" t="s">
        <v>1029</v>
      </c>
      <c r="G501" s="17"/>
      <c r="H501" s="19"/>
      <c r="I501" s="19"/>
      <c r="J501" s="19"/>
      <c r="K501" t="str">
        <f t="shared" si="7"/>
        <v>1</v>
      </c>
    </row>
    <row r="502" spans="1:11" ht="33.75" thickBot="1">
      <c r="A502" s="20">
        <v>502</v>
      </c>
      <c r="B502" s="15" t="s">
        <v>1030</v>
      </c>
      <c r="C502" s="16" t="s">
        <v>1144</v>
      </c>
      <c r="D502" s="17"/>
      <c r="E502" s="18">
        <v>501</v>
      </c>
      <c r="F502" s="15" t="s">
        <v>1031</v>
      </c>
      <c r="G502" s="17"/>
      <c r="H502" s="19"/>
      <c r="I502" s="19"/>
      <c r="J502" s="19"/>
      <c r="K502" t="str">
        <f t="shared" si="7"/>
        <v/>
      </c>
    </row>
    <row r="503" spans="1:11" ht="17.25" thickBot="1">
      <c r="A503" s="20">
        <v>503</v>
      </c>
      <c r="B503" s="15" t="s">
        <v>1032</v>
      </c>
      <c r="C503" s="16" t="s">
        <v>1144</v>
      </c>
      <c r="D503" s="17"/>
      <c r="E503" s="18">
        <v>502</v>
      </c>
      <c r="F503" s="15" t="s">
        <v>1033</v>
      </c>
      <c r="G503" s="17"/>
      <c r="H503" s="19"/>
      <c r="I503" s="19"/>
      <c r="J503" s="19"/>
      <c r="K503" t="str">
        <f t="shared" si="7"/>
        <v/>
      </c>
    </row>
    <row r="504" spans="1:11" ht="33.75" thickBot="1">
      <c r="A504" s="20">
        <v>504</v>
      </c>
      <c r="B504" s="15" t="s">
        <v>1034</v>
      </c>
      <c r="C504" s="16" t="s">
        <v>1145</v>
      </c>
      <c r="D504" s="17"/>
      <c r="E504" s="18">
        <v>503</v>
      </c>
      <c r="F504" s="15" t="s">
        <v>1035</v>
      </c>
      <c r="G504" s="17"/>
      <c r="H504" s="19"/>
      <c r="I504" s="19"/>
      <c r="J504" s="19"/>
      <c r="K504" t="str">
        <f t="shared" si="7"/>
        <v>1</v>
      </c>
    </row>
    <row r="505" spans="1:11" ht="33.75" thickBot="1">
      <c r="A505" s="20">
        <v>505</v>
      </c>
      <c r="B505" s="15" t="s">
        <v>1036</v>
      </c>
      <c r="C505" s="16" t="s">
        <v>1151</v>
      </c>
      <c r="D505" s="17"/>
      <c r="E505" s="18">
        <v>504</v>
      </c>
      <c r="F505" s="15" t="s">
        <v>1037</v>
      </c>
      <c r="G505" s="17"/>
      <c r="H505" s="19"/>
      <c r="I505" s="19"/>
      <c r="J505" s="19"/>
      <c r="K505" t="str">
        <f t="shared" si="7"/>
        <v>1</v>
      </c>
    </row>
    <row r="506" spans="1:11" ht="33.75" thickBot="1">
      <c r="A506" s="20">
        <v>506</v>
      </c>
      <c r="B506" s="15" t="s">
        <v>1038</v>
      </c>
      <c r="C506" s="16" t="s">
        <v>1144</v>
      </c>
      <c r="D506" s="17"/>
      <c r="E506" s="18">
        <v>505</v>
      </c>
      <c r="F506" s="15" t="s">
        <v>1039</v>
      </c>
      <c r="G506" s="17"/>
      <c r="H506" s="19"/>
      <c r="I506" s="19"/>
      <c r="J506" s="19"/>
      <c r="K506" t="str">
        <f t="shared" si="7"/>
        <v/>
      </c>
    </row>
    <row r="507" spans="1:11" ht="33.75" thickBot="1">
      <c r="A507" s="20">
        <v>507</v>
      </c>
      <c r="B507" s="15" t="s">
        <v>1040</v>
      </c>
      <c r="C507" s="16" t="s">
        <v>1144</v>
      </c>
      <c r="D507" s="17"/>
      <c r="E507" s="18">
        <v>506</v>
      </c>
      <c r="F507" s="15" t="s">
        <v>1041</v>
      </c>
      <c r="G507" s="17"/>
      <c r="H507" s="19"/>
      <c r="I507" s="19"/>
      <c r="J507" s="19"/>
      <c r="K507" t="str">
        <f t="shared" si="7"/>
        <v/>
      </c>
    </row>
    <row r="508" spans="1:11" ht="33.75" thickBot="1">
      <c r="A508" s="20">
        <v>508</v>
      </c>
      <c r="B508" s="15" t="s">
        <v>1042</v>
      </c>
      <c r="C508" s="16" t="s">
        <v>1144</v>
      </c>
      <c r="D508" s="17"/>
      <c r="E508" s="18">
        <v>507</v>
      </c>
      <c r="F508" s="15" t="s">
        <v>1043</v>
      </c>
      <c r="G508" s="17"/>
      <c r="H508" s="19"/>
      <c r="I508" s="19"/>
      <c r="J508" s="19"/>
      <c r="K508" t="str">
        <f t="shared" si="7"/>
        <v/>
      </c>
    </row>
    <row r="509" spans="1:11" ht="33.75" thickBot="1">
      <c r="A509" s="20">
        <v>509</v>
      </c>
      <c r="B509" s="15" t="s">
        <v>1044</v>
      </c>
      <c r="C509" s="16" t="s">
        <v>1144</v>
      </c>
      <c r="D509" s="17"/>
      <c r="E509" s="18">
        <v>508</v>
      </c>
      <c r="F509" s="15" t="s">
        <v>1045</v>
      </c>
      <c r="G509" s="17"/>
      <c r="H509" s="19"/>
      <c r="I509" s="19"/>
      <c r="J509" s="19"/>
      <c r="K509" t="str">
        <f t="shared" si="7"/>
        <v/>
      </c>
    </row>
    <row r="510" spans="1:11" ht="50.25" thickBot="1">
      <c r="A510" s="20">
        <v>510</v>
      </c>
      <c r="B510" s="15" t="s">
        <v>1046</v>
      </c>
      <c r="C510" s="16" t="s">
        <v>1144</v>
      </c>
      <c r="D510" s="17"/>
      <c r="E510" s="18">
        <v>509</v>
      </c>
      <c r="F510" s="15" t="s">
        <v>1047</v>
      </c>
      <c r="G510" s="17"/>
      <c r="H510" s="19"/>
      <c r="I510" s="19"/>
      <c r="J510" s="19"/>
      <c r="K510" t="str">
        <f t="shared" si="7"/>
        <v/>
      </c>
    </row>
    <row r="511" spans="1:11" ht="33.75" thickBot="1">
      <c r="A511" s="20">
        <v>511</v>
      </c>
      <c r="B511" s="15" t="s">
        <v>1048</v>
      </c>
      <c r="C511" s="16" t="s">
        <v>1144</v>
      </c>
      <c r="D511" s="17"/>
      <c r="E511" s="18">
        <v>510</v>
      </c>
      <c r="F511" s="15" t="s">
        <v>1049</v>
      </c>
      <c r="G511" s="17"/>
      <c r="H511" s="19"/>
      <c r="I511" s="19"/>
      <c r="J511" s="19"/>
      <c r="K511" t="str">
        <f t="shared" si="7"/>
        <v/>
      </c>
    </row>
    <row r="512" spans="1:11" ht="33.75" thickBot="1">
      <c r="A512" s="20">
        <v>512</v>
      </c>
      <c r="B512" s="15" t="s">
        <v>1050</v>
      </c>
      <c r="C512" s="16" t="s">
        <v>1144</v>
      </c>
      <c r="D512" s="17"/>
      <c r="E512" s="18">
        <v>511</v>
      </c>
      <c r="F512" s="15" t="s">
        <v>1051</v>
      </c>
      <c r="G512" s="17"/>
      <c r="H512" s="19"/>
      <c r="I512" s="19"/>
      <c r="J512" s="19"/>
      <c r="K512" t="str">
        <f t="shared" si="7"/>
        <v/>
      </c>
    </row>
    <row r="513" spans="1:11" ht="50.25" thickBot="1">
      <c r="A513" s="20">
        <v>513</v>
      </c>
      <c r="B513" s="15" t="s">
        <v>1052</v>
      </c>
      <c r="C513" s="16" t="s">
        <v>1144</v>
      </c>
      <c r="D513" s="17"/>
      <c r="E513" s="18">
        <v>512</v>
      </c>
      <c r="F513" s="15" t="s">
        <v>1053</v>
      </c>
      <c r="G513" s="17"/>
      <c r="H513" s="19"/>
      <c r="I513" s="19"/>
      <c r="J513" s="19"/>
      <c r="K513" t="str">
        <f t="shared" si="7"/>
        <v/>
      </c>
    </row>
    <row r="514" spans="1:11" ht="33.75" thickBot="1">
      <c r="A514" s="20">
        <v>514</v>
      </c>
      <c r="B514" s="15" t="s">
        <v>1054</v>
      </c>
      <c r="C514" s="16" t="s">
        <v>1144</v>
      </c>
      <c r="D514" s="17"/>
      <c r="E514" s="18">
        <v>513</v>
      </c>
      <c r="F514" s="15" t="s">
        <v>1055</v>
      </c>
      <c r="G514" s="17"/>
      <c r="H514" s="19"/>
      <c r="I514" s="19"/>
      <c r="J514" s="19"/>
      <c r="K514" t="str">
        <f t="shared" si="7"/>
        <v/>
      </c>
    </row>
    <row r="515" spans="1:11" ht="50.25" thickBot="1">
      <c r="A515" s="20">
        <v>515</v>
      </c>
      <c r="B515" s="15" t="s">
        <v>1056</v>
      </c>
      <c r="C515" s="16" t="s">
        <v>1144</v>
      </c>
      <c r="D515" s="17"/>
      <c r="E515" s="18">
        <v>514</v>
      </c>
      <c r="F515" s="15" t="s">
        <v>1057</v>
      </c>
      <c r="G515" s="17"/>
      <c r="H515" s="19"/>
      <c r="I515" s="19"/>
      <c r="J515" s="19"/>
      <c r="K515" t="str">
        <f t="shared" ref="K515:K558" si="8">LEFT(C515,LEN(C515)-1)</f>
        <v/>
      </c>
    </row>
    <row r="516" spans="1:11" ht="33.75" thickBot="1">
      <c r="A516" s="20">
        <v>516</v>
      </c>
      <c r="B516" s="15" t="s">
        <v>1058</v>
      </c>
      <c r="C516" s="16" t="s">
        <v>1151</v>
      </c>
      <c r="D516" s="17"/>
      <c r="E516" s="18">
        <v>515</v>
      </c>
      <c r="F516" s="15" t="s">
        <v>1059</v>
      </c>
      <c r="G516" s="17"/>
      <c r="H516" s="19"/>
      <c r="I516" s="19"/>
      <c r="J516" s="19"/>
      <c r="K516" t="str">
        <f t="shared" si="8"/>
        <v>1</v>
      </c>
    </row>
    <row r="517" spans="1:11" ht="33.75" thickBot="1">
      <c r="A517" s="20">
        <v>517</v>
      </c>
      <c r="B517" s="15" t="s">
        <v>1060</v>
      </c>
      <c r="C517" s="16" t="s">
        <v>1144</v>
      </c>
      <c r="D517" s="17"/>
      <c r="E517" s="18">
        <v>516</v>
      </c>
      <c r="F517" s="15" t="s">
        <v>1061</v>
      </c>
      <c r="G517" s="17"/>
      <c r="H517" s="19"/>
      <c r="I517" s="19"/>
      <c r="J517" s="19"/>
      <c r="K517" t="str">
        <f t="shared" si="8"/>
        <v/>
      </c>
    </row>
    <row r="518" spans="1:11" ht="33.75" thickBot="1">
      <c r="A518" s="20">
        <v>518</v>
      </c>
      <c r="B518" s="15" t="s">
        <v>1062</v>
      </c>
      <c r="C518" s="16" t="s">
        <v>1144</v>
      </c>
      <c r="D518" s="17"/>
      <c r="E518" s="18">
        <v>517</v>
      </c>
      <c r="F518" s="15" t="s">
        <v>1063</v>
      </c>
      <c r="G518" s="17"/>
      <c r="H518" s="19"/>
      <c r="I518" s="19"/>
      <c r="J518" s="19"/>
      <c r="K518" t="str">
        <f t="shared" si="8"/>
        <v/>
      </c>
    </row>
    <row r="519" spans="1:11" ht="50.25" thickBot="1">
      <c r="A519" s="20">
        <v>519</v>
      </c>
      <c r="B519" s="15" t="s">
        <v>1064</v>
      </c>
      <c r="C519" s="16" t="s">
        <v>1148</v>
      </c>
      <c r="D519" s="17"/>
      <c r="E519" s="18">
        <v>518</v>
      </c>
      <c r="F519" s="15" t="s">
        <v>1065</v>
      </c>
      <c r="G519" s="17"/>
      <c r="H519" s="19"/>
      <c r="I519" s="19"/>
      <c r="J519" s="19"/>
      <c r="K519" t="str">
        <f t="shared" si="8"/>
        <v>1</v>
      </c>
    </row>
    <row r="520" spans="1:11" ht="50.25" thickBot="1">
      <c r="A520" s="20">
        <v>520</v>
      </c>
      <c r="B520" s="15" t="s">
        <v>1066</v>
      </c>
      <c r="C520" s="16" t="s">
        <v>1148</v>
      </c>
      <c r="D520" s="17"/>
      <c r="E520" s="18">
        <v>519</v>
      </c>
      <c r="F520" s="15" t="s">
        <v>1067</v>
      </c>
      <c r="G520" s="17"/>
      <c r="H520" s="19"/>
      <c r="I520" s="19"/>
      <c r="J520" s="19"/>
      <c r="K520" t="str">
        <f t="shared" si="8"/>
        <v>1</v>
      </c>
    </row>
    <row r="521" spans="1:11" ht="33.75" thickBot="1">
      <c r="A521" s="20">
        <v>521</v>
      </c>
      <c r="B521" s="15" t="s">
        <v>1068</v>
      </c>
      <c r="C521" s="16" t="s">
        <v>1144</v>
      </c>
      <c r="D521" s="17"/>
      <c r="E521" s="18">
        <v>520</v>
      </c>
      <c r="F521" s="15" t="s">
        <v>1069</v>
      </c>
      <c r="G521" s="17"/>
      <c r="H521" s="19"/>
      <c r="I521" s="19"/>
      <c r="J521" s="19"/>
      <c r="K521" t="str">
        <f t="shared" si="8"/>
        <v/>
      </c>
    </row>
    <row r="522" spans="1:11" ht="33.75" thickBot="1">
      <c r="A522" s="20">
        <v>522</v>
      </c>
      <c r="B522" s="15" t="s">
        <v>1070</v>
      </c>
      <c r="C522" s="16" t="s">
        <v>1144</v>
      </c>
      <c r="D522" s="17"/>
      <c r="E522" s="18">
        <v>521</v>
      </c>
      <c r="F522" s="15" t="s">
        <v>1071</v>
      </c>
      <c r="G522" s="17"/>
      <c r="H522" s="19"/>
      <c r="I522" s="19"/>
      <c r="J522" s="19"/>
      <c r="K522" t="str">
        <f t="shared" si="8"/>
        <v/>
      </c>
    </row>
    <row r="523" spans="1:11" ht="33.75" thickBot="1">
      <c r="A523" s="20">
        <v>523</v>
      </c>
      <c r="B523" s="15" t="s">
        <v>1072</v>
      </c>
      <c r="C523" s="16" t="s">
        <v>1144</v>
      </c>
      <c r="D523" s="17"/>
      <c r="E523" s="18">
        <v>522</v>
      </c>
      <c r="F523" s="15" t="s">
        <v>1073</v>
      </c>
      <c r="G523" s="17"/>
      <c r="H523" s="19"/>
      <c r="I523" s="19"/>
      <c r="J523" s="19"/>
      <c r="K523" t="str">
        <f t="shared" si="8"/>
        <v/>
      </c>
    </row>
    <row r="524" spans="1:11" ht="33.75" thickBot="1">
      <c r="A524" s="20">
        <v>524</v>
      </c>
      <c r="B524" s="15" t="s">
        <v>1074</v>
      </c>
      <c r="C524" s="16" t="s">
        <v>1144</v>
      </c>
      <c r="D524" s="17"/>
      <c r="E524" s="18">
        <v>523</v>
      </c>
      <c r="F524" s="15" t="s">
        <v>1075</v>
      </c>
      <c r="G524" s="17"/>
      <c r="H524" s="19"/>
      <c r="I524" s="19"/>
      <c r="J524" s="19"/>
      <c r="K524" t="str">
        <f t="shared" si="8"/>
        <v/>
      </c>
    </row>
    <row r="525" spans="1:11" ht="33.75" thickBot="1">
      <c r="A525" s="20">
        <v>525</v>
      </c>
      <c r="B525" s="15" t="s">
        <v>1076</v>
      </c>
      <c r="C525" s="16" t="s">
        <v>1144</v>
      </c>
      <c r="D525" s="17"/>
      <c r="E525" s="18">
        <v>524</v>
      </c>
      <c r="F525" s="15" t="s">
        <v>1077</v>
      </c>
      <c r="G525" s="17"/>
      <c r="H525" s="19"/>
      <c r="I525" s="19"/>
      <c r="J525" s="19"/>
      <c r="K525" t="str">
        <f t="shared" si="8"/>
        <v/>
      </c>
    </row>
    <row r="526" spans="1:11" ht="50.25" thickBot="1">
      <c r="A526" s="20">
        <v>526</v>
      </c>
      <c r="B526" s="15" t="s">
        <v>1078</v>
      </c>
      <c r="C526" s="16" t="s">
        <v>1148</v>
      </c>
      <c r="D526" s="17"/>
      <c r="E526" s="18">
        <v>525</v>
      </c>
      <c r="F526" s="15" t="s">
        <v>1079</v>
      </c>
      <c r="G526" s="17"/>
      <c r="H526" s="19"/>
      <c r="I526" s="19"/>
      <c r="J526" s="19"/>
      <c r="K526" t="str">
        <f t="shared" si="8"/>
        <v>1</v>
      </c>
    </row>
    <row r="527" spans="1:11" ht="33.75" thickBot="1">
      <c r="A527" s="20">
        <v>527</v>
      </c>
      <c r="B527" s="15" t="s">
        <v>1080</v>
      </c>
      <c r="C527" s="16" t="s">
        <v>1151</v>
      </c>
      <c r="D527" s="17"/>
      <c r="E527" s="18">
        <v>526</v>
      </c>
      <c r="F527" s="15" t="s">
        <v>1081</v>
      </c>
      <c r="G527" s="17"/>
      <c r="H527" s="19"/>
      <c r="I527" s="19"/>
      <c r="J527" s="19"/>
      <c r="K527" t="str">
        <f t="shared" si="8"/>
        <v>1</v>
      </c>
    </row>
    <row r="528" spans="1:11" ht="33.75" thickBot="1">
      <c r="A528" s="20">
        <v>528</v>
      </c>
      <c r="B528" s="15" t="s">
        <v>1082</v>
      </c>
      <c r="C528" s="16" t="s">
        <v>1144</v>
      </c>
      <c r="D528" s="17"/>
      <c r="E528" s="18">
        <v>527</v>
      </c>
      <c r="F528" s="15" t="s">
        <v>1083</v>
      </c>
      <c r="G528" s="17"/>
      <c r="H528" s="19"/>
      <c r="I528" s="19"/>
      <c r="J528" s="19"/>
      <c r="K528" t="str">
        <f t="shared" si="8"/>
        <v/>
      </c>
    </row>
    <row r="529" spans="1:11" ht="33.75" thickBot="1">
      <c r="A529" s="20">
        <v>529</v>
      </c>
      <c r="B529" s="15" t="s">
        <v>1084</v>
      </c>
      <c r="C529" s="16" t="s">
        <v>1151</v>
      </c>
      <c r="D529" s="17"/>
      <c r="E529" s="18">
        <v>528</v>
      </c>
      <c r="F529" s="15" t="s">
        <v>1085</v>
      </c>
      <c r="G529" s="17"/>
      <c r="H529" s="19"/>
      <c r="I529" s="19"/>
      <c r="J529" s="19"/>
      <c r="K529" t="str">
        <f t="shared" si="8"/>
        <v>1</v>
      </c>
    </row>
    <row r="530" spans="1:11" ht="33.75" thickBot="1">
      <c r="A530" s="20">
        <v>530</v>
      </c>
      <c r="B530" s="15" t="s">
        <v>1086</v>
      </c>
      <c r="C530" s="16" t="s">
        <v>1144</v>
      </c>
      <c r="D530" s="17"/>
      <c r="E530" s="18">
        <v>529</v>
      </c>
      <c r="F530" s="15" t="s">
        <v>1087</v>
      </c>
      <c r="G530" s="17"/>
      <c r="H530" s="19"/>
      <c r="I530" s="19"/>
      <c r="J530" s="19"/>
      <c r="K530" t="str">
        <f t="shared" si="8"/>
        <v/>
      </c>
    </row>
    <row r="531" spans="1:11" ht="33.75" thickBot="1">
      <c r="A531" s="20">
        <v>531</v>
      </c>
      <c r="B531" s="15" t="s">
        <v>1088</v>
      </c>
      <c r="C531" s="16" t="s">
        <v>1150</v>
      </c>
      <c r="D531" s="17"/>
      <c r="E531" s="18">
        <v>530</v>
      </c>
      <c r="F531" s="15" t="s">
        <v>1089</v>
      </c>
      <c r="G531" s="17"/>
      <c r="H531" s="19"/>
      <c r="I531" s="19"/>
      <c r="J531" s="19"/>
      <c r="K531" t="str">
        <f t="shared" si="8"/>
        <v/>
      </c>
    </row>
    <row r="532" spans="1:11" ht="50.25" thickBot="1">
      <c r="A532" s="20">
        <v>532</v>
      </c>
      <c r="B532" s="15" t="s">
        <v>1090</v>
      </c>
      <c r="C532" s="16" t="s">
        <v>1151</v>
      </c>
      <c r="D532" s="17"/>
      <c r="E532" s="18">
        <v>531</v>
      </c>
      <c r="F532" s="15" t="s">
        <v>1091</v>
      </c>
      <c r="G532" s="17"/>
      <c r="H532" s="19"/>
      <c r="I532" s="19"/>
      <c r="J532" s="19"/>
      <c r="K532" t="str">
        <f t="shared" si="8"/>
        <v>1</v>
      </c>
    </row>
    <row r="533" spans="1:11" ht="33.75" thickBot="1">
      <c r="A533" s="20">
        <v>533</v>
      </c>
      <c r="B533" s="15" t="s">
        <v>1092</v>
      </c>
      <c r="C533" s="16" t="s">
        <v>1151</v>
      </c>
      <c r="D533" s="17"/>
      <c r="E533" s="18">
        <v>532</v>
      </c>
      <c r="F533" s="15" t="s">
        <v>1093</v>
      </c>
      <c r="G533" s="17"/>
      <c r="H533" s="19"/>
      <c r="I533" s="19"/>
      <c r="J533" s="19"/>
      <c r="K533" t="str">
        <f t="shared" si="8"/>
        <v>1</v>
      </c>
    </row>
    <row r="534" spans="1:11" ht="33.75" thickBot="1">
      <c r="A534" s="20">
        <v>534</v>
      </c>
      <c r="B534" s="15" t="s">
        <v>1094</v>
      </c>
      <c r="C534" s="16" t="s">
        <v>1144</v>
      </c>
      <c r="D534" s="17"/>
      <c r="E534" s="18">
        <v>533</v>
      </c>
      <c r="F534" s="15" t="s">
        <v>1095</v>
      </c>
      <c r="G534" s="17"/>
      <c r="H534" s="19"/>
      <c r="I534" s="19"/>
      <c r="J534" s="19"/>
      <c r="K534" t="str">
        <f t="shared" si="8"/>
        <v/>
      </c>
    </row>
    <row r="535" spans="1:11" ht="33.75" thickBot="1">
      <c r="A535" s="20">
        <v>535</v>
      </c>
      <c r="B535" s="15" t="s">
        <v>1096</v>
      </c>
      <c r="C535" s="16" t="s">
        <v>1151</v>
      </c>
      <c r="D535" s="17"/>
      <c r="E535" s="18">
        <v>534</v>
      </c>
      <c r="F535" s="15" t="s">
        <v>1097</v>
      </c>
      <c r="G535" s="17"/>
      <c r="H535" s="19"/>
      <c r="I535" s="19"/>
      <c r="J535" s="19"/>
      <c r="K535" t="str">
        <f t="shared" si="8"/>
        <v>1</v>
      </c>
    </row>
    <row r="536" spans="1:11" ht="33.75" thickBot="1">
      <c r="A536" s="20">
        <v>536</v>
      </c>
      <c r="B536" s="15" t="s">
        <v>1098</v>
      </c>
      <c r="C536" s="16" t="s">
        <v>1144</v>
      </c>
      <c r="D536" s="17"/>
      <c r="E536" s="18">
        <v>535</v>
      </c>
      <c r="F536" s="15" t="s">
        <v>1099</v>
      </c>
      <c r="G536" s="17"/>
      <c r="H536" s="19"/>
      <c r="I536" s="19"/>
      <c r="J536" s="19"/>
      <c r="K536" t="str">
        <f t="shared" si="8"/>
        <v/>
      </c>
    </row>
    <row r="537" spans="1:11" ht="33.75" thickBot="1">
      <c r="A537" s="20">
        <v>537</v>
      </c>
      <c r="B537" s="15" t="s">
        <v>1100</v>
      </c>
      <c r="C537" s="16" t="s">
        <v>1151</v>
      </c>
      <c r="D537" s="17"/>
      <c r="E537" s="18">
        <v>536</v>
      </c>
      <c r="F537" s="15" t="s">
        <v>1101</v>
      </c>
      <c r="G537" s="17"/>
      <c r="H537" s="19"/>
      <c r="I537" s="19"/>
      <c r="J537" s="19"/>
      <c r="K537" t="str">
        <f t="shared" si="8"/>
        <v>1</v>
      </c>
    </row>
    <row r="538" spans="1:11" ht="33.75" thickBot="1">
      <c r="A538" s="20">
        <v>538</v>
      </c>
      <c r="B538" s="15" t="s">
        <v>1102</v>
      </c>
      <c r="C538" s="16" t="s">
        <v>1144</v>
      </c>
      <c r="D538" s="17"/>
      <c r="E538" s="18">
        <v>537</v>
      </c>
      <c r="F538" s="15" t="s">
        <v>1103</v>
      </c>
      <c r="G538" s="17"/>
      <c r="H538" s="19"/>
      <c r="I538" s="19"/>
      <c r="J538" s="19"/>
      <c r="K538" t="str">
        <f t="shared" si="8"/>
        <v/>
      </c>
    </row>
    <row r="539" spans="1:11" ht="33.75" thickBot="1">
      <c r="A539" s="20">
        <v>539</v>
      </c>
      <c r="B539" s="15" t="s">
        <v>1104</v>
      </c>
      <c r="C539" s="16" t="s">
        <v>1150</v>
      </c>
      <c r="D539" s="17"/>
      <c r="E539" s="18">
        <v>538</v>
      </c>
      <c r="F539" s="15" t="s">
        <v>1105</v>
      </c>
      <c r="G539" s="17"/>
      <c r="H539" s="19"/>
      <c r="I539" s="19"/>
      <c r="J539" s="19"/>
      <c r="K539" t="str">
        <f t="shared" si="8"/>
        <v/>
      </c>
    </row>
    <row r="540" spans="1:11" ht="33.75" thickBot="1">
      <c r="A540" s="20">
        <v>540</v>
      </c>
      <c r="B540" s="15" t="s">
        <v>1106</v>
      </c>
      <c r="C540" s="16" t="s">
        <v>1144</v>
      </c>
      <c r="D540" s="17"/>
      <c r="E540" s="18">
        <v>539</v>
      </c>
      <c r="F540" s="15" t="s">
        <v>1107</v>
      </c>
      <c r="G540" s="17"/>
      <c r="H540" s="19"/>
      <c r="I540" s="19"/>
      <c r="J540" s="19"/>
      <c r="K540" t="str">
        <f t="shared" si="8"/>
        <v/>
      </c>
    </row>
    <row r="541" spans="1:11" ht="33.75" thickBot="1">
      <c r="A541" s="20">
        <v>541</v>
      </c>
      <c r="B541" s="15" t="s">
        <v>1108</v>
      </c>
      <c r="C541" s="16" t="s">
        <v>1144</v>
      </c>
      <c r="D541" s="17"/>
      <c r="E541" s="18">
        <v>540</v>
      </c>
      <c r="F541" s="15" t="s">
        <v>1109</v>
      </c>
      <c r="G541" s="17"/>
      <c r="H541" s="19"/>
      <c r="I541" s="19"/>
      <c r="J541" s="19"/>
      <c r="K541" t="str">
        <f t="shared" si="8"/>
        <v/>
      </c>
    </row>
    <row r="542" spans="1:11" ht="33.75" thickBot="1">
      <c r="A542" s="20">
        <v>542</v>
      </c>
      <c r="B542" s="15" t="s">
        <v>1110</v>
      </c>
      <c r="C542" s="16" t="s">
        <v>1144</v>
      </c>
      <c r="D542" s="17"/>
      <c r="E542" s="18">
        <v>541</v>
      </c>
      <c r="F542" s="15" t="s">
        <v>1111</v>
      </c>
      <c r="G542" s="17"/>
      <c r="H542" s="19"/>
      <c r="I542" s="19"/>
      <c r="J542" s="19"/>
      <c r="K542" t="str">
        <f t="shared" si="8"/>
        <v/>
      </c>
    </row>
    <row r="543" spans="1:11" ht="33.75" thickBot="1">
      <c r="A543" s="14">
        <v>543</v>
      </c>
      <c r="B543" s="15" t="s">
        <v>1112</v>
      </c>
      <c r="C543" s="16" t="s">
        <v>1144</v>
      </c>
      <c r="D543" s="17"/>
      <c r="E543" s="18">
        <v>542</v>
      </c>
      <c r="F543" s="15" t="s">
        <v>1113</v>
      </c>
      <c r="G543" s="17"/>
      <c r="H543" s="19"/>
      <c r="I543" s="19"/>
      <c r="J543" s="19"/>
      <c r="K543" t="str">
        <f t="shared" si="8"/>
        <v/>
      </c>
    </row>
    <row r="544" spans="1:11" ht="33.75" thickBot="1">
      <c r="A544" s="14">
        <v>544</v>
      </c>
      <c r="B544" s="15" t="s">
        <v>1114</v>
      </c>
      <c r="C544" s="16" t="s">
        <v>1149</v>
      </c>
      <c r="D544" s="17"/>
      <c r="E544" s="18">
        <v>543</v>
      </c>
      <c r="F544" s="15" t="s">
        <v>1115</v>
      </c>
      <c r="G544" s="17"/>
      <c r="H544" s="19"/>
      <c r="I544" s="19"/>
      <c r="J544" s="19"/>
      <c r="K544" t="str">
        <f t="shared" si="8"/>
        <v>1</v>
      </c>
    </row>
    <row r="545" spans="1:11" ht="17.25" thickBot="1">
      <c r="A545" s="14">
        <v>545</v>
      </c>
      <c r="B545" s="15" t="s">
        <v>1116</v>
      </c>
      <c r="C545" s="16" t="s">
        <v>1144</v>
      </c>
      <c r="D545" s="17"/>
      <c r="E545" s="18">
        <v>544</v>
      </c>
      <c r="F545" s="15" t="s">
        <v>1117</v>
      </c>
      <c r="G545" s="17"/>
      <c r="H545" s="19"/>
      <c r="I545" s="19"/>
      <c r="J545" s="19"/>
      <c r="K545" t="str">
        <f t="shared" si="8"/>
        <v/>
      </c>
    </row>
    <row r="546" spans="1:11" ht="33.75" thickBot="1">
      <c r="A546" s="14">
        <v>546</v>
      </c>
      <c r="B546" s="15" t="s">
        <v>1118</v>
      </c>
      <c r="C546" s="16" t="s">
        <v>1144</v>
      </c>
      <c r="D546" s="17"/>
      <c r="E546" s="18">
        <v>545</v>
      </c>
      <c r="F546" s="15" t="s">
        <v>1119</v>
      </c>
      <c r="G546" s="17"/>
      <c r="H546" s="19"/>
      <c r="I546" s="19"/>
      <c r="J546" s="19"/>
      <c r="K546" t="str">
        <f t="shared" si="8"/>
        <v/>
      </c>
    </row>
    <row r="547" spans="1:11" ht="50.25" thickBot="1">
      <c r="A547" s="14">
        <v>547</v>
      </c>
      <c r="B547" s="15" t="s">
        <v>1120</v>
      </c>
      <c r="C547" s="16" t="s">
        <v>1144</v>
      </c>
      <c r="D547" s="17"/>
      <c r="E547" s="18">
        <v>546</v>
      </c>
      <c r="F547" s="15" t="s">
        <v>1121</v>
      </c>
      <c r="G547" s="17"/>
      <c r="H547" s="19"/>
      <c r="I547" s="19"/>
      <c r="J547" s="19"/>
      <c r="K547" t="str">
        <f t="shared" si="8"/>
        <v/>
      </c>
    </row>
    <row r="548" spans="1:11" ht="33.75" thickBot="1">
      <c r="A548" s="14">
        <v>548</v>
      </c>
      <c r="B548" s="15" t="s">
        <v>1122</v>
      </c>
      <c r="C548" s="16" t="s">
        <v>1144</v>
      </c>
      <c r="D548" s="17"/>
      <c r="E548" s="18">
        <v>547</v>
      </c>
      <c r="F548" s="15" t="s">
        <v>1123</v>
      </c>
      <c r="G548" s="17"/>
      <c r="H548" s="19"/>
      <c r="I548" s="19"/>
      <c r="J548" s="19"/>
      <c r="K548" t="str">
        <f t="shared" si="8"/>
        <v/>
      </c>
    </row>
    <row r="549" spans="1:11" ht="33.75" thickBot="1">
      <c r="A549" s="14">
        <v>549</v>
      </c>
      <c r="B549" s="15" t="s">
        <v>1124</v>
      </c>
      <c r="C549" s="16" t="s">
        <v>1144</v>
      </c>
      <c r="D549" s="17"/>
      <c r="E549" s="18">
        <v>548</v>
      </c>
      <c r="F549" s="15" t="s">
        <v>1125</v>
      </c>
      <c r="G549" s="17"/>
      <c r="H549" s="19"/>
      <c r="I549" s="19"/>
      <c r="J549" s="19"/>
      <c r="K549" t="str">
        <f t="shared" si="8"/>
        <v/>
      </c>
    </row>
    <row r="550" spans="1:11" ht="33.75" thickBot="1">
      <c r="A550" s="14">
        <v>550</v>
      </c>
      <c r="B550" s="15" t="s">
        <v>1126</v>
      </c>
      <c r="C550" s="16" t="s">
        <v>1144</v>
      </c>
      <c r="D550" s="17"/>
      <c r="E550" s="18">
        <v>549</v>
      </c>
      <c r="F550" s="15" t="s">
        <v>1127</v>
      </c>
      <c r="G550" s="17"/>
      <c r="H550" s="19"/>
      <c r="I550" s="19"/>
      <c r="J550" s="19"/>
      <c r="K550" t="str">
        <f t="shared" si="8"/>
        <v/>
      </c>
    </row>
    <row r="551" spans="1:11" ht="33.75" thickBot="1">
      <c r="A551" s="14">
        <v>551</v>
      </c>
      <c r="B551" s="15" t="s">
        <v>1128</v>
      </c>
      <c r="C551" s="16" t="s">
        <v>1144</v>
      </c>
      <c r="D551" s="17"/>
      <c r="E551" s="18">
        <v>550</v>
      </c>
      <c r="F551" s="15" t="s">
        <v>1129</v>
      </c>
      <c r="G551" s="17"/>
      <c r="H551" s="19"/>
      <c r="I551" s="19"/>
      <c r="J551" s="19"/>
      <c r="K551" t="str">
        <f t="shared" si="8"/>
        <v/>
      </c>
    </row>
    <row r="552" spans="1:11" ht="33.75" thickBot="1">
      <c r="A552" s="14">
        <v>552</v>
      </c>
      <c r="B552" s="15" t="s">
        <v>1130</v>
      </c>
      <c r="C552" s="16" t="s">
        <v>1144</v>
      </c>
      <c r="D552" s="17"/>
      <c r="E552" s="18">
        <v>551</v>
      </c>
      <c r="F552" s="15" t="s">
        <v>1131</v>
      </c>
      <c r="G552" s="17"/>
      <c r="H552" s="19"/>
      <c r="I552" s="19"/>
      <c r="J552" s="19"/>
      <c r="K552" t="str">
        <f t="shared" si="8"/>
        <v/>
      </c>
    </row>
    <row r="553" spans="1:11" ht="33.75" thickBot="1">
      <c r="A553" s="14">
        <v>553</v>
      </c>
      <c r="B553" s="15" t="s">
        <v>1132</v>
      </c>
      <c r="C553" s="16" t="s">
        <v>1151</v>
      </c>
      <c r="D553" s="17"/>
      <c r="E553" s="18">
        <v>552</v>
      </c>
      <c r="F553" s="15" t="s">
        <v>1133</v>
      </c>
      <c r="G553" s="17"/>
      <c r="H553" s="19"/>
      <c r="I553" s="19"/>
      <c r="J553" s="19"/>
      <c r="K553" t="str">
        <f t="shared" si="8"/>
        <v>1</v>
      </c>
    </row>
    <row r="554" spans="1:11" ht="50.25" thickBot="1">
      <c r="A554" s="14">
        <v>554</v>
      </c>
      <c r="B554" s="15" t="s">
        <v>1134</v>
      </c>
      <c r="C554" s="16" t="s">
        <v>1148</v>
      </c>
      <c r="D554" s="17"/>
      <c r="E554" s="18">
        <v>553</v>
      </c>
      <c r="F554" s="15" t="s">
        <v>1135</v>
      </c>
      <c r="G554" s="17"/>
      <c r="H554" s="19"/>
      <c r="I554" s="19"/>
      <c r="J554" s="19"/>
      <c r="K554" t="str">
        <f t="shared" si="8"/>
        <v>1</v>
      </c>
    </row>
    <row r="555" spans="1:11" ht="33.75" thickBot="1">
      <c r="A555" s="14">
        <v>555</v>
      </c>
      <c r="B555" s="15" t="s">
        <v>1136</v>
      </c>
      <c r="C555" s="16" t="s">
        <v>1144</v>
      </c>
      <c r="D555" s="17"/>
      <c r="E555" s="18">
        <v>554</v>
      </c>
      <c r="F555" s="15" t="s">
        <v>1137</v>
      </c>
      <c r="G555" s="17"/>
      <c r="H555" s="19"/>
      <c r="I555" s="19"/>
      <c r="J555" s="19"/>
      <c r="K555" t="str">
        <f t="shared" si="8"/>
        <v/>
      </c>
    </row>
    <row r="556" spans="1:11" ht="33.75" thickBot="1">
      <c r="A556" s="14">
        <v>556</v>
      </c>
      <c r="B556" s="15" t="s">
        <v>1138</v>
      </c>
      <c r="C556" s="16" t="s">
        <v>1150</v>
      </c>
      <c r="D556" s="17"/>
      <c r="E556" s="18">
        <v>555</v>
      </c>
      <c r="F556" s="15" t="s">
        <v>1139</v>
      </c>
      <c r="G556" s="17"/>
      <c r="H556" s="19"/>
      <c r="I556" s="19"/>
      <c r="J556" s="19"/>
      <c r="K556" t="str">
        <f t="shared" si="8"/>
        <v/>
      </c>
    </row>
    <row r="557" spans="1:11" ht="17.25" thickBot="1">
      <c r="A557" s="14">
        <v>557</v>
      </c>
      <c r="B557" s="15" t="s">
        <v>1140</v>
      </c>
      <c r="C557" s="16" t="s">
        <v>1151</v>
      </c>
      <c r="D557" s="17"/>
      <c r="E557" s="18">
        <v>556</v>
      </c>
      <c r="F557" s="15" t="s">
        <v>1141</v>
      </c>
      <c r="G557" s="17"/>
      <c r="H557" s="19"/>
      <c r="I557" s="19"/>
      <c r="J557" s="19"/>
      <c r="K557" t="str">
        <f t="shared" si="8"/>
        <v>1</v>
      </c>
    </row>
    <row r="558" spans="1:11" ht="33.75" thickBot="1">
      <c r="A558" s="14">
        <v>558</v>
      </c>
      <c r="B558" s="15" t="s">
        <v>1142</v>
      </c>
      <c r="C558" s="16" t="s">
        <v>1144</v>
      </c>
      <c r="D558" s="17"/>
      <c r="E558" s="18">
        <v>557</v>
      </c>
      <c r="F558" s="15" t="s">
        <v>1143</v>
      </c>
      <c r="G558" s="17"/>
      <c r="H558" s="19"/>
      <c r="I558" s="19"/>
      <c r="J558" s="19"/>
      <c r="K558" t="str">
        <f t="shared" si="8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Trade</vt:lpstr>
      <vt:lpstr>Holding Positions</vt:lpstr>
      <vt:lpstr>Intraday Positions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Bag</dc:creator>
  <cp:lastModifiedBy>Santosh Bag</cp:lastModifiedBy>
  <dcterms:created xsi:type="dcterms:W3CDTF">2019-01-10T01:37:15Z</dcterms:created>
  <dcterms:modified xsi:type="dcterms:W3CDTF">2019-01-15T15:24:50Z</dcterms:modified>
</cp:coreProperties>
</file>