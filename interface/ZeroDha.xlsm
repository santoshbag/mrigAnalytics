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Mrig Analytics\Development\mrigAnalytics\interface\"/>
    </mc:Choice>
  </mc:AlternateContent>
  <bookViews>
    <workbookView xWindow="0" yWindow="0" windowWidth="20490" windowHeight="7800" tabRatio="831" firstSheet="4" activeTab="4"/>
  </bookViews>
  <sheets>
    <sheet name="Trade" sheetId="1" r:id="rId1"/>
    <sheet name="Holding Positions" sheetId="4" r:id="rId2"/>
    <sheet name="Intraday Positions" sheetId="2" r:id="rId3"/>
    <sheet name="Market" sheetId="9" r:id="rId4"/>
    <sheet name="Punting -&gt;&gt;" sheetId="6" r:id="rId5"/>
    <sheet name="Option_Traders" sheetId="5" r:id="rId6"/>
    <sheet name="Option Wheel --&gt;" sheetId="13" r:id="rId7"/>
    <sheet name="Stock Fundamentals" sheetId="15" r:id="rId8"/>
    <sheet name="Option_Wheel Analysis" sheetId="10" r:id="rId9"/>
    <sheet name="Bull Put Spread -- &gt;" sheetId="17" r:id="rId10"/>
    <sheet name="BPS Analysis" sheetId="16" r:id="rId11"/>
    <sheet name="Margin Schedule" sheetId="18" r:id="rId12"/>
    <sheet name="Lots" sheetId="11" r:id="rId13"/>
    <sheet name="NIFTY_OC" sheetId="7" r:id="rId14"/>
    <sheet name="BANKNIFTY_OC" sheetId="8" r:id="rId15"/>
    <sheet name="Reference" sheetId="3" r:id="rId16"/>
    <sheet name="Option Analysis" sheetId="12" r:id="rId17"/>
  </sheets>
  <functionGroups builtInGroupCount="18"/>
  <definedNames>
    <definedName name="_xlnm._FilterDatabase" localSheetId="12" hidden="1">Lots!$A$1:$P$177</definedName>
    <definedName name="_xlnm._FilterDatabase" localSheetId="13" hidden="1">NIFTY_OC!$A$1:$L$306</definedName>
    <definedName name="_xlnm._FilterDatabase" localSheetId="16" hidden="1">'Option Analysis'!$B$1:$H$4001</definedName>
  </definedNames>
  <calcPr calcId="162913" calcOnSave="0"/>
  <extLst>
    <ext xmlns:x14="http://schemas.microsoft.com/office/spreadsheetml/2009/9/main" uri="{8193D73E-4604-4355-AFF4-8A2333D13BE4}">
      <x14:definedNames>
        <x14:definedName name="argcheck">
          <x14:argumentDescriptions count="1">
            <x14:argumentDescription index="0">Positional argument 1</x14:argumentDescription>
          </x14:argumentDescriptions>
        </x14:definedName>
        <x14:definedName name="bondAnalytics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mrigxl_Analytic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avg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ear_call_sprea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igmoneyzack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ond">
          <x14:argumentDescriptions count="2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</x14:argumentDescriptions>
        </x14:definedName>
        <x14:definedName name="mrigxl_bull_put_sprea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CapFloor">
          <x14:argumentDescriptions count="1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</x14:argumentDescriptions>
        </x14:definedName>
        <x14:definedName name="mrigxl_CapFloorVolatilitySurfa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ConstantVolatilityCurve">
          <x14:argumentDescriptions count="1">
            <x14:argumentDescription index="0">Positional argument 1</x14:argumentDescription>
          </x14:argumentDescriptions>
        </x14:definedName>
        <x14:definedName name="mrigxl_covered_call">
          <x14:argumentDescriptions count="1">
            <x14:argumentDescription index="0">Positional argument 1</x14:argumentDescription>
          </x14:argumentDescriptions>
        </x14:definedName>
        <x14:definedName name="mrigxl_db_crud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f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gol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nift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rate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FlatDividendYield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FlatForwardYieldCurv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FlatVolatility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getIndexOptionQuot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rigxl_getIndexQuote">
          <x14:argumentDescriptions count="1">
            <x14:argumentDescription index="0">Positional argument 1</x14:argumentDescription>
          </x14:argumentDescriptions>
        </x14:definedName>
        <x14:definedName name="mrigxl_getMFNAV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getMFNAV1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getStockDa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rigxl_getStockOptionQuot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rigxl_growthinco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IRR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Libor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max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ewhigh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ifty_sector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Option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quote">
          <x14:argumentDescriptions count="1">
            <x14:argumentDescription index="0">Positional argument 1</x14:argumentDescription>
          </x14:argumentDescriptions>
        </x14:definedName>
        <x14:definedName name="mrigxl_ratePlo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ector_return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mallcapgrowt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SpotZeroYieldCurv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stockquote">
          <x14:argumentDescriptions count="1">
            <x14:argumentDescription index="0">Positional argument 1</x14:argumentDescription>
          </x14:argumentDescriptions>
        </x14:definedName>
        <x14:definedName name="mrigxl_stored_strategies">
          <x14:argumentDescriptions count="1">
            <x14:argumentDescription index="0">Positional argument 1</x14:argumentDescription>
          </x14:argumentDescriptions>
        </x14:definedName>
        <x14:definedName name="mrigxl_Swap">
          <x14:argumentDescriptions count="1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</x14:argumentDescriptions>
        </x14:definedName>
        <x14:definedName name="mrigxl_taf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top_mf_holdin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volSurfac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zerodh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  <x14:definedName name="setPric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5" l="1"/>
  <c r="J4" i="9" l="1"/>
  <c r="J3" i="9"/>
  <c r="C8" i="9"/>
  <c r="C7" i="9"/>
  <c r="J8" i="9"/>
  <c r="I8" i="9"/>
  <c r="H8" i="9"/>
  <c r="G8" i="9"/>
  <c r="F8" i="9"/>
  <c r="E8" i="9"/>
  <c r="D8" i="9"/>
  <c r="J7" i="9"/>
  <c r="I7" i="9"/>
  <c r="H7" i="9"/>
  <c r="G7" i="9"/>
  <c r="F7" i="9"/>
  <c r="E7" i="9"/>
  <c r="D7" i="9"/>
  <c r="D4" i="9"/>
  <c r="I4" i="9"/>
  <c r="H4" i="9"/>
  <c r="G4" i="9"/>
  <c r="F4" i="9"/>
  <c r="E4" i="9"/>
  <c r="I3" i="9"/>
  <c r="H3" i="9"/>
  <c r="G3" i="9"/>
  <c r="F3" i="9"/>
  <c r="E3" i="9"/>
  <c r="D3" i="9"/>
  <c r="G5" i="5"/>
  <c r="H3" i="5"/>
  <c r="AB5" i="5" l="1"/>
  <c r="W5" i="5"/>
  <c r="R5" i="5"/>
  <c r="M5" i="5"/>
  <c r="C4" i="9"/>
  <c r="C3" i="9"/>
  <c r="AH59" i="16" l="1"/>
  <c r="AH58" i="16"/>
  <c r="AH57" i="16"/>
  <c r="AH56" i="16"/>
  <c r="AH55" i="16"/>
  <c r="AH54" i="16"/>
  <c r="AH53" i="16"/>
  <c r="AH52" i="16"/>
  <c r="AH51" i="16"/>
  <c r="AH50" i="16"/>
  <c r="AH49" i="16"/>
  <c r="AH48" i="16"/>
  <c r="AH47" i="16"/>
  <c r="AH46" i="16"/>
  <c r="AH45" i="16"/>
  <c r="AH44" i="16"/>
  <c r="AH43" i="16"/>
  <c r="AH42" i="16"/>
  <c r="AH41" i="16"/>
  <c r="AH40" i="16"/>
  <c r="AH39" i="16"/>
  <c r="AH38" i="16"/>
  <c r="AH37" i="16"/>
  <c r="AH36" i="16"/>
  <c r="AH35" i="16"/>
  <c r="AH34" i="16"/>
  <c r="AH33" i="16"/>
  <c r="AH32" i="16"/>
  <c r="AH31" i="16"/>
  <c r="AH30" i="16"/>
  <c r="AH29" i="16"/>
  <c r="AH28" i="16"/>
  <c r="AH27" i="16"/>
  <c r="AH26" i="16"/>
  <c r="AH25" i="16"/>
  <c r="AH24" i="16"/>
  <c r="AH23" i="16"/>
  <c r="AH22" i="16"/>
  <c r="AH21" i="16"/>
  <c r="AH20" i="16"/>
  <c r="AH19" i="16"/>
  <c r="AH18" i="16"/>
  <c r="AH17" i="16"/>
  <c r="AH16" i="16"/>
  <c r="AH15" i="16"/>
  <c r="AH14" i="16"/>
  <c r="AH13" i="16"/>
  <c r="AH12" i="16"/>
  <c r="AH11" i="16"/>
  <c r="AH10" i="16"/>
  <c r="AH9" i="16"/>
  <c r="AH8" i="16"/>
  <c r="AH7" i="16"/>
  <c r="AH6" i="16"/>
  <c r="AH5" i="16"/>
  <c r="AH4" i="16"/>
  <c r="AH3" i="16"/>
  <c r="AH2" i="16"/>
  <c r="H5" i="5" l="1"/>
  <c r="B14" i="16"/>
  <c r="A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2" i="18"/>
  <c r="AI59" i="16"/>
  <c r="AI58" i="16"/>
  <c r="AI57" i="16"/>
  <c r="AI56" i="16"/>
  <c r="AI55" i="16"/>
  <c r="AI54" i="16"/>
  <c r="AI53" i="16"/>
  <c r="AI52" i="16"/>
  <c r="AI51" i="16"/>
  <c r="AI50" i="16"/>
  <c r="AI49" i="16"/>
  <c r="AI48" i="16"/>
  <c r="AI47" i="16"/>
  <c r="AI46" i="16"/>
  <c r="AI45" i="16"/>
  <c r="AI44" i="16"/>
  <c r="AI43" i="16"/>
  <c r="AI42" i="16"/>
  <c r="AI41" i="16"/>
  <c r="AI40" i="16"/>
  <c r="AI39" i="16"/>
  <c r="AI38" i="16"/>
  <c r="AI37" i="16"/>
  <c r="AI36" i="16"/>
  <c r="AI35" i="16"/>
  <c r="AI34" i="16"/>
  <c r="AI33" i="16"/>
  <c r="AI32" i="16"/>
  <c r="AI31" i="16"/>
  <c r="AI30" i="16"/>
  <c r="AI29" i="16"/>
  <c r="AI28" i="16"/>
  <c r="AI27" i="16"/>
  <c r="AI26" i="16"/>
  <c r="AI25" i="16"/>
  <c r="AI24" i="16"/>
  <c r="AI23" i="16"/>
  <c r="AI22" i="16"/>
  <c r="AI21" i="16"/>
  <c r="AI20" i="16"/>
  <c r="AI19" i="16"/>
  <c r="AI18" i="16"/>
  <c r="AI17" i="16"/>
  <c r="AI16" i="16"/>
  <c r="AI15" i="16"/>
  <c r="AI14" i="16"/>
  <c r="AI13" i="16"/>
  <c r="AI12" i="16"/>
  <c r="F12" i="16" s="1"/>
  <c r="AI11" i="16"/>
  <c r="F11" i="16" s="1"/>
  <c r="AI10" i="16"/>
  <c r="F10" i="16" s="1"/>
  <c r="AI9" i="16"/>
  <c r="F9" i="16" s="1"/>
  <c r="AI8" i="16"/>
  <c r="F8" i="16" s="1"/>
  <c r="AI7" i="16"/>
  <c r="AI6" i="16"/>
  <c r="F6" i="16" s="1"/>
  <c r="AI5" i="16"/>
  <c r="F5" i="16" s="1"/>
  <c r="AI4" i="16"/>
  <c r="F4" i="16" s="1"/>
  <c r="AI3" i="16"/>
  <c r="F3" i="16" s="1"/>
  <c r="AI2" i="16"/>
  <c r="F2" i="16" s="1"/>
  <c r="T1" i="16"/>
  <c r="AZ5" i="10"/>
  <c r="AZ6" i="10" s="1"/>
  <c r="AZ7" i="10" s="1"/>
  <c r="AZ8" i="10" s="1"/>
  <c r="AZ9" i="10" s="1"/>
  <c r="AZ10" i="10" s="1"/>
  <c r="AZ11" i="10" s="1"/>
  <c r="AZ12" i="10" s="1"/>
  <c r="AZ13" i="10" s="1"/>
  <c r="AZ14" i="10" s="1"/>
  <c r="AZ15" i="10" s="1"/>
  <c r="AZ16" i="10" s="1"/>
  <c r="AZ17" i="10" s="1"/>
  <c r="AZ18" i="10" s="1"/>
  <c r="AZ19" i="10" s="1"/>
  <c r="AZ20" i="10" s="1"/>
  <c r="AZ21" i="10" s="1"/>
  <c r="AZ22" i="10" s="1"/>
  <c r="AZ23" i="10" s="1"/>
  <c r="AZ24" i="10" s="1"/>
  <c r="AZ25" i="10" s="1"/>
  <c r="AZ26" i="10" s="1"/>
  <c r="AZ27" i="10" s="1"/>
  <c r="AZ28" i="10" s="1"/>
  <c r="AZ29" i="10" s="1"/>
  <c r="AZ30" i="10" s="1"/>
  <c r="AZ31" i="10" s="1"/>
  <c r="AZ32" i="10" s="1"/>
  <c r="AZ33" i="10" s="1"/>
  <c r="AZ34" i="10" s="1"/>
  <c r="AZ35" i="10" s="1"/>
  <c r="AZ36" i="10" s="1"/>
  <c r="AZ37" i="10" s="1"/>
  <c r="AZ38" i="10" s="1"/>
  <c r="AZ39" i="10" s="1"/>
  <c r="AZ40" i="10" s="1"/>
  <c r="AZ41" i="10" s="1"/>
  <c r="AZ42" i="10" s="1"/>
  <c r="AZ43" i="10" s="1"/>
  <c r="AZ44" i="10" s="1"/>
  <c r="AZ45" i="10" s="1"/>
  <c r="AZ46" i="10" s="1"/>
  <c r="AZ47" i="10" s="1"/>
  <c r="AZ48" i="10" s="1"/>
  <c r="AZ49" i="10" s="1"/>
  <c r="AZ50" i="10" s="1"/>
  <c r="AZ51" i="10" s="1"/>
  <c r="AZ52" i="10" s="1"/>
  <c r="AZ4" i="10"/>
  <c r="AZ3" i="10"/>
  <c r="AB2" i="5"/>
  <c r="W2" i="5"/>
  <c r="R2" i="5"/>
  <c r="M2" i="5"/>
  <c r="W4" i="5"/>
  <c r="R4" i="5"/>
  <c r="M4" i="5"/>
  <c r="H4" i="5"/>
  <c r="AB21" i="5"/>
  <c r="AB23" i="5"/>
  <c r="AB22" i="5"/>
  <c r="AB24" i="5"/>
  <c r="W21" i="5"/>
  <c r="W23" i="5"/>
  <c r="W22" i="5"/>
  <c r="M25" i="5"/>
  <c r="H25" i="5"/>
  <c r="H22" i="5"/>
  <c r="H21" i="5"/>
  <c r="H23" i="5"/>
  <c r="H24" i="5"/>
  <c r="F7" i="16" l="1"/>
  <c r="E2" i="16"/>
  <c r="U1" i="16"/>
  <c r="M23" i="5"/>
  <c r="M21" i="5"/>
  <c r="M24" i="5"/>
  <c r="M22" i="5"/>
  <c r="J2" i="16" l="1"/>
  <c r="K2" i="16"/>
  <c r="G2" i="16"/>
  <c r="E3" i="16"/>
  <c r="E4" i="16" s="1"/>
  <c r="E5" i="16" s="1"/>
  <c r="E6" i="16" s="1"/>
  <c r="E7" i="16" s="1"/>
  <c r="E8" i="16" s="1"/>
  <c r="E9" i="16" s="1"/>
  <c r="E10" i="16" s="1"/>
  <c r="E11" i="16" s="1"/>
  <c r="E12" i="16" s="1"/>
  <c r="E13" i="16" s="1"/>
  <c r="E14" i="16" s="1"/>
  <c r="E15" i="16" s="1"/>
  <c r="E16" i="16" s="1"/>
  <c r="E17" i="16" s="1"/>
  <c r="E18" i="16" s="1"/>
  <c r="E19" i="16" s="1"/>
  <c r="E20" i="16" s="1"/>
  <c r="E21" i="16" s="1"/>
  <c r="E22" i="16" s="1"/>
  <c r="E23" i="16" s="1"/>
  <c r="E24" i="16" s="1"/>
  <c r="E25" i="16" s="1"/>
  <c r="E26" i="16" s="1"/>
  <c r="E27" i="16" s="1"/>
  <c r="E28" i="16" s="1"/>
  <c r="E29" i="16" s="1"/>
  <c r="E30" i="16" s="1"/>
  <c r="E31" i="16" s="1"/>
  <c r="E32" i="16" s="1"/>
  <c r="E33" i="16" s="1"/>
  <c r="E34" i="16" s="1"/>
  <c r="E35" i="16" s="1"/>
  <c r="E36" i="16" s="1"/>
  <c r="E37" i="16" s="1"/>
  <c r="E38" i="16" s="1"/>
  <c r="E39" i="16" s="1"/>
  <c r="E40" i="16" s="1"/>
  <c r="E41" i="16" s="1"/>
  <c r="E42" i="16" s="1"/>
  <c r="E43" i="16" s="1"/>
  <c r="E44" i="16" s="1"/>
  <c r="E45" i="16" s="1"/>
  <c r="E46" i="16" s="1"/>
  <c r="E47" i="16" s="1"/>
  <c r="E48" i="16" s="1"/>
  <c r="E49" i="16" s="1"/>
  <c r="E50" i="16" s="1"/>
  <c r="E51" i="16" s="1"/>
  <c r="E52" i="16" s="1"/>
  <c r="E53" i="16" s="1"/>
  <c r="E54" i="16" s="1"/>
  <c r="E55" i="16" s="1"/>
  <c r="E56" i="16" s="1"/>
  <c r="E57" i="16" s="1"/>
  <c r="E58" i="16" s="1"/>
  <c r="E59" i="16" s="1"/>
  <c r="V1" i="16"/>
  <c r="R3" i="5"/>
  <c r="K7" i="5"/>
  <c r="F11" i="5"/>
  <c r="R23" i="5"/>
  <c r="R24" i="5"/>
  <c r="R21" i="5"/>
  <c r="R22" i="5"/>
  <c r="H2" i="16" l="1"/>
  <c r="I2" i="16" s="1"/>
  <c r="N2" i="16"/>
  <c r="P2" i="16" s="1"/>
  <c r="J3" i="16"/>
  <c r="K3" i="16"/>
  <c r="W1" i="16"/>
  <c r="G3" i="16"/>
  <c r="H3" i="16" s="1"/>
  <c r="L2" i="16"/>
  <c r="M2" i="16" s="1"/>
  <c r="W3" i="5"/>
  <c r="V7" i="10"/>
  <c r="V6" i="10"/>
  <c r="N7" i="10"/>
  <c r="W7" i="10" s="1"/>
  <c r="J4" i="16"/>
  <c r="K4" i="16"/>
  <c r="X1" i="16"/>
  <c r="G4" i="16"/>
  <c r="X7" i="10"/>
  <c r="U7" i="10"/>
  <c r="D7" i="10"/>
  <c r="D6" i="10"/>
  <c r="W24" i="5"/>
  <c r="O2" i="16" l="1"/>
  <c r="P6" i="10"/>
  <c r="J7" i="10"/>
  <c r="K7" i="10"/>
  <c r="I7" i="10"/>
  <c r="P7" i="10"/>
  <c r="L7" i="10"/>
  <c r="Q2" i="16"/>
  <c r="V2" i="16"/>
  <c r="L3" i="16"/>
  <c r="M3" i="16" s="1"/>
  <c r="H4" i="16"/>
  <c r="I4" i="16" s="1"/>
  <c r="J5" i="16"/>
  <c r="K5" i="16"/>
  <c r="S2" i="16"/>
  <c r="Q3" i="16"/>
  <c r="U2" i="16"/>
  <c r="Y1" i="16"/>
  <c r="X2" i="16"/>
  <c r="U3" i="16"/>
  <c r="O3" i="16"/>
  <c r="T2" i="16"/>
  <c r="W2" i="16"/>
  <c r="I3" i="16"/>
  <c r="G5" i="16"/>
  <c r="L4" i="16"/>
  <c r="M4" i="16" s="1"/>
  <c r="N6" i="10"/>
  <c r="V5" i="10"/>
  <c r="N5" i="10"/>
  <c r="W5" i="10" s="1"/>
  <c r="V3" i="10"/>
  <c r="V4" i="10"/>
  <c r="N4" i="10"/>
  <c r="W4" i="10" s="1"/>
  <c r="N3" i="10"/>
  <c r="W3" i="10" s="1"/>
  <c r="V2" i="10"/>
  <c r="N2" i="10"/>
  <c r="W2" i="10" s="1"/>
  <c r="D4" i="10"/>
  <c r="D2" i="10"/>
  <c r="D3" i="10"/>
  <c r="D5" i="10"/>
  <c r="H5" i="16" l="1"/>
  <c r="I5" i="16" s="1"/>
  <c r="J6" i="16"/>
  <c r="K6" i="16"/>
  <c r="Y3" i="16"/>
  <c r="T3" i="16"/>
  <c r="G6" i="16"/>
  <c r="W3" i="16"/>
  <c r="Z1" i="16"/>
  <c r="Y2" i="16"/>
  <c r="V3" i="16"/>
  <c r="V4" i="16"/>
  <c r="O4" i="16"/>
  <c r="L5" i="16"/>
  <c r="M5" i="16" s="1"/>
  <c r="S3" i="16"/>
  <c r="X3" i="16"/>
  <c r="Q4" i="16"/>
  <c r="P4" i="10"/>
  <c r="P3" i="10"/>
  <c r="P5" i="10"/>
  <c r="P2" i="10"/>
  <c r="I2" i="10"/>
  <c r="L2" i="10"/>
  <c r="K2" i="10"/>
  <c r="J2" i="10"/>
  <c r="W6" i="10"/>
  <c r="U6" i="10"/>
  <c r="J6" i="10"/>
  <c r="L6" i="10"/>
  <c r="I6" i="10"/>
  <c r="K6" i="10"/>
  <c r="X6" i="10"/>
  <c r="J5" i="10"/>
  <c r="L5" i="10"/>
  <c r="I5" i="10"/>
  <c r="K5" i="10"/>
  <c r="X5" i="10"/>
  <c r="U5" i="10"/>
  <c r="J4" i="10"/>
  <c r="I4" i="10"/>
  <c r="L4" i="10"/>
  <c r="K4" i="10"/>
  <c r="U4" i="10"/>
  <c r="X4" i="10"/>
  <c r="L3" i="10"/>
  <c r="K3" i="10"/>
  <c r="J3" i="10"/>
  <c r="I3" i="10"/>
  <c r="X3" i="10"/>
  <c r="U3" i="10"/>
  <c r="X2" i="10"/>
  <c r="U2" i="10"/>
  <c r="K26" i="5"/>
  <c r="F26" i="5"/>
  <c r="K25" i="5"/>
  <c r="F25" i="5"/>
  <c r="K23" i="5"/>
  <c r="F23" i="5"/>
  <c r="K19" i="5"/>
  <c r="F19" i="5"/>
  <c r="K17" i="5"/>
  <c r="F17" i="5"/>
  <c r="K15" i="5"/>
  <c r="F15" i="5"/>
  <c r="K13" i="5"/>
  <c r="F13" i="5"/>
  <c r="K11" i="5"/>
  <c r="K10" i="5"/>
  <c r="K31" i="5" s="1"/>
  <c r="F10" i="5"/>
  <c r="F27" i="5" s="1"/>
  <c r="F7" i="5"/>
  <c r="H6" i="16" l="1"/>
  <c r="I6" i="16" s="1"/>
  <c r="J7" i="16"/>
  <c r="K7" i="16"/>
  <c r="Q5" i="16"/>
  <c r="X4" i="16"/>
  <c r="U4" i="16"/>
  <c r="W4" i="16"/>
  <c r="Y4" i="16"/>
  <c r="T4" i="16"/>
  <c r="S4" i="16"/>
  <c r="Z4" i="16"/>
  <c r="G7" i="16"/>
  <c r="Z5" i="16"/>
  <c r="O5" i="16"/>
  <c r="AA1" i="16"/>
  <c r="Z2" i="16"/>
  <c r="Z3" i="16"/>
  <c r="L6" i="16"/>
  <c r="M6" i="16" s="1"/>
  <c r="F28" i="5"/>
  <c r="F30" i="5"/>
  <c r="K27" i="5"/>
  <c r="K28" i="5" s="1"/>
  <c r="K30" i="5"/>
  <c r="F29" i="5"/>
  <c r="F31" i="5"/>
  <c r="K29" i="5"/>
  <c r="H7" i="16" l="1"/>
  <c r="I7" i="16" s="1"/>
  <c r="J8" i="16"/>
  <c r="K8" i="16"/>
  <c r="S5" i="16"/>
  <c r="X5" i="16"/>
  <c r="W5" i="16"/>
  <c r="T5" i="16"/>
  <c r="Y5" i="16"/>
  <c r="AB1" i="16"/>
  <c r="AA2" i="16"/>
  <c r="AA3" i="16"/>
  <c r="AA4" i="16"/>
  <c r="AA5" i="16"/>
  <c r="L7" i="16"/>
  <c r="M7" i="16" s="1"/>
  <c r="V5" i="16"/>
  <c r="G8" i="16"/>
  <c r="W6" i="16"/>
  <c r="O6" i="16"/>
  <c r="U5" i="16"/>
  <c r="Q6" i="16"/>
  <c r="H27" i="5"/>
  <c r="H6" i="5" s="1"/>
  <c r="H7" i="5" s="1"/>
  <c r="M27" i="5"/>
  <c r="M17" i="5" s="1"/>
  <c r="M18" i="5" s="1"/>
  <c r="M19" i="5"/>
  <c r="M20" i="5" s="1"/>
  <c r="H8" i="16" l="1"/>
  <c r="J9" i="16"/>
  <c r="K9" i="16"/>
  <c r="Y6" i="16"/>
  <c r="X6" i="16"/>
  <c r="AA6" i="16"/>
  <c r="AB6" i="16"/>
  <c r="V6" i="16"/>
  <c r="G9" i="16"/>
  <c r="S6" i="16"/>
  <c r="U6" i="16"/>
  <c r="Z6" i="16"/>
  <c r="AC1" i="16"/>
  <c r="AD1" i="16" s="1"/>
  <c r="AB2" i="16"/>
  <c r="AB3" i="16"/>
  <c r="AB4" i="16"/>
  <c r="AB5" i="16"/>
  <c r="AC7" i="16"/>
  <c r="O7" i="16"/>
  <c r="T6" i="16"/>
  <c r="I8" i="16"/>
  <c r="L8" i="16"/>
  <c r="M8" i="16" s="1"/>
  <c r="Q7" i="16"/>
  <c r="M13" i="5"/>
  <c r="M14" i="5" s="1"/>
  <c r="M15" i="5"/>
  <c r="M16" i="5" s="1"/>
  <c r="M11" i="5"/>
  <c r="M6" i="5"/>
  <c r="M7" i="5" s="1"/>
  <c r="M12" i="5"/>
  <c r="H19" i="5"/>
  <c r="H20" i="5" s="1"/>
  <c r="H13" i="5"/>
  <c r="H14" i="5" s="1"/>
  <c r="H12" i="5"/>
  <c r="H11" i="5"/>
  <c r="H15" i="5"/>
  <c r="H16" i="5" s="1"/>
  <c r="H17" i="5"/>
  <c r="H18" i="5" s="1"/>
  <c r="Z26" i="5"/>
  <c r="U26" i="5"/>
  <c r="P26" i="5"/>
  <c r="AE1" i="16" l="1"/>
  <c r="AD2" i="16"/>
  <c r="AD3" i="16"/>
  <c r="AD4" i="16"/>
  <c r="AD5" i="16"/>
  <c r="AD6" i="16"/>
  <c r="H9" i="16"/>
  <c r="I9" i="16" s="1"/>
  <c r="J10" i="16"/>
  <c r="K10" i="16"/>
  <c r="Q8" i="16"/>
  <c r="AD7" i="16"/>
  <c r="AE7" i="16"/>
  <c r="AA7" i="16"/>
  <c r="W7" i="16"/>
  <c r="Z7" i="16"/>
  <c r="U7" i="16"/>
  <c r="V7" i="16"/>
  <c r="T7" i="16"/>
  <c r="Y7" i="16"/>
  <c r="S7" i="16"/>
  <c r="X7" i="16"/>
  <c r="L9" i="16"/>
  <c r="M9" i="16" s="1"/>
  <c r="O8" i="16"/>
  <c r="AB8" i="16"/>
  <c r="AB7" i="16"/>
  <c r="G10" i="16"/>
  <c r="AC2" i="16"/>
  <c r="AC3" i="16"/>
  <c r="AC4" i="16"/>
  <c r="AC5" i="16"/>
  <c r="AC6" i="16"/>
  <c r="N34" i="10"/>
  <c r="N33" i="10"/>
  <c r="N32" i="10"/>
  <c r="W32" i="10" s="1"/>
  <c r="N31" i="10"/>
  <c r="W31" i="10" s="1"/>
  <c r="N30" i="10"/>
  <c r="N29" i="10"/>
  <c r="X29" i="10" s="1"/>
  <c r="N28" i="10"/>
  <c r="U28" i="10" s="1"/>
  <c r="N27" i="10"/>
  <c r="W27" i="10" s="1"/>
  <c r="N26" i="10"/>
  <c r="N25" i="10"/>
  <c r="N24" i="10"/>
  <c r="X24" i="10" s="1"/>
  <c r="N23" i="10"/>
  <c r="U23" i="10" s="1"/>
  <c r="N22" i="10"/>
  <c r="N21" i="10"/>
  <c r="W21" i="10" s="1"/>
  <c r="N20" i="10"/>
  <c r="W20" i="10" s="1"/>
  <c r="N19" i="10"/>
  <c r="W19" i="10" s="1"/>
  <c r="N18" i="10"/>
  <c r="X18" i="10" s="1"/>
  <c r="N17" i="10"/>
  <c r="X17" i="10" s="1"/>
  <c r="N36" i="10"/>
  <c r="X36" i="10" s="1"/>
  <c r="U35" i="10"/>
  <c r="W34" i="10"/>
  <c r="U25" i="10"/>
  <c r="W24" i="10"/>
  <c r="W30" i="10"/>
  <c r="W26" i="10"/>
  <c r="W22" i="10"/>
  <c r="W58" i="10"/>
  <c r="W57" i="10"/>
  <c r="W56" i="10"/>
  <c r="W55" i="10"/>
  <c r="W54" i="10"/>
  <c r="W53" i="10"/>
  <c r="W52" i="10"/>
  <c r="W51" i="10"/>
  <c r="W50" i="10"/>
  <c r="W49" i="10"/>
  <c r="W48" i="10"/>
  <c r="W47" i="10"/>
  <c r="W46" i="10"/>
  <c r="W45" i="10"/>
  <c r="W44" i="10"/>
  <c r="W43" i="10"/>
  <c r="W42" i="10"/>
  <c r="W41" i="10"/>
  <c r="W40" i="10"/>
  <c r="W39" i="10"/>
  <c r="W38" i="10"/>
  <c r="W35" i="10"/>
  <c r="X58" i="10"/>
  <c r="V58" i="10"/>
  <c r="U58" i="10"/>
  <c r="L58" i="10"/>
  <c r="K58" i="10"/>
  <c r="J58" i="10"/>
  <c r="I58" i="10"/>
  <c r="X57" i="10"/>
  <c r="V57" i="10"/>
  <c r="U57" i="10"/>
  <c r="L57" i="10"/>
  <c r="K57" i="10"/>
  <c r="J57" i="10"/>
  <c r="I57" i="10"/>
  <c r="X56" i="10"/>
  <c r="V56" i="10"/>
  <c r="U56" i="10"/>
  <c r="L56" i="10"/>
  <c r="K56" i="10"/>
  <c r="J56" i="10"/>
  <c r="I56" i="10"/>
  <c r="X55" i="10"/>
  <c r="V55" i="10"/>
  <c r="U55" i="10"/>
  <c r="L55" i="10"/>
  <c r="K55" i="10"/>
  <c r="J55" i="10"/>
  <c r="I55" i="10"/>
  <c r="X54" i="10"/>
  <c r="V54" i="10"/>
  <c r="U54" i="10"/>
  <c r="L54" i="10"/>
  <c r="K54" i="10"/>
  <c r="J54" i="10"/>
  <c r="I54" i="10"/>
  <c r="X53" i="10"/>
  <c r="V53" i="10"/>
  <c r="U53" i="10"/>
  <c r="L53" i="10"/>
  <c r="K53" i="10"/>
  <c r="J53" i="10"/>
  <c r="I53" i="10"/>
  <c r="X52" i="10"/>
  <c r="V52" i="10"/>
  <c r="U52" i="10"/>
  <c r="L52" i="10"/>
  <c r="K52" i="10"/>
  <c r="J52" i="10"/>
  <c r="I52" i="10"/>
  <c r="X51" i="10"/>
  <c r="V51" i="10"/>
  <c r="U51" i="10"/>
  <c r="L51" i="10"/>
  <c r="K51" i="10"/>
  <c r="J51" i="10"/>
  <c r="I51" i="10"/>
  <c r="X50" i="10"/>
  <c r="V50" i="10"/>
  <c r="U50" i="10"/>
  <c r="L50" i="10"/>
  <c r="K50" i="10"/>
  <c r="J50" i="10"/>
  <c r="I50" i="10"/>
  <c r="X49" i="10"/>
  <c r="V49" i="10"/>
  <c r="U49" i="10"/>
  <c r="L49" i="10"/>
  <c r="K49" i="10"/>
  <c r="J49" i="10"/>
  <c r="I49" i="10"/>
  <c r="X48" i="10"/>
  <c r="V48" i="10"/>
  <c r="U48" i="10"/>
  <c r="L48" i="10"/>
  <c r="K48" i="10"/>
  <c r="J48" i="10"/>
  <c r="I48" i="10"/>
  <c r="X47" i="10"/>
  <c r="V47" i="10"/>
  <c r="U47" i="10"/>
  <c r="L47" i="10"/>
  <c r="K47" i="10"/>
  <c r="J47" i="10"/>
  <c r="I47" i="10"/>
  <c r="X46" i="10"/>
  <c r="V46" i="10"/>
  <c r="U46" i="10"/>
  <c r="L46" i="10"/>
  <c r="K46" i="10"/>
  <c r="J46" i="10"/>
  <c r="I46" i="10"/>
  <c r="X45" i="10"/>
  <c r="V45" i="10"/>
  <c r="U45" i="10"/>
  <c r="L45" i="10"/>
  <c r="K45" i="10"/>
  <c r="J45" i="10"/>
  <c r="I45" i="10"/>
  <c r="X44" i="10"/>
  <c r="V44" i="10"/>
  <c r="U44" i="10"/>
  <c r="L44" i="10"/>
  <c r="K44" i="10"/>
  <c r="J44" i="10"/>
  <c r="I44" i="10"/>
  <c r="X43" i="10"/>
  <c r="V43" i="10"/>
  <c r="U43" i="10"/>
  <c r="L43" i="10"/>
  <c r="K43" i="10"/>
  <c r="J43" i="10"/>
  <c r="I43" i="10"/>
  <c r="X42" i="10"/>
  <c r="V42" i="10"/>
  <c r="U42" i="10"/>
  <c r="L42" i="10"/>
  <c r="K42" i="10"/>
  <c r="J42" i="10"/>
  <c r="I42" i="10"/>
  <c r="X41" i="10"/>
  <c r="V41" i="10"/>
  <c r="U41" i="10"/>
  <c r="L41" i="10"/>
  <c r="K41" i="10"/>
  <c r="J41" i="10"/>
  <c r="I41" i="10"/>
  <c r="X40" i="10"/>
  <c r="V40" i="10"/>
  <c r="U40" i="10"/>
  <c r="L40" i="10"/>
  <c r="K40" i="10"/>
  <c r="J40" i="10"/>
  <c r="I40" i="10"/>
  <c r="X39" i="10"/>
  <c r="V39" i="10"/>
  <c r="U39" i="10"/>
  <c r="V18" i="10"/>
  <c r="V19" i="10"/>
  <c r="V20" i="10"/>
  <c r="V21" i="10"/>
  <c r="V22" i="10"/>
  <c r="V23" i="10"/>
  <c r="V24" i="10"/>
  <c r="V25" i="10"/>
  <c r="V26" i="10"/>
  <c r="V27" i="10"/>
  <c r="V28" i="10"/>
  <c r="V29" i="10"/>
  <c r="V30" i="10"/>
  <c r="V31" i="10"/>
  <c r="V32" i="10"/>
  <c r="V33" i="10"/>
  <c r="V34" i="10"/>
  <c r="V35" i="10"/>
  <c r="V36" i="10"/>
  <c r="V17" i="10"/>
  <c r="X35" i="10"/>
  <c r="A1" i="10"/>
  <c r="S37" i="10"/>
  <c r="M3" i="7"/>
  <c r="M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2" i="7"/>
  <c r="S107" i="7"/>
  <c r="R45" i="7"/>
  <c r="Q102" i="7"/>
  <c r="P52" i="7"/>
  <c r="O8" i="7"/>
  <c r="N6" i="7"/>
  <c r="D17" i="10"/>
  <c r="D39" i="10"/>
  <c r="AF1" i="16" l="1"/>
  <c r="AE2" i="16"/>
  <c r="AE3" i="16"/>
  <c r="AE4" i="16"/>
  <c r="AE5" i="16"/>
  <c r="AE6" i="16"/>
  <c r="J11" i="16"/>
  <c r="K11" i="16"/>
  <c r="AD8" i="16"/>
  <c r="AE8" i="16"/>
  <c r="AF8" i="16"/>
  <c r="V8" i="16"/>
  <c r="Z8" i="16"/>
  <c r="G11" i="16"/>
  <c r="L10" i="16"/>
  <c r="M10" i="16" s="1"/>
  <c r="S8" i="16"/>
  <c r="T8" i="16"/>
  <c r="O9" i="16"/>
  <c r="Z9" i="16"/>
  <c r="Y8" i="16"/>
  <c r="W8" i="16"/>
  <c r="X8" i="16"/>
  <c r="H10" i="16"/>
  <c r="U8" i="16"/>
  <c r="AC8" i="16"/>
  <c r="AA8" i="16"/>
  <c r="Q9" i="16"/>
  <c r="Z7" i="10"/>
  <c r="Y7" i="10"/>
  <c r="AA7" i="10" s="1"/>
  <c r="Z6" i="10"/>
  <c r="Y6" i="10"/>
  <c r="AA6" i="10" s="1"/>
  <c r="Z5" i="10"/>
  <c r="Y5" i="10"/>
  <c r="AA5" i="10" s="1"/>
  <c r="Z4" i="10"/>
  <c r="Y4" i="10"/>
  <c r="AA4" i="10" s="1"/>
  <c r="Z3" i="10"/>
  <c r="Y3" i="10"/>
  <c r="AA3" i="10" s="1"/>
  <c r="Z2" i="10"/>
  <c r="Y2" i="10"/>
  <c r="AA2" i="10" s="1"/>
  <c r="U32" i="10"/>
  <c r="U24" i="10"/>
  <c r="X20" i="10"/>
  <c r="X27" i="10"/>
  <c r="U36" i="10"/>
  <c r="W28" i="10"/>
  <c r="P30" i="7"/>
  <c r="Q9" i="7"/>
  <c r="P38" i="7"/>
  <c r="Q88" i="7"/>
  <c r="Q7" i="7"/>
  <c r="Q64" i="7"/>
  <c r="Q3" i="7"/>
  <c r="P14" i="7"/>
  <c r="P46" i="7"/>
  <c r="Q96" i="7"/>
  <c r="Q5" i="7"/>
  <c r="P22" i="7"/>
  <c r="Q56" i="7"/>
  <c r="S2" i="7"/>
  <c r="S8" i="7"/>
  <c r="P16" i="7"/>
  <c r="P32" i="7"/>
  <c r="P40" i="7"/>
  <c r="O2" i="7"/>
  <c r="O4" i="7"/>
  <c r="O6" i="7"/>
  <c r="P10" i="7"/>
  <c r="P18" i="7"/>
  <c r="P26" i="7"/>
  <c r="P34" i="7"/>
  <c r="P42" i="7"/>
  <c r="P50" i="7"/>
  <c r="Q72" i="7"/>
  <c r="Q104" i="7"/>
  <c r="S4" i="7"/>
  <c r="S6" i="7"/>
  <c r="P24" i="7"/>
  <c r="P48" i="7"/>
  <c r="P2" i="7"/>
  <c r="P4" i="7"/>
  <c r="P6" i="7"/>
  <c r="P8" i="7"/>
  <c r="P12" i="7"/>
  <c r="P20" i="7"/>
  <c r="P28" i="7"/>
  <c r="P36" i="7"/>
  <c r="P44" i="7"/>
  <c r="Q80" i="7"/>
  <c r="N305" i="7"/>
  <c r="N303" i="7"/>
  <c r="N301" i="7"/>
  <c r="N299" i="7"/>
  <c r="N297" i="7"/>
  <c r="N295" i="7"/>
  <c r="N293" i="7"/>
  <c r="N291" i="7"/>
  <c r="N289" i="7"/>
  <c r="N287" i="7"/>
  <c r="N285" i="7"/>
  <c r="N283" i="7"/>
  <c r="N281" i="7"/>
  <c r="N279" i="7"/>
  <c r="N277" i="7"/>
  <c r="N275" i="7"/>
  <c r="N273" i="7"/>
  <c r="N271" i="7"/>
  <c r="N269" i="7"/>
  <c r="N267" i="7"/>
  <c r="N265" i="7"/>
  <c r="N263" i="7"/>
  <c r="N262" i="7"/>
  <c r="N255" i="7"/>
  <c r="N254" i="7"/>
  <c r="N306" i="7"/>
  <c r="N298" i="7"/>
  <c r="N296" i="7"/>
  <c r="N282" i="7"/>
  <c r="N280" i="7"/>
  <c r="N266" i="7"/>
  <c r="N264" i="7"/>
  <c r="N260" i="7"/>
  <c r="N259" i="7"/>
  <c r="N253" i="7"/>
  <c r="N248" i="7"/>
  <c r="N247" i="7"/>
  <c r="N240" i="7"/>
  <c r="N239" i="7"/>
  <c r="N232" i="7"/>
  <c r="N231" i="7"/>
  <c r="N294" i="7"/>
  <c r="N292" i="7"/>
  <c r="N278" i="7"/>
  <c r="N276" i="7"/>
  <c r="N261" i="7"/>
  <c r="N246" i="7"/>
  <c r="N245" i="7"/>
  <c r="N238" i="7"/>
  <c r="N237" i="7"/>
  <c r="N230" i="7"/>
  <c r="N229" i="7"/>
  <c r="N224" i="7"/>
  <c r="N222" i="7"/>
  <c r="N220" i="7"/>
  <c r="N218" i="7"/>
  <c r="N216" i="7"/>
  <c r="N302" i="7"/>
  <c r="N300" i="7"/>
  <c r="N286" i="7"/>
  <c r="N284" i="7"/>
  <c r="N270" i="7"/>
  <c r="N268" i="7"/>
  <c r="N258" i="7"/>
  <c r="N257" i="7"/>
  <c r="N252" i="7"/>
  <c r="N251" i="7"/>
  <c r="N250" i="7"/>
  <c r="N249" i="7"/>
  <c r="N242" i="7"/>
  <c r="N241" i="7"/>
  <c r="N234" i="7"/>
  <c r="N233" i="7"/>
  <c r="N226" i="7"/>
  <c r="N225" i="7"/>
  <c r="N223" i="7"/>
  <c r="N221" i="7"/>
  <c r="N219" i="7"/>
  <c r="N217" i="7"/>
  <c r="N215" i="7"/>
  <c r="N213" i="7"/>
  <c r="N211" i="7"/>
  <c r="N235" i="7"/>
  <c r="N228" i="7"/>
  <c r="N212" i="7"/>
  <c r="N209" i="7"/>
  <c r="N208" i="7"/>
  <c r="N204" i="7"/>
  <c r="N202" i="7"/>
  <c r="N200" i="7"/>
  <c r="N198" i="7"/>
  <c r="N196" i="7"/>
  <c r="N194" i="7"/>
  <c r="N192" i="7"/>
  <c r="N190" i="7"/>
  <c r="N188" i="7"/>
  <c r="N186" i="7"/>
  <c r="N184" i="7"/>
  <c r="N182" i="7"/>
  <c r="N180" i="7"/>
  <c r="N178" i="7"/>
  <c r="N176" i="7"/>
  <c r="N174" i="7"/>
  <c r="N172" i="7"/>
  <c r="N170" i="7"/>
  <c r="N168" i="7"/>
  <c r="N166" i="7"/>
  <c r="N304" i="7"/>
  <c r="N290" i="7"/>
  <c r="N227" i="7"/>
  <c r="N207" i="7"/>
  <c r="N206" i="7"/>
  <c r="N288" i="7"/>
  <c r="N274" i="7"/>
  <c r="N256" i="7"/>
  <c r="N244" i="7"/>
  <c r="N214" i="7"/>
  <c r="N205" i="7"/>
  <c r="N203" i="7"/>
  <c r="N201" i="7"/>
  <c r="N199" i="7"/>
  <c r="N197" i="7"/>
  <c r="N195" i="7"/>
  <c r="N193" i="7"/>
  <c r="N191" i="7"/>
  <c r="N189" i="7"/>
  <c r="N187" i="7"/>
  <c r="N185" i="7"/>
  <c r="N183" i="7"/>
  <c r="N181" i="7"/>
  <c r="N179" i="7"/>
  <c r="N177" i="7"/>
  <c r="N175" i="7"/>
  <c r="N173" i="7"/>
  <c r="N171" i="7"/>
  <c r="N169" i="7"/>
  <c r="N272" i="7"/>
  <c r="N243" i="7"/>
  <c r="N236" i="7"/>
  <c r="N210" i="7"/>
  <c r="N163" i="7"/>
  <c r="N161" i="7"/>
  <c r="N159" i="7"/>
  <c r="N157" i="7"/>
  <c r="N155" i="7"/>
  <c r="N153" i="7"/>
  <c r="N151" i="7"/>
  <c r="N149" i="7"/>
  <c r="N147" i="7"/>
  <c r="N145" i="7"/>
  <c r="N143" i="7"/>
  <c r="N141" i="7"/>
  <c r="N139" i="7"/>
  <c r="N137" i="7"/>
  <c r="N135" i="7"/>
  <c r="N133" i="7"/>
  <c r="N131" i="7"/>
  <c r="N129" i="7"/>
  <c r="N127" i="7"/>
  <c r="N125" i="7"/>
  <c r="N123" i="7"/>
  <c r="N121" i="7"/>
  <c r="N119" i="7"/>
  <c r="N117" i="7"/>
  <c r="N115" i="7"/>
  <c r="N113" i="7"/>
  <c r="N111" i="7"/>
  <c r="N109" i="7"/>
  <c r="N107" i="7"/>
  <c r="N105" i="7"/>
  <c r="N103" i="7"/>
  <c r="N101" i="7"/>
  <c r="N99" i="7"/>
  <c r="N97" i="7"/>
  <c r="N95" i="7"/>
  <c r="N93" i="7"/>
  <c r="N91" i="7"/>
  <c r="N89" i="7"/>
  <c r="N87" i="7"/>
  <c r="N85" i="7"/>
  <c r="N83" i="7"/>
  <c r="N81" i="7"/>
  <c r="N79" i="7"/>
  <c r="N77" i="7"/>
  <c r="N75" i="7"/>
  <c r="N73" i="7"/>
  <c r="N71" i="7"/>
  <c r="N69" i="7"/>
  <c r="N67" i="7"/>
  <c r="N65" i="7"/>
  <c r="N63" i="7"/>
  <c r="N61" i="7"/>
  <c r="N59" i="7"/>
  <c r="N57" i="7"/>
  <c r="N55" i="7"/>
  <c r="N53" i="7"/>
  <c r="N167" i="7"/>
  <c r="N165" i="7"/>
  <c r="N164" i="7"/>
  <c r="N162" i="7"/>
  <c r="N160" i="7"/>
  <c r="N158" i="7"/>
  <c r="N156" i="7"/>
  <c r="N154" i="7"/>
  <c r="N152" i="7"/>
  <c r="N150" i="7"/>
  <c r="N148" i="7"/>
  <c r="N146" i="7"/>
  <c r="N144" i="7"/>
  <c r="N142" i="7"/>
  <c r="N140" i="7"/>
  <c r="N138" i="7"/>
  <c r="N136" i="7"/>
  <c r="N134" i="7"/>
  <c r="N132" i="7"/>
  <c r="N130" i="7"/>
  <c r="N128" i="7"/>
  <c r="N126" i="7"/>
  <c r="N124" i="7"/>
  <c r="N122" i="7"/>
  <c r="N120" i="7"/>
  <c r="N118" i="7"/>
  <c r="N116" i="7"/>
  <c r="N114" i="7"/>
  <c r="N112" i="7"/>
  <c r="N110" i="7"/>
  <c r="N108" i="7"/>
  <c r="N106" i="7"/>
  <c r="N104" i="7"/>
  <c r="N102" i="7"/>
  <c r="N100" i="7"/>
  <c r="N98" i="7"/>
  <c r="N96" i="7"/>
  <c r="N94" i="7"/>
  <c r="N92" i="7"/>
  <c r="N90" i="7"/>
  <c r="N88" i="7"/>
  <c r="N86" i="7"/>
  <c r="N84" i="7"/>
  <c r="N82" i="7"/>
  <c r="N80" i="7"/>
  <c r="N78" i="7"/>
  <c r="N76" i="7"/>
  <c r="N74" i="7"/>
  <c r="N72" i="7"/>
  <c r="N70" i="7"/>
  <c r="N68" i="7"/>
  <c r="N66" i="7"/>
  <c r="N64" i="7"/>
  <c r="N62" i="7"/>
  <c r="N60" i="7"/>
  <c r="N58" i="7"/>
  <c r="N56" i="7"/>
  <c r="N54" i="7"/>
  <c r="O306" i="7"/>
  <c r="O304" i="7"/>
  <c r="O302" i="7"/>
  <c r="O300" i="7"/>
  <c r="O298" i="7"/>
  <c r="O296" i="7"/>
  <c r="O294" i="7"/>
  <c r="O292" i="7"/>
  <c r="O290" i="7"/>
  <c r="O288" i="7"/>
  <c r="O286" i="7"/>
  <c r="O284" i="7"/>
  <c r="O282" i="7"/>
  <c r="O280" i="7"/>
  <c r="O278" i="7"/>
  <c r="O276" i="7"/>
  <c r="O274" i="7"/>
  <c r="O272" i="7"/>
  <c r="O270" i="7"/>
  <c r="O268" i="7"/>
  <c r="O266" i="7"/>
  <c r="O264" i="7"/>
  <c r="O262" i="7"/>
  <c r="O260" i="7"/>
  <c r="O258" i="7"/>
  <c r="O256" i="7"/>
  <c r="O254" i="7"/>
  <c r="O252" i="7"/>
  <c r="O303" i="7"/>
  <c r="O299" i="7"/>
  <c r="O295" i="7"/>
  <c r="O291" i="7"/>
  <c r="O287" i="7"/>
  <c r="O283" i="7"/>
  <c r="O279" i="7"/>
  <c r="O275" i="7"/>
  <c r="O271" i="7"/>
  <c r="O267" i="7"/>
  <c r="O263" i="7"/>
  <c r="O261" i="7"/>
  <c r="O253" i="7"/>
  <c r="O249" i="7"/>
  <c r="O247" i="7"/>
  <c r="O245" i="7"/>
  <c r="O243" i="7"/>
  <c r="O241" i="7"/>
  <c r="O239" i="7"/>
  <c r="O237" i="7"/>
  <c r="O235" i="7"/>
  <c r="O233" i="7"/>
  <c r="O231" i="7"/>
  <c r="O229" i="7"/>
  <c r="O227" i="7"/>
  <c r="O225" i="7"/>
  <c r="O305" i="7"/>
  <c r="O289" i="7"/>
  <c r="O273" i="7"/>
  <c r="O246" i="7"/>
  <c r="O238" i="7"/>
  <c r="O230" i="7"/>
  <c r="O224" i="7"/>
  <c r="O222" i="7"/>
  <c r="O220" i="7"/>
  <c r="O218" i="7"/>
  <c r="O216" i="7"/>
  <c r="O214" i="7"/>
  <c r="O212" i="7"/>
  <c r="O210" i="7"/>
  <c r="O208" i="7"/>
  <c r="O206" i="7"/>
  <c r="O301" i="7"/>
  <c r="O285" i="7"/>
  <c r="O269" i="7"/>
  <c r="O255" i="7"/>
  <c r="O244" i="7"/>
  <c r="O236" i="7"/>
  <c r="O228" i="7"/>
  <c r="O293" i="7"/>
  <c r="O277" i="7"/>
  <c r="O259" i="7"/>
  <c r="O248" i="7"/>
  <c r="O240" i="7"/>
  <c r="O232" i="7"/>
  <c r="O242" i="7"/>
  <c r="O219" i="7"/>
  <c r="O207" i="7"/>
  <c r="O297" i="7"/>
  <c r="O257" i="7"/>
  <c r="O234" i="7"/>
  <c r="O221" i="7"/>
  <c r="O213" i="7"/>
  <c r="O205" i="7"/>
  <c r="O203" i="7"/>
  <c r="O201" i="7"/>
  <c r="O199" i="7"/>
  <c r="O197" i="7"/>
  <c r="O195" i="7"/>
  <c r="O193" i="7"/>
  <c r="O191" i="7"/>
  <c r="O189" i="7"/>
  <c r="O187" i="7"/>
  <c r="O185" i="7"/>
  <c r="O183" i="7"/>
  <c r="O181" i="7"/>
  <c r="O179" i="7"/>
  <c r="O177" i="7"/>
  <c r="O175" i="7"/>
  <c r="O173" i="7"/>
  <c r="O171" i="7"/>
  <c r="O169" i="7"/>
  <c r="O167" i="7"/>
  <c r="O165" i="7"/>
  <c r="O281" i="7"/>
  <c r="O251" i="7"/>
  <c r="O226" i="7"/>
  <c r="O223" i="7"/>
  <c r="O265" i="7"/>
  <c r="O250" i="7"/>
  <c r="O217" i="7"/>
  <c r="O215" i="7"/>
  <c r="O211" i="7"/>
  <c r="O209" i="7"/>
  <c r="O204" i="7"/>
  <c r="O202" i="7"/>
  <c r="O200" i="7"/>
  <c r="O198" i="7"/>
  <c r="O196" i="7"/>
  <c r="O194" i="7"/>
  <c r="O192" i="7"/>
  <c r="O190" i="7"/>
  <c r="O188" i="7"/>
  <c r="O186" i="7"/>
  <c r="O184" i="7"/>
  <c r="O182" i="7"/>
  <c r="O180" i="7"/>
  <c r="O178" i="7"/>
  <c r="O176" i="7"/>
  <c r="O174" i="7"/>
  <c r="O172" i="7"/>
  <c r="O170" i="7"/>
  <c r="O168" i="7"/>
  <c r="O166" i="7"/>
  <c r="O164" i="7"/>
  <c r="O162" i="7"/>
  <c r="O160" i="7"/>
  <c r="O158" i="7"/>
  <c r="O156" i="7"/>
  <c r="O154" i="7"/>
  <c r="O152" i="7"/>
  <c r="O150" i="7"/>
  <c r="O148" i="7"/>
  <c r="O146" i="7"/>
  <c r="O144" i="7"/>
  <c r="O142" i="7"/>
  <c r="O140" i="7"/>
  <c r="O138" i="7"/>
  <c r="O136" i="7"/>
  <c r="O134" i="7"/>
  <c r="O132" i="7"/>
  <c r="O130" i="7"/>
  <c r="O128" i="7"/>
  <c r="O126" i="7"/>
  <c r="O124" i="7"/>
  <c r="O122" i="7"/>
  <c r="O120" i="7"/>
  <c r="O118" i="7"/>
  <c r="O116" i="7"/>
  <c r="O114" i="7"/>
  <c r="O112" i="7"/>
  <c r="O110" i="7"/>
  <c r="O108" i="7"/>
  <c r="O106" i="7"/>
  <c r="O104" i="7"/>
  <c r="O102" i="7"/>
  <c r="O100" i="7"/>
  <c r="O98" i="7"/>
  <c r="O96" i="7"/>
  <c r="O94" i="7"/>
  <c r="O92" i="7"/>
  <c r="O90" i="7"/>
  <c r="O88" i="7"/>
  <c r="O86" i="7"/>
  <c r="O84" i="7"/>
  <c r="O82" i="7"/>
  <c r="O80" i="7"/>
  <c r="O78" i="7"/>
  <c r="O76" i="7"/>
  <c r="O74" i="7"/>
  <c r="O72" i="7"/>
  <c r="O70" i="7"/>
  <c r="O68" i="7"/>
  <c r="O66" i="7"/>
  <c r="O64" i="7"/>
  <c r="O62" i="7"/>
  <c r="O60" i="7"/>
  <c r="O58" i="7"/>
  <c r="O56" i="7"/>
  <c r="O54" i="7"/>
  <c r="O163" i="7"/>
  <c r="O161" i="7"/>
  <c r="O159" i="7"/>
  <c r="O157" i="7"/>
  <c r="O155" i="7"/>
  <c r="O153" i="7"/>
  <c r="O151" i="7"/>
  <c r="O149" i="7"/>
  <c r="O147" i="7"/>
  <c r="O145" i="7"/>
  <c r="O143" i="7"/>
  <c r="O141" i="7"/>
  <c r="O139" i="7"/>
  <c r="O137" i="7"/>
  <c r="O135" i="7"/>
  <c r="O133" i="7"/>
  <c r="O131" i="7"/>
  <c r="O129" i="7"/>
  <c r="O127" i="7"/>
  <c r="O125" i="7"/>
  <c r="O123" i="7"/>
  <c r="O121" i="7"/>
  <c r="O119" i="7"/>
  <c r="O117" i="7"/>
  <c r="O115" i="7"/>
  <c r="O113" i="7"/>
  <c r="O111" i="7"/>
  <c r="O109" i="7"/>
  <c r="N3" i="7"/>
  <c r="R3" i="7"/>
  <c r="N5" i="7"/>
  <c r="R5" i="7"/>
  <c r="N19" i="7"/>
  <c r="R19" i="7"/>
  <c r="N21" i="7"/>
  <c r="R21" i="7"/>
  <c r="N23" i="7"/>
  <c r="R23" i="7"/>
  <c r="R29" i="7"/>
  <c r="N37" i="7"/>
  <c r="R37" i="7"/>
  <c r="N39" i="7"/>
  <c r="R39" i="7"/>
  <c r="N41" i="7"/>
  <c r="R41" i="7"/>
  <c r="N45" i="7"/>
  <c r="S53" i="7"/>
  <c r="O67" i="7"/>
  <c r="S69" i="7"/>
  <c r="O83" i="7"/>
  <c r="S85" i="7"/>
  <c r="O91" i="7"/>
  <c r="P306" i="7"/>
  <c r="P304" i="7"/>
  <c r="P302" i="7"/>
  <c r="P300" i="7"/>
  <c r="P298" i="7"/>
  <c r="P296" i="7"/>
  <c r="P294" i="7"/>
  <c r="P292" i="7"/>
  <c r="P290" i="7"/>
  <c r="P288" i="7"/>
  <c r="P286" i="7"/>
  <c r="P284" i="7"/>
  <c r="P282" i="7"/>
  <c r="P280" i="7"/>
  <c r="P278" i="7"/>
  <c r="P276" i="7"/>
  <c r="P274" i="7"/>
  <c r="P272" i="7"/>
  <c r="P270" i="7"/>
  <c r="P268" i="7"/>
  <c r="P266" i="7"/>
  <c r="P264" i="7"/>
  <c r="P260" i="7"/>
  <c r="P259" i="7"/>
  <c r="P252" i="7"/>
  <c r="P251" i="7"/>
  <c r="P303" i="7"/>
  <c r="P301" i="7"/>
  <c r="P287" i="7"/>
  <c r="P285" i="7"/>
  <c r="P271" i="7"/>
  <c r="P269" i="7"/>
  <c r="P261" i="7"/>
  <c r="P255" i="7"/>
  <c r="P254" i="7"/>
  <c r="P245" i="7"/>
  <c r="P244" i="7"/>
  <c r="P237" i="7"/>
  <c r="P236" i="7"/>
  <c r="P229" i="7"/>
  <c r="P228" i="7"/>
  <c r="P299" i="7"/>
  <c r="P297" i="7"/>
  <c r="P283" i="7"/>
  <c r="P281" i="7"/>
  <c r="P267" i="7"/>
  <c r="P265" i="7"/>
  <c r="P262" i="7"/>
  <c r="P257" i="7"/>
  <c r="P256" i="7"/>
  <c r="P250" i="7"/>
  <c r="P243" i="7"/>
  <c r="P242" i="7"/>
  <c r="P235" i="7"/>
  <c r="P234" i="7"/>
  <c r="P227" i="7"/>
  <c r="P226" i="7"/>
  <c r="P223" i="7"/>
  <c r="P221" i="7"/>
  <c r="P219" i="7"/>
  <c r="P217" i="7"/>
  <c r="P305" i="7"/>
  <c r="P291" i="7"/>
  <c r="P289" i="7"/>
  <c r="P275" i="7"/>
  <c r="P273" i="7"/>
  <c r="P253" i="7"/>
  <c r="P247" i="7"/>
  <c r="P246" i="7"/>
  <c r="P239" i="7"/>
  <c r="P238" i="7"/>
  <c r="P231" i="7"/>
  <c r="P230" i="7"/>
  <c r="P224" i="7"/>
  <c r="P222" i="7"/>
  <c r="P220" i="7"/>
  <c r="P218" i="7"/>
  <c r="P216" i="7"/>
  <c r="P214" i="7"/>
  <c r="P212" i="7"/>
  <c r="P277" i="7"/>
  <c r="P263" i="7"/>
  <c r="P258" i="7"/>
  <c r="P249" i="7"/>
  <c r="P213" i="7"/>
  <c r="P206" i="7"/>
  <c r="P205" i="7"/>
  <c r="P203" i="7"/>
  <c r="P201" i="7"/>
  <c r="P199" i="7"/>
  <c r="P197" i="7"/>
  <c r="P195" i="7"/>
  <c r="P193" i="7"/>
  <c r="P191" i="7"/>
  <c r="P189" i="7"/>
  <c r="P187" i="7"/>
  <c r="P185" i="7"/>
  <c r="P183" i="7"/>
  <c r="P181" i="7"/>
  <c r="P179" i="7"/>
  <c r="P177" i="7"/>
  <c r="P175" i="7"/>
  <c r="P173" i="7"/>
  <c r="P171" i="7"/>
  <c r="P169" i="7"/>
  <c r="P167" i="7"/>
  <c r="P248" i="7"/>
  <c r="P241" i="7"/>
  <c r="P295" i="7"/>
  <c r="P240" i="7"/>
  <c r="P233" i="7"/>
  <c r="P215" i="7"/>
  <c r="P211" i="7"/>
  <c r="P210" i="7"/>
  <c r="P209" i="7"/>
  <c r="P204" i="7"/>
  <c r="P202" i="7"/>
  <c r="P200" i="7"/>
  <c r="P198" i="7"/>
  <c r="P196" i="7"/>
  <c r="P194" i="7"/>
  <c r="P192" i="7"/>
  <c r="P190" i="7"/>
  <c r="P188" i="7"/>
  <c r="P186" i="7"/>
  <c r="P184" i="7"/>
  <c r="P182" i="7"/>
  <c r="P180" i="7"/>
  <c r="P178" i="7"/>
  <c r="P176" i="7"/>
  <c r="P174" i="7"/>
  <c r="P172" i="7"/>
  <c r="P170" i="7"/>
  <c r="P168" i="7"/>
  <c r="P293" i="7"/>
  <c r="P279" i="7"/>
  <c r="P232" i="7"/>
  <c r="P225" i="7"/>
  <c r="P208" i="7"/>
  <c r="P207" i="7"/>
  <c r="P162" i="7"/>
  <c r="P160" i="7"/>
  <c r="P158" i="7"/>
  <c r="P156" i="7"/>
  <c r="P154" i="7"/>
  <c r="P152" i="7"/>
  <c r="P150" i="7"/>
  <c r="P148" i="7"/>
  <c r="P146" i="7"/>
  <c r="P144" i="7"/>
  <c r="P142" i="7"/>
  <c r="P140" i="7"/>
  <c r="P138" i="7"/>
  <c r="P136" i="7"/>
  <c r="P134" i="7"/>
  <c r="P132" i="7"/>
  <c r="P130" i="7"/>
  <c r="P128" i="7"/>
  <c r="P126" i="7"/>
  <c r="P124" i="7"/>
  <c r="P122" i="7"/>
  <c r="P120" i="7"/>
  <c r="P118" i="7"/>
  <c r="P116" i="7"/>
  <c r="P114" i="7"/>
  <c r="P112" i="7"/>
  <c r="P110" i="7"/>
  <c r="P108" i="7"/>
  <c r="P106" i="7"/>
  <c r="P104" i="7"/>
  <c r="P102" i="7"/>
  <c r="P100" i="7"/>
  <c r="P98" i="7"/>
  <c r="P96" i="7"/>
  <c r="P94" i="7"/>
  <c r="P92" i="7"/>
  <c r="P90" i="7"/>
  <c r="P88" i="7"/>
  <c r="P86" i="7"/>
  <c r="P84" i="7"/>
  <c r="P82" i="7"/>
  <c r="P80" i="7"/>
  <c r="P78" i="7"/>
  <c r="P76" i="7"/>
  <c r="P74" i="7"/>
  <c r="P72" i="7"/>
  <c r="P70" i="7"/>
  <c r="P68" i="7"/>
  <c r="P66" i="7"/>
  <c r="P64" i="7"/>
  <c r="P62" i="7"/>
  <c r="P60" i="7"/>
  <c r="P58" i="7"/>
  <c r="P56" i="7"/>
  <c r="P54" i="7"/>
  <c r="P165" i="7"/>
  <c r="P164" i="7"/>
  <c r="P163" i="7"/>
  <c r="P161" i="7"/>
  <c r="P159" i="7"/>
  <c r="P157" i="7"/>
  <c r="P155" i="7"/>
  <c r="P153" i="7"/>
  <c r="P151" i="7"/>
  <c r="P149" i="7"/>
  <c r="P147" i="7"/>
  <c r="P145" i="7"/>
  <c r="P143" i="7"/>
  <c r="P141" i="7"/>
  <c r="P139" i="7"/>
  <c r="P137" i="7"/>
  <c r="P135" i="7"/>
  <c r="P133" i="7"/>
  <c r="P131" i="7"/>
  <c r="P129" i="7"/>
  <c r="P127" i="7"/>
  <c r="P125" i="7"/>
  <c r="P123" i="7"/>
  <c r="P121" i="7"/>
  <c r="P119" i="7"/>
  <c r="P117" i="7"/>
  <c r="P115" i="7"/>
  <c r="P113" i="7"/>
  <c r="P111" i="7"/>
  <c r="P109" i="7"/>
  <c r="P107" i="7"/>
  <c r="P105" i="7"/>
  <c r="P103" i="7"/>
  <c r="P101" i="7"/>
  <c r="P99" i="7"/>
  <c r="P97" i="7"/>
  <c r="P95" i="7"/>
  <c r="P93" i="7"/>
  <c r="P91" i="7"/>
  <c r="P89" i="7"/>
  <c r="P87" i="7"/>
  <c r="P85" i="7"/>
  <c r="P83" i="7"/>
  <c r="P81" i="7"/>
  <c r="P79" i="7"/>
  <c r="P77" i="7"/>
  <c r="P75" i="7"/>
  <c r="P73" i="7"/>
  <c r="P71" i="7"/>
  <c r="P69" i="7"/>
  <c r="P67" i="7"/>
  <c r="P65" i="7"/>
  <c r="P63" i="7"/>
  <c r="P61" i="7"/>
  <c r="P59" i="7"/>
  <c r="P57" i="7"/>
  <c r="P55" i="7"/>
  <c r="P53" i="7"/>
  <c r="P166" i="7"/>
  <c r="Q2" i="7"/>
  <c r="O3" i="7"/>
  <c r="S3" i="7"/>
  <c r="Q4" i="7"/>
  <c r="O5" i="7"/>
  <c r="S5" i="7"/>
  <c r="Q6" i="7"/>
  <c r="O7" i="7"/>
  <c r="S7" i="7"/>
  <c r="Q8" i="7"/>
  <c r="O9" i="7"/>
  <c r="S9" i="7"/>
  <c r="Q10" i="7"/>
  <c r="O11" i="7"/>
  <c r="S11" i="7"/>
  <c r="Q12" i="7"/>
  <c r="O13" i="7"/>
  <c r="S13" i="7"/>
  <c r="Q14" i="7"/>
  <c r="O15" i="7"/>
  <c r="S15" i="7"/>
  <c r="Q16" i="7"/>
  <c r="O17" i="7"/>
  <c r="S17" i="7"/>
  <c r="Q18" i="7"/>
  <c r="O19" i="7"/>
  <c r="S19" i="7"/>
  <c r="Q20" i="7"/>
  <c r="O21" i="7"/>
  <c r="S21" i="7"/>
  <c r="Q22" i="7"/>
  <c r="O23" i="7"/>
  <c r="S23" i="7"/>
  <c r="Q24" i="7"/>
  <c r="O25" i="7"/>
  <c r="S25" i="7"/>
  <c r="Q26" i="7"/>
  <c r="O27" i="7"/>
  <c r="S27" i="7"/>
  <c r="Q28" i="7"/>
  <c r="O29" i="7"/>
  <c r="S29" i="7"/>
  <c r="Q30" i="7"/>
  <c r="O31" i="7"/>
  <c r="S31" i="7"/>
  <c r="Q32" i="7"/>
  <c r="O33" i="7"/>
  <c r="S33" i="7"/>
  <c r="Q34" i="7"/>
  <c r="O35" i="7"/>
  <c r="S35" i="7"/>
  <c r="Q36" i="7"/>
  <c r="O37" i="7"/>
  <c r="S37" i="7"/>
  <c r="Q38" i="7"/>
  <c r="O39" i="7"/>
  <c r="S39" i="7"/>
  <c r="Q40" i="7"/>
  <c r="O41" i="7"/>
  <c r="S41" i="7"/>
  <c r="Q42" i="7"/>
  <c r="O43" i="7"/>
  <c r="S43" i="7"/>
  <c r="Q44" i="7"/>
  <c r="O45" i="7"/>
  <c r="S45" i="7"/>
  <c r="Q46" i="7"/>
  <c r="O47" i="7"/>
  <c r="S47" i="7"/>
  <c r="Q48" i="7"/>
  <c r="O49" i="7"/>
  <c r="S49" i="7"/>
  <c r="Q50" i="7"/>
  <c r="O51" i="7"/>
  <c r="S51" i="7"/>
  <c r="Q52" i="7"/>
  <c r="Q54" i="7"/>
  <c r="O57" i="7"/>
  <c r="S59" i="7"/>
  <c r="Q62" i="7"/>
  <c r="O65" i="7"/>
  <c r="S67" i="7"/>
  <c r="Q70" i="7"/>
  <c r="O73" i="7"/>
  <c r="S75" i="7"/>
  <c r="Q78" i="7"/>
  <c r="O81" i="7"/>
  <c r="S83" i="7"/>
  <c r="Q86" i="7"/>
  <c r="O89" i="7"/>
  <c r="S91" i="7"/>
  <c r="Q94" i="7"/>
  <c r="O97" i="7"/>
  <c r="S99" i="7"/>
  <c r="O105" i="7"/>
  <c r="R305" i="7"/>
  <c r="R303" i="7"/>
  <c r="R301" i="7"/>
  <c r="R299" i="7"/>
  <c r="R297" i="7"/>
  <c r="R295" i="7"/>
  <c r="R293" i="7"/>
  <c r="R291" i="7"/>
  <c r="R289" i="7"/>
  <c r="R287" i="7"/>
  <c r="R285" i="7"/>
  <c r="R283" i="7"/>
  <c r="R281" i="7"/>
  <c r="R279" i="7"/>
  <c r="R277" i="7"/>
  <c r="R275" i="7"/>
  <c r="R273" i="7"/>
  <c r="R271" i="7"/>
  <c r="R269" i="7"/>
  <c r="R267" i="7"/>
  <c r="R265" i="7"/>
  <c r="R263" i="7"/>
  <c r="R257" i="7"/>
  <c r="R256" i="7"/>
  <c r="R292" i="7"/>
  <c r="R290" i="7"/>
  <c r="R276" i="7"/>
  <c r="R274" i="7"/>
  <c r="R250" i="7"/>
  <c r="R249" i="7"/>
  <c r="R242" i="7"/>
  <c r="R241" i="7"/>
  <c r="R234" i="7"/>
  <c r="R233" i="7"/>
  <c r="R226" i="7"/>
  <c r="R225" i="7"/>
  <c r="R306" i="7"/>
  <c r="R304" i="7"/>
  <c r="R302" i="7"/>
  <c r="R288" i="7"/>
  <c r="R286" i="7"/>
  <c r="R272" i="7"/>
  <c r="R270" i="7"/>
  <c r="R258" i="7"/>
  <c r="R252" i="7"/>
  <c r="R251" i="7"/>
  <c r="R248" i="7"/>
  <c r="R247" i="7"/>
  <c r="R240" i="7"/>
  <c r="R239" i="7"/>
  <c r="R232" i="7"/>
  <c r="R231" i="7"/>
  <c r="R224" i="7"/>
  <c r="R222" i="7"/>
  <c r="R220" i="7"/>
  <c r="R218" i="7"/>
  <c r="R216" i="7"/>
  <c r="R296" i="7"/>
  <c r="R294" i="7"/>
  <c r="R280" i="7"/>
  <c r="R278" i="7"/>
  <c r="R264" i="7"/>
  <c r="R262" i="7"/>
  <c r="R261" i="7"/>
  <c r="R255" i="7"/>
  <c r="R244" i="7"/>
  <c r="R243" i="7"/>
  <c r="R236" i="7"/>
  <c r="R235" i="7"/>
  <c r="R228" i="7"/>
  <c r="R227" i="7"/>
  <c r="R223" i="7"/>
  <c r="R221" i="7"/>
  <c r="R219" i="7"/>
  <c r="R217" i="7"/>
  <c r="R215" i="7"/>
  <c r="R213" i="7"/>
  <c r="R211" i="7"/>
  <c r="R298" i="7"/>
  <c r="R284" i="7"/>
  <c r="R253" i="7"/>
  <c r="R245" i="7"/>
  <c r="R238" i="7"/>
  <c r="R214" i="7"/>
  <c r="R210" i="7"/>
  <c r="R204" i="7"/>
  <c r="R202" i="7"/>
  <c r="R200" i="7"/>
  <c r="R198" i="7"/>
  <c r="R196" i="7"/>
  <c r="R194" i="7"/>
  <c r="R192" i="7"/>
  <c r="R190" i="7"/>
  <c r="R188" i="7"/>
  <c r="R186" i="7"/>
  <c r="R184" i="7"/>
  <c r="R182" i="7"/>
  <c r="R180" i="7"/>
  <c r="R178" i="7"/>
  <c r="R176" i="7"/>
  <c r="R174" i="7"/>
  <c r="R172" i="7"/>
  <c r="R170" i="7"/>
  <c r="R168" i="7"/>
  <c r="R166" i="7"/>
  <c r="R282" i="7"/>
  <c r="R268" i="7"/>
  <c r="R237" i="7"/>
  <c r="R230" i="7"/>
  <c r="R209" i="7"/>
  <c r="R208" i="7"/>
  <c r="R266" i="7"/>
  <c r="R260" i="7"/>
  <c r="R229" i="7"/>
  <c r="R212" i="7"/>
  <c r="R207" i="7"/>
  <c r="R206" i="7"/>
  <c r="R203" i="7"/>
  <c r="R201" i="7"/>
  <c r="R199" i="7"/>
  <c r="R197" i="7"/>
  <c r="R195" i="7"/>
  <c r="R193" i="7"/>
  <c r="R191" i="7"/>
  <c r="R189" i="7"/>
  <c r="R187" i="7"/>
  <c r="R185" i="7"/>
  <c r="R183" i="7"/>
  <c r="R181" i="7"/>
  <c r="R179" i="7"/>
  <c r="R177" i="7"/>
  <c r="R175" i="7"/>
  <c r="R173" i="7"/>
  <c r="R171" i="7"/>
  <c r="R169" i="7"/>
  <c r="R300" i="7"/>
  <c r="R259" i="7"/>
  <c r="R254" i="7"/>
  <c r="R246" i="7"/>
  <c r="R205" i="7"/>
  <c r="R165" i="7"/>
  <c r="R163" i="7"/>
  <c r="R161" i="7"/>
  <c r="R159" i="7"/>
  <c r="R157" i="7"/>
  <c r="R155" i="7"/>
  <c r="R153" i="7"/>
  <c r="R151" i="7"/>
  <c r="R149" i="7"/>
  <c r="R147" i="7"/>
  <c r="R145" i="7"/>
  <c r="R143" i="7"/>
  <c r="R141" i="7"/>
  <c r="R139" i="7"/>
  <c r="R137" i="7"/>
  <c r="R135" i="7"/>
  <c r="R133" i="7"/>
  <c r="R131" i="7"/>
  <c r="R129" i="7"/>
  <c r="R127" i="7"/>
  <c r="R125" i="7"/>
  <c r="R123" i="7"/>
  <c r="R121" i="7"/>
  <c r="R119" i="7"/>
  <c r="R117" i="7"/>
  <c r="R115" i="7"/>
  <c r="R113" i="7"/>
  <c r="R111" i="7"/>
  <c r="R109" i="7"/>
  <c r="R107" i="7"/>
  <c r="R105" i="7"/>
  <c r="R103" i="7"/>
  <c r="R101" i="7"/>
  <c r="R99" i="7"/>
  <c r="R97" i="7"/>
  <c r="R95" i="7"/>
  <c r="R93" i="7"/>
  <c r="R91" i="7"/>
  <c r="R89" i="7"/>
  <c r="R87" i="7"/>
  <c r="R85" i="7"/>
  <c r="R83" i="7"/>
  <c r="R81" i="7"/>
  <c r="R79" i="7"/>
  <c r="R77" i="7"/>
  <c r="R75" i="7"/>
  <c r="R73" i="7"/>
  <c r="R71" i="7"/>
  <c r="R69" i="7"/>
  <c r="R67" i="7"/>
  <c r="R65" i="7"/>
  <c r="R63" i="7"/>
  <c r="R61" i="7"/>
  <c r="R59" i="7"/>
  <c r="R57" i="7"/>
  <c r="R55" i="7"/>
  <c r="R53" i="7"/>
  <c r="R167" i="7"/>
  <c r="R162" i="7"/>
  <c r="R160" i="7"/>
  <c r="R158" i="7"/>
  <c r="R156" i="7"/>
  <c r="R154" i="7"/>
  <c r="R152" i="7"/>
  <c r="R150" i="7"/>
  <c r="R148" i="7"/>
  <c r="R146" i="7"/>
  <c r="R144" i="7"/>
  <c r="R142" i="7"/>
  <c r="R140" i="7"/>
  <c r="R138" i="7"/>
  <c r="R136" i="7"/>
  <c r="R134" i="7"/>
  <c r="R132" i="7"/>
  <c r="R130" i="7"/>
  <c r="R128" i="7"/>
  <c r="R126" i="7"/>
  <c r="R124" i="7"/>
  <c r="R122" i="7"/>
  <c r="R120" i="7"/>
  <c r="R118" i="7"/>
  <c r="R116" i="7"/>
  <c r="R114" i="7"/>
  <c r="R112" i="7"/>
  <c r="R110" i="7"/>
  <c r="R108" i="7"/>
  <c r="R106" i="7"/>
  <c r="R104" i="7"/>
  <c r="R102" i="7"/>
  <c r="R100" i="7"/>
  <c r="R98" i="7"/>
  <c r="R96" i="7"/>
  <c r="R94" i="7"/>
  <c r="R92" i="7"/>
  <c r="R90" i="7"/>
  <c r="R88" i="7"/>
  <c r="R86" i="7"/>
  <c r="R84" i="7"/>
  <c r="R82" i="7"/>
  <c r="R80" i="7"/>
  <c r="R78" i="7"/>
  <c r="R76" i="7"/>
  <c r="R74" i="7"/>
  <c r="R72" i="7"/>
  <c r="R70" i="7"/>
  <c r="R68" i="7"/>
  <c r="R66" i="7"/>
  <c r="R64" i="7"/>
  <c r="R62" i="7"/>
  <c r="R60" i="7"/>
  <c r="R58" i="7"/>
  <c r="R56" i="7"/>
  <c r="R54" i="7"/>
  <c r="R164" i="7"/>
  <c r="S306" i="7"/>
  <c r="S304" i="7"/>
  <c r="S302" i="7"/>
  <c r="S300" i="7"/>
  <c r="S298" i="7"/>
  <c r="S296" i="7"/>
  <c r="S294" i="7"/>
  <c r="S292" i="7"/>
  <c r="S290" i="7"/>
  <c r="S288" i="7"/>
  <c r="S286" i="7"/>
  <c r="S284" i="7"/>
  <c r="S282" i="7"/>
  <c r="S280" i="7"/>
  <c r="S278" i="7"/>
  <c r="S276" i="7"/>
  <c r="S274" i="7"/>
  <c r="S272" i="7"/>
  <c r="S270" i="7"/>
  <c r="S268" i="7"/>
  <c r="S266" i="7"/>
  <c r="S264" i="7"/>
  <c r="S262" i="7"/>
  <c r="S260" i="7"/>
  <c r="S258" i="7"/>
  <c r="S256" i="7"/>
  <c r="S254" i="7"/>
  <c r="S252" i="7"/>
  <c r="S250" i="7"/>
  <c r="S305" i="7"/>
  <c r="S301" i="7"/>
  <c r="S297" i="7"/>
  <c r="S293" i="7"/>
  <c r="S289" i="7"/>
  <c r="S285" i="7"/>
  <c r="S281" i="7"/>
  <c r="S277" i="7"/>
  <c r="S273" i="7"/>
  <c r="S269" i="7"/>
  <c r="S265" i="7"/>
  <c r="S255" i="7"/>
  <c r="S249" i="7"/>
  <c r="S247" i="7"/>
  <c r="S245" i="7"/>
  <c r="S243" i="7"/>
  <c r="S241" i="7"/>
  <c r="S239" i="7"/>
  <c r="S237" i="7"/>
  <c r="S235" i="7"/>
  <c r="S233" i="7"/>
  <c r="S231" i="7"/>
  <c r="S229" i="7"/>
  <c r="S227" i="7"/>
  <c r="S225" i="7"/>
  <c r="S299" i="7"/>
  <c r="S283" i="7"/>
  <c r="S267" i="7"/>
  <c r="S257" i="7"/>
  <c r="S251" i="7"/>
  <c r="S248" i="7"/>
  <c r="S240" i="7"/>
  <c r="S232" i="7"/>
  <c r="S224" i="7"/>
  <c r="S222" i="7"/>
  <c r="S220" i="7"/>
  <c r="S218" i="7"/>
  <c r="S216" i="7"/>
  <c r="S214" i="7"/>
  <c r="S212" i="7"/>
  <c r="S210" i="7"/>
  <c r="S208" i="7"/>
  <c r="S206" i="7"/>
  <c r="S295" i="7"/>
  <c r="S279" i="7"/>
  <c r="S263" i="7"/>
  <c r="S259" i="7"/>
  <c r="S253" i="7"/>
  <c r="S246" i="7"/>
  <c r="S238" i="7"/>
  <c r="S230" i="7"/>
  <c r="S303" i="7"/>
  <c r="S287" i="7"/>
  <c r="S271" i="7"/>
  <c r="S242" i="7"/>
  <c r="S234" i="7"/>
  <c r="S226" i="7"/>
  <c r="S291" i="7"/>
  <c r="S221" i="7"/>
  <c r="S209" i="7"/>
  <c r="S275" i="7"/>
  <c r="S261" i="7"/>
  <c r="S244" i="7"/>
  <c r="S223" i="7"/>
  <c r="S215" i="7"/>
  <c r="S211" i="7"/>
  <c r="S207" i="7"/>
  <c r="S203" i="7"/>
  <c r="S201" i="7"/>
  <c r="S199" i="7"/>
  <c r="S197" i="7"/>
  <c r="S195" i="7"/>
  <c r="S193" i="7"/>
  <c r="S191" i="7"/>
  <c r="S189" i="7"/>
  <c r="S187" i="7"/>
  <c r="S185" i="7"/>
  <c r="S183" i="7"/>
  <c r="S181" i="7"/>
  <c r="S179" i="7"/>
  <c r="S177" i="7"/>
  <c r="S175" i="7"/>
  <c r="S173" i="7"/>
  <c r="S171" i="7"/>
  <c r="S169" i="7"/>
  <c r="S167" i="7"/>
  <c r="S165" i="7"/>
  <c r="S236" i="7"/>
  <c r="S217" i="7"/>
  <c r="S205" i="7"/>
  <c r="S228" i="7"/>
  <c r="S219" i="7"/>
  <c r="S213" i="7"/>
  <c r="S204" i="7"/>
  <c r="S202" i="7"/>
  <c r="S200" i="7"/>
  <c r="S198" i="7"/>
  <c r="S196" i="7"/>
  <c r="S194" i="7"/>
  <c r="S192" i="7"/>
  <c r="S190" i="7"/>
  <c r="S188" i="7"/>
  <c r="S186" i="7"/>
  <c r="S184" i="7"/>
  <c r="S182" i="7"/>
  <c r="S180" i="7"/>
  <c r="S178" i="7"/>
  <c r="S176" i="7"/>
  <c r="S174" i="7"/>
  <c r="S172" i="7"/>
  <c r="S170" i="7"/>
  <c r="S168" i="7"/>
  <c r="S166" i="7"/>
  <c r="S164" i="7"/>
  <c r="S162" i="7"/>
  <c r="S160" i="7"/>
  <c r="S158" i="7"/>
  <c r="S156" i="7"/>
  <c r="S154" i="7"/>
  <c r="S152" i="7"/>
  <c r="S150" i="7"/>
  <c r="S148" i="7"/>
  <c r="S146" i="7"/>
  <c r="S144" i="7"/>
  <c r="S142" i="7"/>
  <c r="S140" i="7"/>
  <c r="S138" i="7"/>
  <c r="S136" i="7"/>
  <c r="S134" i="7"/>
  <c r="S132" i="7"/>
  <c r="S130" i="7"/>
  <c r="S128" i="7"/>
  <c r="S126" i="7"/>
  <c r="S124" i="7"/>
  <c r="S122" i="7"/>
  <c r="S120" i="7"/>
  <c r="S118" i="7"/>
  <c r="S116" i="7"/>
  <c r="S114" i="7"/>
  <c r="S112" i="7"/>
  <c r="S110" i="7"/>
  <c r="S108" i="7"/>
  <c r="S106" i="7"/>
  <c r="S104" i="7"/>
  <c r="S102" i="7"/>
  <c r="S100" i="7"/>
  <c r="S98" i="7"/>
  <c r="S96" i="7"/>
  <c r="S94" i="7"/>
  <c r="S92" i="7"/>
  <c r="S90" i="7"/>
  <c r="S88" i="7"/>
  <c r="S86" i="7"/>
  <c r="S84" i="7"/>
  <c r="S82" i="7"/>
  <c r="S80" i="7"/>
  <c r="S78" i="7"/>
  <c r="S76" i="7"/>
  <c r="S74" i="7"/>
  <c r="S72" i="7"/>
  <c r="S70" i="7"/>
  <c r="S68" i="7"/>
  <c r="S66" i="7"/>
  <c r="S64" i="7"/>
  <c r="S62" i="7"/>
  <c r="S60" i="7"/>
  <c r="S58" i="7"/>
  <c r="S56" i="7"/>
  <c r="S54" i="7"/>
  <c r="S52" i="7"/>
  <c r="S163" i="7"/>
  <c r="S161" i="7"/>
  <c r="S159" i="7"/>
  <c r="S157" i="7"/>
  <c r="S155" i="7"/>
  <c r="S153" i="7"/>
  <c r="S151" i="7"/>
  <c r="S149" i="7"/>
  <c r="S147" i="7"/>
  <c r="S145" i="7"/>
  <c r="S143" i="7"/>
  <c r="S141" i="7"/>
  <c r="S139" i="7"/>
  <c r="S137" i="7"/>
  <c r="S135" i="7"/>
  <c r="S133" i="7"/>
  <c r="S131" i="7"/>
  <c r="S129" i="7"/>
  <c r="S127" i="7"/>
  <c r="S125" i="7"/>
  <c r="S123" i="7"/>
  <c r="S121" i="7"/>
  <c r="S119" i="7"/>
  <c r="S117" i="7"/>
  <c r="S115" i="7"/>
  <c r="S113" i="7"/>
  <c r="S111" i="7"/>
  <c r="S109" i="7"/>
  <c r="N7" i="7"/>
  <c r="R7" i="7"/>
  <c r="N9" i="7"/>
  <c r="R9" i="7"/>
  <c r="N11" i="7"/>
  <c r="R11" i="7"/>
  <c r="N13" i="7"/>
  <c r="R13" i="7"/>
  <c r="N15" i="7"/>
  <c r="R15" i="7"/>
  <c r="N17" i="7"/>
  <c r="R17" i="7"/>
  <c r="N25" i="7"/>
  <c r="R25" i="7"/>
  <c r="N27" i="7"/>
  <c r="R27" i="7"/>
  <c r="N29" i="7"/>
  <c r="N31" i="7"/>
  <c r="R31" i="7"/>
  <c r="N33" i="7"/>
  <c r="R33" i="7"/>
  <c r="N35" i="7"/>
  <c r="R35" i="7"/>
  <c r="N43" i="7"/>
  <c r="R43" i="7"/>
  <c r="N47" i="7"/>
  <c r="R47" i="7"/>
  <c r="N49" i="7"/>
  <c r="R49" i="7"/>
  <c r="N51" i="7"/>
  <c r="R51" i="7"/>
  <c r="O59" i="7"/>
  <c r="S61" i="7"/>
  <c r="O75" i="7"/>
  <c r="S77" i="7"/>
  <c r="S93" i="7"/>
  <c r="O99" i="7"/>
  <c r="S101" i="7"/>
  <c r="O107" i="7"/>
  <c r="Q305" i="7"/>
  <c r="Q303" i="7"/>
  <c r="Q301" i="7"/>
  <c r="Q299" i="7"/>
  <c r="Q297" i="7"/>
  <c r="Q295" i="7"/>
  <c r="Q293" i="7"/>
  <c r="Q291" i="7"/>
  <c r="Q289" i="7"/>
  <c r="Q287" i="7"/>
  <c r="Q285" i="7"/>
  <c r="Q283" i="7"/>
  <c r="Q281" i="7"/>
  <c r="Q279" i="7"/>
  <c r="Q277" i="7"/>
  <c r="Q275" i="7"/>
  <c r="Q273" i="7"/>
  <c r="Q271" i="7"/>
  <c r="Q269" i="7"/>
  <c r="Q267" i="7"/>
  <c r="Q265" i="7"/>
  <c r="Q263" i="7"/>
  <c r="Q261" i="7"/>
  <c r="Q259" i="7"/>
  <c r="Q257" i="7"/>
  <c r="Q255" i="7"/>
  <c r="Q253" i="7"/>
  <c r="Q251" i="7"/>
  <c r="Q304" i="7"/>
  <c r="Q300" i="7"/>
  <c r="Q296" i="7"/>
  <c r="Q292" i="7"/>
  <c r="Q288" i="7"/>
  <c r="Q284" i="7"/>
  <c r="Q280" i="7"/>
  <c r="Q276" i="7"/>
  <c r="Q272" i="7"/>
  <c r="Q268" i="7"/>
  <c r="Q264" i="7"/>
  <c r="Q258" i="7"/>
  <c r="Q250" i="7"/>
  <c r="Q248" i="7"/>
  <c r="Q246" i="7"/>
  <c r="Q244" i="7"/>
  <c r="Q242" i="7"/>
  <c r="Q240" i="7"/>
  <c r="Q238" i="7"/>
  <c r="Q236" i="7"/>
  <c r="Q234" i="7"/>
  <c r="Q232" i="7"/>
  <c r="Q230" i="7"/>
  <c r="Q228" i="7"/>
  <c r="Q226" i="7"/>
  <c r="Q294" i="7"/>
  <c r="Q278" i="7"/>
  <c r="Q262" i="7"/>
  <c r="Q256" i="7"/>
  <c r="Q243" i="7"/>
  <c r="Q235" i="7"/>
  <c r="Q227" i="7"/>
  <c r="Q223" i="7"/>
  <c r="Q221" i="7"/>
  <c r="Q219" i="7"/>
  <c r="Q217" i="7"/>
  <c r="Q215" i="7"/>
  <c r="Q213" i="7"/>
  <c r="Q211" i="7"/>
  <c r="Q209" i="7"/>
  <c r="Q207" i="7"/>
  <c r="Q205" i="7"/>
  <c r="Q290" i="7"/>
  <c r="Q274" i="7"/>
  <c r="Q249" i="7"/>
  <c r="Q241" i="7"/>
  <c r="Q233" i="7"/>
  <c r="Q225" i="7"/>
  <c r="Q306" i="7"/>
  <c r="Q298" i="7"/>
  <c r="Q282" i="7"/>
  <c r="Q266" i="7"/>
  <c r="Q260" i="7"/>
  <c r="Q254" i="7"/>
  <c r="Q245" i="7"/>
  <c r="Q237" i="7"/>
  <c r="Q229" i="7"/>
  <c r="Q270" i="7"/>
  <c r="Q231" i="7"/>
  <c r="Q224" i="7"/>
  <c r="Q216" i="7"/>
  <c r="Q252" i="7"/>
  <c r="Q218" i="7"/>
  <c r="Q214" i="7"/>
  <c r="Q210" i="7"/>
  <c r="Q204" i="7"/>
  <c r="Q202" i="7"/>
  <c r="Q200" i="7"/>
  <c r="Q198" i="7"/>
  <c r="Q196" i="7"/>
  <c r="Q194" i="7"/>
  <c r="Q192" i="7"/>
  <c r="Q190" i="7"/>
  <c r="Q188" i="7"/>
  <c r="Q186" i="7"/>
  <c r="Q184" i="7"/>
  <c r="Q182" i="7"/>
  <c r="Q180" i="7"/>
  <c r="Q178" i="7"/>
  <c r="Q176" i="7"/>
  <c r="Q174" i="7"/>
  <c r="Q172" i="7"/>
  <c r="Q170" i="7"/>
  <c r="Q168" i="7"/>
  <c r="Q166" i="7"/>
  <c r="Q302" i="7"/>
  <c r="Q247" i="7"/>
  <c r="Q220" i="7"/>
  <c r="Q208" i="7"/>
  <c r="Q286" i="7"/>
  <c r="Q239" i="7"/>
  <c r="Q222" i="7"/>
  <c r="Q212" i="7"/>
  <c r="Q206" i="7"/>
  <c r="Q203" i="7"/>
  <c r="Q201" i="7"/>
  <c r="Q199" i="7"/>
  <c r="Q197" i="7"/>
  <c r="Q195" i="7"/>
  <c r="Q193" i="7"/>
  <c r="Q191" i="7"/>
  <c r="Q189" i="7"/>
  <c r="Q187" i="7"/>
  <c r="Q185" i="7"/>
  <c r="Q183" i="7"/>
  <c r="Q181" i="7"/>
  <c r="Q179" i="7"/>
  <c r="Q177" i="7"/>
  <c r="Q175" i="7"/>
  <c r="Q173" i="7"/>
  <c r="Q171" i="7"/>
  <c r="Q169" i="7"/>
  <c r="Q167" i="7"/>
  <c r="Q165" i="7"/>
  <c r="Q164" i="7"/>
  <c r="Q163" i="7"/>
  <c r="Q161" i="7"/>
  <c r="Q159" i="7"/>
  <c r="Q157" i="7"/>
  <c r="Q155" i="7"/>
  <c r="Q153" i="7"/>
  <c r="Q151" i="7"/>
  <c r="Q149" i="7"/>
  <c r="Q147" i="7"/>
  <c r="Q145" i="7"/>
  <c r="Q143" i="7"/>
  <c r="Q141" i="7"/>
  <c r="Q139" i="7"/>
  <c r="Q137" i="7"/>
  <c r="Q135" i="7"/>
  <c r="Q133" i="7"/>
  <c r="Q131" i="7"/>
  <c r="Q129" i="7"/>
  <c r="Q127" i="7"/>
  <c r="Q125" i="7"/>
  <c r="Q123" i="7"/>
  <c r="Q121" i="7"/>
  <c r="Q119" i="7"/>
  <c r="Q117" i="7"/>
  <c r="Q115" i="7"/>
  <c r="Q113" i="7"/>
  <c r="Q111" i="7"/>
  <c r="Q109" i="7"/>
  <c r="Q107" i="7"/>
  <c r="Q105" i="7"/>
  <c r="Q103" i="7"/>
  <c r="Q101" i="7"/>
  <c r="Q99" i="7"/>
  <c r="Q97" i="7"/>
  <c r="Q95" i="7"/>
  <c r="Q93" i="7"/>
  <c r="Q91" i="7"/>
  <c r="Q89" i="7"/>
  <c r="Q87" i="7"/>
  <c r="Q85" i="7"/>
  <c r="Q83" i="7"/>
  <c r="Q81" i="7"/>
  <c r="Q79" i="7"/>
  <c r="Q77" i="7"/>
  <c r="Q75" i="7"/>
  <c r="Q73" i="7"/>
  <c r="Q71" i="7"/>
  <c r="Q69" i="7"/>
  <c r="Q67" i="7"/>
  <c r="Q65" i="7"/>
  <c r="Q63" i="7"/>
  <c r="Q61" i="7"/>
  <c r="Q59" i="7"/>
  <c r="Q57" i="7"/>
  <c r="Q55" i="7"/>
  <c r="Q53" i="7"/>
  <c r="Q162" i="7"/>
  <c r="Q160" i="7"/>
  <c r="Q158" i="7"/>
  <c r="Q156" i="7"/>
  <c r="Q154" i="7"/>
  <c r="Q152" i="7"/>
  <c r="Q150" i="7"/>
  <c r="Q148" i="7"/>
  <c r="Q146" i="7"/>
  <c r="Q144" i="7"/>
  <c r="Q142" i="7"/>
  <c r="Q140" i="7"/>
  <c r="Q138" i="7"/>
  <c r="Q136" i="7"/>
  <c r="Q134" i="7"/>
  <c r="Q132" i="7"/>
  <c r="Q130" i="7"/>
  <c r="Q128" i="7"/>
  <c r="Q126" i="7"/>
  <c r="Q124" i="7"/>
  <c r="Q122" i="7"/>
  <c r="Q120" i="7"/>
  <c r="Q118" i="7"/>
  <c r="Q116" i="7"/>
  <c r="Q114" i="7"/>
  <c r="Q112" i="7"/>
  <c r="Q110" i="7"/>
  <c r="N2" i="7"/>
  <c r="R2" i="7"/>
  <c r="P3" i="7"/>
  <c r="N4" i="7"/>
  <c r="R4" i="7"/>
  <c r="P5" i="7"/>
  <c r="R6" i="7"/>
  <c r="P7" i="7"/>
  <c r="N8" i="7"/>
  <c r="R8" i="7"/>
  <c r="P9" i="7"/>
  <c r="N10" i="7"/>
  <c r="R10" i="7"/>
  <c r="P11" i="7"/>
  <c r="N12" i="7"/>
  <c r="R12" i="7"/>
  <c r="P13" i="7"/>
  <c r="N14" i="7"/>
  <c r="R14" i="7"/>
  <c r="P15" i="7"/>
  <c r="N16" i="7"/>
  <c r="R16" i="7"/>
  <c r="P17" i="7"/>
  <c r="N18" i="7"/>
  <c r="R18" i="7"/>
  <c r="P19" i="7"/>
  <c r="N20" i="7"/>
  <c r="R20" i="7"/>
  <c r="P21" i="7"/>
  <c r="N22" i="7"/>
  <c r="R22" i="7"/>
  <c r="P23" i="7"/>
  <c r="N24" i="7"/>
  <c r="R24" i="7"/>
  <c r="P25" i="7"/>
  <c r="N26" i="7"/>
  <c r="R26" i="7"/>
  <c r="P27" i="7"/>
  <c r="N28" i="7"/>
  <c r="R28" i="7"/>
  <c r="P29" i="7"/>
  <c r="N30" i="7"/>
  <c r="R30" i="7"/>
  <c r="P31" i="7"/>
  <c r="N32" i="7"/>
  <c r="R32" i="7"/>
  <c r="P33" i="7"/>
  <c r="N34" i="7"/>
  <c r="R34" i="7"/>
  <c r="P35" i="7"/>
  <c r="N36" i="7"/>
  <c r="R36" i="7"/>
  <c r="P37" i="7"/>
  <c r="N38" i="7"/>
  <c r="R38" i="7"/>
  <c r="P39" i="7"/>
  <c r="N40" i="7"/>
  <c r="R40" i="7"/>
  <c r="P41" i="7"/>
  <c r="N42" i="7"/>
  <c r="R42" i="7"/>
  <c r="P43" i="7"/>
  <c r="N44" i="7"/>
  <c r="R44" i="7"/>
  <c r="P45" i="7"/>
  <c r="N46" i="7"/>
  <c r="R46" i="7"/>
  <c r="P47" i="7"/>
  <c r="N48" i="7"/>
  <c r="R48" i="7"/>
  <c r="P49" i="7"/>
  <c r="N50" i="7"/>
  <c r="R50" i="7"/>
  <c r="P51" i="7"/>
  <c r="N52" i="7"/>
  <c r="R52" i="7"/>
  <c r="O55" i="7"/>
  <c r="S57" i="7"/>
  <c r="Q60" i="7"/>
  <c r="O63" i="7"/>
  <c r="S65" i="7"/>
  <c r="Q68" i="7"/>
  <c r="O71" i="7"/>
  <c r="S73" i="7"/>
  <c r="Q76" i="7"/>
  <c r="O79" i="7"/>
  <c r="S81" i="7"/>
  <c r="Q84" i="7"/>
  <c r="O87" i="7"/>
  <c r="S89" i="7"/>
  <c r="Q92" i="7"/>
  <c r="O95" i="7"/>
  <c r="S97" i="7"/>
  <c r="Q100" i="7"/>
  <c r="O103" i="7"/>
  <c r="S105" i="7"/>
  <c r="Q108" i="7"/>
  <c r="O10" i="7"/>
  <c r="S10" i="7"/>
  <c r="Q11" i="7"/>
  <c r="O12" i="7"/>
  <c r="S12" i="7"/>
  <c r="Q13" i="7"/>
  <c r="O14" i="7"/>
  <c r="S14" i="7"/>
  <c r="Q15" i="7"/>
  <c r="O16" i="7"/>
  <c r="S16" i="7"/>
  <c r="Q17" i="7"/>
  <c r="O18" i="7"/>
  <c r="S18" i="7"/>
  <c r="Q19" i="7"/>
  <c r="O20" i="7"/>
  <c r="S20" i="7"/>
  <c r="Q21" i="7"/>
  <c r="O22" i="7"/>
  <c r="S22" i="7"/>
  <c r="Q23" i="7"/>
  <c r="O24" i="7"/>
  <c r="S24" i="7"/>
  <c r="Q25" i="7"/>
  <c r="O26" i="7"/>
  <c r="S26" i="7"/>
  <c r="Q27" i="7"/>
  <c r="O28" i="7"/>
  <c r="S28" i="7"/>
  <c r="Q29" i="7"/>
  <c r="O30" i="7"/>
  <c r="S30" i="7"/>
  <c r="Q31" i="7"/>
  <c r="O32" i="7"/>
  <c r="S32" i="7"/>
  <c r="Q33" i="7"/>
  <c r="O34" i="7"/>
  <c r="S34" i="7"/>
  <c r="Q35" i="7"/>
  <c r="O36" i="7"/>
  <c r="S36" i="7"/>
  <c r="Q37" i="7"/>
  <c r="O38" i="7"/>
  <c r="S38" i="7"/>
  <c r="Q39" i="7"/>
  <c r="O40" i="7"/>
  <c r="S40" i="7"/>
  <c r="Q41" i="7"/>
  <c r="O42" i="7"/>
  <c r="S42" i="7"/>
  <c r="Q43" i="7"/>
  <c r="O44" i="7"/>
  <c r="S44" i="7"/>
  <c r="Q45" i="7"/>
  <c r="O46" i="7"/>
  <c r="S46" i="7"/>
  <c r="Q47" i="7"/>
  <c r="O48" i="7"/>
  <c r="S48" i="7"/>
  <c r="Q49" i="7"/>
  <c r="O50" i="7"/>
  <c r="S50" i="7"/>
  <c r="Q51" i="7"/>
  <c r="O52" i="7"/>
  <c r="O53" i="7"/>
  <c r="S55" i="7"/>
  <c r="Q58" i="7"/>
  <c r="O61" i="7"/>
  <c r="S63" i="7"/>
  <c r="Q66" i="7"/>
  <c r="O69" i="7"/>
  <c r="S71" i="7"/>
  <c r="Q74" i="7"/>
  <c r="O77" i="7"/>
  <c r="S79" i="7"/>
  <c r="Q82" i="7"/>
  <c r="O85" i="7"/>
  <c r="S87" i="7"/>
  <c r="Q90" i="7"/>
  <c r="O93" i="7"/>
  <c r="S95" i="7"/>
  <c r="Q98" i="7"/>
  <c r="O101" i="7"/>
  <c r="S103" i="7"/>
  <c r="Q106" i="7"/>
  <c r="Z18" i="10"/>
  <c r="Z22" i="10"/>
  <c r="Z26" i="10"/>
  <c r="Z30" i="10"/>
  <c r="Z34" i="10"/>
  <c r="Z42" i="10"/>
  <c r="Z46" i="10"/>
  <c r="Z50" i="10"/>
  <c r="Z54" i="10"/>
  <c r="Z58" i="10"/>
  <c r="Z29" i="10"/>
  <c r="Z45" i="10"/>
  <c r="Z57" i="10"/>
  <c r="Z19" i="10"/>
  <c r="Z23" i="10"/>
  <c r="Z27" i="10"/>
  <c r="Z31" i="10"/>
  <c r="Z35" i="10"/>
  <c r="Z39" i="10"/>
  <c r="Z43" i="10"/>
  <c r="Z47" i="10"/>
  <c r="Z51" i="10"/>
  <c r="Z55" i="10"/>
  <c r="Z33" i="10"/>
  <c r="Z37" i="10"/>
  <c r="Z49" i="10"/>
  <c r="Z20" i="10"/>
  <c r="Z24" i="10"/>
  <c r="Z28" i="10"/>
  <c r="Z32" i="10"/>
  <c r="Z36" i="10"/>
  <c r="Z40" i="10"/>
  <c r="Z44" i="10"/>
  <c r="Z48" i="10"/>
  <c r="Z52" i="10"/>
  <c r="Z56" i="10"/>
  <c r="Z21" i="10"/>
  <c r="Z25" i="10"/>
  <c r="Z41" i="10"/>
  <c r="Z53" i="10"/>
  <c r="Y18" i="10"/>
  <c r="AA18" i="10" s="1"/>
  <c r="Z17" i="10"/>
  <c r="W18" i="10"/>
  <c r="W36" i="10"/>
  <c r="U27" i="10"/>
  <c r="X23" i="10"/>
  <c r="X31" i="10"/>
  <c r="U19" i="10"/>
  <c r="U31" i="10"/>
  <c r="X19" i="10"/>
  <c r="W23" i="10"/>
  <c r="W33" i="10"/>
  <c r="U33" i="10"/>
  <c r="X28" i="10"/>
  <c r="X32" i="10"/>
  <c r="U20" i="10"/>
  <c r="U29" i="10"/>
  <c r="X25" i="10"/>
  <c r="X21" i="10"/>
  <c r="U21" i="10"/>
  <c r="X22" i="10"/>
  <c r="U22" i="10"/>
  <c r="U26" i="10"/>
  <c r="U30" i="10"/>
  <c r="U34" i="10"/>
  <c r="X30" i="10"/>
  <c r="X26" i="10"/>
  <c r="U18" i="10"/>
  <c r="X33" i="10"/>
  <c r="W25" i="10"/>
  <c r="W29" i="10"/>
  <c r="X34" i="10"/>
  <c r="U17" i="10"/>
  <c r="W17" i="10"/>
  <c r="V37" i="10"/>
  <c r="Y45" i="10"/>
  <c r="AA45" i="10" s="1"/>
  <c r="Y47" i="10"/>
  <c r="AA47" i="10" s="1"/>
  <c r="Y49" i="10"/>
  <c r="AA49" i="10" s="1"/>
  <c r="Y51" i="10"/>
  <c r="AA51" i="10" s="1"/>
  <c r="Y53" i="10"/>
  <c r="AA53" i="10" s="1"/>
  <c r="Y55" i="10"/>
  <c r="AA55" i="10" s="1"/>
  <c r="Y57" i="10"/>
  <c r="AA57" i="10" s="1"/>
  <c r="Y41" i="10"/>
  <c r="AA41" i="10" s="1"/>
  <c r="J39" i="10"/>
  <c r="I39" i="10"/>
  <c r="L39" i="10"/>
  <c r="K39" i="10"/>
  <c r="Y42" i="10"/>
  <c r="AA42" i="10" s="1"/>
  <c r="Y39" i="10"/>
  <c r="AA39" i="10" s="1"/>
  <c r="Y43" i="10"/>
  <c r="AA43" i="10" s="1"/>
  <c r="Y46" i="10"/>
  <c r="AA46" i="10" s="1"/>
  <c r="Y48" i="10"/>
  <c r="AA48" i="10" s="1"/>
  <c r="Y50" i="10"/>
  <c r="AA50" i="10" s="1"/>
  <c r="Y52" i="10"/>
  <c r="AA52" i="10" s="1"/>
  <c r="Y54" i="10"/>
  <c r="AA54" i="10" s="1"/>
  <c r="Y56" i="10"/>
  <c r="AA56" i="10" s="1"/>
  <c r="Y58" i="10"/>
  <c r="AA58" i="10" s="1"/>
  <c r="Y40" i="10"/>
  <c r="AA40" i="10" s="1"/>
  <c r="Y44" i="10"/>
  <c r="AA44" i="10" s="1"/>
  <c r="Y37" i="10"/>
  <c r="Y36" i="10"/>
  <c r="AA36" i="10" s="1"/>
  <c r="Y33" i="10"/>
  <c r="Y25" i="10"/>
  <c r="Y17" i="10"/>
  <c r="Y32" i="10"/>
  <c r="Y20" i="10"/>
  <c r="AA20" i="10" s="1"/>
  <c r="Y21" i="10"/>
  <c r="Y24" i="10"/>
  <c r="AA24" i="10" s="1"/>
  <c r="Y35" i="10"/>
  <c r="AA35" i="10" s="1"/>
  <c r="Y31" i="10"/>
  <c r="Y27" i="10"/>
  <c r="Y23" i="10"/>
  <c r="Y19" i="10"/>
  <c r="AA19" i="10" s="1"/>
  <c r="Y29" i="10"/>
  <c r="AA29" i="10" s="1"/>
  <c r="Y28" i="10"/>
  <c r="Y34" i="10"/>
  <c r="Y30" i="10"/>
  <c r="AA30" i="10" s="1"/>
  <c r="Y26" i="10"/>
  <c r="Y22" i="10"/>
  <c r="I17" i="10"/>
  <c r="J17" i="10"/>
  <c r="L17" i="10"/>
  <c r="K17" i="10"/>
  <c r="I18" i="10"/>
  <c r="L18" i="10"/>
  <c r="K18" i="10"/>
  <c r="J18" i="10"/>
  <c r="I22" i="10"/>
  <c r="L22" i="10"/>
  <c r="K22" i="10"/>
  <c r="J22" i="10"/>
  <c r="I29" i="10"/>
  <c r="L29" i="10"/>
  <c r="K29" i="10"/>
  <c r="J29" i="10"/>
  <c r="I25" i="10"/>
  <c r="L25" i="10"/>
  <c r="K25" i="10"/>
  <c r="J25" i="10"/>
  <c r="I30" i="10"/>
  <c r="L30" i="10"/>
  <c r="K30" i="10"/>
  <c r="J30" i="10"/>
  <c r="I28" i="10"/>
  <c r="L28" i="10"/>
  <c r="K28" i="10"/>
  <c r="J28" i="10"/>
  <c r="I24" i="10"/>
  <c r="L24" i="10"/>
  <c r="K24" i="10"/>
  <c r="J24" i="10"/>
  <c r="I20" i="10"/>
  <c r="L20" i="10"/>
  <c r="K20" i="10"/>
  <c r="J20" i="10"/>
  <c r="I26" i="10"/>
  <c r="L26" i="10"/>
  <c r="K26" i="10"/>
  <c r="J26" i="10"/>
  <c r="I31" i="10"/>
  <c r="L31" i="10"/>
  <c r="K31" i="10"/>
  <c r="J31" i="10"/>
  <c r="I27" i="10"/>
  <c r="L27" i="10"/>
  <c r="K27" i="10"/>
  <c r="J27" i="10"/>
  <c r="I23" i="10"/>
  <c r="J23" i="10"/>
  <c r="L23" i="10"/>
  <c r="K23" i="10"/>
  <c r="I19" i="10"/>
  <c r="J19" i="10"/>
  <c r="L19" i="10"/>
  <c r="K19" i="10"/>
  <c r="I35" i="10"/>
  <c r="L35" i="10"/>
  <c r="K35" i="10"/>
  <c r="J35" i="10"/>
  <c r="I33" i="10"/>
  <c r="L33" i="10"/>
  <c r="K33" i="10"/>
  <c r="J33" i="10"/>
  <c r="I34" i="10"/>
  <c r="L34" i="10"/>
  <c r="K34" i="10"/>
  <c r="J34" i="10"/>
  <c r="I32" i="10"/>
  <c r="L32" i="10"/>
  <c r="K32" i="10"/>
  <c r="J32" i="10"/>
  <c r="I36" i="10"/>
  <c r="L36" i="10"/>
  <c r="K36" i="10"/>
  <c r="J36" i="10"/>
  <c r="L21" i="10"/>
  <c r="K21" i="10"/>
  <c r="J21" i="10"/>
  <c r="I21" i="10"/>
  <c r="Z25" i="5"/>
  <c r="Z23" i="5"/>
  <c r="Z19" i="5"/>
  <c r="Z17" i="5"/>
  <c r="Z15" i="5"/>
  <c r="Z13" i="5"/>
  <c r="Z11" i="5"/>
  <c r="Z10" i="5"/>
  <c r="Z31" i="5" s="1"/>
  <c r="Z7" i="5"/>
  <c r="U25" i="5"/>
  <c r="U23" i="5"/>
  <c r="U19" i="5"/>
  <c r="U17" i="5"/>
  <c r="U15" i="5"/>
  <c r="U13" i="5"/>
  <c r="U11" i="5"/>
  <c r="U10" i="5"/>
  <c r="U31" i="5" s="1"/>
  <c r="U7" i="5"/>
  <c r="P25" i="5"/>
  <c r="P23" i="5"/>
  <c r="P19" i="5"/>
  <c r="P17" i="5"/>
  <c r="P15" i="5"/>
  <c r="P13" i="5"/>
  <c r="P11" i="5"/>
  <c r="P10" i="5"/>
  <c r="P31" i="5" s="1"/>
  <c r="P7" i="5"/>
  <c r="AF2" i="16" l="1"/>
  <c r="AF3" i="16"/>
  <c r="AF4" i="16"/>
  <c r="AF5" i="16"/>
  <c r="AF6" i="16"/>
  <c r="AF7" i="16"/>
  <c r="H11" i="16"/>
  <c r="I11" i="16" s="1"/>
  <c r="J12" i="16"/>
  <c r="K12" i="16"/>
  <c r="AF9" i="16"/>
  <c r="AD9" i="16"/>
  <c r="AE9" i="16"/>
  <c r="Q10" i="16"/>
  <c r="Y9" i="16"/>
  <c r="AB9" i="16"/>
  <c r="X9" i="16"/>
  <c r="U9" i="16"/>
  <c r="AC9" i="16"/>
  <c r="W9" i="16"/>
  <c r="T9" i="16"/>
  <c r="V9" i="16"/>
  <c r="I10" i="16"/>
  <c r="G12" i="16"/>
  <c r="S9" i="16"/>
  <c r="AA9" i="16"/>
  <c r="Z10" i="16"/>
  <c r="O10" i="16"/>
  <c r="L11" i="16"/>
  <c r="M11" i="16" s="1"/>
  <c r="B9" i="16" s="1"/>
  <c r="AA27" i="10"/>
  <c r="AA33" i="10"/>
  <c r="AA26" i="10"/>
  <c r="AA31" i="10"/>
  <c r="AA17" i="10"/>
  <c r="AA23" i="10"/>
  <c r="AA22" i="10"/>
  <c r="AA28" i="10"/>
  <c r="AA25" i="10"/>
  <c r="AA21" i="10"/>
  <c r="AA32" i="10"/>
  <c r="W37" i="10"/>
  <c r="U37" i="10"/>
  <c r="X37" i="10" s="1"/>
  <c r="AA37" i="10" s="1"/>
  <c r="AA34" i="10"/>
  <c r="P29" i="5"/>
  <c r="Z29" i="5"/>
  <c r="Z30" i="5"/>
  <c r="Z27" i="5"/>
  <c r="U29" i="5"/>
  <c r="U30" i="5"/>
  <c r="U27" i="5"/>
  <c r="P30" i="5"/>
  <c r="P27" i="5"/>
  <c r="B11" i="16" l="1"/>
  <c r="J13" i="16"/>
  <c r="K13" i="16"/>
  <c r="B8" i="16"/>
  <c r="AF10" i="16"/>
  <c r="AD10" i="16"/>
  <c r="AE10" i="16"/>
  <c r="X10" i="16"/>
  <c r="T10" i="16"/>
  <c r="AA10" i="16"/>
  <c r="S10" i="16"/>
  <c r="Y10" i="16"/>
  <c r="AC10" i="16"/>
  <c r="G13" i="16"/>
  <c r="L12" i="16"/>
  <c r="M12" i="16" s="1"/>
  <c r="V11" i="16"/>
  <c r="O11" i="16"/>
  <c r="B10" i="16" s="1"/>
  <c r="V10" i="16"/>
  <c r="H12" i="16"/>
  <c r="AB10" i="16"/>
  <c r="W10" i="16"/>
  <c r="U10" i="16"/>
  <c r="Q11" i="16"/>
  <c r="P28" i="5"/>
  <c r="R27" i="5" s="1"/>
  <c r="Z28" i="5"/>
  <c r="AB27" i="5" s="1"/>
  <c r="AB6" i="5" s="1"/>
  <c r="AB7" i="5" s="1"/>
  <c r="U28" i="5"/>
  <c r="W27" i="5" s="1"/>
  <c r="W17" i="5" s="1"/>
  <c r="W18" i="5" s="1"/>
  <c r="C3" i="6"/>
  <c r="C4" i="6" s="1"/>
  <c r="J14" i="16"/>
  <c r="K14" i="16"/>
  <c r="AE11" i="16"/>
  <c r="AF11" i="16"/>
  <c r="AD11" i="16"/>
  <c r="S11" i="16"/>
  <c r="G14" i="16"/>
  <c r="Y11" i="16"/>
  <c r="T11" i="16"/>
  <c r="AA11" i="16"/>
  <c r="AB11" i="16"/>
  <c r="U11" i="16"/>
  <c r="Z11" i="16"/>
  <c r="AC12" i="16"/>
  <c r="O12" i="16"/>
  <c r="Q12" i="16"/>
  <c r="X11" i="16"/>
  <c r="W11" i="16"/>
  <c r="AC11" i="16"/>
  <c r="I12" i="16"/>
  <c r="W6" i="5"/>
  <c r="W7" i="5" s="1"/>
  <c r="AB12" i="5"/>
  <c r="AB15" i="5"/>
  <c r="AB16" i="5" s="1"/>
  <c r="AB19" i="5"/>
  <c r="AB20" i="5" s="1"/>
  <c r="AB11" i="5"/>
  <c r="AB13" i="5"/>
  <c r="AB14" i="5" s="1"/>
  <c r="AB17" i="5"/>
  <c r="AB18" i="5" s="1"/>
  <c r="W13" i="5"/>
  <c r="W14" i="5" s="1"/>
  <c r="W12" i="5"/>
  <c r="W19" i="5"/>
  <c r="W20" i="5" s="1"/>
  <c r="J15" i="16"/>
  <c r="K15" i="16"/>
  <c r="AD12" i="16"/>
  <c r="AF12" i="16"/>
  <c r="AE12" i="16"/>
  <c r="AB13" i="16"/>
  <c r="S12" i="16"/>
  <c r="G15" i="16"/>
  <c r="V12" i="16"/>
  <c r="W12" i="16"/>
  <c r="AA12" i="16"/>
  <c r="U12" i="16"/>
  <c r="Z12" i="16"/>
  <c r="X12" i="16"/>
  <c r="T12" i="16"/>
  <c r="Y12" i="16"/>
  <c r="AB12" i="16"/>
  <c r="K13" i="6"/>
  <c r="K12" i="6"/>
  <c r="K11" i="6"/>
  <c r="K10" i="6"/>
  <c r="K9" i="6"/>
  <c r="K8" i="6"/>
  <c r="K7" i="6"/>
  <c r="M7" i="6" s="1"/>
  <c r="R5" i="6"/>
  <c r="R7" i="6" s="1"/>
  <c r="R9" i="6" s="1"/>
  <c r="R11" i="6" s="1"/>
  <c r="R13" i="6" s="1"/>
  <c r="Q3" i="6"/>
  <c r="P3" i="6"/>
  <c r="P13" i="6" s="1"/>
  <c r="K6" i="6"/>
  <c r="O6" i="6" s="1"/>
  <c r="J16" i="16"/>
  <c r="K16" i="16"/>
  <c r="AE13" i="16"/>
  <c r="AF13" i="16"/>
  <c r="AD13" i="16"/>
  <c r="AC13" i="16"/>
  <c r="X13" i="16"/>
  <c r="Y13" i="16"/>
  <c r="Z13" i="16"/>
  <c r="S13" i="16"/>
  <c r="W13" i="16"/>
  <c r="G16" i="16"/>
  <c r="Z14" i="16"/>
  <c r="V13" i="16"/>
  <c r="AA13" i="16"/>
  <c r="T13" i="16"/>
  <c r="U13" i="16"/>
  <c r="R6" i="6"/>
  <c r="R8" i="6" s="1"/>
  <c r="R10" i="6" s="1"/>
  <c r="R12" i="6" s="1"/>
  <c r="Q7" i="6"/>
  <c r="P8" i="6"/>
  <c r="P9" i="6"/>
  <c r="P10" i="6"/>
  <c r="P11" i="6"/>
  <c r="P12" i="6"/>
  <c r="M8" i="6"/>
  <c r="N8" i="6" s="1"/>
  <c r="Q8" i="6"/>
  <c r="M9" i="6"/>
  <c r="N9" i="6" s="1"/>
  <c r="Q9" i="6"/>
  <c r="M10" i="6"/>
  <c r="N10" i="6" s="1"/>
  <c r="Q10" i="6"/>
  <c r="M11" i="6"/>
  <c r="N11" i="6" s="1"/>
  <c r="Q11" i="6"/>
  <c r="M12" i="6"/>
  <c r="N12" i="6" s="1"/>
  <c r="Q12" i="6"/>
  <c r="M13" i="6"/>
  <c r="N13" i="6" s="1"/>
  <c r="Q13" i="6"/>
  <c r="O7" i="6"/>
  <c r="O8" i="6"/>
  <c r="O9" i="6"/>
  <c r="O10" i="6"/>
  <c r="O11" i="6"/>
  <c r="O12" i="6"/>
  <c r="O13" i="6"/>
  <c r="N7" i="6"/>
  <c r="P6" i="6"/>
  <c r="K5" i="6"/>
  <c r="Q6" i="6"/>
  <c r="P7" i="6"/>
  <c r="M6" i="6"/>
  <c r="W15" i="5" l="1"/>
  <c r="W16" i="5" s="1"/>
  <c r="W11" i="5"/>
  <c r="J17" i="16"/>
  <c r="K17" i="16"/>
  <c r="AD14" i="16"/>
  <c r="AE14" i="16"/>
  <c r="AF14" i="16"/>
  <c r="S14" i="16"/>
  <c r="V14" i="16"/>
  <c r="X14" i="16"/>
  <c r="AC14" i="16"/>
  <c r="T14" i="16"/>
  <c r="U14" i="16"/>
  <c r="W14" i="16"/>
  <c r="Y14" i="16"/>
  <c r="AA14" i="16"/>
  <c r="AB14" i="16"/>
  <c r="AC15" i="16"/>
  <c r="G17" i="16"/>
  <c r="C10" i="5"/>
  <c r="C3" i="5" s="1"/>
  <c r="O5" i="6"/>
  <c r="Q5" i="6"/>
  <c r="S10" i="6"/>
  <c r="S13" i="6"/>
  <c r="S12" i="6"/>
  <c r="S8" i="6"/>
  <c r="S7" i="6"/>
  <c r="P5" i="6"/>
  <c r="S9" i="6"/>
  <c r="S11" i="6"/>
  <c r="N6" i="6"/>
  <c r="S6" i="6" s="1"/>
  <c r="M5" i="6"/>
  <c r="L5" i="6"/>
  <c r="B8" i="4"/>
  <c r="B7" i="4"/>
  <c r="B6" i="4"/>
  <c r="J18" i="16"/>
  <c r="K18" i="16"/>
  <c r="AF15" i="16"/>
  <c r="AD15" i="16"/>
  <c r="AE15" i="16"/>
  <c r="X15" i="16"/>
  <c r="AB15" i="16"/>
  <c r="U15" i="16"/>
  <c r="W15" i="16"/>
  <c r="T15" i="16"/>
  <c r="V15" i="16"/>
  <c r="Y15" i="16"/>
  <c r="X16" i="16"/>
  <c r="G18" i="16"/>
  <c r="S15" i="16"/>
  <c r="Z15" i="16"/>
  <c r="AA15" i="16"/>
  <c r="N5" i="6"/>
  <c r="R6" i="5"/>
  <c r="R7" i="5" s="1"/>
  <c r="C6" i="4"/>
  <c r="C7" i="4"/>
  <c r="C8" i="4"/>
  <c r="R5" i="4"/>
  <c r="Q5" i="4"/>
  <c r="P5" i="4"/>
  <c r="O5" i="4"/>
  <c r="M5" i="4"/>
  <c r="L5" i="4"/>
  <c r="N5" i="4"/>
  <c r="O14" i="4"/>
  <c r="O13" i="4"/>
  <c r="O12" i="4"/>
  <c r="O11" i="4"/>
  <c r="O10" i="4"/>
  <c r="O9" i="4"/>
  <c r="O8" i="4"/>
  <c r="O7" i="4"/>
  <c r="O6" i="4"/>
  <c r="K14" i="4"/>
  <c r="Q14" i="4" s="1"/>
  <c r="Q13" i="4"/>
  <c r="M13" i="4"/>
  <c r="K13" i="4"/>
  <c r="P13" i="4" s="1"/>
  <c r="P12" i="4"/>
  <c r="M12" i="4"/>
  <c r="N12" i="4"/>
  <c r="K12" i="4"/>
  <c r="K11" i="4"/>
  <c r="Q11" i="4" s="1"/>
  <c r="K10" i="4"/>
  <c r="Q10" i="4" s="1"/>
  <c r="Q9" i="4"/>
  <c r="M9" i="4"/>
  <c r="K9" i="4"/>
  <c r="P9" i="4" s="1"/>
  <c r="K8" i="4"/>
  <c r="K7" i="4"/>
  <c r="Q7" i="4" s="1"/>
  <c r="K6" i="4"/>
  <c r="Q6" i="4" s="1"/>
  <c r="J19" i="16"/>
  <c r="K19" i="16"/>
  <c r="AE16" i="16"/>
  <c r="AF16" i="16"/>
  <c r="AD16" i="16"/>
  <c r="Y16" i="16"/>
  <c r="S16" i="16"/>
  <c r="U16" i="16"/>
  <c r="AB16" i="16"/>
  <c r="W16" i="16"/>
  <c r="AA16" i="16"/>
  <c r="AC16" i="16"/>
  <c r="Z16" i="16"/>
  <c r="G19" i="16"/>
  <c r="T16" i="16"/>
  <c r="W17" i="16"/>
  <c r="V16" i="16"/>
  <c r="R11" i="5"/>
  <c r="R19" i="5"/>
  <c r="R20" i="5" s="1"/>
  <c r="R15" i="5"/>
  <c r="R16" i="5" s="1"/>
  <c r="R17" i="5"/>
  <c r="R18" i="5" s="1"/>
  <c r="R12" i="5"/>
  <c r="R13" i="5"/>
  <c r="R14" i="5" s="1"/>
  <c r="C27" i="5"/>
  <c r="G5" i="6"/>
  <c r="C4" i="4"/>
  <c r="C2" i="4" s="1"/>
  <c r="M8" i="4"/>
  <c r="P8" i="4"/>
  <c r="Q8" i="4"/>
  <c r="P7" i="4"/>
  <c r="P11" i="4"/>
  <c r="Q12" i="4"/>
  <c r="M7" i="4"/>
  <c r="P10" i="4"/>
  <c r="M11" i="4"/>
  <c r="P14" i="4"/>
  <c r="N9" i="4"/>
  <c r="M10" i="4"/>
  <c r="N13" i="4"/>
  <c r="M14" i="4"/>
  <c r="K5" i="4"/>
  <c r="P6" i="4"/>
  <c r="M6" i="4"/>
  <c r="K20" i="16"/>
  <c r="J20" i="16"/>
  <c r="AF17" i="16"/>
  <c r="AD17" i="16"/>
  <c r="AE17" i="16"/>
  <c r="X17" i="16"/>
  <c r="T17" i="16"/>
  <c r="Y17" i="16"/>
  <c r="AC17" i="16"/>
  <c r="S17" i="16"/>
  <c r="Z17" i="16"/>
  <c r="U17" i="16"/>
  <c r="AB17" i="16"/>
  <c r="AA17" i="16"/>
  <c r="V17" i="16"/>
  <c r="G20" i="16"/>
  <c r="Z18" i="16"/>
  <c r="K21" i="16" s="1"/>
  <c r="C15" i="5"/>
  <c r="C19" i="5"/>
  <c r="C20" i="5" s="1"/>
  <c r="N8" i="4"/>
  <c r="N14" i="4"/>
  <c r="N10" i="4"/>
  <c r="N7" i="4"/>
  <c r="N11" i="4"/>
  <c r="N6" i="4"/>
  <c r="C9" i="1"/>
  <c r="C16" i="5" l="1"/>
  <c r="C6" i="5"/>
  <c r="C13" i="5"/>
  <c r="C14" i="5" s="1"/>
  <c r="C17" i="5"/>
  <c r="C18" i="5" s="1"/>
  <c r="AF18" i="16"/>
  <c r="AD18" i="16"/>
  <c r="AE18" i="16"/>
  <c r="AC18" i="16"/>
  <c r="X18" i="16"/>
  <c r="S18" i="16"/>
  <c r="T18" i="16"/>
  <c r="U18" i="16"/>
  <c r="W18" i="16"/>
  <c r="Y18" i="16"/>
  <c r="AA18" i="16"/>
  <c r="AB18" i="16"/>
  <c r="G21" i="16"/>
  <c r="V18" i="16"/>
  <c r="AC19" i="16"/>
  <c r="F5" i="4"/>
  <c r="Q9" i="2"/>
  <c r="Q5" i="2"/>
  <c r="AE19" i="16"/>
  <c r="AF19" i="16"/>
  <c r="AD19" i="16"/>
  <c r="S19" i="16"/>
  <c r="Z19" i="16"/>
  <c r="X19" i="16"/>
  <c r="U19" i="16"/>
  <c r="V19" i="16"/>
  <c r="Y19" i="16"/>
  <c r="AB19" i="16"/>
  <c r="W19" i="16"/>
  <c r="T19" i="16"/>
  <c r="AA19" i="16"/>
  <c r="X20" i="16"/>
  <c r="G22" i="16"/>
  <c r="J11" i="2"/>
  <c r="J10" i="2"/>
  <c r="P10" i="1"/>
  <c r="O10" i="1"/>
  <c r="N10" i="1"/>
  <c r="M10" i="1"/>
  <c r="L10" i="1"/>
  <c r="K10" i="1"/>
  <c r="M8" i="1"/>
  <c r="N8" i="1" s="1"/>
  <c r="O8" i="1" s="1"/>
  <c r="P8" i="1" s="1"/>
  <c r="L8" i="1"/>
  <c r="G9" i="1"/>
  <c r="P9" i="1" s="1"/>
  <c r="C7" i="5" l="1"/>
  <c r="AD20" i="16"/>
  <c r="AE20" i="16"/>
  <c r="AF20" i="16"/>
  <c r="W20" i="16"/>
  <c r="S20" i="16"/>
  <c r="Y20" i="16"/>
  <c r="AC20" i="16"/>
  <c r="U20" i="16"/>
  <c r="Z20" i="16"/>
  <c r="AA20" i="16"/>
  <c r="AB20" i="16"/>
  <c r="T20" i="16"/>
  <c r="G23" i="16"/>
  <c r="V20" i="16"/>
  <c r="AB21" i="16"/>
  <c r="L10" i="2"/>
  <c r="P10" i="2"/>
  <c r="K10" i="2"/>
  <c r="M10" i="2" s="1"/>
  <c r="O10" i="2"/>
  <c r="N10" i="2"/>
  <c r="P11" i="2"/>
  <c r="K11" i="2"/>
  <c r="M11" i="2" s="1"/>
  <c r="O11" i="2"/>
  <c r="N11" i="2"/>
  <c r="L11" i="2"/>
  <c r="M9" i="1"/>
  <c r="N9" i="1"/>
  <c r="K9" i="1"/>
  <c r="O9" i="1"/>
  <c r="L9" i="1"/>
  <c r="H9" i="1"/>
  <c r="I9" i="1" s="1"/>
  <c r="F9" i="1" s="1"/>
  <c r="AF21" i="16" l="1"/>
  <c r="AD21" i="16"/>
  <c r="AE21" i="16"/>
  <c r="X21" i="16"/>
  <c r="AC21" i="16"/>
  <c r="S21" i="16"/>
  <c r="W21" i="16"/>
  <c r="T21" i="16"/>
  <c r="U21" i="16"/>
  <c r="V21" i="16"/>
  <c r="AA21" i="16"/>
  <c r="G24" i="16"/>
  <c r="Z22" i="16"/>
  <c r="Y21" i="16"/>
  <c r="Z21" i="16"/>
  <c r="C5" i="2"/>
  <c r="J6" i="2"/>
  <c r="J9" i="2"/>
  <c r="J8" i="2"/>
  <c r="J7" i="2"/>
  <c r="AF22" i="16"/>
  <c r="AD22" i="16"/>
  <c r="AE22" i="16"/>
  <c r="AC22" i="16"/>
  <c r="AA22" i="16"/>
  <c r="Y22" i="16"/>
  <c r="AB22" i="16"/>
  <c r="T22" i="16"/>
  <c r="U22" i="16"/>
  <c r="W22" i="16"/>
  <c r="S22" i="16"/>
  <c r="X22" i="16"/>
  <c r="V22" i="16"/>
  <c r="G25" i="16"/>
  <c r="AC23" i="16"/>
  <c r="O8" i="2"/>
  <c r="N8" i="2"/>
  <c r="L8" i="2"/>
  <c r="P8" i="2"/>
  <c r="K8" i="2"/>
  <c r="M8" i="2" s="1"/>
  <c r="N9" i="2"/>
  <c r="L9" i="2"/>
  <c r="P9" i="2"/>
  <c r="K9" i="2"/>
  <c r="M9" i="2" s="1"/>
  <c r="O9" i="2"/>
  <c r="L6" i="2"/>
  <c r="K6" i="2"/>
  <c r="P6" i="2"/>
  <c r="P5" i="2" s="1"/>
  <c r="O6" i="2"/>
  <c r="N6" i="2"/>
  <c r="P7" i="2"/>
  <c r="K7" i="2"/>
  <c r="M7" i="2" s="1"/>
  <c r="O7" i="2"/>
  <c r="N7" i="2"/>
  <c r="L7" i="2"/>
  <c r="J5" i="2"/>
  <c r="AD23" i="16"/>
  <c r="AE23" i="16"/>
  <c r="AF23" i="16"/>
  <c r="S23" i="16"/>
  <c r="Z23" i="16"/>
  <c r="X23" i="16"/>
  <c r="U23" i="16"/>
  <c r="W23" i="16"/>
  <c r="V23" i="16"/>
  <c r="Y23" i="16"/>
  <c r="G26" i="16"/>
  <c r="AB23" i="16"/>
  <c r="T23" i="16"/>
  <c r="AA23" i="16"/>
  <c r="U24" i="16"/>
  <c r="K5" i="2"/>
  <c r="M6" i="2"/>
  <c r="N5" i="2"/>
  <c r="L5" i="2"/>
  <c r="O5" i="2"/>
  <c r="M5" i="2"/>
  <c r="AF24" i="16"/>
  <c r="AD24" i="16"/>
  <c r="AE24" i="16"/>
  <c r="S24" i="16"/>
  <c r="Y24" i="16"/>
  <c r="AC24" i="16"/>
  <c r="V24" i="16"/>
  <c r="X24" i="16"/>
  <c r="W24" i="16"/>
  <c r="Z24" i="16"/>
  <c r="AA24" i="16"/>
  <c r="AB24" i="16"/>
  <c r="T24" i="16"/>
  <c r="AB25" i="16"/>
  <c r="G27" i="16"/>
  <c r="F5" i="2"/>
  <c r="C3" i="2" s="1"/>
  <c r="AD25" i="16" l="1"/>
  <c r="AE25" i="16"/>
  <c r="AF25" i="16"/>
  <c r="Z25" i="16"/>
  <c r="T25" i="16"/>
  <c r="Y25" i="16"/>
  <c r="X25" i="16"/>
  <c r="W25" i="16"/>
  <c r="S25" i="16"/>
  <c r="AC25" i="16"/>
  <c r="AA25" i="16"/>
  <c r="G28" i="16"/>
  <c r="U25" i="16"/>
  <c r="V25" i="16"/>
  <c r="X26" i="16"/>
  <c r="C3" i="1"/>
  <c r="C6" i="1" s="1"/>
  <c r="C3" i="4"/>
  <c r="AF26" i="16" l="1"/>
  <c r="AD26" i="16"/>
  <c r="AE26" i="16"/>
  <c r="V26" i="16"/>
  <c r="AB26" i="16"/>
  <c r="AC26" i="16"/>
  <c r="G29" i="16"/>
  <c r="Z26" i="16"/>
  <c r="S26" i="16"/>
  <c r="AA27" i="16"/>
  <c r="AA26" i="16"/>
  <c r="U26" i="16"/>
  <c r="T26" i="16"/>
  <c r="Y26" i="16"/>
  <c r="W26" i="16"/>
  <c r="J9" i="1"/>
  <c r="AE27" i="16"/>
  <c r="AF27" i="16"/>
  <c r="AD27" i="16"/>
  <c r="X27" i="16"/>
  <c r="Y27" i="16"/>
  <c r="AB27" i="16"/>
  <c r="T27" i="16"/>
  <c r="AC27" i="16"/>
  <c r="S27" i="16"/>
  <c r="U27" i="16"/>
  <c r="Z27" i="16"/>
  <c r="G30" i="16"/>
  <c r="W27" i="16"/>
  <c r="V27" i="16"/>
  <c r="V28" i="16"/>
  <c r="AD28" i="16"/>
  <c r="AE28" i="16"/>
  <c r="AF28" i="16"/>
  <c r="AA28" i="16"/>
  <c r="U28" i="16"/>
  <c r="T28" i="16"/>
  <c r="S28" i="16"/>
  <c r="Y28" i="16"/>
  <c r="U29" i="16"/>
  <c r="Z28" i="16"/>
  <c r="X28" i="16"/>
  <c r="W28" i="16"/>
  <c r="AB28" i="16"/>
  <c r="AC28" i="16"/>
  <c r="G31" i="16"/>
  <c r="AF29" i="16" l="1"/>
  <c r="AD29" i="16"/>
  <c r="AE29" i="16"/>
  <c r="Z29" i="16"/>
  <c r="W29" i="16"/>
  <c r="X29" i="16"/>
  <c r="Y29" i="16"/>
  <c r="V29" i="16"/>
  <c r="AA29" i="16"/>
  <c r="AB29" i="16"/>
  <c r="AC29" i="16"/>
  <c r="G32" i="16"/>
  <c r="AB30" i="16"/>
  <c r="S29" i="16"/>
  <c r="T29" i="16"/>
  <c r="AE30" i="16"/>
  <c r="AD30" i="16"/>
  <c r="AF30" i="16"/>
  <c r="Z30" i="16"/>
  <c r="U30" i="16"/>
  <c r="W30" i="16"/>
  <c r="Y30" i="16"/>
  <c r="T30" i="16"/>
  <c r="AC30" i="16"/>
  <c r="S30" i="16"/>
  <c r="X30" i="16"/>
  <c r="G33" i="16"/>
  <c r="V30" i="16"/>
  <c r="AA30" i="16"/>
  <c r="Y31" i="16"/>
  <c r="AE31" i="16"/>
  <c r="AD31" i="16"/>
  <c r="AF31" i="16"/>
  <c r="AB31" i="16"/>
  <c r="S31" i="16"/>
  <c r="AC31" i="16"/>
  <c r="W31" i="16"/>
  <c r="T31" i="16"/>
  <c r="V31" i="16"/>
  <c r="AA31" i="16"/>
  <c r="X31" i="16"/>
  <c r="U31" i="16"/>
  <c r="Z31" i="16"/>
  <c r="AC32" i="16"/>
  <c r="G34" i="16"/>
  <c r="AD32" i="16"/>
  <c r="AE32" i="16"/>
  <c r="AF32" i="16"/>
  <c r="AA32" i="16"/>
  <c r="S32" i="16"/>
  <c r="X32" i="16"/>
  <c r="T32" i="16"/>
  <c r="Y32" i="16"/>
  <c r="G35" i="16"/>
  <c r="V32" i="16"/>
  <c r="AC33" i="16"/>
  <c r="U32" i="16"/>
  <c r="Z32" i="16"/>
  <c r="W32" i="16"/>
  <c r="AB32" i="16"/>
  <c r="AF33" i="16" l="1"/>
  <c r="AD33" i="16"/>
  <c r="AE33" i="16"/>
  <c r="S33" i="16"/>
  <c r="Z33" i="16"/>
  <c r="T33" i="16"/>
  <c r="U33" i="16"/>
  <c r="W33" i="16"/>
  <c r="X33" i="16"/>
  <c r="Y33" i="16"/>
  <c r="AB34" i="16"/>
  <c r="V33" i="16"/>
  <c r="AA33" i="16"/>
  <c r="AB33" i="16"/>
  <c r="G36" i="16"/>
  <c r="AF34" i="16" l="1"/>
  <c r="AD34" i="16"/>
  <c r="AE34" i="16"/>
  <c r="U34" i="16"/>
  <c r="G37" i="16"/>
  <c r="V34" i="16"/>
  <c r="AC34" i="16"/>
  <c r="Z34" i="16"/>
  <c r="S34" i="16"/>
  <c r="T34" i="16"/>
  <c r="Y34" i="16"/>
  <c r="W34" i="16"/>
  <c r="X34" i="16"/>
  <c r="AA35" i="16"/>
  <c r="AA34" i="16"/>
  <c r="AD35" i="16"/>
  <c r="AE35" i="16"/>
  <c r="AF35" i="16"/>
  <c r="T35" i="16"/>
  <c r="Y35" i="16"/>
  <c r="AB35" i="16"/>
  <c r="Z35" i="16"/>
  <c r="AC35" i="16"/>
  <c r="X35" i="16"/>
  <c r="U35" i="16"/>
  <c r="S35" i="16"/>
  <c r="W35" i="16"/>
  <c r="G38" i="16"/>
  <c r="V36" i="16"/>
  <c r="V35" i="16"/>
  <c r="AE36" i="16"/>
  <c r="W36" i="16"/>
  <c r="AF36" i="16"/>
  <c r="AD36" i="16"/>
  <c r="U36" i="16"/>
  <c r="AA36" i="16"/>
  <c r="T36" i="16"/>
  <c r="AC36" i="16"/>
  <c r="S36" i="16"/>
  <c r="AB36" i="16"/>
  <c r="Z36" i="16"/>
  <c r="X36" i="16"/>
  <c r="Y36" i="16"/>
  <c r="Z37" i="16"/>
  <c r="G39" i="16"/>
  <c r="AF37" i="16" l="1"/>
  <c r="AD37" i="16"/>
  <c r="AE37" i="16"/>
  <c r="V37" i="16"/>
  <c r="S37" i="16"/>
  <c r="T37" i="16"/>
  <c r="AB37" i="16"/>
  <c r="G40" i="16"/>
  <c r="W37" i="16"/>
  <c r="X37" i="16"/>
  <c r="Y37" i="16"/>
  <c r="AC37" i="16"/>
  <c r="AA37" i="16"/>
  <c r="U37" i="16"/>
  <c r="Y38" i="16"/>
  <c r="AD38" i="16"/>
  <c r="AF38" i="16"/>
  <c r="AE38" i="16"/>
  <c r="Z38" i="16"/>
  <c r="S38" i="16"/>
  <c r="AA38" i="16"/>
  <c r="T38" i="16"/>
  <c r="AC38" i="16"/>
  <c r="V38" i="16"/>
  <c r="AB38" i="16"/>
  <c r="AC39" i="16"/>
  <c r="U38" i="16"/>
  <c r="W38" i="16"/>
  <c r="X38" i="16"/>
  <c r="G41" i="16"/>
  <c r="AE39" i="16"/>
  <c r="AF39" i="16"/>
  <c r="AD39" i="16"/>
  <c r="T39" i="16"/>
  <c r="Y39" i="16"/>
  <c r="Z39" i="16"/>
  <c r="W39" i="16"/>
  <c r="S39" i="16"/>
  <c r="X39" i="16"/>
  <c r="Z40" i="16"/>
  <c r="G42" i="16"/>
  <c r="V39" i="16"/>
  <c r="U39" i="16"/>
  <c r="AA39" i="16"/>
  <c r="AB39" i="16"/>
  <c r="AD40" i="16" l="1"/>
  <c r="AE40" i="16"/>
  <c r="AF40" i="16"/>
  <c r="T40" i="16"/>
  <c r="AC40" i="16"/>
  <c r="S40" i="16"/>
  <c r="G43" i="16"/>
  <c r="W40" i="16"/>
  <c r="X40" i="16"/>
  <c r="U40" i="16"/>
  <c r="V40" i="16"/>
  <c r="AA40" i="16"/>
  <c r="AB40" i="16"/>
  <c r="AA41" i="16"/>
  <c r="Y40" i="16"/>
  <c r="AE41" i="16"/>
  <c r="AF41" i="16"/>
  <c r="AD41" i="16"/>
  <c r="U41" i="16"/>
  <c r="Z41" i="16"/>
  <c r="G44" i="16"/>
  <c r="S41" i="16"/>
  <c r="V42" i="16"/>
  <c r="T41" i="16"/>
  <c r="Y41" i="16"/>
  <c r="X41" i="16"/>
  <c r="AC41" i="16"/>
  <c r="W41" i="16"/>
  <c r="AB41" i="16"/>
  <c r="V41" i="16"/>
  <c r="AF42" i="16"/>
  <c r="AD42" i="16"/>
  <c r="AE42" i="16"/>
  <c r="AA42" i="16"/>
  <c r="S42" i="16"/>
  <c r="W42" i="16"/>
  <c r="Y42" i="16"/>
  <c r="X42" i="16"/>
  <c r="AC42" i="16"/>
  <c r="AB42" i="16"/>
  <c r="T42" i="16"/>
  <c r="U42" i="16"/>
  <c r="Z42" i="16"/>
  <c r="G45" i="16"/>
  <c r="Y43" i="16"/>
  <c r="AD43" i="16" l="1"/>
  <c r="AE43" i="16"/>
  <c r="AF43" i="16"/>
  <c r="AB43" i="16"/>
  <c r="X43" i="16"/>
  <c r="U43" i="16"/>
  <c r="Z43" i="16"/>
  <c r="S43" i="16"/>
  <c r="AC43" i="16"/>
  <c r="W43" i="16"/>
  <c r="T44" i="16"/>
  <c r="V43" i="16"/>
  <c r="T43" i="16"/>
  <c r="AA43" i="16"/>
  <c r="G46" i="16"/>
  <c r="AE44" i="16"/>
  <c r="AD44" i="16"/>
  <c r="AF44" i="16"/>
  <c r="U44" i="16"/>
  <c r="Y44" i="16"/>
  <c r="AB44" i="16"/>
  <c r="S44" i="16"/>
  <c r="X44" i="16"/>
  <c r="V44" i="16"/>
  <c r="G47" i="16"/>
  <c r="AA44" i="16"/>
  <c r="W44" i="16"/>
  <c r="AC44" i="16"/>
  <c r="Z44" i="16"/>
  <c r="AC45" i="16"/>
  <c r="AE45" i="16"/>
  <c r="AF45" i="16"/>
  <c r="AD45" i="16"/>
  <c r="W45" i="16"/>
  <c r="Z45" i="16"/>
  <c r="AB46" i="16"/>
  <c r="AB45" i="16"/>
  <c r="U45" i="16"/>
  <c r="S45" i="16"/>
  <c r="Y45" i="16"/>
  <c r="V45" i="16"/>
  <c r="G48" i="16"/>
  <c r="T45" i="16"/>
  <c r="AA45" i="16"/>
  <c r="X45" i="16"/>
  <c r="AD46" i="16" l="1"/>
  <c r="AE46" i="16"/>
  <c r="AF46" i="16"/>
  <c r="Z46" i="16"/>
  <c r="W46" i="16"/>
  <c r="G49" i="16"/>
  <c r="T46" i="16"/>
  <c r="V46" i="16"/>
  <c r="S46" i="16"/>
  <c r="X46" i="16"/>
  <c r="AA47" i="16"/>
  <c r="AC46" i="16"/>
  <c r="U46" i="16"/>
  <c r="AA46" i="16"/>
  <c r="Y46" i="16"/>
  <c r="AD47" i="16"/>
  <c r="AE47" i="16"/>
  <c r="AF47" i="16"/>
  <c r="U47" i="16"/>
  <c r="AB47" i="16"/>
  <c r="Y47" i="16"/>
  <c r="Z47" i="16"/>
  <c r="X47" i="16"/>
  <c r="S47" i="16"/>
  <c r="G50" i="16"/>
  <c r="AC47" i="16"/>
  <c r="W47" i="16"/>
  <c r="V47" i="16"/>
  <c r="T47" i="16"/>
  <c r="T48" i="16"/>
  <c r="AE48" i="16"/>
  <c r="AF48" i="16"/>
  <c r="AD48" i="16"/>
  <c r="U48" i="16"/>
  <c r="S48" i="16"/>
  <c r="Y48" i="16"/>
  <c r="V48" i="16"/>
  <c r="AA48" i="16"/>
  <c r="W48" i="16"/>
  <c r="AC48" i="16"/>
  <c r="Z48" i="16"/>
  <c r="X48" i="16"/>
  <c r="AB48" i="16"/>
  <c r="AC49" i="16"/>
  <c r="G51" i="16"/>
  <c r="AE49" i="16"/>
  <c r="AF49" i="16"/>
  <c r="AD49" i="16"/>
  <c r="W49" i="16"/>
  <c r="Z49" i="16"/>
  <c r="W50" i="16"/>
  <c r="U49" i="16"/>
  <c r="G52" i="16"/>
  <c r="V49" i="16"/>
  <c r="S49" i="16"/>
  <c r="Y49" i="16"/>
  <c r="AB49" i="16"/>
  <c r="T49" i="16"/>
  <c r="AA49" i="16"/>
  <c r="X49" i="16"/>
  <c r="AF50" i="16" l="1"/>
  <c r="AD50" i="16"/>
  <c r="AE50" i="16"/>
  <c r="AC50" i="16"/>
  <c r="T50" i="16"/>
  <c r="G53" i="16"/>
  <c r="W51" i="16"/>
  <c r="V50" i="16"/>
  <c r="S50" i="16"/>
  <c r="X50" i="16"/>
  <c r="U50" i="16"/>
  <c r="AA50" i="16"/>
  <c r="Y50" i="16"/>
  <c r="AB50" i="16"/>
  <c r="Z50" i="16"/>
  <c r="AD51" i="16" l="1"/>
  <c r="AE51" i="16"/>
  <c r="AF51" i="16"/>
  <c r="V51" i="16"/>
  <c r="AB51" i="16"/>
  <c r="U51" i="16"/>
  <c r="AA51" i="16"/>
  <c r="T51" i="16"/>
  <c r="Y51" i="16"/>
  <c r="Z51" i="16"/>
  <c r="X51" i="16"/>
  <c r="S51" i="16"/>
  <c r="AC51" i="16"/>
  <c r="G54" i="16"/>
  <c r="V52" i="16"/>
  <c r="AD52" i="16"/>
  <c r="AE52" i="16"/>
  <c r="AF52" i="16"/>
  <c r="AC52" i="16"/>
  <c r="W52" i="16"/>
  <c r="AA52" i="16"/>
  <c r="T52" i="16"/>
  <c r="AB52" i="16"/>
  <c r="Y52" i="16"/>
  <c r="U52" i="16"/>
  <c r="S52" i="16"/>
  <c r="Z52" i="16"/>
  <c r="AC53" i="16"/>
  <c r="X52" i="16"/>
  <c r="G55" i="16"/>
  <c r="AE53" i="16" l="1"/>
  <c r="AF53" i="16"/>
  <c r="AD53" i="16"/>
  <c r="Z53" i="16"/>
  <c r="W53" i="16"/>
  <c r="AB53" i="16"/>
  <c r="U53" i="16"/>
  <c r="AB54" i="16"/>
  <c r="G56" i="16"/>
  <c r="V53" i="16"/>
  <c r="Y53" i="16"/>
  <c r="S53" i="16"/>
  <c r="T53" i="16"/>
  <c r="AA53" i="16"/>
  <c r="X53" i="16"/>
  <c r="AD54" i="16"/>
  <c r="AE54" i="16"/>
  <c r="AF54" i="16"/>
  <c r="Z54" i="16"/>
  <c r="W54" i="16"/>
  <c r="AC54" i="16"/>
  <c r="T54" i="16"/>
  <c r="Y55" i="16"/>
  <c r="V54" i="16"/>
  <c r="S54" i="16"/>
  <c r="X54" i="16"/>
  <c r="G57" i="16"/>
  <c r="U54" i="16"/>
  <c r="AA54" i="16"/>
  <c r="Y54" i="16"/>
  <c r="AE55" i="16" l="1"/>
  <c r="AF55" i="16"/>
  <c r="AD55" i="16"/>
  <c r="Z55" i="16"/>
  <c r="X55" i="16"/>
  <c r="S55" i="16"/>
  <c r="AC55" i="16"/>
  <c r="Z56" i="16"/>
  <c r="W55" i="16"/>
  <c r="G58" i="16"/>
  <c r="V55" i="16"/>
  <c r="T55" i="16"/>
  <c r="AA55" i="16"/>
  <c r="U55" i="16"/>
  <c r="AB55" i="16"/>
  <c r="AE56" i="16"/>
  <c r="AF56" i="16"/>
  <c r="AD56" i="16"/>
  <c r="V56" i="16"/>
  <c r="AB56" i="16"/>
  <c r="AC56" i="16"/>
  <c r="U56" i="16"/>
  <c r="AA56" i="16"/>
  <c r="S56" i="16"/>
  <c r="T56" i="16"/>
  <c r="W56" i="16"/>
  <c r="Y56" i="16"/>
  <c r="G59" i="16"/>
  <c r="X56" i="16"/>
  <c r="AA57" i="16"/>
  <c r="AE57" i="16" l="1"/>
  <c r="AF57" i="16"/>
  <c r="AD57" i="16"/>
  <c r="T57" i="16"/>
  <c r="AC57" i="16"/>
  <c r="V57" i="16"/>
  <c r="AB57" i="16"/>
  <c r="W57" i="16"/>
  <c r="V58" i="16"/>
  <c r="X57" i="16"/>
  <c r="U57" i="16"/>
  <c r="Z57" i="16"/>
  <c r="S57" i="16"/>
  <c r="Y57" i="16"/>
  <c r="AE58" i="16" l="1"/>
  <c r="AF58" i="16"/>
  <c r="AD58" i="16"/>
  <c r="W58" i="16"/>
  <c r="X58" i="16"/>
  <c r="AA58" i="16"/>
  <c r="Y58" i="16"/>
  <c r="T58" i="16"/>
  <c r="U58" i="16"/>
  <c r="Z58" i="16"/>
  <c r="Y59" i="16"/>
  <c r="S58" i="16"/>
  <c r="AB58" i="16"/>
  <c r="AC58" i="16"/>
  <c r="AD59" i="16" l="1"/>
  <c r="AE59" i="16"/>
  <c r="AF59" i="16"/>
  <c r="Z59" i="16"/>
  <c r="V59" i="16"/>
  <c r="AA59" i="16"/>
  <c r="AB59" i="16"/>
  <c r="AC59" i="16"/>
  <c r="S59" i="16"/>
  <c r="T59" i="16"/>
  <c r="U59" i="16"/>
  <c r="W59" i="16"/>
  <c r="X59" i="16"/>
</calcChain>
</file>

<file path=xl/sharedStrings.xml><?xml version="1.0" encoding="utf-8"?>
<sst xmlns="http://schemas.openxmlformats.org/spreadsheetml/2006/main" count="11465" uniqueCount="676">
  <si>
    <t>Cash</t>
  </si>
  <si>
    <t>Stock</t>
  </si>
  <si>
    <t>B/S</t>
  </si>
  <si>
    <t>Symbol</t>
  </si>
  <si>
    <t>Qty</t>
  </si>
  <si>
    <t>Price</t>
  </si>
  <si>
    <t>Value</t>
  </si>
  <si>
    <t>Brokerage</t>
  </si>
  <si>
    <t>ICICI -1412</t>
  </si>
  <si>
    <t>ORIENTBANK</t>
  </si>
  <si>
    <t>B</t>
  </si>
  <si>
    <t>CUMMINSIND</t>
  </si>
  <si>
    <t>S</t>
  </si>
  <si>
    <t>GST</t>
  </si>
  <si>
    <t>STT</t>
  </si>
  <si>
    <t>SEBI</t>
  </si>
  <si>
    <t>Stamp</t>
  </si>
  <si>
    <t>Gateway</t>
  </si>
  <si>
    <t>a</t>
  </si>
  <si>
    <t>Txn charges</t>
  </si>
  <si>
    <t>C&amp;T Charges</t>
  </si>
  <si>
    <t>Outstanding</t>
  </si>
  <si>
    <t>Account Balance</t>
  </si>
  <si>
    <t xml:space="preserve">Risk </t>
  </si>
  <si>
    <t>APLLTD</t>
  </si>
  <si>
    <t>CAPLIPOINT</t>
  </si>
  <si>
    <t>SL</t>
  </si>
  <si>
    <t>Margin %</t>
  </si>
  <si>
    <t>Equity</t>
  </si>
  <si>
    <t>Loss Risk</t>
  </si>
  <si>
    <t>Flag</t>
  </si>
  <si>
    <t>Risk %</t>
  </si>
  <si>
    <t>JETAIRWAYS</t>
  </si>
  <si>
    <t>EVEREADY</t>
  </si>
  <si>
    <t>SPLIL</t>
  </si>
  <si>
    <t>PRAJIND</t>
  </si>
  <si>
    <t>PFC</t>
  </si>
  <si>
    <t>Date</t>
  </si>
  <si>
    <t>Position</t>
  </si>
  <si>
    <t>Current Price</t>
  </si>
  <si>
    <t>Deal Price</t>
  </si>
  <si>
    <t>Capital</t>
  </si>
  <si>
    <t>Scrip</t>
  </si>
  <si>
    <t>Strike</t>
  </si>
  <si>
    <t>Entry Price</t>
  </si>
  <si>
    <t>Target 1</t>
  </si>
  <si>
    <t>Target 2</t>
  </si>
  <si>
    <t>Target 3</t>
  </si>
  <si>
    <t>Target 4</t>
  </si>
  <si>
    <t>SL%</t>
  </si>
  <si>
    <t>Loss</t>
  </si>
  <si>
    <t>Gain 1</t>
  </si>
  <si>
    <t>Gain 2</t>
  </si>
  <si>
    <t>Gain 3</t>
  </si>
  <si>
    <t>Gain 4</t>
  </si>
  <si>
    <t>Lot</t>
  </si>
  <si>
    <t>Target 1 %</t>
  </si>
  <si>
    <t>Gain 1 %</t>
  </si>
  <si>
    <t>Target 2 %</t>
  </si>
  <si>
    <t>Gain 2 %</t>
  </si>
  <si>
    <t>Target 3 %</t>
  </si>
  <si>
    <t>Gain 3 %</t>
  </si>
  <si>
    <t>Target 4 %</t>
  </si>
  <si>
    <t>Gain 4 %</t>
  </si>
  <si>
    <t>Trade 1</t>
  </si>
  <si>
    <t>Trade 2</t>
  </si>
  <si>
    <t>Trade 3</t>
  </si>
  <si>
    <t>Trade 4</t>
  </si>
  <si>
    <t>Trade 5</t>
  </si>
  <si>
    <t>NIFTY AUG 16650 CE</t>
  </si>
  <si>
    <t>Exit Price</t>
  </si>
  <si>
    <t>Exit Price %</t>
  </si>
  <si>
    <t>Gain</t>
  </si>
  <si>
    <t>Gain %</t>
  </si>
  <si>
    <t>Extra Cost</t>
  </si>
  <si>
    <t>BANKNIFTY AUG 35600 CE</t>
  </si>
  <si>
    <t>Option</t>
  </si>
  <si>
    <t>Zerodha</t>
  </si>
  <si>
    <t>Cash Ledger</t>
  </si>
  <si>
    <t>Reco SL</t>
  </si>
  <si>
    <t>Reco SL%</t>
  </si>
  <si>
    <t>Reco Tar</t>
  </si>
  <si>
    <t>Reco Tar %</t>
  </si>
  <si>
    <t>Reco Price</t>
  </si>
  <si>
    <t>Total Trades</t>
  </si>
  <si>
    <t>Txn Cost</t>
  </si>
  <si>
    <t>Unit gain</t>
  </si>
  <si>
    <t>Funds</t>
  </si>
  <si>
    <t>Available</t>
  </si>
  <si>
    <t>Call OI</t>
  </si>
  <si>
    <t>Call LTP</t>
  </si>
  <si>
    <t>Call Delta</t>
  </si>
  <si>
    <t>IV</t>
  </si>
  <si>
    <t>Put LTP</t>
  </si>
  <si>
    <t>Put Delta</t>
  </si>
  <si>
    <t>Put OI</t>
  </si>
  <si>
    <t>Theta</t>
  </si>
  <si>
    <t>Vega</t>
  </si>
  <si>
    <t>Gamma</t>
  </si>
  <si>
    <t>Expiry</t>
  </si>
  <si>
    <t>CP_vol</t>
  </si>
  <si>
    <t>Index</t>
  </si>
  <si>
    <t>Prev Close</t>
  </si>
  <si>
    <t>R1</t>
  </si>
  <si>
    <t>R2</t>
  </si>
  <si>
    <t>R3</t>
  </si>
  <si>
    <t>S1</t>
  </si>
  <si>
    <t>S2</t>
  </si>
  <si>
    <t>S3</t>
  </si>
  <si>
    <t>PCR</t>
  </si>
  <si>
    <t>NIFTY 50</t>
  </si>
  <si>
    <t>NIFTY BANK</t>
  </si>
  <si>
    <t>TCS</t>
  </si>
  <si>
    <t>ACC</t>
  </si>
  <si>
    <t>HDFC</t>
  </si>
  <si>
    <t>HINDALCO</t>
  </si>
  <si>
    <t>INFY</t>
  </si>
  <si>
    <t>RELIANCE</t>
  </si>
  <si>
    <t>ASIANPAINT</t>
  </si>
  <si>
    <t>AUROPHARMA</t>
  </si>
  <si>
    <t>AXISBANK</t>
  </si>
  <si>
    <t>BAJAJFINSV</t>
  </si>
  <si>
    <t>BEL</t>
  </si>
  <si>
    <t>COALINDIA</t>
  </si>
  <si>
    <t>ICICIBANK</t>
  </si>
  <si>
    <t>HDFCBANK</t>
  </si>
  <si>
    <t>HINDUNILVR</t>
  </si>
  <si>
    <t>INDUSINDBK</t>
  </si>
  <si>
    <t>KOTAKBANK</t>
  </si>
  <si>
    <t>MGL</t>
  </si>
  <si>
    <t>SBIN</t>
  </si>
  <si>
    <t>ULTRACEMCO</t>
  </si>
  <si>
    <t>PUT STRIKE</t>
  </si>
  <si>
    <t>BAJFINANCE</t>
  </si>
  <si>
    <t>PUT PR</t>
  </si>
  <si>
    <t>LOT</t>
  </si>
  <si>
    <t>X</t>
  </si>
  <si>
    <t>Premium</t>
  </si>
  <si>
    <t>Worstcase funds</t>
  </si>
  <si>
    <t>Margin</t>
  </si>
  <si>
    <t>Prem/Margin</t>
  </si>
  <si>
    <t>Period</t>
  </si>
  <si>
    <t>Annual Rate</t>
  </si>
  <si>
    <t>Price Forecast</t>
  </si>
  <si>
    <t>Margin/Lot</t>
  </si>
  <si>
    <t>DLF</t>
  </si>
  <si>
    <t>DRREDDY</t>
  </si>
  <si>
    <t>IBULHSGFIN</t>
  </si>
  <si>
    <t>IEX</t>
  </si>
  <si>
    <t>LUPIN</t>
  </si>
  <si>
    <t>NAVINFLUOR</t>
  </si>
  <si>
    <t>PFIZER</t>
  </si>
  <si>
    <t>SOBHA</t>
  </si>
  <si>
    <t>TATAPOWER</t>
  </si>
  <si>
    <t>MUTHOOTFIN</t>
  </si>
  <si>
    <t>JSWSTEEL</t>
  </si>
  <si>
    <t>When to sell CSP</t>
  </si>
  <si>
    <t>When IV is high</t>
  </si>
  <si>
    <t>When Stock dips</t>
  </si>
  <si>
    <t>When spot price is at support level</t>
  </si>
  <si>
    <t>When to sell covered calls</t>
  </si>
  <si>
    <t>When share is at top of wave</t>
  </si>
  <si>
    <t xml:space="preserve">When share is at resistance </t>
  </si>
  <si>
    <t>Shares</t>
  </si>
  <si>
    <t>Management and Goveernance</t>
  </si>
  <si>
    <t>Large Cap</t>
  </si>
  <si>
    <t>Highly Liquid Options</t>
  </si>
  <si>
    <t>Growing trending</t>
  </si>
  <si>
    <t>Div Yield</t>
  </si>
  <si>
    <t>Low Debt</t>
  </si>
  <si>
    <t>Avoid regulated companies</t>
  </si>
  <si>
    <t xml:space="preserve">UNDERLYING                          </t>
  </si>
  <si>
    <t xml:space="preserve">SYMBOL    </t>
  </si>
  <si>
    <t xml:space="preserve">NIFTY BANK                          </t>
  </si>
  <si>
    <t xml:space="preserve">BANKNIFTY </t>
  </si>
  <si>
    <t xml:space="preserve">           </t>
  </si>
  <si>
    <t xml:space="preserve">NIFTY 50                            </t>
  </si>
  <si>
    <t xml:space="preserve">NIFTY     </t>
  </si>
  <si>
    <t xml:space="preserve">NIFTY FINANCIAL SERVICES            </t>
  </si>
  <si>
    <t xml:space="preserve">FINNIFTY  </t>
  </si>
  <si>
    <t>Derivatives on Individual Securities</t>
  </si>
  <si>
    <t xml:space="preserve">Symbol    </t>
  </si>
  <si>
    <t xml:space="preserve">ACC LIMITED                         </t>
  </si>
  <si>
    <t xml:space="preserve">ADANI PORT &amp; SEZ LTD                </t>
  </si>
  <si>
    <t>ADANIPORTS</t>
  </si>
  <si>
    <t xml:space="preserve">AARTI INDUSTRIES LTD                </t>
  </si>
  <si>
    <t xml:space="preserve">ALKEM LABORATORIES LTD.             </t>
  </si>
  <si>
    <t xml:space="preserve">ASHOK LEYLAND LTD                   </t>
  </si>
  <si>
    <t xml:space="preserve">ASIAN PAINTS LIMITED                </t>
  </si>
  <si>
    <t xml:space="preserve">AXIS BANK LIMITED                   </t>
  </si>
  <si>
    <t xml:space="preserve">ADITYA BIRLA FASHION &amp; RT           </t>
  </si>
  <si>
    <t xml:space="preserve">AMBUJA CEMENTS LTD                  </t>
  </si>
  <si>
    <t xml:space="preserve">APOLLO HOSPITALS ENTER. L           </t>
  </si>
  <si>
    <t>APOLLOHOSP</t>
  </si>
  <si>
    <t xml:space="preserve">BANDHAN BANK LIMITED                </t>
  </si>
  <si>
    <t>BANDHANBNK</t>
  </si>
  <si>
    <t xml:space="preserve">ADANI ENTERPRISES LIMITED           </t>
  </si>
  <si>
    <t xml:space="preserve">BHEL                                </t>
  </si>
  <si>
    <t xml:space="preserve">AMARA RAJA BATTERIES LTD.           </t>
  </si>
  <si>
    <t>AMARAJABAT</t>
  </si>
  <si>
    <t xml:space="preserve">DABUR INDIA LTD                     </t>
  </si>
  <si>
    <t xml:space="preserve">AU SMALL FINANCE BANK LTD           </t>
  </si>
  <si>
    <t xml:space="preserve">AUROBINDO PHARMA LTD                </t>
  </si>
  <si>
    <t xml:space="preserve">DEEPAK NITRITE LTD                  </t>
  </si>
  <si>
    <t xml:space="preserve">BAJAJ AUTO LIMITED                  </t>
  </si>
  <si>
    <t>BAJAJ-AUTO</t>
  </si>
  <si>
    <t xml:space="preserve">BAJAJ FINSERV LTD.                  </t>
  </si>
  <si>
    <t xml:space="preserve">BAJAJ FINANCE LIMITED               </t>
  </si>
  <si>
    <t xml:space="preserve">BANK OF BARODA                      </t>
  </si>
  <si>
    <t>BANKBARODA</t>
  </si>
  <si>
    <t xml:space="preserve">BATA INDIA LTD                      </t>
  </si>
  <si>
    <t xml:space="preserve">GODREJ PROPERTIES LTD               </t>
  </si>
  <si>
    <t>GODREJPROP</t>
  </si>
  <si>
    <t xml:space="preserve">BHARAT ELECTRONICS LTD              </t>
  </si>
  <si>
    <t xml:space="preserve">BHARTI AIRTEL LIMITED               </t>
  </si>
  <si>
    <t>BHARTIARTL</t>
  </si>
  <si>
    <t xml:space="preserve">BHARAT PETROLEUM CORP  LT           </t>
  </si>
  <si>
    <t xml:space="preserve">HINDUSTAN PETROLEUM CORP            </t>
  </si>
  <si>
    <t xml:space="preserve">INTERGLOBE AVIATION LTD             </t>
  </si>
  <si>
    <t xml:space="preserve">CANARA BANK                         </t>
  </si>
  <si>
    <t xml:space="preserve">INDIAN OIL CORP LTD                 </t>
  </si>
  <si>
    <t xml:space="preserve">CIPLA LTD                           </t>
  </si>
  <si>
    <t xml:space="preserve">COAL INDIA LTD                      </t>
  </si>
  <si>
    <t xml:space="preserve">COLGATE PALMOLIVE LTD.              </t>
  </si>
  <si>
    <t xml:space="preserve">JUBILANT FOODWORKS LTD              </t>
  </si>
  <si>
    <t xml:space="preserve">COROMANDEL INTERNTL. LTD            </t>
  </si>
  <si>
    <t>COROMANDEL</t>
  </si>
  <si>
    <t xml:space="preserve">L&amp;T INFOTECH LIMITED                </t>
  </si>
  <si>
    <t xml:space="preserve">CITY UNION BANK LTD                 </t>
  </si>
  <si>
    <t xml:space="preserve">MARICO LIMITED                      </t>
  </si>
  <si>
    <t xml:space="preserve">CUMMINS INDIA LTD                   </t>
  </si>
  <si>
    <t xml:space="preserve">MINDTREE LIMITED                    </t>
  </si>
  <si>
    <t xml:space="preserve">DLF LIMITED                         </t>
  </si>
  <si>
    <t xml:space="preserve">NATIONAL ALUMINIUM CO LTD           </t>
  </si>
  <si>
    <t>NATIONALUM</t>
  </si>
  <si>
    <t xml:space="preserve">ESCORTS INDIA LTD                   </t>
  </si>
  <si>
    <t xml:space="preserve">FEDERAL BANK LTD                    </t>
  </si>
  <si>
    <t>FEDERALBNK</t>
  </si>
  <si>
    <t xml:space="preserve">GLENMARK PHARMACEUTICALS            </t>
  </si>
  <si>
    <t xml:space="preserve">POWER GRID CORP. LTD.               </t>
  </si>
  <si>
    <t xml:space="preserve">GRANULES INDIA LIMITED              </t>
  </si>
  <si>
    <t xml:space="preserve">GUJARAT GAS LIMITED                 </t>
  </si>
  <si>
    <t xml:space="preserve">HCL TECHNOLOGIES LTD                </t>
  </si>
  <si>
    <t xml:space="preserve">HDFC AMC LIMITED                    </t>
  </si>
  <si>
    <t xml:space="preserve">HDFC BANK LTD                       </t>
  </si>
  <si>
    <t xml:space="preserve">HDFC LIFE INS CO LTD                </t>
  </si>
  <si>
    <t xml:space="preserve">HERO MOTOCORP LIMITED               </t>
  </si>
  <si>
    <t>HEROMOTOCO</t>
  </si>
  <si>
    <t xml:space="preserve">HINDALCO  INDUSTRIES  LTD           </t>
  </si>
  <si>
    <t xml:space="preserve">HINDUSTAN UNILEVER LTD.             </t>
  </si>
  <si>
    <t xml:space="preserve">INDIABULLS HSG FIN LTD              </t>
  </si>
  <si>
    <t xml:space="preserve">SRF LTD                             </t>
  </si>
  <si>
    <t xml:space="preserve">ICICI BANK LTD.                     </t>
  </si>
  <si>
    <t xml:space="preserve">ICICI LOMBARD GIC LIMITED           </t>
  </si>
  <si>
    <t xml:space="preserve">ICICI PRU LIFE INS CO LTD           </t>
  </si>
  <si>
    <t>ICICIPRULI</t>
  </si>
  <si>
    <t xml:space="preserve">VODAFONE IDEA LIMITED               </t>
  </si>
  <si>
    <t xml:space="preserve">SUN PHARMACEUTICAL IND L            </t>
  </si>
  <si>
    <t xml:space="preserve">IDFC FIRST BANK LIMITED             </t>
  </si>
  <si>
    <t>IDFCFIRSTB</t>
  </si>
  <si>
    <t xml:space="preserve">THE INDIAN HOTELS CO. LTD           </t>
  </si>
  <si>
    <t xml:space="preserve">INDUSIND BANK LIMITED               </t>
  </si>
  <si>
    <t xml:space="preserve">INFOSYS LIMITED                     </t>
  </si>
  <si>
    <t xml:space="preserve">INDIAN RAIL TOUR CORP LTD           </t>
  </si>
  <si>
    <t xml:space="preserve">ITC LTD                             </t>
  </si>
  <si>
    <t xml:space="preserve">JINDAL STEEL &amp; POWER LTD            </t>
  </si>
  <si>
    <t>JINDALSTEL</t>
  </si>
  <si>
    <t xml:space="preserve">JSW STEEL LIMITED                   </t>
  </si>
  <si>
    <t xml:space="preserve">DR. LAL PATH LABS LTD.              </t>
  </si>
  <si>
    <t>LALPATHLAB</t>
  </si>
  <si>
    <t xml:space="preserve">SUN TV NETWORK LIMITED              </t>
  </si>
  <si>
    <t xml:space="preserve">LIC HOUSING FINANCE LTD             </t>
  </si>
  <si>
    <t xml:space="preserve">LARSEN &amp; TOUBRO LTD.                </t>
  </si>
  <si>
    <t xml:space="preserve">L&amp;T TECHNOLOGY SER. LTD.            </t>
  </si>
  <si>
    <t xml:space="preserve">LUPIN LIMITED                       </t>
  </si>
  <si>
    <t xml:space="preserve">M&amp;M FIN. SERVICES LTD               </t>
  </si>
  <si>
    <t xml:space="preserve">MANAPPURAM FINANCE LTD              </t>
  </si>
  <si>
    <t>MANAPPURAM</t>
  </si>
  <si>
    <t xml:space="preserve">TATA CONSULTANCY SERV LT            </t>
  </si>
  <si>
    <t xml:space="preserve">MARUTI SUZUKI INDIA LTD.            </t>
  </si>
  <si>
    <t xml:space="preserve">UNITED SPIRITS LIMITED              </t>
  </si>
  <si>
    <t>MCDOWELL-N</t>
  </si>
  <si>
    <t xml:space="preserve">TECH MAHINDRA LIMITED               </t>
  </si>
  <si>
    <t xml:space="preserve">METROPOLIS HEALTHCARE LTD           </t>
  </si>
  <si>
    <t>METROPOLIS</t>
  </si>
  <si>
    <t xml:space="preserve">MAX FINANCIAL SERV LTD              </t>
  </si>
  <si>
    <t xml:space="preserve">VEDANTA LIMITED                     </t>
  </si>
  <si>
    <t xml:space="preserve">MAHANAGAR GAS LTD.                  </t>
  </si>
  <si>
    <t xml:space="preserve">ALEMBIC PHARMA LTD                  </t>
  </si>
  <si>
    <t xml:space="preserve">MRF LTD                             </t>
  </si>
  <si>
    <t xml:space="preserve">MUTHOOT FINANCE LIMITED             </t>
  </si>
  <si>
    <t xml:space="preserve">BALKRISHNA IND. LTD                 </t>
  </si>
  <si>
    <t>BALKRISIND</t>
  </si>
  <si>
    <t xml:space="preserve">INFO EDGE (I) LTD                   </t>
  </si>
  <si>
    <t xml:space="preserve">ASTRAL LIMITED                      </t>
  </si>
  <si>
    <t xml:space="preserve">NAVIN FLUORINE INT. LTD             </t>
  </si>
  <si>
    <t xml:space="preserve">NESTLE INDIA LIMITED                </t>
  </si>
  <si>
    <t xml:space="preserve">NMDC LTD.                           </t>
  </si>
  <si>
    <t xml:space="preserve">NTPC LTD                            </t>
  </si>
  <si>
    <t xml:space="preserve">OIL AND NATURAL GAS CORP.           </t>
  </si>
  <si>
    <t xml:space="preserve">PFIZER LTD                          </t>
  </si>
  <si>
    <t xml:space="preserve">PIDILITE INDUSTRIES LTD             </t>
  </si>
  <si>
    <t>PIDILITIND</t>
  </si>
  <si>
    <t xml:space="preserve">PI INDUSTRIES LTD                   </t>
  </si>
  <si>
    <t xml:space="preserve">RBL BANK LIMITED                    </t>
  </si>
  <si>
    <t xml:space="preserve">RELIANCE INDUSTRIES LTD             </t>
  </si>
  <si>
    <t xml:space="preserve">STEEL AUTHORITY OF INDIA            </t>
  </si>
  <si>
    <t xml:space="preserve">SBI LIFE INSURANCE CO LTD           </t>
  </si>
  <si>
    <t xml:space="preserve">STATE BANK OF INDIA                 </t>
  </si>
  <si>
    <t xml:space="preserve">TATA CHEMICALS LTD                  </t>
  </si>
  <si>
    <t xml:space="preserve">TATA MOTORS LIMITED                 </t>
  </si>
  <si>
    <t>TATAMOTORS</t>
  </si>
  <si>
    <t xml:space="preserve">TATA STEEL LIMITED                  </t>
  </si>
  <si>
    <t xml:space="preserve">TITAN COMPANY LIMITED               </t>
  </si>
  <si>
    <t xml:space="preserve">TVS MOTOR COMPANY  LTD              </t>
  </si>
  <si>
    <t xml:space="preserve">DIVI'S LABORATORIES LTD             </t>
  </si>
  <si>
    <t xml:space="preserve">ULTRATECH CEMENT LIMITED            </t>
  </si>
  <si>
    <t xml:space="preserve">ZEE ENTERTAINMENT ENT LTD           </t>
  </si>
  <si>
    <t xml:space="preserve">APOLLO TYRES LTD                    </t>
  </si>
  <si>
    <t>APOLLOTYRE</t>
  </si>
  <si>
    <t xml:space="preserve">BERGER PAINTS (I) LTD               </t>
  </si>
  <si>
    <t>BERGEPAINT</t>
  </si>
  <si>
    <t xml:space="preserve">BIOCON LIMITED.                     </t>
  </si>
  <si>
    <t xml:space="preserve">BOSCH LIMITED                       </t>
  </si>
  <si>
    <t xml:space="preserve">BRITANNIA INDUSTRIES LTD            </t>
  </si>
  <si>
    <t xml:space="preserve">CADILA HEALTHCARE LIMITED           </t>
  </si>
  <si>
    <t xml:space="preserve">GRASIM INDUSTRIES LTD               </t>
  </si>
  <si>
    <t xml:space="preserve">CHOLAMANDALAM IN &amp; FIN CO           </t>
  </si>
  <si>
    <t xml:space="preserve">DR. REDDY'S LABORATORIES            </t>
  </si>
  <si>
    <t xml:space="preserve">EICHER MOTORS LTD                   </t>
  </si>
  <si>
    <t xml:space="preserve">GMR INFRASTRUCTURE LTD.             </t>
  </si>
  <si>
    <t xml:space="preserve">PIRAMAL ENTERPRISES LTD             </t>
  </si>
  <si>
    <t xml:space="preserve">POWER FIN CORP LTD.                 </t>
  </si>
  <si>
    <t xml:space="preserve">INDRAPRASTHA GAS LTD                </t>
  </si>
  <si>
    <t xml:space="preserve">REC LIMITED                         </t>
  </si>
  <si>
    <t xml:space="preserve">NIPPON L I A M LTD                  </t>
  </si>
  <si>
    <t xml:space="preserve">SHREE CEMENT LIMITED                </t>
  </si>
  <si>
    <t xml:space="preserve">STRIDES PHARMA SCI LTD              </t>
  </si>
  <si>
    <t xml:space="preserve">TATA POWER CO LTD                   </t>
  </si>
  <si>
    <t xml:space="preserve">PUNJAB NATIONAL BANK                </t>
  </si>
  <si>
    <t xml:space="preserve">TRENT LTD                           </t>
  </si>
  <si>
    <t xml:space="preserve">SHRIRAM TRANSPORT FIN CO.           </t>
  </si>
  <si>
    <t>SRTRANSFIN</t>
  </si>
  <si>
    <t xml:space="preserve">TATA CONSUMER PRODUCT LTD           </t>
  </si>
  <si>
    <t>TATACONSUM</t>
  </si>
  <si>
    <t xml:space="preserve">TORRENT PHARMACEUTICALS L           </t>
  </si>
  <si>
    <t>TORNTPHARM</t>
  </si>
  <si>
    <t xml:space="preserve">UNITED BREWERIES LTD                </t>
  </si>
  <si>
    <t xml:space="preserve">VOLTAS LTD                          </t>
  </si>
  <si>
    <t xml:space="preserve">BHARAT FORGE LTD                    </t>
  </si>
  <si>
    <t>BHARATFORG</t>
  </si>
  <si>
    <t xml:space="preserve">CONTAINER CORP OF IND LTD           </t>
  </si>
  <si>
    <t xml:space="preserve">GODREJ CONSUMER PRODUCTS            </t>
  </si>
  <si>
    <t xml:space="preserve">HAVELLS INDIA LIMITED               </t>
  </si>
  <si>
    <t xml:space="preserve">INDUS TOWERS LIMITED                </t>
  </si>
  <si>
    <t>INDUSTOWER</t>
  </si>
  <si>
    <t xml:space="preserve">KOTAK MAHINDRA BANK LTD             </t>
  </si>
  <si>
    <t xml:space="preserve">L&amp;T FINANCE HOLDINGS LTD            </t>
  </si>
  <si>
    <t xml:space="preserve">MAHINDRA &amp; MAHINDRA LTD             </t>
  </si>
  <si>
    <t xml:space="preserve">EXIDE INDUSTRIES LTD                </t>
  </si>
  <si>
    <t xml:space="preserve">MPHASIS LIMITED                     </t>
  </si>
  <si>
    <t xml:space="preserve">PETRONET LNG LIMITED                </t>
  </si>
  <si>
    <t xml:space="preserve">PVR LIMITED                         </t>
  </si>
  <si>
    <t xml:space="preserve">SIEMENS LTD                         </t>
  </si>
  <si>
    <t xml:space="preserve">WIPRO LTD                           </t>
  </si>
  <si>
    <t xml:space="preserve">COFORGE LIMITED                     </t>
  </si>
  <si>
    <t xml:space="preserve">GAIL (INDIA) LTD                    </t>
  </si>
  <si>
    <t xml:space="preserve">MOTHERSON SUMI SYSTEMS LT           </t>
  </si>
  <si>
    <t>MOTHERSUMI</t>
  </si>
  <si>
    <t xml:space="preserve">PAGE INDUSTRIES LTD                 </t>
  </si>
  <si>
    <t xml:space="preserve">THE RAMCO CEMENTS LIMITED           </t>
  </si>
  <si>
    <t xml:space="preserve">TORRENT POWER LTD                   </t>
  </si>
  <si>
    <t>TORNTPOWER</t>
  </si>
  <si>
    <t xml:space="preserve">UPL LIMITED                         </t>
  </si>
  <si>
    <t xml:space="preserve">HDFC LTD                            </t>
  </si>
  <si>
    <t xml:space="preserve">CAN FIN HOMES LTD                   </t>
  </si>
  <si>
    <t>CANFINHOME</t>
  </si>
  <si>
    <t xml:space="preserve">DIXON TECHNO (INDIA) LTD            </t>
  </si>
  <si>
    <t xml:space="preserve">HINDUSTAN AERONAUTICS LTD           </t>
  </si>
  <si>
    <t xml:space="preserve">INDIAN ENERGY EXC LTD               </t>
  </si>
  <si>
    <t xml:space="preserve">INDIAMART INTERMESH LTD             </t>
  </si>
  <si>
    <t xml:space="preserve">IPCA LABORATORIES LTD               </t>
  </si>
  <si>
    <t xml:space="preserve">MULTI COMMODITY EXCHANGE            </t>
  </si>
  <si>
    <t xml:space="preserve">ORACLE FIN SERV SOFT LTD.           </t>
  </si>
  <si>
    <t xml:space="preserve">POLYCAB INDIA LIMITED               </t>
  </si>
  <si>
    <t xml:space="preserve">SYNGENE INTERNATIONAL LTD           </t>
  </si>
  <si>
    <t>AARTIIND</t>
  </si>
  <si>
    <t>ALKEM</t>
  </si>
  <si>
    <t>ASHOKLEY</t>
  </si>
  <si>
    <t>ABFRL</t>
  </si>
  <si>
    <t>AMBUJACEM</t>
  </si>
  <si>
    <t>ADANIENT</t>
  </si>
  <si>
    <t>BHEL</t>
  </si>
  <si>
    <t>DABUR</t>
  </si>
  <si>
    <t>AUBANK</t>
  </si>
  <si>
    <t>DEEPAKNTR</t>
  </si>
  <si>
    <t>BATAINDIA</t>
  </si>
  <si>
    <t>BPCL</t>
  </si>
  <si>
    <t>HINDPETRO</t>
  </si>
  <si>
    <t>INDIGO</t>
  </si>
  <si>
    <t>CANBK</t>
  </si>
  <si>
    <t>IOC</t>
  </si>
  <si>
    <t>CIPLA</t>
  </si>
  <si>
    <t>COLPAL</t>
  </si>
  <si>
    <t>JUBLFOOD</t>
  </si>
  <si>
    <t>LTI</t>
  </si>
  <si>
    <t>CUB</t>
  </si>
  <si>
    <t>MARICO</t>
  </si>
  <si>
    <t>MINDTREE</t>
  </si>
  <si>
    <t>ESCORTS</t>
  </si>
  <si>
    <t>GLENMARK</t>
  </si>
  <si>
    <t>POWERGRID</t>
  </si>
  <si>
    <t>GRANULES</t>
  </si>
  <si>
    <t>GUJGASLTD</t>
  </si>
  <si>
    <t>HCLTECH</t>
  </si>
  <si>
    <t>HDFCAMC</t>
  </si>
  <si>
    <t>HDFCLIFE</t>
  </si>
  <si>
    <t>SRF</t>
  </si>
  <si>
    <t>ICICIGI</t>
  </si>
  <si>
    <t>IDEA</t>
  </si>
  <si>
    <t>SUNPHARMA</t>
  </si>
  <si>
    <t>INDHOTEL</t>
  </si>
  <si>
    <t>IRCTC</t>
  </si>
  <si>
    <t>ITC</t>
  </si>
  <si>
    <t>SUNTV</t>
  </si>
  <si>
    <t>LICHSGFIN</t>
  </si>
  <si>
    <t>LT</t>
  </si>
  <si>
    <t>LTTS</t>
  </si>
  <si>
    <t>M&amp;MFIN</t>
  </si>
  <si>
    <t>MARUTI</t>
  </si>
  <si>
    <t>TECHM</t>
  </si>
  <si>
    <t>MFSL</t>
  </si>
  <si>
    <t>VEDL</t>
  </si>
  <si>
    <t>MRF</t>
  </si>
  <si>
    <t>NAUKRI</t>
  </si>
  <si>
    <t>ASTRAL</t>
  </si>
  <si>
    <t>NESTLEIND</t>
  </si>
  <si>
    <t>NMDC</t>
  </si>
  <si>
    <t>NTPC</t>
  </si>
  <si>
    <t>ONGC</t>
  </si>
  <si>
    <t>PIIND</t>
  </si>
  <si>
    <t>RBLBANK</t>
  </si>
  <si>
    <t>SAIL</t>
  </si>
  <si>
    <t>SBILIFE</t>
  </si>
  <si>
    <t>TATACHEM</t>
  </si>
  <si>
    <t>TATASTEEL</t>
  </si>
  <si>
    <t>TITAN</t>
  </si>
  <si>
    <t>TVSMOTOR</t>
  </si>
  <si>
    <t>DIVISLAB</t>
  </si>
  <si>
    <t>ZEEL</t>
  </si>
  <si>
    <t>BIOCON</t>
  </si>
  <si>
    <t>BOSCHLTD</t>
  </si>
  <si>
    <t>BRITANNIA</t>
  </si>
  <si>
    <t>CADILAHC</t>
  </si>
  <si>
    <t>GRASIM</t>
  </si>
  <si>
    <t>CHOLAFIN</t>
  </si>
  <si>
    <t>EICHERMOT</t>
  </si>
  <si>
    <t>GMRINFRA</t>
  </si>
  <si>
    <t>PEL</t>
  </si>
  <si>
    <t>IGL</t>
  </si>
  <si>
    <t>RECLTD</t>
  </si>
  <si>
    <t>NAM-INDIA</t>
  </si>
  <si>
    <t>SHREECEM</t>
  </si>
  <si>
    <t>STAR</t>
  </si>
  <si>
    <t>PNB</t>
  </si>
  <si>
    <t>TRENT</t>
  </si>
  <si>
    <t>UBL</t>
  </si>
  <si>
    <t>VOLTAS</t>
  </si>
  <si>
    <t>CONCOR</t>
  </si>
  <si>
    <t>GODREJCP</t>
  </si>
  <si>
    <t>HAVELLS</t>
  </si>
  <si>
    <t>L&amp;TFH</t>
  </si>
  <si>
    <t>M&amp;M</t>
  </si>
  <si>
    <t>EXIDEIND</t>
  </si>
  <si>
    <t>MPHASIS</t>
  </si>
  <si>
    <t>PETRONET</t>
  </si>
  <si>
    <t>PVR</t>
  </si>
  <si>
    <t>SIEMENS</t>
  </si>
  <si>
    <t>WIPRO</t>
  </si>
  <si>
    <t>COFORGE</t>
  </si>
  <si>
    <t>GAIL</t>
  </si>
  <si>
    <t>PAGEIND</t>
  </si>
  <si>
    <t>RAMCOCEM</t>
  </si>
  <si>
    <t>UPL</t>
  </si>
  <si>
    <t>DIXON</t>
  </si>
  <si>
    <t>HAL</t>
  </si>
  <si>
    <t>INDIAMART</t>
  </si>
  <si>
    <t>IPCALAB</t>
  </si>
  <si>
    <t>MCX</t>
  </si>
  <si>
    <t>OFSS</t>
  </si>
  <si>
    <t>POLYCAB</t>
  </si>
  <si>
    <t>SYNGENE</t>
  </si>
  <si>
    <t>Coments</t>
  </si>
  <si>
    <t>No Liquidity</t>
  </si>
  <si>
    <t>Open</t>
  </si>
  <si>
    <t>High</t>
  </si>
  <si>
    <t>Low</t>
  </si>
  <si>
    <t>Last Traded Price</t>
  </si>
  <si>
    <t>Change</t>
  </si>
  <si>
    <t>%Change</t>
  </si>
  <si>
    <t>Traded Volume(lacs)</t>
  </si>
  <si>
    <t>Traded Value(crs)</t>
  </si>
  <si>
    <t>52 Week High</t>
  </si>
  <si>
    <t>52 Week Low</t>
  </si>
  <si>
    <t>365 Days % Change</t>
  </si>
  <si>
    <t>30 Days % Change</t>
  </si>
  <si>
    <t>Source</t>
  </si>
  <si>
    <t>https://www1.nseindia.com/live_market/dynaContent/live_watch/equities_stock_watch.htm</t>
  </si>
  <si>
    <t>date</t>
  </si>
  <si>
    <t>symbol</t>
  </si>
  <si>
    <t>expiry</t>
  </si>
  <si>
    <t>strike</t>
  </si>
  <si>
    <t>option_type</t>
  </si>
  <si>
    <t>close</t>
  </si>
  <si>
    <t>CE</t>
  </si>
  <si>
    <t>PE</t>
  </si>
  <si>
    <t>XX</t>
  </si>
  <si>
    <t>SERIES</t>
  </si>
  <si>
    <t>Contracts</t>
  </si>
  <si>
    <t>Period (Days)</t>
  </si>
  <si>
    <t>LOTS</t>
  </si>
  <si>
    <t>COMPANY NAME</t>
  </si>
  <si>
    <t>WEIGHTAGE</t>
  </si>
  <si>
    <t>NO OF STOCKS</t>
  </si>
  <si>
    <t>AMOUNT</t>
  </si>
  <si>
    <t>CAPLIN POINT LABS</t>
  </si>
  <si>
    <t>₹      658.5</t>
  </si>
  <si>
    <t>₹     6,585.0</t>
  </si>
  <si>
    <t>₹      203.3</t>
  </si>
  <si>
    <t>₹     4,066.0</t>
  </si>
  <si>
    <t>₹   2,086.2</t>
  </si>
  <si>
    <t>₹     8,344.6</t>
  </si>
  <si>
    <t>POLYCAB INDIA</t>
  </si>
  <si>
    <t>₹   1,947.6</t>
  </si>
  <si>
    <t>₹   15,580.8</t>
  </si>
  <si>
    <t>APL APOLLO TUBES</t>
  </si>
  <si>
    <t>₹   1,576.4</t>
  </si>
  <si>
    <t>₹   18,916.2</t>
  </si>
  <si>
    <r>
      <t>    </t>
    </r>
    <r>
      <rPr>
        <b/>
        <sz val="11"/>
        <color theme="1"/>
        <rFont val="Calibri"/>
        <family val="2"/>
        <scheme val="minor"/>
      </rPr>
      <t>Total</t>
    </r>
  </si>
  <si>
    <t>₹   53,492.6</t>
  </si>
  <si>
    <t>Sr No.</t>
  </si>
  <si>
    <t>NSE CODE</t>
  </si>
  <si>
    <t>BSE CODE</t>
  </si>
  <si>
    <t>CMP (29th Jun’21)</t>
  </si>
  <si>
    <t>INDUSTRY</t>
  </si>
  <si>
    <t>RATING</t>
  </si>
  <si>
    <t>Mar Cap Rs.Cr.</t>
  </si>
  <si>
    <t>Net worth Rs.Cr.</t>
  </si>
  <si>
    <t>P/E</t>
  </si>
  <si>
    <t>OPM %</t>
  </si>
  <si>
    <t>ROE %</t>
  </si>
  <si>
    <t>ROCE %</t>
  </si>
  <si>
    <t>Sales Var 5Yrs %</t>
  </si>
  <si>
    <t>Profit Var 5Yrs %</t>
  </si>
  <si>
    <t>Debt / Eq</t>
  </si>
  <si>
    <t>CMP / BV</t>
  </si>
  <si>
    <t>CMP / Sales</t>
  </si>
  <si>
    <t>Caplin Point Labs</t>
  </si>
  <si>
    <t>Pharmaceuticals</t>
  </si>
  <si>
    <t>Marico</t>
  </si>
  <si>
    <t>Personal Products</t>
  </si>
  <si>
    <t>Avanti Feeds</t>
  </si>
  <si>
    <t>AVANTIFEED</t>
  </si>
  <si>
    <t>Other Food Products</t>
  </si>
  <si>
    <t>–</t>
  </si>
  <si>
    <t>Tata Metaliks</t>
  </si>
  <si>
    <t>TATAMETALI</t>
  </si>
  <si>
    <t>Iron &amp; Steel</t>
  </si>
  <si>
    <t>HCL Technologies</t>
  </si>
  <si>
    <t>IT Consulting</t>
  </si>
  <si>
    <t>Bajaj Auto</t>
  </si>
  <si>
    <t>BAJAJAUTO</t>
  </si>
  <si>
    <t>2 &amp; 3 Wheelers</t>
  </si>
  <si>
    <t>KEI Industries</t>
  </si>
  <si>
    <t>KEI</t>
  </si>
  <si>
    <t>Electric Equipment and Products</t>
  </si>
  <si>
    <t>Polycab India</t>
  </si>
  <si>
    <t>Coromandel International</t>
  </si>
  <si>
    <t>Fertilisers</t>
  </si>
  <si>
    <t>Mphasis</t>
  </si>
  <si>
    <t>KEC International</t>
  </si>
  <si>
    <t>KEC</t>
  </si>
  <si>
    <t>Heavy Electrical Equipment</t>
  </si>
  <si>
    <t>Alembic Pharma</t>
  </si>
  <si>
    <t>Indus Towers</t>
  </si>
  <si>
    <t>Telecom Services</t>
  </si>
  <si>
    <t>Huhtamaki India</t>
  </si>
  <si>
    <t>HUHTAMAKI</t>
  </si>
  <si>
    <t>Containers &amp; Packaging</t>
  </si>
  <si>
    <t>Oracle Financial Services Software</t>
  </si>
  <si>
    <t>Cigarettes &amp; FMCG</t>
  </si>
  <si>
    <t>Tata Elxsi</t>
  </si>
  <si>
    <t>TATAELXSI</t>
  </si>
  <si>
    <t>IT Software</t>
  </si>
  <si>
    <t>Dixon Technologies</t>
  </si>
  <si>
    <t>Consumer Electronics</t>
  </si>
  <si>
    <t>Hindustan Aeronautics</t>
  </si>
  <si>
    <t>Aerospace</t>
  </si>
  <si>
    <t>APL Apollo Tubes</t>
  </si>
  <si>
    <t>APLAPOLLO</t>
  </si>
  <si>
    <t>https://www.samco.in/knowledge-center/articles/best-long-term-stocks-to-buy-now-in-india/</t>
  </si>
  <si>
    <t>CMP</t>
  </si>
  <si>
    <t>My Research</t>
  </si>
  <si>
    <t>Industry</t>
  </si>
  <si>
    <t>IT</t>
  </si>
  <si>
    <t>FMCG</t>
  </si>
  <si>
    <t>Price Forecast (1 Yr)</t>
  </si>
  <si>
    <t>Support</t>
  </si>
  <si>
    <t>Resistance</t>
  </si>
  <si>
    <t>145'140'138</t>
  </si>
  <si>
    <t>147'153'161</t>
  </si>
  <si>
    <t>Near Support</t>
  </si>
  <si>
    <t>1179'1169'1138</t>
  </si>
  <si>
    <t>Near Support, Good Return</t>
  </si>
  <si>
    <t>685'683,659</t>
  </si>
  <si>
    <t>700'704'707</t>
  </si>
  <si>
    <t>STEEL</t>
  </si>
  <si>
    <t>INFRA</t>
  </si>
  <si>
    <t>PHARMA</t>
  </si>
  <si>
    <t>4828'4706</t>
  </si>
  <si>
    <t>4935'4966</t>
  </si>
  <si>
    <t>Look Good</t>
  </si>
  <si>
    <t>Not high enough Prem</t>
  </si>
  <si>
    <t>Near Support but High initial margin</t>
  </si>
  <si>
    <t>ST Level</t>
  </si>
  <si>
    <t>5 EMA</t>
  </si>
  <si>
    <t>20 EMA</t>
  </si>
  <si>
    <t>ADX</t>
  </si>
  <si>
    <t>Delta</t>
  </si>
  <si>
    <t>PUT Strike %</t>
  </si>
  <si>
    <t>NIFTY</t>
  </si>
  <si>
    <t>FV</t>
  </si>
  <si>
    <t>Rate</t>
  </si>
  <si>
    <t>Vol</t>
  </si>
  <si>
    <t>BANKNIFTY</t>
  </si>
  <si>
    <t>FINNIFTY</t>
  </si>
  <si>
    <t>NIFTY FINANCIAL SERVICES</t>
  </si>
  <si>
    <t>30 D % CHNG 
 13-Aug-2021</t>
  </si>
  <si>
    <t>BPS #</t>
  </si>
  <si>
    <t>Hstrike</t>
  </si>
  <si>
    <t>Lstrike</t>
  </si>
  <si>
    <t>Max Loss</t>
  </si>
  <si>
    <t>Risk/Reward</t>
  </si>
  <si>
    <t>Actual Credit</t>
  </si>
  <si>
    <t>Desired Contracts</t>
  </si>
  <si>
    <t>Total Margin</t>
  </si>
  <si>
    <t>Total Max Credit</t>
  </si>
  <si>
    <t>Total Max Loss</t>
  </si>
  <si>
    <t>Strike/Underlying</t>
  </si>
  <si>
    <t>Candidates</t>
  </si>
  <si>
    <t>Instrument</t>
  </si>
  <si>
    <t>Current Underlying</t>
  </si>
  <si>
    <t>Desired Monthly Income</t>
  </si>
  <si>
    <t>Min Drawdown</t>
  </si>
  <si>
    <t>Max Margin</t>
  </si>
  <si>
    <t>Selected BPS</t>
  </si>
  <si>
    <t>Annual Return</t>
  </si>
  <si>
    <t>Margin Reqs</t>
  </si>
  <si>
    <t>Key</t>
  </si>
  <si>
    <t>Lots</t>
  </si>
  <si>
    <t>NIFTY DOWN --&gt;</t>
  </si>
  <si>
    <t>Max Profit</t>
  </si>
  <si>
    <t>Exit Strategy</t>
  </si>
  <si>
    <t xml:space="preserve">Max date </t>
  </si>
  <si>
    <t>Underlying Stop Loss Lvl</t>
  </si>
  <si>
    <t>First buy back short put leg</t>
  </si>
  <si>
    <t>Then Sell long put leg</t>
  </si>
  <si>
    <t>Comments</t>
  </si>
  <si>
    <t>Traded Away from cmputer</t>
  </si>
  <si>
    <t xml:space="preserve">Took a Put without consideration to panic hedge, had a loss of 8K </t>
  </si>
  <si>
    <t>Loss on 17500, rebought it for ON</t>
  </si>
  <si>
    <t>Gain on 17450</t>
  </si>
  <si>
    <t>Trimmed losses for 14th Sep trades 17500</t>
  </si>
  <si>
    <t>Previous</t>
  </si>
  <si>
    <t>Session</t>
  </si>
  <si>
    <t>Imp Vol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</si>
</sst>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 * #,##0.00_ ;_ * \-#,##0.00_ ;_ * &quot;-&quot;??_ ;_ @_ "/>
    <numFmt numFmtId="164" formatCode="[&gt;=10000000]#\,##\,##\,##0.00;[&gt;=100000]#\,##\,##0.00;##,##0.00"/>
    <numFmt numFmtId="165" formatCode="[$-409]d\-mmm\-yy;@"/>
    <numFmt numFmtId="166" formatCode="[$-409]mmm/yy;@"/>
    <numFmt numFmtId="167" formatCode="0.0"/>
    <numFmt numFmtId="168" formatCode="0.000%"/>
    <numFmt numFmtId="169" formatCode="[$-24009]dddd\,\ mmmm\ dd\,\ yyyy;@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70C0"/>
      <name val="Terminal"/>
      <family val="3"/>
      <charset val="255"/>
    </font>
    <font>
      <sz val="10"/>
      <name val="Terminal"/>
      <family val="3"/>
      <charset val="255"/>
    </font>
    <font>
      <b/>
      <sz val="11"/>
      <color theme="0"/>
      <name val="Terminal"/>
      <family val="3"/>
      <charset val="255"/>
    </font>
    <font>
      <b/>
      <sz val="10"/>
      <name val="Terminal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ourier New"/>
      <family val="3"/>
    </font>
    <font>
      <b/>
      <sz val="11"/>
      <color theme="1"/>
      <name val="Calibri"/>
      <family val="2"/>
      <scheme val="minor"/>
    </font>
    <font>
      <b/>
      <sz val="14"/>
      <color rgb="FF686868"/>
      <name val="Arial"/>
      <family val="2"/>
    </font>
    <font>
      <b/>
      <sz val="11"/>
      <name val="Terminal"/>
    </font>
    <font>
      <sz val="11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6"/>
        <bgColor indexed="26"/>
      </patternFill>
    </fill>
    <fill>
      <patternFill patternType="solid">
        <fgColor rgb="FF00B0F0"/>
        <bgColor auto="1"/>
      </patternFill>
    </fill>
    <fill>
      <patternFill patternType="solid">
        <fgColor rgb="FF0070C0"/>
        <bgColor theme="0"/>
      </patternFill>
    </fill>
    <fill>
      <patternFill patternType="solid">
        <fgColor indexed="65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rgb="FF92D050"/>
        <bgColor theme="0"/>
      </patternFill>
    </fill>
    <fill>
      <patternFill patternType="solid">
        <fgColor theme="7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4" tint="0.39997558519241921"/>
        <bgColor theme="0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27">
    <xf numFmtId="0" fontId="0" fillId="0" borderId="0" xfId="0"/>
    <xf numFmtId="164" fontId="2" fillId="2" borderId="1" xfId="0" applyNumberFormat="1" applyFont="1" applyFill="1" applyBorder="1" applyAlignment="1" applyProtection="1">
      <protection locked="0"/>
    </xf>
    <xf numFmtId="164" fontId="3" fillId="2" borderId="2" xfId="0" applyNumberFormat="1" applyFont="1" applyFill="1" applyBorder="1" applyProtection="1">
      <protection locked="0"/>
    </xf>
    <xf numFmtId="164" fontId="2" fillId="2" borderId="1" xfId="0" applyNumberFormat="1" applyFont="1" applyFill="1" applyBorder="1" applyAlignment="1" applyProtection="1">
      <alignment horizontal="center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4" fillId="3" borderId="2" xfId="0" applyNumberFormat="1" applyFont="1" applyFill="1" applyBorder="1" applyProtection="1"/>
    <xf numFmtId="164" fontId="2" fillId="2" borderId="1" xfId="0" applyNumberFormat="1" applyFont="1" applyFill="1" applyBorder="1" applyAlignment="1" applyProtection="1">
      <alignment horizontal="center" wrapText="1"/>
      <protection locked="0"/>
    </xf>
    <xf numFmtId="164" fontId="5" fillId="2" borderId="2" xfId="0" applyNumberFormat="1" applyFont="1" applyFill="1" applyBorder="1" applyProtection="1">
      <protection locked="0"/>
    </xf>
    <xf numFmtId="9" fontId="0" fillId="0" borderId="0" xfId="0" applyNumberFormat="1"/>
    <xf numFmtId="9" fontId="5" fillId="2" borderId="2" xfId="1" applyFont="1" applyFill="1" applyBorder="1" applyProtection="1">
      <protection locked="0"/>
    </xf>
    <xf numFmtId="164" fontId="4" fillId="3" borderId="2" xfId="0" applyNumberFormat="1" applyFont="1" applyFill="1" applyBorder="1" applyAlignment="1" applyProtection="1">
      <alignment horizontal="center"/>
    </xf>
    <xf numFmtId="10" fontId="0" fillId="0" borderId="0" xfId="0" applyNumberFormat="1"/>
    <xf numFmtId="165" fontId="2" fillId="2" borderId="1" xfId="0" applyNumberFormat="1" applyFont="1" applyFill="1" applyBorder="1" applyAlignment="1" applyProtection="1">
      <alignment horizontal="left"/>
      <protection locked="0"/>
    </xf>
    <xf numFmtId="0" fontId="6" fillId="4" borderId="3" xfId="0" applyFont="1" applyFill="1" applyBorder="1" applyAlignment="1"/>
    <xf numFmtId="0" fontId="0" fillId="5" borderId="0" xfId="0" applyFill="1"/>
    <xf numFmtId="0" fontId="0" fillId="6" borderId="3" xfId="0" applyFill="1" applyBorder="1"/>
    <xf numFmtId="0" fontId="0" fillId="5" borderId="3" xfId="0" applyFill="1" applyBorder="1"/>
    <xf numFmtId="10" fontId="0" fillId="8" borderId="3" xfId="0" applyNumberFormat="1" applyFill="1" applyBorder="1"/>
    <xf numFmtId="0" fontId="0" fillId="7" borderId="3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10" fontId="0" fillId="8" borderId="3" xfId="1" applyNumberFormat="1" applyFont="1" applyFill="1" applyBorder="1" applyAlignment="1">
      <alignment horizontal="center"/>
    </xf>
    <xf numFmtId="9" fontId="0" fillId="5" borderId="0" xfId="0" applyNumberFormat="1" applyFill="1"/>
    <xf numFmtId="43" fontId="0" fillId="5" borderId="0" xfId="2" applyFont="1" applyFill="1"/>
    <xf numFmtId="0" fontId="8" fillId="6" borderId="3" xfId="0" applyFont="1" applyFill="1" applyBorder="1"/>
    <xf numFmtId="0" fontId="8" fillId="5" borderId="3" xfId="0" applyFont="1" applyFill="1" applyBorder="1"/>
    <xf numFmtId="0" fontId="9" fillId="6" borderId="3" xfId="0" applyFont="1" applyFill="1" applyBorder="1"/>
    <xf numFmtId="0" fontId="8" fillId="5" borderId="0" xfId="0" applyFont="1" applyFill="1"/>
    <xf numFmtId="0" fontId="8" fillId="5" borderId="0" xfId="0" applyFont="1" applyFill="1" applyBorder="1"/>
    <xf numFmtId="10" fontId="8" fillId="8" borderId="3" xfId="1" applyNumberFormat="1" applyFont="1" applyFill="1" applyBorder="1"/>
    <xf numFmtId="0" fontId="7" fillId="4" borderId="3" xfId="0" applyFont="1" applyFill="1" applyBorder="1" applyAlignment="1">
      <alignment horizontal="left" vertical="center"/>
    </xf>
    <xf numFmtId="43" fontId="0" fillId="8" borderId="3" xfId="2" applyFont="1" applyFill="1" applyBorder="1"/>
    <xf numFmtId="43" fontId="0" fillId="7" borderId="3" xfId="2" applyFont="1" applyFill="1" applyBorder="1" applyAlignment="1">
      <alignment horizontal="center"/>
    </xf>
    <xf numFmtId="43" fontId="0" fillId="8" borderId="3" xfId="2" applyFont="1" applyFill="1" applyBorder="1" applyAlignment="1">
      <alignment horizontal="center"/>
    </xf>
    <xf numFmtId="43" fontId="8" fillId="8" borderId="3" xfId="2" applyFont="1" applyFill="1" applyBorder="1"/>
    <xf numFmtId="43" fontId="0" fillId="5" borderId="0" xfId="0" applyNumberFormat="1" applyFill="1"/>
    <xf numFmtId="10" fontId="0" fillId="7" borderId="3" xfId="1" applyNumberFormat="1" applyFont="1" applyFill="1" applyBorder="1" applyAlignment="1">
      <alignment horizontal="center"/>
    </xf>
    <xf numFmtId="43" fontId="8" fillId="5" borderId="3" xfId="0" applyNumberFormat="1" applyFont="1" applyFill="1" applyBorder="1"/>
    <xf numFmtId="0" fontId="0" fillId="9" borderId="0" xfId="0" applyFill="1"/>
    <xf numFmtId="43" fontId="0" fillId="0" borderId="0" xfId="2" applyFont="1"/>
    <xf numFmtId="15" fontId="0" fillId="0" borderId="0" xfId="0" applyNumberFormat="1"/>
    <xf numFmtId="10" fontId="0" fillId="0" borderId="0" xfId="1" applyNumberFormat="1" applyFont="1"/>
    <xf numFmtId="43" fontId="0" fillId="10" borderId="0" xfId="0" applyNumberFormat="1" applyFill="1"/>
    <xf numFmtId="16" fontId="0" fillId="0" borderId="0" xfId="0" applyNumberFormat="1"/>
    <xf numFmtId="14" fontId="0" fillId="0" borderId="0" xfId="0" applyNumberFormat="1"/>
    <xf numFmtId="10" fontId="0" fillId="10" borderId="0" xfId="1" applyNumberFormat="1" applyFont="1" applyFill="1"/>
    <xf numFmtId="17" fontId="0" fillId="0" borderId="0" xfId="0" applyNumberFormat="1"/>
    <xf numFmtId="0" fontId="10" fillId="0" borderId="0" xfId="0" applyFont="1" applyAlignment="1">
      <alignment horizontal="left" vertical="center"/>
    </xf>
    <xf numFmtId="4" fontId="0" fillId="0" borderId="0" xfId="0" applyNumberFormat="1"/>
    <xf numFmtId="166" fontId="0" fillId="0" borderId="0" xfId="0" applyNumberFormat="1"/>
    <xf numFmtId="43" fontId="0" fillId="7" borderId="3" xfId="0" applyNumberFormat="1" applyFill="1" applyBorder="1" applyAlignment="1">
      <alignment horizontal="center"/>
    </xf>
    <xf numFmtId="16" fontId="0" fillId="9" borderId="0" xfId="0" applyNumberFormat="1" applyFill="1"/>
    <xf numFmtId="43" fontId="0" fillId="9" borderId="0" xfId="2" applyFont="1" applyFill="1"/>
    <xf numFmtId="10" fontId="0" fillId="9" borderId="0" xfId="1" applyNumberFormat="1" applyFont="1" applyFill="1"/>
    <xf numFmtId="43" fontId="0" fillId="9" borderId="0" xfId="0" applyNumberFormat="1" applyFill="1"/>
    <xf numFmtId="0" fontId="0" fillId="0" borderId="0" xfId="0" applyAlignment="1">
      <alignment wrapText="1"/>
    </xf>
    <xf numFmtId="0" fontId="0" fillId="9" borderId="3" xfId="0" applyFill="1" applyBorder="1"/>
    <xf numFmtId="0" fontId="0" fillId="0" borderId="3" xfId="0" applyBorder="1"/>
    <xf numFmtId="17" fontId="0" fillId="0" borderId="3" xfId="0" applyNumberFormat="1" applyBorder="1"/>
    <xf numFmtId="17" fontId="0" fillId="9" borderId="3" xfId="0" applyNumberFormat="1" applyFill="1" applyBorder="1"/>
    <xf numFmtId="0" fontId="0" fillId="12" borderId="0" xfId="0" applyFill="1" applyAlignment="1">
      <alignment horizontal="left" vertical="center" wrapText="1" indent="1"/>
    </xf>
    <xf numFmtId="0" fontId="11" fillId="12" borderId="0" xfId="0" applyFont="1" applyFill="1" applyAlignment="1">
      <alignment horizontal="left" vertical="center" wrapText="1" indent="1"/>
    </xf>
    <xf numFmtId="0" fontId="0" fillId="11" borderId="0" xfId="0" applyFill="1" applyAlignment="1">
      <alignment horizontal="left" vertical="center" wrapText="1" indent="1"/>
    </xf>
    <xf numFmtId="9" fontId="0" fillId="11" borderId="0" xfId="0" applyNumberFormat="1" applyFill="1" applyAlignment="1">
      <alignment horizontal="left" vertical="center" wrapText="1" indent="1"/>
    </xf>
    <xf numFmtId="9" fontId="0" fillId="12" borderId="0" xfId="0" applyNumberFormat="1" applyFill="1" applyAlignment="1">
      <alignment horizontal="left" vertical="center" wrapText="1" indent="1"/>
    </xf>
    <xf numFmtId="0" fontId="12" fillId="0" borderId="0" xfId="0" applyFont="1" applyAlignment="1">
      <alignment horizontal="left" vertical="center" wrapText="1"/>
    </xf>
    <xf numFmtId="4" fontId="0" fillId="12" borderId="0" xfId="0" applyNumberFormat="1" applyFill="1" applyAlignment="1">
      <alignment horizontal="left" vertical="center" wrapText="1" indent="1"/>
    </xf>
    <xf numFmtId="4" fontId="0" fillId="11" borderId="0" xfId="0" applyNumberFormat="1" applyFill="1" applyAlignment="1">
      <alignment horizontal="left" vertical="center" wrapText="1" indent="1"/>
    </xf>
    <xf numFmtId="43" fontId="0" fillId="12" borderId="0" xfId="2" applyFont="1" applyFill="1" applyAlignment="1">
      <alignment horizontal="left" vertical="center" wrapText="1" indent="1"/>
    </xf>
    <xf numFmtId="43" fontId="0" fillId="11" borderId="0" xfId="2" applyFont="1" applyFill="1" applyAlignment="1">
      <alignment horizontal="left" vertical="center" wrapText="1" indent="1"/>
    </xf>
    <xf numFmtId="43" fontId="0" fillId="0" borderId="0" xfId="2" applyFont="1" applyAlignment="1">
      <alignment wrapText="1"/>
    </xf>
    <xf numFmtId="9" fontId="0" fillId="0" borderId="0" xfId="0" applyNumberFormat="1" applyAlignment="1">
      <alignment wrapText="1"/>
    </xf>
    <xf numFmtId="10" fontId="0" fillId="0" borderId="0" xfId="1" applyNumberFormat="1" applyFont="1" applyAlignment="1">
      <alignment wrapText="1"/>
    </xf>
    <xf numFmtId="3" fontId="0" fillId="9" borderId="0" xfId="0" applyNumberFormat="1" applyFill="1" applyAlignment="1">
      <alignment wrapText="1"/>
    </xf>
    <xf numFmtId="0" fontId="0" fillId="9" borderId="0" xfId="0" applyFill="1" applyAlignment="1">
      <alignment wrapText="1"/>
    </xf>
    <xf numFmtId="164" fontId="13" fillId="2" borderId="2" xfId="0" applyNumberFormat="1" applyFont="1" applyFill="1" applyBorder="1" applyProtection="1">
      <protection locked="0"/>
    </xf>
    <xf numFmtId="167" fontId="0" fillId="9" borderId="0" xfId="0" applyNumberFormat="1" applyFill="1"/>
    <xf numFmtId="15" fontId="0" fillId="6" borderId="3" xfId="0" applyNumberFormat="1" applyFill="1" applyBorder="1"/>
    <xf numFmtId="43" fontId="0" fillId="5" borderId="3" xfId="0" applyNumberFormat="1" applyFill="1" applyBorder="1"/>
    <xf numFmtId="0" fontId="0" fillId="0" borderId="3" xfId="0" applyFill="1" applyBorder="1"/>
    <xf numFmtId="0" fontId="0" fillId="13" borderId="3" xfId="0" applyFill="1" applyBorder="1"/>
    <xf numFmtId="9" fontId="0" fillId="5" borderId="3" xfId="2" applyNumberFormat="1" applyFont="1" applyFill="1" applyBorder="1"/>
    <xf numFmtId="10" fontId="0" fillId="5" borderId="3" xfId="0" applyNumberFormat="1" applyFill="1" applyBorder="1"/>
    <xf numFmtId="0" fontId="0" fillId="0" borderId="0" xfId="0" applyFill="1"/>
    <xf numFmtId="168" fontId="0" fillId="0" borderId="0" xfId="1" applyNumberFormat="1" applyFont="1"/>
    <xf numFmtId="0" fontId="0" fillId="0" borderId="0" xfId="0" applyNumberFormat="1"/>
    <xf numFmtId="9" fontId="0" fillId="0" borderId="3" xfId="0" applyNumberFormat="1" applyFill="1" applyBorder="1"/>
    <xf numFmtId="15" fontId="0" fillId="0" borderId="3" xfId="0" applyNumberFormat="1" applyFill="1" applyBorder="1"/>
    <xf numFmtId="43" fontId="0" fillId="0" borderId="3" xfId="2" applyFont="1" applyFill="1" applyBorder="1"/>
    <xf numFmtId="10" fontId="0" fillId="14" borderId="3" xfId="0" applyNumberFormat="1" applyFill="1" applyBorder="1"/>
    <xf numFmtId="0" fontId="0" fillId="15" borderId="0" xfId="0" applyFill="1"/>
    <xf numFmtId="43" fontId="0" fillId="0" borderId="7" xfId="2" applyFont="1" applyBorder="1"/>
    <xf numFmtId="43" fontId="0" fillId="0" borderId="8" xfId="2" applyFont="1" applyBorder="1"/>
    <xf numFmtId="43" fontId="14" fillId="16" borderId="3" xfId="2" applyFont="1" applyFill="1" applyBorder="1" applyAlignment="1">
      <alignment vertical="center" wrapText="1"/>
    </xf>
    <xf numFmtId="10" fontId="14" fillId="16" borderId="3" xfId="1" applyNumberFormat="1" applyFont="1" applyFill="1" applyBorder="1" applyAlignment="1">
      <alignment wrapText="1"/>
    </xf>
    <xf numFmtId="0" fontId="0" fillId="0" borderId="0" xfId="0" applyFill="1" applyBorder="1"/>
    <xf numFmtId="15" fontId="0" fillId="0" borderId="0" xfId="0" applyNumberFormat="1" applyFill="1"/>
    <xf numFmtId="10" fontId="0" fillId="0" borderId="0" xfId="1" applyNumberFormat="1" applyFont="1" applyFill="1"/>
    <xf numFmtId="0" fontId="0" fillId="17" borderId="3" xfId="0" applyFill="1" applyBorder="1" applyAlignment="1">
      <alignment horizontal="center" vertical="center"/>
    </xf>
    <xf numFmtId="0" fontId="0" fillId="17" borderId="3" xfId="0" applyFill="1" applyBorder="1" applyAlignment="1">
      <alignment horizontal="center" vertical="center" wrapText="1"/>
    </xf>
    <xf numFmtId="43" fontId="0" fillId="17" borderId="3" xfId="2" applyFont="1" applyFill="1" applyBorder="1" applyAlignment="1">
      <alignment horizontal="center" vertical="center" wrapText="1"/>
    </xf>
    <xf numFmtId="164" fontId="13" fillId="2" borderId="0" xfId="0" applyNumberFormat="1" applyFont="1" applyFill="1" applyBorder="1" applyProtection="1">
      <protection locked="0"/>
    </xf>
    <xf numFmtId="164" fontId="3" fillId="2" borderId="0" xfId="0" applyNumberFormat="1" applyFont="1" applyFill="1" applyBorder="1" applyProtection="1">
      <protection locked="0"/>
    </xf>
    <xf numFmtId="169" fontId="2" fillId="2" borderId="1" xfId="0" applyNumberFormat="1" applyFont="1" applyFill="1" applyBorder="1" applyAlignment="1" applyProtection="1">
      <alignment horizontal="left"/>
      <protection locked="0"/>
    </xf>
    <xf numFmtId="0" fontId="0" fillId="0" borderId="12" xfId="0" applyBorder="1"/>
    <xf numFmtId="0" fontId="0" fillId="0" borderId="14" xfId="0" applyBorder="1"/>
    <xf numFmtId="0" fontId="0" fillId="0" borderId="17" xfId="0" applyBorder="1"/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10" fontId="0" fillId="0" borderId="16" xfId="0" applyNumberFormat="1" applyBorder="1" applyAlignment="1">
      <alignment horizontal="center" vertical="center"/>
    </xf>
    <xf numFmtId="0" fontId="0" fillId="9" borderId="9" xfId="0" applyFill="1" applyBorder="1"/>
    <xf numFmtId="0" fontId="0" fillId="9" borderId="10" xfId="0" applyFill="1" applyBorder="1"/>
    <xf numFmtId="0" fontId="0" fillId="9" borderId="11" xfId="0" applyFill="1" applyBorder="1"/>
    <xf numFmtId="0" fontId="0" fillId="9" borderId="10" xfId="0" applyFill="1" applyBorder="1" applyAlignment="1">
      <alignment horizontal="center" vertical="center"/>
    </xf>
    <xf numFmtId="0" fontId="0" fillId="9" borderId="11" xfId="0" applyFill="1" applyBorder="1" applyAlignment="1">
      <alignment horizontal="center" vertical="center"/>
    </xf>
    <xf numFmtId="10" fontId="0" fillId="0" borderId="3" xfId="1" applyNumberFormat="1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0" fontId="0" fillId="0" borderId="15" xfId="1" applyNumberFormat="1" applyFont="1" applyBorder="1" applyAlignment="1">
      <alignment horizontal="center" vertical="center" wrapText="1"/>
    </xf>
    <xf numFmtId="10" fontId="0" fillId="0" borderId="13" xfId="0" applyNumberFormat="1" applyBorder="1" applyAlignment="1">
      <alignment horizontal="center" vertical="center" wrapText="1"/>
    </xf>
    <xf numFmtId="10" fontId="0" fillId="0" borderId="16" xfId="0" applyNumberFormat="1" applyBorder="1" applyAlignment="1">
      <alignment horizontal="center" vertical="center" wrapText="1"/>
    </xf>
    <xf numFmtId="0" fontId="0" fillId="9" borderId="4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6" xfId="0" applyFill="1" applyBorder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14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  <dxf>
      <numFmt numFmtId="170" formatCode="[Blue][&gt;9999999]##\,##\,##\,##0.00;[Blue][&gt;99999]##\,##\,##0.00;[Blue]##,##0.00"/>
    </dxf>
    <dxf>
      <numFmt numFmtId="171" formatCode="[Red][&lt;-9999999]\-##\,##\,##\,##0.00;[Red][&lt;-99999]\-##\,##\,##0.00;[Red]#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268939</xdr:colOff>
      <xdr:row>2</xdr:row>
      <xdr:rowOff>11204</xdr:rowOff>
    </xdr:from>
    <xdr:to>
      <xdr:col>17</xdr:col>
      <xdr:colOff>941292</xdr:colOff>
      <xdr:row>42</xdr:row>
      <xdr:rowOff>112059</xdr:rowOff>
    </xdr:to>
    <xdr:sp macro="" textlink="">
      <xdr:nvSpPr>
        <xdr:cNvPr id="2" name="Pentagon 1"/>
        <xdr:cNvSpPr/>
      </xdr:nvSpPr>
      <xdr:spPr>
        <a:xfrm>
          <a:off x="13256557" y="392204"/>
          <a:ext cx="672353" cy="772085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S</a:t>
          </a:r>
        </a:p>
        <a:p>
          <a:pPr algn="ctr"/>
          <a:r>
            <a:rPr lang="en-US" sz="2400"/>
            <a:t>cena</a:t>
          </a:r>
        </a:p>
        <a:p>
          <a:pPr algn="ctr"/>
          <a:r>
            <a:rPr lang="en-US" sz="2400"/>
            <a:t>r</a:t>
          </a:r>
        </a:p>
        <a:p>
          <a:pPr algn="ctr"/>
          <a:r>
            <a:rPr lang="en-US" sz="2400"/>
            <a:t>i</a:t>
          </a:r>
        </a:p>
        <a:p>
          <a:pPr algn="ctr"/>
          <a:r>
            <a:rPr lang="en-US" sz="2400"/>
            <a:t>o </a:t>
          </a:r>
        </a:p>
        <a:p>
          <a:pPr algn="ctr"/>
          <a:endParaRPr lang="en-US" sz="2400"/>
        </a:p>
        <a:p>
          <a:pPr algn="ctr"/>
          <a:r>
            <a:rPr lang="en-US" sz="2400"/>
            <a:t>Ana</a:t>
          </a:r>
        </a:p>
        <a:p>
          <a:pPr algn="ctr"/>
          <a:r>
            <a:rPr lang="en-US" sz="2400"/>
            <a:t>l</a:t>
          </a:r>
        </a:p>
        <a:p>
          <a:pPr algn="ctr"/>
          <a:r>
            <a:rPr lang="en-US" sz="2400"/>
            <a:t>y</a:t>
          </a:r>
        </a:p>
        <a:p>
          <a:pPr algn="ctr"/>
          <a:r>
            <a:rPr lang="en-US" sz="2400"/>
            <a:t>s</a:t>
          </a:r>
        </a:p>
        <a:p>
          <a:pPr algn="ctr"/>
          <a:r>
            <a:rPr lang="en-US" sz="2400"/>
            <a:t>i</a:t>
          </a:r>
        </a:p>
        <a:p>
          <a:pPr algn="ctr"/>
          <a:r>
            <a:rPr lang="en-US" sz="2400"/>
            <a:t>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P10"/>
  <sheetViews>
    <sheetView zoomScale="80" zoomScaleNormal="80" workbookViewId="0">
      <selection activeCell="L9" sqref="L9"/>
    </sheetView>
  </sheetViews>
  <sheetFormatPr defaultRowHeight="15"/>
  <cols>
    <col min="2" max="2" width="21" bestFit="1" customWidth="1"/>
    <col min="3" max="3" width="13" bestFit="1" customWidth="1"/>
    <col min="5" max="5" width="11.7109375" bestFit="1" customWidth="1"/>
    <col min="7" max="7" width="15.7109375" bestFit="1" customWidth="1"/>
    <col min="8" max="8" width="13" bestFit="1" customWidth="1"/>
    <col min="9" max="9" width="16.42578125" bestFit="1" customWidth="1"/>
    <col min="10" max="10" width="38.42578125" bestFit="1" customWidth="1"/>
  </cols>
  <sheetData>
    <row r="3" spans="2:16">
      <c r="B3" s="5" t="s">
        <v>22</v>
      </c>
      <c r="C3" s="7">
        <f>'Intraday Positions'!C3</f>
        <v>24701</v>
      </c>
    </row>
    <row r="5" spans="2:16">
      <c r="B5" s="5" t="s">
        <v>31</v>
      </c>
      <c r="C5" s="9">
        <v>0.01</v>
      </c>
      <c r="D5" s="8"/>
      <c r="E5" s="8"/>
      <c r="F5" s="8"/>
    </row>
    <row r="6" spans="2:16">
      <c r="B6" s="5" t="s">
        <v>23</v>
      </c>
      <c r="C6" s="7">
        <f>ROUND(C5*C3,0)</f>
        <v>247</v>
      </c>
    </row>
    <row r="8" spans="2:16">
      <c r="B8" s="10" t="s">
        <v>1</v>
      </c>
      <c r="C8" s="10" t="s">
        <v>27</v>
      </c>
      <c r="D8" s="10" t="s">
        <v>5</v>
      </c>
      <c r="E8" s="10" t="s">
        <v>4</v>
      </c>
      <c r="F8" s="10" t="s">
        <v>26</v>
      </c>
      <c r="G8" s="10" t="s">
        <v>6</v>
      </c>
      <c r="H8" s="10" t="s">
        <v>28</v>
      </c>
      <c r="I8" s="10" t="s">
        <v>29</v>
      </c>
      <c r="J8" s="10" t="s">
        <v>30</v>
      </c>
      <c r="K8" s="11">
        <v>5.0000000000000001E-3</v>
      </c>
      <c r="L8" s="11">
        <f>K8+0.5%</f>
        <v>0.01</v>
      </c>
      <c r="M8" s="11">
        <f>L8+0.5%</f>
        <v>1.4999999999999999E-2</v>
      </c>
      <c r="N8" s="11">
        <f>M8+0.5%</f>
        <v>0.02</v>
      </c>
      <c r="O8" s="11">
        <f>N8+0.5%</f>
        <v>2.5000000000000001E-2</v>
      </c>
      <c r="P8" s="11">
        <f>O8+0.5%</f>
        <v>3.0000000000000002E-2</v>
      </c>
    </row>
    <row r="9" spans="2:16">
      <c r="B9" s="7" t="s">
        <v>33</v>
      </c>
      <c r="C9" s="7">
        <f>IFERROR(VLOOKUP(B9&amp;":EQ",Reference!#REF!,2,0),1)</f>
        <v>1</v>
      </c>
      <c r="D9" s="7">
        <v>27.15</v>
      </c>
      <c r="E9" s="7">
        <v>700</v>
      </c>
      <c r="F9" s="7">
        <f>D9-I9/E9</f>
        <v>26.878499999999999</v>
      </c>
      <c r="G9" s="7">
        <f>D9*E9</f>
        <v>19005</v>
      </c>
      <c r="H9" s="7">
        <f>G9/C9</f>
        <v>19005</v>
      </c>
      <c r="I9" s="7">
        <f>1%*H9</f>
        <v>190.05</v>
      </c>
      <c r="J9" s="7" t="str">
        <f>IF(H9&gt;C3,"Insufficient Account Balance","Allowed")</f>
        <v>Allowed</v>
      </c>
      <c r="K9">
        <f t="shared" ref="K9:P9" si="0">$G$9*K8</f>
        <v>95.025000000000006</v>
      </c>
      <c r="L9">
        <f t="shared" si="0"/>
        <v>190.05</v>
      </c>
      <c r="M9">
        <f t="shared" si="0"/>
        <v>285.07499999999999</v>
      </c>
      <c r="N9">
        <f t="shared" si="0"/>
        <v>380.1</v>
      </c>
      <c r="O9">
        <f t="shared" si="0"/>
        <v>475.125</v>
      </c>
      <c r="P9">
        <f t="shared" si="0"/>
        <v>570.15000000000009</v>
      </c>
    </row>
    <row r="10" spans="2:16">
      <c r="K10">
        <f t="shared" ref="K10:P10" si="1">(1+K8)*$D$9</f>
        <v>27.285749999999997</v>
      </c>
      <c r="L10">
        <f t="shared" si="1"/>
        <v>27.421499999999998</v>
      </c>
      <c r="M10">
        <f t="shared" si="1"/>
        <v>27.557249999999996</v>
      </c>
      <c r="N10">
        <f t="shared" si="1"/>
        <v>27.692999999999998</v>
      </c>
      <c r="O10">
        <f t="shared" si="1"/>
        <v>27.828749999999996</v>
      </c>
      <c r="P10">
        <f t="shared" si="1"/>
        <v>27.964500000000001</v>
      </c>
    </row>
  </sheetData>
  <conditionalFormatting sqref="C3">
    <cfRule type="cellIs" dxfId="147" priority="17" stopIfTrue="1" operator="lessThan">
      <formula>0</formula>
    </cfRule>
    <cfRule type="cellIs" dxfId="146" priority="18" stopIfTrue="1" operator="greaterThan">
      <formula>0</formula>
    </cfRule>
  </conditionalFormatting>
  <conditionalFormatting sqref="C3">
    <cfRule type="cellIs" dxfId="145" priority="15" stopIfTrue="1" operator="lessThan">
      <formula>0</formula>
    </cfRule>
    <cfRule type="cellIs" dxfId="144" priority="16" stopIfTrue="1" operator="greaterThan">
      <formula>0</formula>
    </cfRule>
  </conditionalFormatting>
  <conditionalFormatting sqref="C5:C6">
    <cfRule type="cellIs" dxfId="143" priority="13" stopIfTrue="1" operator="lessThan">
      <formula>0</formula>
    </cfRule>
    <cfRule type="cellIs" dxfId="142" priority="14" stopIfTrue="1" operator="greaterThan">
      <formula>0</formula>
    </cfRule>
  </conditionalFormatting>
  <conditionalFormatting sqref="C5:C6">
    <cfRule type="cellIs" dxfId="141" priority="11" stopIfTrue="1" operator="lessThan">
      <formula>0</formula>
    </cfRule>
    <cfRule type="cellIs" dxfId="140" priority="12" stopIfTrue="1" operator="greaterThan">
      <formula>0</formula>
    </cfRule>
  </conditionalFormatting>
  <conditionalFormatting sqref="C9:J9">
    <cfRule type="cellIs" dxfId="139" priority="9" stopIfTrue="1" operator="lessThan">
      <formula>0</formula>
    </cfRule>
    <cfRule type="cellIs" dxfId="138" priority="10" stopIfTrue="1" operator="greaterThan">
      <formula>0</formula>
    </cfRule>
  </conditionalFormatting>
  <conditionalFormatting sqref="C9:J9">
    <cfRule type="cellIs" dxfId="137" priority="7" stopIfTrue="1" operator="lessThan">
      <formula>0</formula>
    </cfRule>
    <cfRule type="cellIs" dxfId="136" priority="8" stopIfTrue="1" operator="greaterThan">
      <formula>0</formula>
    </cfRule>
  </conditionalFormatting>
  <conditionalFormatting sqref="B9">
    <cfRule type="cellIs" dxfId="135" priority="5" stopIfTrue="1" operator="lessThan">
      <formula>0</formula>
    </cfRule>
    <cfRule type="cellIs" dxfId="134" priority="6" stopIfTrue="1" operator="greaterThan">
      <formula>0</formula>
    </cfRule>
  </conditionalFormatting>
  <conditionalFormatting sqref="B9">
    <cfRule type="cellIs" dxfId="133" priority="3" stopIfTrue="1" operator="lessThan">
      <formula>0</formula>
    </cfRule>
    <cfRule type="cellIs" dxfId="132" priority="4" stopIfTrue="1" operator="greaterThan">
      <formula>0</formula>
    </cfRule>
  </conditionalFormatting>
  <conditionalFormatting sqref="J9">
    <cfRule type="containsText" dxfId="131" priority="1" operator="containsText" text="Insufficient">
      <formula>NOT(ISERROR(SEARCH("Insufficient",J9)))</formula>
    </cfRule>
    <cfRule type="containsText" dxfId="130" priority="2" operator="containsText" text="Allowed">
      <formula>NOT(ISERROR(SEARCH("Allowed",J9)))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R21"/>
  <sheetViews>
    <sheetView zoomScale="84" zoomScaleNormal="84" workbookViewId="0">
      <selection activeCell="R6" sqref="R6"/>
    </sheetView>
  </sheetViews>
  <sheetFormatPr defaultRowHeight="15"/>
  <cols>
    <col min="2" max="2" width="13.7109375" bestFit="1" customWidth="1"/>
    <col min="3" max="3" width="17" bestFit="1" customWidth="1"/>
    <col min="5" max="5" width="11.28515625" bestFit="1" customWidth="1"/>
    <col min="6" max="6" width="14.85546875" bestFit="1" customWidth="1"/>
    <col min="7" max="7" width="9.85546875" customWidth="1"/>
    <col min="11" max="11" width="13.85546875" bestFit="1" customWidth="1"/>
    <col min="12" max="12" width="10.28515625" bestFit="1" customWidth="1"/>
  </cols>
  <sheetData>
    <row r="2" spans="2:18">
      <c r="B2" s="5" t="s">
        <v>41</v>
      </c>
      <c r="C2" s="7">
        <f>C3+C4</f>
        <v>746.16799522500003</v>
      </c>
    </row>
    <row r="3" spans="2:18">
      <c r="B3" s="5" t="s">
        <v>0</v>
      </c>
      <c r="C3" s="7">
        <f>C5+F5+'Intraday Positions'!C3</f>
        <v>771.5</v>
      </c>
      <c r="E3" s="5"/>
      <c r="F3" s="5" t="s">
        <v>1</v>
      </c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</row>
    <row r="4" spans="2:18" ht="30.75" customHeight="1">
      <c r="B4" s="1" t="s">
        <v>38</v>
      </c>
      <c r="C4" s="2">
        <f>SUM(C6:C23)</f>
        <v>-25.332004775000001</v>
      </c>
      <c r="E4" s="6" t="s">
        <v>37</v>
      </c>
      <c r="F4" s="6" t="s">
        <v>3</v>
      </c>
      <c r="G4" s="6" t="s">
        <v>39</v>
      </c>
      <c r="H4" s="6" t="s">
        <v>2</v>
      </c>
      <c r="I4" s="6" t="s">
        <v>4</v>
      </c>
      <c r="J4" s="6" t="s">
        <v>40</v>
      </c>
      <c r="K4" s="6" t="s">
        <v>6</v>
      </c>
      <c r="L4" s="6" t="s">
        <v>7</v>
      </c>
      <c r="M4" s="6" t="s">
        <v>19</v>
      </c>
      <c r="N4" s="6" t="s">
        <v>13</v>
      </c>
      <c r="O4" s="6" t="s">
        <v>14</v>
      </c>
      <c r="P4" s="6" t="s">
        <v>15</v>
      </c>
      <c r="Q4" s="6" t="s">
        <v>16</v>
      </c>
      <c r="R4" s="6" t="s">
        <v>20</v>
      </c>
    </row>
    <row r="5" spans="2:18">
      <c r="B5" s="1"/>
      <c r="C5" s="2"/>
      <c r="E5" s="2"/>
      <c r="F5" s="2">
        <f>SUM(K5:R5)</f>
        <v>-23929.5</v>
      </c>
      <c r="G5" s="2"/>
      <c r="H5" s="2"/>
      <c r="I5" s="2"/>
      <c r="J5" s="2"/>
      <c r="K5" s="2">
        <f>SUM(K6:K21)</f>
        <v>-23901.5</v>
      </c>
      <c r="L5" s="2">
        <f t="shared" ref="L5:R5" si="0">ROUNDUP(SUM(L6:L21),0)</f>
        <v>0</v>
      </c>
      <c r="M5" s="2">
        <f t="shared" si="0"/>
        <v>-1</v>
      </c>
      <c r="N5" s="2">
        <f t="shared" si="0"/>
        <v>-1</v>
      </c>
      <c r="O5" s="2">
        <f t="shared" si="0"/>
        <v>-24</v>
      </c>
      <c r="P5" s="2">
        <f t="shared" si="0"/>
        <v>-1</v>
      </c>
      <c r="Q5" s="2">
        <f t="shared" si="0"/>
        <v>-1</v>
      </c>
      <c r="R5" s="2">
        <f t="shared" si="0"/>
        <v>0</v>
      </c>
    </row>
    <row r="6" spans="2:18">
      <c r="B6" s="1" t="str">
        <f>F6</f>
        <v>SPLIL</v>
      </c>
      <c r="C6" s="2">
        <f>I6*G6+SUM(L6:R6)</f>
        <v>-8.4342863000000001</v>
      </c>
      <c r="E6" s="12">
        <v>43479</v>
      </c>
      <c r="F6" s="4" t="s">
        <v>34</v>
      </c>
      <c r="G6" s="4"/>
      <c r="H6" s="3" t="s">
        <v>10</v>
      </c>
      <c r="I6" s="2">
        <v>115</v>
      </c>
      <c r="J6" s="2">
        <v>69.2</v>
      </c>
      <c r="K6" s="2">
        <f>IF(H6="B",-1,1)*I6*J6</f>
        <v>-7958</v>
      </c>
      <c r="L6" s="2">
        <v>0</v>
      </c>
      <c r="M6" s="2">
        <f>-ABS(K6)*0.00325%</f>
        <v>-0.258635</v>
      </c>
      <c r="N6" s="2">
        <f>18%*(L6+M6)</f>
        <v>-4.65543E-2</v>
      </c>
      <c r="O6" s="2">
        <f>-ABS(K6)*0.1%</f>
        <v>-7.9580000000000002</v>
      </c>
      <c r="P6" s="2">
        <f>-15/10000000*ABS(K6)</f>
        <v>-1.1937E-2</v>
      </c>
      <c r="Q6" s="2">
        <f>-0.002%*ABS(K6)</f>
        <v>-0.15916000000000002</v>
      </c>
      <c r="R6" s="2"/>
    </row>
    <row r="7" spans="2:18">
      <c r="B7" s="1" t="str">
        <f>F7</f>
        <v>PRAJIND</v>
      </c>
      <c r="C7" s="2">
        <f>I7*G7+SUM(L7:R7)</f>
        <v>-8.4321666000000004</v>
      </c>
      <c r="E7" s="12">
        <v>43479</v>
      </c>
      <c r="F7" s="4" t="s">
        <v>35</v>
      </c>
      <c r="G7" s="4"/>
      <c r="H7" s="3" t="s">
        <v>10</v>
      </c>
      <c r="I7" s="2">
        <v>51</v>
      </c>
      <c r="J7" s="2">
        <v>156</v>
      </c>
      <c r="K7" s="2">
        <f t="shared" ref="K7:K14" si="1">IF(H7="B",-1,1)*I7*J7</f>
        <v>-7956</v>
      </c>
      <c r="L7" s="2">
        <v>0</v>
      </c>
      <c r="M7" s="2">
        <f t="shared" ref="M7:M14" si="2">-ABS(K7)*0.00325%</f>
        <v>-0.25856999999999997</v>
      </c>
      <c r="N7" s="2">
        <f t="shared" ref="N7:N14" si="3">18%*(L7+M7)</f>
        <v>-4.654259999999999E-2</v>
      </c>
      <c r="O7" s="2">
        <f t="shared" ref="O7:O14" si="4">-ABS(K7)*0.1%</f>
        <v>-7.9560000000000004</v>
      </c>
      <c r="P7" s="2">
        <f t="shared" ref="P7:P14" si="5">-15/10000000*ABS(K7)</f>
        <v>-1.1934E-2</v>
      </c>
      <c r="Q7" s="2">
        <f t="shared" ref="Q7:Q14" si="6">-0.002%*ABS(K7)</f>
        <v>-0.15912000000000001</v>
      </c>
      <c r="R7" s="2"/>
    </row>
    <row r="8" spans="2:18">
      <c r="B8" s="1" t="str">
        <f>F8</f>
        <v>PFC</v>
      </c>
      <c r="C8" s="2">
        <f>I8*G8+SUM(L8:R8)</f>
        <v>-8.4655518750000009</v>
      </c>
      <c r="E8" s="12">
        <v>43479</v>
      </c>
      <c r="F8" s="4" t="s">
        <v>36</v>
      </c>
      <c r="G8" s="4"/>
      <c r="H8" s="3" t="s">
        <v>10</v>
      </c>
      <c r="I8" s="2">
        <v>75</v>
      </c>
      <c r="J8" s="2">
        <v>106.5</v>
      </c>
      <c r="K8" s="2">
        <f t="shared" si="1"/>
        <v>-7987.5</v>
      </c>
      <c r="L8" s="2">
        <v>0</v>
      </c>
      <c r="M8" s="2">
        <f t="shared" si="2"/>
        <v>-0.25959374999999996</v>
      </c>
      <c r="N8" s="2">
        <f t="shared" si="3"/>
        <v>-4.6726874999999987E-2</v>
      </c>
      <c r="O8" s="2">
        <f t="shared" si="4"/>
        <v>-7.9874999999999998</v>
      </c>
      <c r="P8" s="2">
        <f t="shared" si="5"/>
        <v>-1.1981250000000001E-2</v>
      </c>
      <c r="Q8" s="2">
        <f t="shared" si="6"/>
        <v>-0.15975</v>
      </c>
      <c r="R8" s="2"/>
    </row>
    <row r="9" spans="2:18">
      <c r="B9" s="1"/>
      <c r="C9" s="2"/>
      <c r="E9" s="4"/>
      <c r="F9" s="4"/>
      <c r="G9" s="4"/>
      <c r="H9" s="3"/>
      <c r="I9" s="2"/>
      <c r="J9" s="2"/>
      <c r="K9" s="2">
        <f t="shared" si="1"/>
        <v>0</v>
      </c>
      <c r="L9" s="2">
        <v>0</v>
      </c>
      <c r="M9" s="2">
        <f t="shared" si="2"/>
        <v>0</v>
      </c>
      <c r="N9" s="2">
        <f t="shared" si="3"/>
        <v>0</v>
      </c>
      <c r="O9" s="2">
        <f t="shared" si="4"/>
        <v>0</v>
      </c>
      <c r="P9" s="2">
        <f t="shared" si="5"/>
        <v>0</v>
      </c>
      <c r="Q9" s="2">
        <f t="shared" si="6"/>
        <v>0</v>
      </c>
      <c r="R9" s="2"/>
    </row>
    <row r="10" spans="2:18">
      <c r="B10" s="1"/>
      <c r="C10" s="2"/>
      <c r="E10" s="4"/>
      <c r="F10" s="4"/>
      <c r="G10" s="4"/>
      <c r="H10" s="3"/>
      <c r="I10" s="2"/>
      <c r="J10" s="2"/>
      <c r="K10" s="2">
        <f t="shared" si="1"/>
        <v>0</v>
      </c>
      <c r="L10" s="2">
        <v>0</v>
      </c>
      <c r="M10" s="2">
        <f t="shared" si="2"/>
        <v>0</v>
      </c>
      <c r="N10" s="2">
        <f t="shared" si="3"/>
        <v>0</v>
      </c>
      <c r="O10" s="2">
        <f t="shared" si="4"/>
        <v>0</v>
      </c>
      <c r="P10" s="2">
        <f t="shared" si="5"/>
        <v>0</v>
      </c>
      <c r="Q10" s="2">
        <f t="shared" si="6"/>
        <v>0</v>
      </c>
      <c r="R10" s="2"/>
    </row>
    <row r="11" spans="2:18">
      <c r="B11" s="1"/>
      <c r="C11" s="2"/>
      <c r="E11" s="4"/>
      <c r="F11" s="4"/>
      <c r="G11" s="4"/>
      <c r="H11" s="3"/>
      <c r="I11" s="2"/>
      <c r="J11" s="2"/>
      <c r="K11" s="2">
        <f t="shared" si="1"/>
        <v>0</v>
      </c>
      <c r="L11" s="2">
        <v>0</v>
      </c>
      <c r="M11" s="2">
        <f t="shared" si="2"/>
        <v>0</v>
      </c>
      <c r="N11" s="2">
        <f t="shared" si="3"/>
        <v>0</v>
      </c>
      <c r="O11" s="2">
        <f t="shared" si="4"/>
        <v>0</v>
      </c>
      <c r="P11" s="2">
        <f t="shared" si="5"/>
        <v>0</v>
      </c>
      <c r="Q11" s="2">
        <f t="shared" si="6"/>
        <v>0</v>
      </c>
      <c r="R11" s="2"/>
    </row>
    <row r="12" spans="2:18">
      <c r="B12" s="1"/>
      <c r="C12" s="2"/>
      <c r="E12" s="4"/>
      <c r="F12" s="4"/>
      <c r="G12" s="4"/>
      <c r="H12" s="3"/>
      <c r="I12" s="2"/>
      <c r="J12" s="2"/>
      <c r="K12" s="2">
        <f t="shared" si="1"/>
        <v>0</v>
      </c>
      <c r="L12" s="2">
        <v>0</v>
      </c>
      <c r="M12" s="2">
        <f t="shared" si="2"/>
        <v>0</v>
      </c>
      <c r="N12" s="2">
        <f t="shared" si="3"/>
        <v>0</v>
      </c>
      <c r="O12" s="2">
        <f t="shared" si="4"/>
        <v>0</v>
      </c>
      <c r="P12" s="2">
        <f t="shared" si="5"/>
        <v>0</v>
      </c>
      <c r="Q12" s="2">
        <f t="shared" si="6"/>
        <v>0</v>
      </c>
      <c r="R12" s="2"/>
    </row>
    <row r="13" spans="2:18">
      <c r="B13" s="1"/>
      <c r="C13" s="2"/>
      <c r="E13" s="4"/>
      <c r="F13" s="4"/>
      <c r="G13" s="4"/>
      <c r="H13" s="3"/>
      <c r="I13" s="2"/>
      <c r="J13" s="2"/>
      <c r="K13" s="2">
        <f t="shared" si="1"/>
        <v>0</v>
      </c>
      <c r="L13" s="2">
        <v>0</v>
      </c>
      <c r="M13" s="2">
        <f t="shared" si="2"/>
        <v>0</v>
      </c>
      <c r="N13" s="2">
        <f t="shared" si="3"/>
        <v>0</v>
      </c>
      <c r="O13" s="2">
        <f t="shared" si="4"/>
        <v>0</v>
      </c>
      <c r="P13" s="2">
        <f t="shared" si="5"/>
        <v>0</v>
      </c>
      <c r="Q13" s="2">
        <f t="shared" si="6"/>
        <v>0</v>
      </c>
      <c r="R13" s="2"/>
    </row>
    <row r="14" spans="2:18">
      <c r="B14" s="1"/>
      <c r="C14" s="2"/>
      <c r="E14" s="4"/>
      <c r="F14" s="4"/>
      <c r="G14" s="4"/>
      <c r="H14" s="3"/>
      <c r="I14" s="2"/>
      <c r="J14" s="2"/>
      <c r="K14" s="2">
        <f t="shared" si="1"/>
        <v>0</v>
      </c>
      <c r="L14" s="2">
        <v>0</v>
      </c>
      <c r="M14" s="2">
        <f t="shared" si="2"/>
        <v>0</v>
      </c>
      <c r="N14" s="2">
        <f t="shared" si="3"/>
        <v>0</v>
      </c>
      <c r="O14" s="2">
        <f t="shared" si="4"/>
        <v>0</v>
      </c>
      <c r="P14" s="2">
        <f t="shared" si="5"/>
        <v>0</v>
      </c>
      <c r="Q14" s="2">
        <f t="shared" si="6"/>
        <v>0</v>
      </c>
      <c r="R14" s="2"/>
    </row>
    <row r="15" spans="2:18">
      <c r="B15" s="1"/>
      <c r="C15" s="2"/>
      <c r="E15" s="4"/>
      <c r="F15" s="4"/>
      <c r="G15" s="4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>
      <c r="B16" s="1"/>
      <c r="C16" s="2"/>
      <c r="E16" s="4"/>
      <c r="F16" s="4"/>
      <c r="G16" s="4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>
      <c r="B17" s="1"/>
      <c r="C17" s="2"/>
      <c r="E17" s="4"/>
      <c r="F17" s="4"/>
      <c r="G17" s="4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>
      <c r="B18" s="1"/>
      <c r="C18" s="2"/>
      <c r="E18" s="4"/>
      <c r="F18" s="4"/>
      <c r="G18" s="4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>
      <c r="B19" s="1"/>
      <c r="C19" s="2"/>
      <c r="E19" s="4"/>
      <c r="F19" s="4"/>
      <c r="G19" s="4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>
      <c r="B20" s="1"/>
      <c r="C20" s="2"/>
      <c r="E20" s="4"/>
      <c r="F20" s="4"/>
      <c r="G20" s="4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>
      <c r="B21" s="1"/>
      <c r="C21" s="2"/>
      <c r="E21" s="4"/>
      <c r="F21" s="4" t="s">
        <v>18</v>
      </c>
      <c r="G21" s="4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</row>
  </sheetData>
  <conditionalFormatting sqref="C3:C8">
    <cfRule type="cellIs" dxfId="129" priority="35" stopIfTrue="1" operator="lessThan">
      <formula>0</formula>
    </cfRule>
    <cfRule type="cellIs" dxfId="128" priority="36" stopIfTrue="1" operator="greaterThan">
      <formula>0</formula>
    </cfRule>
  </conditionalFormatting>
  <conditionalFormatting sqref="C3:C8">
    <cfRule type="cellIs" dxfId="127" priority="33" stopIfTrue="1" operator="lessThan">
      <formula>0</formula>
    </cfRule>
    <cfRule type="cellIs" dxfId="126" priority="34" stopIfTrue="1" operator="greaterThan">
      <formula>0</formula>
    </cfRule>
  </conditionalFormatting>
  <conditionalFormatting sqref="C6:C21">
    <cfRule type="cellIs" dxfId="125" priority="31" stopIfTrue="1" operator="lessThan">
      <formula>0</formula>
    </cfRule>
    <cfRule type="cellIs" dxfId="124" priority="32" stopIfTrue="1" operator="greaterThan">
      <formula>0</formula>
    </cfRule>
  </conditionalFormatting>
  <conditionalFormatting sqref="C6:C21">
    <cfRule type="cellIs" dxfId="123" priority="29" stopIfTrue="1" operator="lessThan">
      <formula>0</formula>
    </cfRule>
    <cfRule type="cellIs" dxfId="122" priority="30" stopIfTrue="1" operator="greaterThan">
      <formula>0</formula>
    </cfRule>
  </conditionalFormatting>
  <conditionalFormatting sqref="F5:R5">
    <cfRule type="cellIs" dxfId="121" priority="27" stopIfTrue="1" operator="lessThan">
      <formula>0</formula>
    </cfRule>
    <cfRule type="cellIs" dxfId="120" priority="28" stopIfTrue="1" operator="greaterThan">
      <formula>0</formula>
    </cfRule>
  </conditionalFormatting>
  <conditionalFormatting sqref="F5:R5">
    <cfRule type="cellIs" dxfId="119" priority="25" stopIfTrue="1" operator="lessThan">
      <formula>0</formula>
    </cfRule>
    <cfRule type="cellIs" dxfId="118" priority="26" stopIfTrue="1" operator="greaterThan">
      <formula>0</formula>
    </cfRule>
  </conditionalFormatting>
  <conditionalFormatting sqref="I7:J10 I15:R21 I12:J14">
    <cfRule type="cellIs" dxfId="117" priority="23" stopIfTrue="1" operator="lessThan">
      <formula>0</formula>
    </cfRule>
    <cfRule type="cellIs" dxfId="116" priority="24" stopIfTrue="1" operator="greaterThan">
      <formula>0</formula>
    </cfRule>
  </conditionalFormatting>
  <conditionalFormatting sqref="I7:J10 I15:R21 I12:J14">
    <cfRule type="cellIs" dxfId="115" priority="21" stopIfTrue="1" operator="lessThan">
      <formula>0</formula>
    </cfRule>
    <cfRule type="cellIs" dxfId="114" priority="22" stopIfTrue="1" operator="greaterThan">
      <formula>0</formula>
    </cfRule>
  </conditionalFormatting>
  <conditionalFormatting sqref="I11:J11">
    <cfRule type="cellIs" dxfId="113" priority="19" stopIfTrue="1" operator="lessThan">
      <formula>0</formula>
    </cfRule>
    <cfRule type="cellIs" dxfId="112" priority="20" stopIfTrue="1" operator="greaterThan">
      <formula>0</formula>
    </cfRule>
  </conditionalFormatting>
  <conditionalFormatting sqref="I11:J11">
    <cfRule type="cellIs" dxfId="111" priority="17" stopIfTrue="1" operator="lessThan">
      <formula>0</formula>
    </cfRule>
    <cfRule type="cellIs" dxfId="110" priority="18" stopIfTrue="1" operator="greaterThan">
      <formula>0</formula>
    </cfRule>
  </conditionalFormatting>
  <conditionalFormatting sqref="I6:R6 L6:L14 O6:O14">
    <cfRule type="cellIs" dxfId="109" priority="15" stopIfTrue="1" operator="lessThan">
      <formula>0</formula>
    </cfRule>
    <cfRule type="cellIs" dxfId="108" priority="16" stopIfTrue="1" operator="greaterThan">
      <formula>0</formula>
    </cfRule>
  </conditionalFormatting>
  <conditionalFormatting sqref="I6:R6 L6:L14 O6:O14">
    <cfRule type="cellIs" dxfId="107" priority="13" stopIfTrue="1" operator="lessThan">
      <formula>0</formula>
    </cfRule>
    <cfRule type="cellIs" dxfId="106" priority="14" stopIfTrue="1" operator="greaterThan">
      <formula>0</formula>
    </cfRule>
  </conditionalFormatting>
  <conditionalFormatting sqref="K7:R14">
    <cfRule type="cellIs" dxfId="105" priority="11" stopIfTrue="1" operator="lessThan">
      <formula>0</formula>
    </cfRule>
    <cfRule type="cellIs" dxfId="104" priority="12" stopIfTrue="1" operator="greaterThan">
      <formula>0</formula>
    </cfRule>
  </conditionalFormatting>
  <conditionalFormatting sqref="K7:R14">
    <cfRule type="cellIs" dxfId="103" priority="9" stopIfTrue="1" operator="lessThan">
      <formula>0</formula>
    </cfRule>
    <cfRule type="cellIs" dxfId="102" priority="10" stopIfTrue="1" operator="greaterThan">
      <formula>0</formula>
    </cfRule>
  </conditionalFormatting>
  <conditionalFormatting sqref="E5">
    <cfRule type="cellIs" dxfId="101" priority="7" stopIfTrue="1" operator="lessThan">
      <formula>0</formula>
    </cfRule>
    <cfRule type="cellIs" dxfId="100" priority="8" stopIfTrue="1" operator="greaterThan">
      <formula>0</formula>
    </cfRule>
  </conditionalFormatting>
  <conditionalFormatting sqref="E5">
    <cfRule type="cellIs" dxfId="99" priority="5" stopIfTrue="1" operator="lessThan">
      <formula>0</formula>
    </cfRule>
    <cfRule type="cellIs" dxfId="98" priority="6" stopIfTrue="1" operator="greaterThan">
      <formula>0</formula>
    </cfRule>
  </conditionalFormatting>
  <conditionalFormatting sqref="C2">
    <cfRule type="cellIs" dxfId="97" priority="3" stopIfTrue="1" operator="lessThan">
      <formula>0</formula>
    </cfRule>
    <cfRule type="cellIs" dxfId="96" priority="4" stopIfTrue="1" operator="greaterThan">
      <formula>0</formula>
    </cfRule>
  </conditionalFormatting>
  <conditionalFormatting sqref="C2">
    <cfRule type="cellIs" dxfId="95" priority="1" stopIfTrue="1" operator="lessThan">
      <formula>0</formula>
    </cfRule>
    <cfRule type="cellIs" dxfId="94" priority="2" stopIfTrue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Q21"/>
  <sheetViews>
    <sheetView zoomScale="84" zoomScaleNormal="84" workbookViewId="0">
      <selection activeCell="Q10" sqref="Q10"/>
    </sheetView>
  </sheetViews>
  <sheetFormatPr defaultRowHeight="15"/>
  <cols>
    <col min="2" max="2" width="13.7109375" bestFit="1" customWidth="1"/>
    <col min="3" max="3" width="17" bestFit="1" customWidth="1"/>
    <col min="5" max="6" width="14.85546875" bestFit="1" customWidth="1"/>
    <col min="10" max="10" width="13.85546875" bestFit="1" customWidth="1"/>
    <col min="11" max="11" width="10.28515625" bestFit="1" customWidth="1"/>
  </cols>
  <sheetData>
    <row r="3" spans="2:17">
      <c r="B3" s="5" t="s">
        <v>0</v>
      </c>
      <c r="C3" s="7">
        <f>C5+F5</f>
        <v>24701</v>
      </c>
      <c r="E3" s="5" t="s">
        <v>1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spans="2:17" ht="30.75" customHeight="1">
      <c r="B4" s="1"/>
      <c r="C4" s="2"/>
      <c r="E4" s="6" t="s">
        <v>37</v>
      </c>
      <c r="F4" s="6" t="s">
        <v>3</v>
      </c>
      <c r="G4" s="6" t="s">
        <v>2</v>
      </c>
      <c r="H4" s="6" t="s">
        <v>4</v>
      </c>
      <c r="I4" s="6" t="s">
        <v>5</v>
      </c>
      <c r="J4" s="6" t="s">
        <v>6</v>
      </c>
      <c r="K4" s="6" t="s">
        <v>7</v>
      </c>
      <c r="L4" s="6" t="s">
        <v>19</v>
      </c>
      <c r="M4" s="6" t="s">
        <v>13</v>
      </c>
      <c r="N4" s="6" t="s">
        <v>14</v>
      </c>
      <c r="O4" s="6" t="s">
        <v>15</v>
      </c>
      <c r="P4" s="6" t="s">
        <v>16</v>
      </c>
      <c r="Q4" s="6" t="s">
        <v>20</v>
      </c>
    </row>
    <row r="5" spans="2:17">
      <c r="B5" s="1" t="s">
        <v>21</v>
      </c>
      <c r="C5" s="2">
        <f>SUM(C6:C21)</f>
        <v>24990</v>
      </c>
      <c r="E5" s="2"/>
      <c r="F5" s="2">
        <f>SUM(J5:Q5)</f>
        <v>-289</v>
      </c>
      <c r="G5" s="2"/>
      <c r="H5" s="2"/>
      <c r="I5" s="2"/>
      <c r="J5" s="2">
        <f>SUM(J6:J21)</f>
        <v>-150</v>
      </c>
      <c r="K5" s="2">
        <f t="shared" ref="K5:Q5" si="0">ROUND(SUM(K6:K21),0)</f>
        <v>-38</v>
      </c>
      <c r="L5" s="2">
        <f t="shared" si="0"/>
        <v>-12</v>
      </c>
      <c r="M5" s="2">
        <f t="shared" si="0"/>
        <v>-9</v>
      </c>
      <c r="N5" s="2">
        <f t="shared" si="0"/>
        <v>-47</v>
      </c>
      <c r="O5" s="2">
        <f t="shared" si="0"/>
        <v>-1</v>
      </c>
      <c r="P5" s="2">
        <f t="shared" si="0"/>
        <v>-8</v>
      </c>
      <c r="Q5" s="2">
        <f t="shared" si="0"/>
        <v>-24</v>
      </c>
    </row>
    <row r="6" spans="2:17">
      <c r="B6" s="1" t="s">
        <v>8</v>
      </c>
      <c r="C6" s="2">
        <v>25000</v>
      </c>
      <c r="E6" s="12">
        <v>43474</v>
      </c>
      <c r="F6" s="4" t="s">
        <v>9</v>
      </c>
      <c r="G6" s="3" t="s">
        <v>10</v>
      </c>
      <c r="H6" s="2">
        <v>10</v>
      </c>
      <c r="I6" s="2">
        <v>100.75</v>
      </c>
      <c r="J6" s="2">
        <f t="shared" ref="J6:J11" si="1">IF(G6="B",-1,1)*H6*I6</f>
        <v>-1007.5</v>
      </c>
      <c r="K6" s="2">
        <f t="shared" ref="K6:K11" si="2">-MIN(20,0.01%*ABS(J6))</f>
        <v>-0.10075000000000001</v>
      </c>
      <c r="L6" s="2">
        <f t="shared" ref="L6:L11" si="3">-ABS(J6)*0.00325%</f>
        <v>-3.2743749999999995E-2</v>
      </c>
      <c r="M6" s="2">
        <f t="shared" ref="M6:M11" si="4">18%*(K6+L6)</f>
        <v>-2.4028874999999998E-2</v>
      </c>
      <c r="N6" s="2">
        <f t="shared" ref="N6:N11" si="5">-IF(G6="S",1,0)*ABS(J6)*0.025%</f>
        <v>0</v>
      </c>
      <c r="O6" s="2">
        <f t="shared" ref="O6:O11" si="6">-15/10000000*ABS(J6)</f>
        <v>-1.51125E-3</v>
      </c>
      <c r="P6" s="2">
        <f t="shared" ref="P6:P11" si="7">-0.002%*ABS(J6)</f>
        <v>-2.0150000000000001E-2</v>
      </c>
      <c r="Q6" s="2"/>
    </row>
    <row r="7" spans="2:17">
      <c r="B7" s="1" t="s">
        <v>17</v>
      </c>
      <c r="C7" s="2">
        <v>-10</v>
      </c>
      <c r="E7" s="12">
        <v>43474</v>
      </c>
      <c r="F7" s="4" t="s">
        <v>9</v>
      </c>
      <c r="G7" s="3" t="s">
        <v>12</v>
      </c>
      <c r="H7" s="2">
        <v>10</v>
      </c>
      <c r="I7" s="2">
        <v>98.95</v>
      </c>
      <c r="J7" s="2">
        <f t="shared" si="1"/>
        <v>989.5</v>
      </c>
      <c r="K7" s="2">
        <f t="shared" si="2"/>
        <v>-9.895000000000001E-2</v>
      </c>
      <c r="L7" s="2">
        <f t="shared" si="3"/>
        <v>-3.215875E-2</v>
      </c>
      <c r="M7" s="2">
        <f t="shared" si="4"/>
        <v>-2.3599574999999998E-2</v>
      </c>
      <c r="N7" s="2">
        <f t="shared" si="5"/>
        <v>-0.24737500000000001</v>
      </c>
      <c r="O7" s="2">
        <f t="shared" si="6"/>
        <v>-1.4842500000000001E-3</v>
      </c>
      <c r="P7" s="2">
        <f t="shared" si="7"/>
        <v>-1.9790000000000002E-2</v>
      </c>
      <c r="Q7" s="2"/>
    </row>
    <row r="8" spans="2:17">
      <c r="B8" s="1"/>
      <c r="C8" s="2"/>
      <c r="E8" s="12">
        <v>43474</v>
      </c>
      <c r="F8" s="4" t="s">
        <v>11</v>
      </c>
      <c r="G8" s="3" t="s">
        <v>10</v>
      </c>
      <c r="H8" s="2">
        <v>20</v>
      </c>
      <c r="I8" s="2">
        <v>855.5</v>
      </c>
      <c r="J8" s="2">
        <f t="shared" si="1"/>
        <v>-17110</v>
      </c>
      <c r="K8" s="2">
        <f t="shared" si="2"/>
        <v>-1.7110000000000001</v>
      </c>
      <c r="L8" s="2">
        <f t="shared" si="3"/>
        <v>-0.55607499999999999</v>
      </c>
      <c r="M8" s="2">
        <f t="shared" si="4"/>
        <v>-0.40807350000000003</v>
      </c>
      <c r="N8" s="2">
        <f t="shared" si="5"/>
        <v>0</v>
      </c>
      <c r="O8" s="2">
        <f t="shared" si="6"/>
        <v>-2.5665E-2</v>
      </c>
      <c r="P8" s="2">
        <f t="shared" si="7"/>
        <v>-0.3422</v>
      </c>
      <c r="Q8" s="2"/>
    </row>
    <row r="9" spans="2:17">
      <c r="B9" s="1"/>
      <c r="C9" s="2"/>
      <c r="E9" s="12">
        <v>43474</v>
      </c>
      <c r="F9" s="4" t="s">
        <v>11</v>
      </c>
      <c r="G9" s="3" t="s">
        <v>12</v>
      </c>
      <c r="H9" s="2">
        <v>20</v>
      </c>
      <c r="I9" s="2">
        <v>858.35</v>
      </c>
      <c r="J9" s="2">
        <f t="shared" si="1"/>
        <v>17167</v>
      </c>
      <c r="K9" s="2">
        <f t="shared" si="2"/>
        <v>-1.7167000000000001</v>
      </c>
      <c r="L9" s="2">
        <f t="shared" si="3"/>
        <v>-0.55792749999999991</v>
      </c>
      <c r="M9" s="2">
        <f t="shared" si="4"/>
        <v>-0.40943295000000002</v>
      </c>
      <c r="N9" s="2">
        <f t="shared" si="5"/>
        <v>-4.2917500000000004</v>
      </c>
      <c r="O9" s="2">
        <f t="shared" si="6"/>
        <v>-2.5750499999999999E-2</v>
      </c>
      <c r="P9" s="2">
        <f t="shared" si="7"/>
        <v>-0.34334000000000003</v>
      </c>
      <c r="Q9" s="2">
        <f>-20*(1.18)</f>
        <v>-23.599999999999998</v>
      </c>
    </row>
    <row r="10" spans="2:17">
      <c r="B10" s="1"/>
      <c r="C10" s="2"/>
      <c r="E10" s="12">
        <v>43475</v>
      </c>
      <c r="F10" s="4" t="s">
        <v>32</v>
      </c>
      <c r="G10" s="3" t="s">
        <v>10</v>
      </c>
      <c r="H10" s="2">
        <v>700</v>
      </c>
      <c r="I10" s="2">
        <v>244</v>
      </c>
      <c r="J10" s="2">
        <f t="shared" si="1"/>
        <v>-170800</v>
      </c>
      <c r="K10" s="2">
        <f t="shared" si="2"/>
        <v>-17.080000000000002</v>
      </c>
      <c r="L10" s="2">
        <f t="shared" si="3"/>
        <v>-5.5509999999999993</v>
      </c>
      <c r="M10" s="2">
        <f t="shared" si="4"/>
        <v>-4.0735799999999998</v>
      </c>
      <c r="N10" s="2">
        <f t="shared" si="5"/>
        <v>0</v>
      </c>
      <c r="O10" s="2">
        <f t="shared" si="6"/>
        <v>-0.25619999999999998</v>
      </c>
      <c r="P10" s="2">
        <f t="shared" si="7"/>
        <v>-3.4160000000000004</v>
      </c>
      <c r="Q10" s="2"/>
    </row>
    <row r="11" spans="2:17">
      <c r="B11" s="1"/>
      <c r="C11" s="2"/>
      <c r="E11" s="12">
        <v>43475</v>
      </c>
      <c r="F11" s="4" t="s">
        <v>32</v>
      </c>
      <c r="G11" s="3" t="s">
        <v>12</v>
      </c>
      <c r="H11" s="2">
        <v>700</v>
      </c>
      <c r="I11" s="2">
        <v>243.73</v>
      </c>
      <c r="J11" s="2">
        <f t="shared" si="1"/>
        <v>170611</v>
      </c>
      <c r="K11" s="2">
        <f t="shared" si="2"/>
        <v>-17.0611</v>
      </c>
      <c r="L11" s="2">
        <f t="shared" si="3"/>
        <v>-5.5448574999999991</v>
      </c>
      <c r="M11" s="2">
        <f t="shared" si="4"/>
        <v>-4.0690723499999999</v>
      </c>
      <c r="N11" s="2">
        <f t="shared" si="5"/>
        <v>-42.652749999999997</v>
      </c>
      <c r="O11" s="2">
        <f t="shared" si="6"/>
        <v>-0.25591649999999999</v>
      </c>
      <c r="P11" s="2">
        <f t="shared" si="7"/>
        <v>-3.4122200000000005</v>
      </c>
      <c r="Q11" s="2"/>
    </row>
    <row r="12" spans="2:17">
      <c r="B12" s="1"/>
      <c r="C12" s="2"/>
      <c r="E12" s="4"/>
      <c r="F12" s="4"/>
      <c r="G12" s="3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2:17">
      <c r="B13" s="1"/>
      <c r="C13" s="2"/>
      <c r="E13" s="4"/>
      <c r="F13" s="4"/>
      <c r="G13" s="3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 spans="2:17">
      <c r="B14" s="1"/>
      <c r="C14" s="2"/>
      <c r="E14" s="4"/>
      <c r="F14" s="4"/>
      <c r="G14" s="3"/>
      <c r="H14" s="2"/>
      <c r="I14" s="2"/>
      <c r="J14" s="2"/>
      <c r="K14" s="2"/>
      <c r="L14" s="2"/>
      <c r="M14" s="2"/>
      <c r="N14" s="2"/>
      <c r="O14" s="2"/>
      <c r="P14" s="2"/>
      <c r="Q14" s="2"/>
    </row>
    <row r="15" spans="2:17">
      <c r="B15" s="1"/>
      <c r="C15" s="2"/>
      <c r="E15" s="4"/>
      <c r="F15" s="4"/>
      <c r="G15" s="3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2:17">
      <c r="B16" s="1"/>
      <c r="C16" s="2"/>
      <c r="E16" s="4"/>
      <c r="F16" s="4"/>
      <c r="G16" s="3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2:17">
      <c r="B17" s="1"/>
      <c r="C17" s="2"/>
      <c r="E17" s="4"/>
      <c r="F17" s="4"/>
      <c r="G17" s="3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2:17">
      <c r="B18" s="1"/>
      <c r="C18" s="2"/>
      <c r="E18" s="4"/>
      <c r="F18" s="4"/>
      <c r="G18" s="3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2:17">
      <c r="B19" s="1"/>
      <c r="C19" s="2"/>
      <c r="E19" s="4"/>
      <c r="F19" s="4"/>
      <c r="G19" s="3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2:17">
      <c r="B20" s="1"/>
      <c r="C20" s="2"/>
      <c r="E20" s="4"/>
      <c r="F20" s="4"/>
      <c r="G20" s="3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2:17">
      <c r="B21" s="1"/>
      <c r="C21" s="2"/>
      <c r="E21" s="4" t="s">
        <v>18</v>
      </c>
      <c r="F21" s="4" t="s">
        <v>18</v>
      </c>
      <c r="G21" s="3"/>
      <c r="H21" s="2"/>
      <c r="I21" s="2"/>
      <c r="J21" s="2"/>
      <c r="K21" s="2"/>
      <c r="L21" s="2"/>
      <c r="M21" s="2"/>
      <c r="N21" s="2"/>
      <c r="O21" s="2"/>
      <c r="P21" s="2"/>
      <c r="Q21" s="2"/>
    </row>
  </sheetData>
  <conditionalFormatting sqref="C3:C6">
    <cfRule type="cellIs" dxfId="93" priority="23" stopIfTrue="1" operator="lessThan">
      <formula>0</formula>
    </cfRule>
    <cfRule type="cellIs" dxfId="92" priority="24" stopIfTrue="1" operator="greaterThan">
      <formula>0</formula>
    </cfRule>
  </conditionalFormatting>
  <conditionalFormatting sqref="C3:C6">
    <cfRule type="cellIs" dxfId="91" priority="21" stopIfTrue="1" operator="lessThan">
      <formula>0</formula>
    </cfRule>
    <cfRule type="cellIs" dxfId="90" priority="22" stopIfTrue="1" operator="greaterThan">
      <formula>0</formula>
    </cfRule>
  </conditionalFormatting>
  <conditionalFormatting sqref="C7:C21">
    <cfRule type="cellIs" dxfId="89" priority="19" stopIfTrue="1" operator="lessThan">
      <formula>0</formula>
    </cfRule>
    <cfRule type="cellIs" dxfId="88" priority="20" stopIfTrue="1" operator="greaterThan">
      <formula>0</formula>
    </cfRule>
  </conditionalFormatting>
  <conditionalFormatting sqref="C7:C21">
    <cfRule type="cellIs" dxfId="87" priority="17" stopIfTrue="1" operator="lessThan">
      <formula>0</formula>
    </cfRule>
    <cfRule type="cellIs" dxfId="86" priority="18" stopIfTrue="1" operator="greaterThan">
      <formula>0</formula>
    </cfRule>
  </conditionalFormatting>
  <conditionalFormatting sqref="F5:Q5">
    <cfRule type="cellIs" dxfId="85" priority="15" stopIfTrue="1" operator="lessThan">
      <formula>0</formula>
    </cfRule>
    <cfRule type="cellIs" dxfId="84" priority="16" stopIfTrue="1" operator="greaterThan">
      <formula>0</formula>
    </cfRule>
  </conditionalFormatting>
  <conditionalFormatting sqref="F5:Q5">
    <cfRule type="cellIs" dxfId="83" priority="13" stopIfTrue="1" operator="lessThan">
      <formula>0</formula>
    </cfRule>
    <cfRule type="cellIs" dxfId="82" priority="14" stopIfTrue="1" operator="greaterThan">
      <formula>0</formula>
    </cfRule>
  </conditionalFormatting>
  <conditionalFormatting sqref="H6:Q10 H12:Q21 Q11 K6:P11">
    <cfRule type="cellIs" dxfId="81" priority="11" stopIfTrue="1" operator="lessThan">
      <formula>0</formula>
    </cfRule>
    <cfRule type="cellIs" dxfId="80" priority="12" stopIfTrue="1" operator="greaterThan">
      <formula>0</formula>
    </cfRule>
  </conditionalFormatting>
  <conditionalFormatting sqref="H6:Q10 H12:Q21 Q11 K6:P11">
    <cfRule type="cellIs" dxfId="79" priority="9" stopIfTrue="1" operator="lessThan">
      <formula>0</formula>
    </cfRule>
    <cfRule type="cellIs" dxfId="78" priority="10" stopIfTrue="1" operator="greaterThan">
      <formula>0</formula>
    </cfRule>
  </conditionalFormatting>
  <conditionalFormatting sqref="H11:P11">
    <cfRule type="cellIs" dxfId="77" priority="7" stopIfTrue="1" operator="lessThan">
      <formula>0</formula>
    </cfRule>
    <cfRule type="cellIs" dxfId="76" priority="8" stopIfTrue="1" operator="greaterThan">
      <formula>0</formula>
    </cfRule>
  </conditionalFormatting>
  <conditionalFormatting sqref="H11:P11">
    <cfRule type="cellIs" dxfId="75" priority="5" stopIfTrue="1" operator="lessThan">
      <formula>0</formula>
    </cfRule>
    <cfRule type="cellIs" dxfId="74" priority="6" stopIfTrue="1" operator="greaterThan">
      <formula>0</formula>
    </cfRule>
  </conditionalFormatting>
  <conditionalFormatting sqref="E5">
    <cfRule type="cellIs" dxfId="73" priority="3" stopIfTrue="1" operator="lessThan">
      <formula>0</formula>
    </cfRule>
    <cfRule type="cellIs" dxfId="72" priority="4" stopIfTrue="1" operator="greaterThan">
      <formula>0</formula>
    </cfRule>
  </conditionalFormatting>
  <conditionalFormatting sqref="E5">
    <cfRule type="cellIs" dxfId="71" priority="1" stopIfTrue="1" operator="lessThan">
      <formula>0</formula>
    </cfRule>
    <cfRule type="cellIs" dxfId="70" priority="2" stopIfTrue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8"/>
  <sheetViews>
    <sheetView workbookViewId="0">
      <selection activeCell="O7" sqref="O7"/>
    </sheetView>
  </sheetViews>
  <sheetFormatPr defaultRowHeight="15"/>
  <cols>
    <col min="2" max="2" width="11.42578125" bestFit="1" customWidth="1"/>
    <col min="3" max="3" width="10.28515625" bestFit="1" customWidth="1"/>
  </cols>
  <sheetData>
    <row r="1" spans="1:17" ht="15.75" thickBot="1">
      <c r="B1" s="105"/>
      <c r="C1" s="110"/>
      <c r="D1" s="110"/>
      <c r="E1" s="110"/>
      <c r="F1" s="110"/>
      <c r="G1" s="110"/>
      <c r="H1" s="110"/>
      <c r="I1" s="110"/>
      <c r="J1" s="110"/>
    </row>
    <row r="2" spans="1:17">
      <c r="B2" s="113" t="s">
        <v>101</v>
      </c>
      <c r="C2" s="116" t="s">
        <v>102</v>
      </c>
      <c r="D2" s="116" t="s">
        <v>103</v>
      </c>
      <c r="E2" s="116" t="s">
        <v>104</v>
      </c>
      <c r="F2" s="116" t="s">
        <v>105</v>
      </c>
      <c r="G2" s="116" t="s">
        <v>106</v>
      </c>
      <c r="H2" s="116" t="s">
        <v>107</v>
      </c>
      <c r="I2" s="116" t="s">
        <v>108</v>
      </c>
      <c r="J2" s="117" t="s">
        <v>109</v>
      </c>
    </row>
    <row r="3" spans="1:17" ht="30">
      <c r="B3" s="119" t="s">
        <v>110</v>
      </c>
      <c r="C3" s="106">
        <f>C13</f>
        <v>17562</v>
      </c>
      <c r="D3" s="118" t="str">
        <f t="shared" ref="D3:I4" si="0">TEXT(D13,"0.00")&amp;"  ("&amp;TEXT(D13/$C13-1,"0.00%")&amp;")"</f>
        <v>17651.54  (0.51%)</v>
      </c>
      <c r="E3" s="118" t="str">
        <f t="shared" si="0"/>
        <v>17741.07  (1.02%)</v>
      </c>
      <c r="F3" s="118" t="str">
        <f t="shared" si="0"/>
        <v>17903.79  (1.95%)</v>
      </c>
      <c r="G3" s="118" t="str">
        <f t="shared" si="0"/>
        <v>17399.29  (-0.93%)</v>
      </c>
      <c r="H3" s="118" t="str">
        <f t="shared" si="0"/>
        <v>17236.57  (-1.85%)</v>
      </c>
      <c r="I3" s="118" t="str">
        <f t="shared" si="0"/>
        <v>17147.04  (-2.36%)</v>
      </c>
      <c r="J3" s="122" t="str">
        <f>TEXT(J13,"0.00")</f>
        <v>1.15</v>
      </c>
    </row>
    <row r="4" spans="1:17" ht="30.75" thickBot="1">
      <c r="B4" s="120" t="s">
        <v>111</v>
      </c>
      <c r="C4" s="108">
        <f>C14</f>
        <v>37235.85</v>
      </c>
      <c r="D4" s="121" t="str">
        <f t="shared" si="0"/>
        <v>37542.39  (0.82%)</v>
      </c>
      <c r="E4" s="121" t="str">
        <f t="shared" si="0"/>
        <v>37848.92  (1.65%)</v>
      </c>
      <c r="F4" s="121" t="str">
        <f t="shared" si="0"/>
        <v>38357.14  (3.01%)</v>
      </c>
      <c r="G4" s="121" t="str">
        <f t="shared" si="0"/>
        <v>36727.64  (-1.36%)</v>
      </c>
      <c r="H4" s="121" t="str">
        <f t="shared" si="0"/>
        <v>36219.42  (-2.73%)</v>
      </c>
      <c r="I4" s="121" t="str">
        <f t="shared" si="0"/>
        <v>35912.89  (-3.55%)</v>
      </c>
      <c r="J4" s="123" t="str">
        <f>TEXT(J14,"0.00")</f>
        <v>0.70</v>
      </c>
    </row>
    <row r="5" spans="1:17" ht="15.75" thickBot="1">
      <c r="D5" s="11"/>
      <c r="E5" s="11"/>
      <c r="F5" s="11"/>
      <c r="G5" s="11"/>
      <c r="H5" s="11"/>
      <c r="I5" s="11"/>
      <c r="J5" s="11"/>
    </row>
    <row r="6" spans="1:17">
      <c r="B6" s="113" t="s">
        <v>101</v>
      </c>
      <c r="C6" s="116" t="s">
        <v>102</v>
      </c>
      <c r="D6" s="116" t="s">
        <v>103</v>
      </c>
      <c r="E6" s="116" t="s">
        <v>104</v>
      </c>
      <c r="F6" s="116" t="s">
        <v>105</v>
      </c>
      <c r="G6" s="116" t="s">
        <v>106</v>
      </c>
      <c r="H6" s="116" t="s">
        <v>107</v>
      </c>
      <c r="I6" s="116" t="s">
        <v>108</v>
      </c>
      <c r="J6" s="117" t="s">
        <v>109</v>
      </c>
    </row>
    <row r="7" spans="1:17">
      <c r="B7" s="119" t="s">
        <v>110</v>
      </c>
      <c r="C7" s="118">
        <f>C13/C17-1</f>
        <v>-1.3164516651834601E-3</v>
      </c>
      <c r="D7" s="118">
        <f>D13/D17-1</f>
        <v>-4.9589870295175809E-3</v>
      </c>
      <c r="E7" s="118">
        <f t="shared" ref="E7:J7" si="1">E13/E17-1</f>
        <v>-8.5397912582403368E-3</v>
      </c>
      <c r="F7" s="118">
        <f t="shared" si="1"/>
        <v>-5.0581250927350663E-3</v>
      </c>
      <c r="G7" s="118">
        <f t="shared" si="1"/>
        <v>-4.8569537885897462E-3</v>
      </c>
      <c r="H7" s="118">
        <f t="shared" si="1"/>
        <v>-8.4397190863864102E-3</v>
      </c>
      <c r="I7" s="118">
        <f t="shared" si="1"/>
        <v>-4.7518966667072782E-3</v>
      </c>
      <c r="J7" s="111">
        <f t="shared" si="1"/>
        <v>-0.26751592356687903</v>
      </c>
    </row>
    <row r="8" spans="1:17" ht="15.75" thickBot="1">
      <c r="B8" s="120" t="s">
        <v>111</v>
      </c>
      <c r="C8" s="121">
        <f t="shared" ref="C8" si="2">C14/C18-1</f>
        <v>-1.5235924092780184E-2</v>
      </c>
      <c r="D8" s="121">
        <f t="shared" ref="D8:J8" si="3">D14/D18-1</f>
        <v>-1.5955499066737544E-2</v>
      </c>
      <c r="E8" s="121">
        <f t="shared" si="3"/>
        <v>-1.6662908142003663E-2</v>
      </c>
      <c r="F8" s="121">
        <f t="shared" si="3"/>
        <v>-1.3138635801708376E-2</v>
      </c>
      <c r="G8" s="121">
        <f t="shared" si="3"/>
        <v>-1.8880222768303367E-2</v>
      </c>
      <c r="H8" s="121">
        <f t="shared" si="3"/>
        <v>-2.2599312192499776E-2</v>
      </c>
      <c r="I8" s="121">
        <f t="shared" si="3"/>
        <v>-2.1919122951839842E-2</v>
      </c>
      <c r="J8" s="112">
        <f t="shared" si="3"/>
        <v>-0.27083333333333337</v>
      </c>
    </row>
    <row r="9" spans="1:17">
      <c r="D9" s="11"/>
      <c r="E9" s="11"/>
      <c r="F9" s="11"/>
      <c r="G9" s="11"/>
      <c r="H9" s="11"/>
      <c r="I9" s="11"/>
      <c r="J9" s="11"/>
    </row>
    <row r="11" spans="1:17" ht="15.75" thickBot="1"/>
    <row r="12" spans="1:17">
      <c r="B12" s="113" t="s">
        <v>101</v>
      </c>
      <c r="C12" s="114" t="s">
        <v>102</v>
      </c>
      <c r="D12" s="114" t="s">
        <v>103</v>
      </c>
      <c r="E12" s="114" t="s">
        <v>104</v>
      </c>
      <c r="F12" s="114" t="s">
        <v>105</v>
      </c>
      <c r="G12" s="114" t="s">
        <v>106</v>
      </c>
      <c r="H12" s="114" t="s">
        <v>107</v>
      </c>
      <c r="I12" s="114" t="s">
        <v>108</v>
      </c>
      <c r="J12" s="115" t="s">
        <v>109</v>
      </c>
      <c r="K12" t="s">
        <v>624</v>
      </c>
      <c r="L12" t="s">
        <v>625</v>
      </c>
      <c r="M12" t="s">
        <v>626</v>
      </c>
      <c r="N12" t="s">
        <v>627</v>
      </c>
    </row>
    <row r="13" spans="1:17">
      <c r="B13" s="103" t="s">
        <v>110</v>
      </c>
      <c r="C13" s="106">
        <v>17562</v>
      </c>
      <c r="D13" s="106">
        <v>17651.54</v>
      </c>
      <c r="E13" s="106">
        <v>17741.07</v>
      </c>
      <c r="F13" s="106">
        <v>17903.79</v>
      </c>
      <c r="G13" s="106">
        <v>17399.29</v>
      </c>
      <c r="H13" s="106">
        <v>17236.57</v>
      </c>
      <c r="I13" s="106">
        <v>17147.04</v>
      </c>
      <c r="J13" s="107">
        <v>1.1499999999999999</v>
      </c>
      <c r="L13" s="47"/>
      <c r="M13" s="47"/>
      <c r="N13" s="47"/>
      <c r="O13" s="47"/>
      <c r="P13" s="47"/>
      <c r="Q13" s="47"/>
    </row>
    <row r="14" spans="1:17" ht="15.75" thickBot="1">
      <c r="B14" s="104" t="s">
        <v>111</v>
      </c>
      <c r="C14" s="108">
        <v>37235.85</v>
      </c>
      <c r="D14" s="108">
        <v>37542.39</v>
      </c>
      <c r="E14" s="108">
        <v>37848.92</v>
      </c>
      <c r="F14" s="108">
        <v>38357.14</v>
      </c>
      <c r="G14" s="108">
        <v>36727.64</v>
      </c>
      <c r="H14" s="108">
        <v>36219.42</v>
      </c>
      <c r="I14" s="108">
        <v>35912.89</v>
      </c>
      <c r="J14" s="109">
        <v>0.7</v>
      </c>
      <c r="L14" s="47"/>
      <c r="M14" s="47"/>
      <c r="N14" s="47"/>
      <c r="O14" s="47"/>
      <c r="P14" s="47"/>
      <c r="Q14" s="47"/>
    </row>
    <row r="16" spans="1:17">
      <c r="A16" t="s">
        <v>673</v>
      </c>
      <c r="B16" t="s">
        <v>101</v>
      </c>
      <c r="C16" t="s">
        <v>102</v>
      </c>
      <c r="D16" t="s">
        <v>103</v>
      </c>
      <c r="E16" t="s">
        <v>104</v>
      </c>
      <c r="F16" t="s">
        <v>105</v>
      </c>
      <c r="G16" t="s">
        <v>106</v>
      </c>
      <c r="H16" t="s">
        <v>107</v>
      </c>
      <c r="I16" t="s">
        <v>108</v>
      </c>
      <c r="J16" t="s">
        <v>109</v>
      </c>
    </row>
    <row r="17" spans="1:10">
      <c r="A17" t="s">
        <v>674</v>
      </c>
      <c r="B17" t="s">
        <v>110</v>
      </c>
      <c r="C17">
        <v>17585.150000000001</v>
      </c>
      <c r="D17">
        <v>17739.509999999998</v>
      </c>
      <c r="E17">
        <v>17893.88</v>
      </c>
      <c r="F17">
        <v>17994.810000000001</v>
      </c>
      <c r="G17">
        <v>17484.21</v>
      </c>
      <c r="H17">
        <v>17383.28</v>
      </c>
      <c r="I17">
        <v>17228.91</v>
      </c>
      <c r="J17">
        <v>1.57</v>
      </c>
    </row>
    <row r="18" spans="1:10">
      <c r="B18" t="s">
        <v>111</v>
      </c>
      <c r="C18">
        <v>37811.949999999997</v>
      </c>
      <c r="D18">
        <v>38151.11</v>
      </c>
      <c r="E18">
        <v>38490.28</v>
      </c>
      <c r="F18">
        <v>38867.81</v>
      </c>
      <c r="G18">
        <v>37434.410000000003</v>
      </c>
      <c r="H18">
        <v>37056.879999999997</v>
      </c>
      <c r="I18">
        <v>36717.71</v>
      </c>
      <c r="J18">
        <v>0.96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3:S25"/>
  <sheetViews>
    <sheetView tabSelected="1" zoomScale="84" zoomScaleNormal="84" workbookViewId="0">
      <selection activeCell="B4" sqref="B4"/>
    </sheetView>
  </sheetViews>
  <sheetFormatPr defaultRowHeight="15"/>
  <cols>
    <col min="2" max="2" width="35" bestFit="1" customWidth="1"/>
    <col min="3" max="3" width="18.85546875" bestFit="1" customWidth="1"/>
    <col min="4" max="4" width="18.85546875" customWidth="1"/>
    <col min="6" max="7" width="14.85546875" bestFit="1" customWidth="1"/>
    <col min="11" max="11" width="13.85546875" bestFit="1" customWidth="1"/>
    <col min="12" max="12" width="10.28515625" bestFit="1" customWidth="1"/>
    <col min="19" max="19" width="11.28515625" bestFit="1" customWidth="1"/>
  </cols>
  <sheetData>
    <row r="3" spans="2:19">
      <c r="B3" s="5" t="s">
        <v>78</v>
      </c>
      <c r="C3" s="74">
        <f>SUM(C5:C27)</f>
        <v>175755.59152800002</v>
      </c>
      <c r="D3" s="100"/>
      <c r="F3" s="5" t="s">
        <v>76</v>
      </c>
      <c r="G3" s="5"/>
      <c r="H3" s="5"/>
      <c r="I3" s="5"/>
      <c r="J3" s="5"/>
      <c r="K3" s="5"/>
      <c r="L3" s="5"/>
      <c r="M3" s="5">
        <v>5.2999999999999998E-4</v>
      </c>
      <c r="N3" s="5">
        <v>0.18</v>
      </c>
      <c r="O3" s="5">
        <v>5.0000000000000001E-4</v>
      </c>
      <c r="P3" s="5">
        <f>10/10000000</f>
        <v>9.9999999999999995E-7</v>
      </c>
      <c r="Q3" s="5">
        <f>300/10000000</f>
        <v>3.0000000000000001E-5</v>
      </c>
      <c r="R3" s="5">
        <v>0</v>
      </c>
      <c r="S3" s="5"/>
    </row>
    <row r="4" spans="2:19" ht="30.75" customHeight="1">
      <c r="B4" s="1"/>
      <c r="C4" s="74">
        <f>+C3-C5</f>
        <v>87049.251528000023</v>
      </c>
      <c r="D4" s="100" t="s">
        <v>667</v>
      </c>
      <c r="F4" s="6" t="s">
        <v>37</v>
      </c>
      <c r="G4" s="6" t="s">
        <v>3</v>
      </c>
      <c r="H4" s="6" t="s">
        <v>2</v>
      </c>
      <c r="I4" s="6" t="s">
        <v>4</v>
      </c>
      <c r="J4" s="6" t="s">
        <v>44</v>
      </c>
      <c r="K4" s="6" t="s">
        <v>6</v>
      </c>
      <c r="L4" s="6" t="s">
        <v>7</v>
      </c>
      <c r="M4" s="6" t="s">
        <v>19</v>
      </c>
      <c r="N4" s="6" t="s">
        <v>13</v>
      </c>
      <c r="O4" s="6" t="s">
        <v>14</v>
      </c>
      <c r="P4" s="6" t="s">
        <v>15</v>
      </c>
      <c r="Q4" s="6" t="s">
        <v>16</v>
      </c>
      <c r="R4" s="6" t="s">
        <v>20</v>
      </c>
      <c r="S4" s="6"/>
    </row>
    <row r="5" spans="2:19">
      <c r="B5" s="1" t="s">
        <v>77</v>
      </c>
      <c r="C5" s="2">
        <v>88706.34</v>
      </c>
      <c r="D5" s="101"/>
      <c r="F5" s="2"/>
      <c r="G5" s="2">
        <f>SUM(K5:R5)</f>
        <v>3106.9999999999964</v>
      </c>
      <c r="H5" s="2"/>
      <c r="I5" s="2"/>
      <c r="J5" s="2"/>
      <c r="K5" s="2">
        <f>SUM(K6:K21)</f>
        <v>3357.9999999999964</v>
      </c>
      <c r="L5" s="2">
        <f t="shared" ref="L5:Q5" si="0">ROUND(SUM(L6:L21),0)</f>
        <v>-160</v>
      </c>
      <c r="M5" s="2">
        <f t="shared" si="0"/>
        <v>-59</v>
      </c>
      <c r="N5" s="2">
        <f t="shared" si="0"/>
        <v>0</v>
      </c>
      <c r="O5" s="2">
        <f t="shared" si="0"/>
        <v>-29</v>
      </c>
      <c r="P5" s="2">
        <f t="shared" si="0"/>
        <v>0</v>
      </c>
      <c r="Q5" s="2">
        <f t="shared" si="0"/>
        <v>-3</v>
      </c>
      <c r="R5" s="2">
        <f>R3</f>
        <v>0</v>
      </c>
      <c r="S5" s="2"/>
    </row>
    <row r="6" spans="2:19">
      <c r="B6" s="102">
        <v>44434</v>
      </c>
      <c r="C6" s="2">
        <v>3107</v>
      </c>
      <c r="D6" s="101"/>
      <c r="F6" s="12">
        <v>44434</v>
      </c>
      <c r="G6" s="4" t="s">
        <v>69</v>
      </c>
      <c r="H6" s="3" t="s">
        <v>10</v>
      </c>
      <c r="I6" s="2">
        <v>100</v>
      </c>
      <c r="J6" s="2">
        <v>28.05</v>
      </c>
      <c r="K6" s="2">
        <f>IF(H6="B",-1,1)*I6*J6</f>
        <v>-2805</v>
      </c>
      <c r="L6" s="2">
        <v>-20</v>
      </c>
      <c r="M6" s="2">
        <f>-ABS(K6)*$M$3</f>
        <v>-1.48665</v>
      </c>
      <c r="N6" s="2">
        <f>$N$2*(L6+M6)</f>
        <v>0</v>
      </c>
      <c r="O6" s="2">
        <f>-IF($H6="S",1,0)*ABS(K6)*$O$3</f>
        <v>0</v>
      </c>
      <c r="P6" s="2">
        <f>-$P$3*ABS(K6)</f>
        <v>-2.8049999999999998E-3</v>
      </c>
      <c r="Q6" s="2">
        <f>-$Q$3*ABS(K6)</f>
        <v>-8.4150000000000003E-2</v>
      </c>
      <c r="R6" s="2">
        <f>R5</f>
        <v>0</v>
      </c>
      <c r="S6" s="2">
        <f>SUM(K6:R6)</f>
        <v>-2826.573605</v>
      </c>
    </row>
    <row r="7" spans="2:19">
      <c r="B7" s="102">
        <v>44435</v>
      </c>
      <c r="C7" s="2">
        <v>-1870</v>
      </c>
      <c r="D7" s="101" t="s">
        <v>668</v>
      </c>
      <c r="F7" s="12">
        <v>44434</v>
      </c>
      <c r="G7" s="4" t="s">
        <v>69</v>
      </c>
      <c r="H7" s="3" t="s">
        <v>12</v>
      </c>
      <c r="I7" s="2">
        <v>100</v>
      </c>
      <c r="J7" s="2">
        <v>35</v>
      </c>
      <c r="K7" s="2">
        <f>IF(H7="B",-1,1)*I7*J7</f>
        <v>3500</v>
      </c>
      <c r="L7" s="2">
        <v>-20</v>
      </c>
      <c r="M7" s="2">
        <f>-ABS(K7)*$M$3</f>
        <v>-1.855</v>
      </c>
      <c r="N7" s="2">
        <f>$N$2*(L7+M7)</f>
        <v>0</v>
      </c>
      <c r="O7" s="2">
        <f>-IF($H7="S",1,0)*ABS(K7)*$O$3</f>
        <v>-1.75</v>
      </c>
      <c r="P7" s="2">
        <f>-$P$3*ABS(K7)</f>
        <v>-3.4999999999999996E-3</v>
      </c>
      <c r="Q7" s="2">
        <f>-$Q$3*ABS(K7)</f>
        <v>-0.105</v>
      </c>
      <c r="R7" s="2">
        <f t="shared" ref="R7:R13" si="1">R5</f>
        <v>0</v>
      </c>
      <c r="S7" s="2">
        <f>SUM(K7:R7)</f>
        <v>3476.2865000000002</v>
      </c>
    </row>
    <row r="8" spans="2:19">
      <c r="B8" s="102">
        <v>44438</v>
      </c>
      <c r="C8" s="2">
        <v>4550</v>
      </c>
      <c r="D8" s="101"/>
      <c r="F8" s="12">
        <v>44434</v>
      </c>
      <c r="G8" s="4" t="s">
        <v>75</v>
      </c>
      <c r="H8" s="3" t="s">
        <v>10</v>
      </c>
      <c r="I8" s="2">
        <v>100</v>
      </c>
      <c r="J8" s="2">
        <v>125</v>
      </c>
      <c r="K8" s="2">
        <f t="shared" ref="K8:K13" si="2">IF(H8="B",-1,1)*I8*J8</f>
        <v>-12500</v>
      </c>
      <c r="L8" s="2">
        <v>-20</v>
      </c>
      <c r="M8" s="2">
        <f t="shared" ref="M8:M13" si="3">-ABS(K8)*$M$3</f>
        <v>-6.625</v>
      </c>
      <c r="N8" s="2">
        <f t="shared" ref="N8:N13" si="4">$N$2*(L8+M8)</f>
        <v>0</v>
      </c>
      <c r="O8" s="2">
        <f t="shared" ref="O8:O13" si="5">-IF($H8="S",1,0)*ABS(K8)*$O$3</f>
        <v>0</v>
      </c>
      <c r="P8" s="2">
        <f t="shared" ref="P8:P13" si="6">-$P$3*ABS(K8)</f>
        <v>-1.2499999999999999E-2</v>
      </c>
      <c r="Q8" s="2">
        <f t="shared" ref="Q8:Q13" si="7">-$Q$3*ABS(K8)</f>
        <v>-0.375</v>
      </c>
      <c r="R8" s="2">
        <f t="shared" si="1"/>
        <v>0</v>
      </c>
      <c r="S8" s="2">
        <f t="shared" ref="S8:S13" si="8">SUM(K8:R8)</f>
        <v>-12527.012500000001</v>
      </c>
    </row>
    <row r="9" spans="2:19">
      <c r="B9" s="102">
        <v>44439</v>
      </c>
      <c r="C9" s="2">
        <v>13983</v>
      </c>
      <c r="D9" s="101"/>
      <c r="F9" s="12">
        <v>44434</v>
      </c>
      <c r="G9" s="4" t="s">
        <v>75</v>
      </c>
      <c r="H9" s="3" t="s">
        <v>12</v>
      </c>
      <c r="I9" s="2">
        <v>100</v>
      </c>
      <c r="J9" s="2">
        <v>135.97999999999999</v>
      </c>
      <c r="K9" s="2">
        <f t="shared" si="2"/>
        <v>13597.999999999998</v>
      </c>
      <c r="L9" s="2">
        <v>-20</v>
      </c>
      <c r="M9" s="2">
        <f t="shared" si="3"/>
        <v>-7.2069399999999986</v>
      </c>
      <c r="N9" s="2">
        <f t="shared" si="4"/>
        <v>0</v>
      </c>
      <c r="O9" s="2">
        <f t="shared" si="5"/>
        <v>-6.7989999999999995</v>
      </c>
      <c r="P9" s="2">
        <f t="shared" si="6"/>
        <v>-1.3597999999999997E-2</v>
      </c>
      <c r="Q9" s="2">
        <f t="shared" si="7"/>
        <v>-0.40793999999999997</v>
      </c>
      <c r="R9" s="2">
        <f t="shared" si="1"/>
        <v>0</v>
      </c>
      <c r="S9" s="2">
        <f t="shared" si="8"/>
        <v>13563.572521999999</v>
      </c>
    </row>
    <row r="10" spans="2:19">
      <c r="B10" s="102">
        <v>44440</v>
      </c>
      <c r="C10" s="2">
        <v>37366.519999999997</v>
      </c>
      <c r="D10" s="101"/>
      <c r="F10" s="12">
        <v>44434</v>
      </c>
      <c r="G10" s="4" t="s">
        <v>75</v>
      </c>
      <c r="H10" s="3" t="s">
        <v>10</v>
      </c>
      <c r="I10" s="2">
        <v>100</v>
      </c>
      <c r="J10" s="2">
        <v>155</v>
      </c>
      <c r="K10" s="2">
        <f t="shared" si="2"/>
        <v>-15500</v>
      </c>
      <c r="L10" s="2">
        <v>-20</v>
      </c>
      <c r="M10" s="2">
        <f t="shared" si="3"/>
        <v>-8.2149999999999999</v>
      </c>
      <c r="N10" s="2">
        <f t="shared" si="4"/>
        <v>0</v>
      </c>
      <c r="O10" s="2">
        <f t="shared" si="5"/>
        <v>0</v>
      </c>
      <c r="P10" s="2">
        <f t="shared" si="6"/>
        <v>-1.55E-2</v>
      </c>
      <c r="Q10" s="2">
        <f t="shared" si="7"/>
        <v>-0.46500000000000002</v>
      </c>
      <c r="R10" s="2">
        <f t="shared" si="1"/>
        <v>0</v>
      </c>
      <c r="S10" s="2">
        <f t="shared" si="8"/>
        <v>-15528.6955</v>
      </c>
    </row>
    <row r="11" spans="2:19">
      <c r="B11" s="102">
        <v>44441</v>
      </c>
      <c r="C11" s="2">
        <v>8750.5815280000261</v>
      </c>
      <c r="D11" s="101"/>
      <c r="F11" s="12">
        <v>44434</v>
      </c>
      <c r="G11" s="4" t="s">
        <v>75</v>
      </c>
      <c r="H11" s="3" t="s">
        <v>12</v>
      </c>
      <c r="I11" s="2">
        <v>100</v>
      </c>
      <c r="J11" s="2">
        <v>147.25</v>
      </c>
      <c r="K11" s="2">
        <f t="shared" si="2"/>
        <v>14725</v>
      </c>
      <c r="L11" s="2">
        <v>-20</v>
      </c>
      <c r="M11" s="2">
        <f t="shared" si="3"/>
        <v>-7.8042499999999997</v>
      </c>
      <c r="N11" s="2">
        <f t="shared" si="4"/>
        <v>0</v>
      </c>
      <c r="O11" s="2">
        <f t="shared" si="5"/>
        <v>-7.3624999999999998</v>
      </c>
      <c r="P11" s="2">
        <f t="shared" si="6"/>
        <v>-1.4724999999999999E-2</v>
      </c>
      <c r="Q11" s="2">
        <f t="shared" si="7"/>
        <v>-0.44175000000000003</v>
      </c>
      <c r="R11" s="2">
        <f t="shared" si="1"/>
        <v>0</v>
      </c>
      <c r="S11" s="2">
        <f t="shared" si="8"/>
        <v>14689.376775000001</v>
      </c>
    </row>
    <row r="12" spans="2:19">
      <c r="B12" s="102">
        <v>44442</v>
      </c>
      <c r="C12" s="2">
        <v>-9347</v>
      </c>
      <c r="D12" s="101" t="s">
        <v>669</v>
      </c>
      <c r="F12" s="12">
        <v>44434</v>
      </c>
      <c r="G12" s="4" t="s">
        <v>75</v>
      </c>
      <c r="H12" s="3" t="s">
        <v>10</v>
      </c>
      <c r="I12" s="2">
        <v>200</v>
      </c>
      <c r="J12" s="2">
        <v>117</v>
      </c>
      <c r="K12" s="2">
        <f t="shared" si="2"/>
        <v>-23400</v>
      </c>
      <c r="L12" s="2">
        <v>-20</v>
      </c>
      <c r="M12" s="2">
        <f t="shared" si="3"/>
        <v>-12.401999999999999</v>
      </c>
      <c r="N12" s="2">
        <f t="shared" si="4"/>
        <v>0</v>
      </c>
      <c r="O12" s="2">
        <f t="shared" si="5"/>
        <v>0</v>
      </c>
      <c r="P12" s="2">
        <f t="shared" si="6"/>
        <v>-2.3400000000000001E-2</v>
      </c>
      <c r="Q12" s="2">
        <f t="shared" si="7"/>
        <v>-0.70200000000000007</v>
      </c>
      <c r="R12" s="2">
        <f t="shared" si="1"/>
        <v>0</v>
      </c>
      <c r="S12" s="2">
        <f t="shared" si="8"/>
        <v>-23433.127399999998</v>
      </c>
    </row>
    <row r="13" spans="2:19">
      <c r="B13" s="102">
        <v>44445</v>
      </c>
      <c r="C13" s="2">
        <v>-6400</v>
      </c>
      <c r="D13" s="101" t="s">
        <v>670</v>
      </c>
      <c r="F13" s="12">
        <v>44434</v>
      </c>
      <c r="G13" s="4" t="s">
        <v>75</v>
      </c>
      <c r="H13" s="3" t="s">
        <v>12</v>
      </c>
      <c r="I13" s="2">
        <v>200</v>
      </c>
      <c r="J13" s="2">
        <v>128.69999999999999</v>
      </c>
      <c r="K13" s="2">
        <f t="shared" si="2"/>
        <v>25739.999999999996</v>
      </c>
      <c r="L13" s="2">
        <v>-20</v>
      </c>
      <c r="M13" s="2">
        <f t="shared" si="3"/>
        <v>-13.642199999999997</v>
      </c>
      <c r="N13" s="2">
        <f t="shared" si="4"/>
        <v>0</v>
      </c>
      <c r="O13" s="2">
        <f t="shared" si="5"/>
        <v>-12.87</v>
      </c>
      <c r="P13" s="2">
        <f t="shared" si="6"/>
        <v>-2.5739999999999996E-2</v>
      </c>
      <c r="Q13" s="2">
        <f t="shared" si="7"/>
        <v>-0.77219999999999989</v>
      </c>
      <c r="R13" s="2">
        <f t="shared" si="1"/>
        <v>0</v>
      </c>
      <c r="S13" s="2">
        <f t="shared" si="8"/>
        <v>25692.689859999999</v>
      </c>
    </row>
    <row r="14" spans="2:19">
      <c r="B14" s="102">
        <v>44446</v>
      </c>
      <c r="C14" s="2">
        <v>9256.74</v>
      </c>
      <c r="D14" s="101" t="s">
        <v>671</v>
      </c>
      <c r="F14" s="4"/>
      <c r="G14" s="4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2:19">
      <c r="B15" s="102">
        <v>44448</v>
      </c>
      <c r="C15" s="2">
        <v>2541.41</v>
      </c>
      <c r="D15" s="101"/>
      <c r="F15" s="4"/>
      <c r="G15" s="4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2:19">
      <c r="B16" s="102">
        <v>44452</v>
      </c>
      <c r="C16" s="2">
        <v>5086</v>
      </c>
      <c r="D16" s="101"/>
      <c r="F16" s="4"/>
      <c r="G16" s="4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2:19">
      <c r="B17" s="102">
        <v>44454</v>
      </c>
      <c r="C17" s="2">
        <v>-3621</v>
      </c>
      <c r="D17" s="101" t="s">
        <v>672</v>
      </c>
      <c r="F17" s="4"/>
      <c r="G17" s="4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2:19">
      <c r="B18" s="102">
        <v>44455</v>
      </c>
      <c r="C18" s="2">
        <v>5290</v>
      </c>
      <c r="D18" s="101"/>
      <c r="F18" s="4"/>
      <c r="G18" s="4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2:19">
      <c r="B19" s="102">
        <v>44456</v>
      </c>
      <c r="C19" s="2">
        <v>28524</v>
      </c>
      <c r="D19" s="101"/>
      <c r="F19" s="4"/>
      <c r="G19" s="4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2:19">
      <c r="B20" s="102">
        <v>44459</v>
      </c>
      <c r="C20" s="2">
        <v>-10168</v>
      </c>
      <c r="D20" s="101"/>
      <c r="F20" s="4"/>
      <c r="G20" s="4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2:19">
      <c r="B21" s="102"/>
      <c r="C21" s="2"/>
      <c r="D21" s="101"/>
      <c r="F21" s="4" t="s">
        <v>18</v>
      </c>
      <c r="G21" s="4" t="s">
        <v>18</v>
      </c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2:19">
      <c r="B22" s="102"/>
      <c r="C22" s="2"/>
      <c r="D22" s="101"/>
    </row>
    <row r="23" spans="2:19">
      <c r="B23" s="12"/>
      <c r="C23" s="2"/>
      <c r="D23" s="101"/>
    </row>
    <row r="24" spans="2:19">
      <c r="B24" s="12"/>
      <c r="C24" s="2"/>
      <c r="D24" s="101"/>
    </row>
    <row r="25" spans="2:19">
      <c r="B25" s="12"/>
      <c r="C25" s="2"/>
      <c r="D25" s="101"/>
    </row>
  </sheetData>
  <conditionalFormatting sqref="C3:D6 G5:R5 I6:R6 I14:R21 R5:R6">
    <cfRule type="cellIs" dxfId="69" priority="63" stopIfTrue="1" operator="lessThan">
      <formula>0</formula>
    </cfRule>
    <cfRule type="cellIs" dxfId="68" priority="64" stopIfTrue="1" operator="greaterThan">
      <formula>0</formula>
    </cfRule>
  </conditionalFormatting>
  <conditionalFormatting sqref="C3:D6">
    <cfRule type="cellIs" dxfId="67" priority="61" stopIfTrue="1" operator="lessThan">
      <formula>0</formula>
    </cfRule>
    <cfRule type="cellIs" dxfId="66" priority="62" stopIfTrue="1" operator="greaterThan">
      <formula>0</formula>
    </cfRule>
  </conditionalFormatting>
  <conditionalFormatting sqref="C7:D10 C12:D14 C16:D18 C21:D21 D19:D20">
    <cfRule type="cellIs" dxfId="65" priority="59" stopIfTrue="1" operator="lessThan">
      <formula>0</formula>
    </cfRule>
    <cfRule type="cellIs" dxfId="64" priority="60" stopIfTrue="1" operator="greaterThan">
      <formula>0</formula>
    </cfRule>
  </conditionalFormatting>
  <conditionalFormatting sqref="C7:D10 C12:D14 C16:D18 C21:D21 D19:D20">
    <cfRule type="cellIs" dxfId="63" priority="57" stopIfTrue="1" operator="lessThan">
      <formula>0</formula>
    </cfRule>
    <cfRule type="cellIs" dxfId="62" priority="58" stopIfTrue="1" operator="greaterThan">
      <formula>0</formula>
    </cfRule>
  </conditionalFormatting>
  <conditionalFormatting sqref="F5">
    <cfRule type="cellIs" dxfId="61" priority="43" stopIfTrue="1" operator="lessThan">
      <formula>0</formula>
    </cfRule>
    <cfRule type="cellIs" dxfId="60" priority="44" stopIfTrue="1" operator="greaterThan">
      <formula>0</formula>
    </cfRule>
  </conditionalFormatting>
  <conditionalFormatting sqref="F5">
    <cfRule type="cellIs" dxfId="59" priority="41" stopIfTrue="1" operator="lessThan">
      <formula>0</formula>
    </cfRule>
    <cfRule type="cellIs" dxfId="58" priority="42" stopIfTrue="1" operator="greaterThan">
      <formula>0</formula>
    </cfRule>
  </conditionalFormatting>
  <conditionalFormatting sqref="S5:S6 S14:S21">
    <cfRule type="cellIs" dxfId="57" priority="39" stopIfTrue="1" operator="lessThan">
      <formula>0</formula>
    </cfRule>
    <cfRule type="cellIs" dxfId="56" priority="40" stopIfTrue="1" operator="greaterThan">
      <formula>0</formula>
    </cfRule>
  </conditionalFormatting>
  <conditionalFormatting sqref="I7:R7">
    <cfRule type="cellIs" dxfId="55" priority="33" stopIfTrue="1" operator="lessThan">
      <formula>0</formula>
    </cfRule>
    <cfRule type="cellIs" dxfId="54" priority="34" stopIfTrue="1" operator="greaterThan">
      <formula>0</formula>
    </cfRule>
  </conditionalFormatting>
  <conditionalFormatting sqref="S7">
    <cfRule type="cellIs" dxfId="53" priority="31" stopIfTrue="1" operator="lessThan">
      <formula>0</formula>
    </cfRule>
    <cfRule type="cellIs" dxfId="52" priority="32" stopIfTrue="1" operator="greaterThan">
      <formula>0</formula>
    </cfRule>
  </conditionalFormatting>
  <conditionalFormatting sqref="I8:R13">
    <cfRule type="cellIs" dxfId="51" priority="29" stopIfTrue="1" operator="lessThan">
      <formula>0</formula>
    </cfRule>
    <cfRule type="cellIs" dxfId="50" priority="30" stopIfTrue="1" operator="greaterThan">
      <formula>0</formula>
    </cfRule>
  </conditionalFormatting>
  <conditionalFormatting sqref="S8:S13">
    <cfRule type="cellIs" dxfId="49" priority="27" stopIfTrue="1" operator="lessThan">
      <formula>0</formula>
    </cfRule>
    <cfRule type="cellIs" dxfId="48" priority="28" stopIfTrue="1" operator="greaterThan">
      <formula>0</formula>
    </cfRule>
  </conditionalFormatting>
  <conditionalFormatting sqref="C11:D11">
    <cfRule type="cellIs" dxfId="47" priority="25" stopIfTrue="1" operator="lessThan">
      <formula>0</formula>
    </cfRule>
    <cfRule type="cellIs" dxfId="46" priority="26" stopIfTrue="1" operator="greaterThan">
      <formula>0</formula>
    </cfRule>
  </conditionalFormatting>
  <conditionalFormatting sqref="C11:D11">
    <cfRule type="cellIs" dxfId="45" priority="23" stopIfTrue="1" operator="lessThan">
      <formula>0</formula>
    </cfRule>
    <cfRule type="cellIs" dxfId="44" priority="24" stopIfTrue="1" operator="greaterThan">
      <formula>0</formula>
    </cfRule>
  </conditionalFormatting>
  <conditionalFormatting sqref="C15:D18 C21:D25 D19:D20">
    <cfRule type="cellIs" dxfId="43" priority="21" stopIfTrue="1" operator="lessThan">
      <formula>0</formula>
    </cfRule>
    <cfRule type="cellIs" dxfId="42" priority="22" stopIfTrue="1" operator="greaterThan">
      <formula>0</formula>
    </cfRule>
  </conditionalFormatting>
  <conditionalFormatting sqref="C15:D18 C21:D25 D19:D20">
    <cfRule type="cellIs" dxfId="41" priority="19" stopIfTrue="1" operator="lessThan">
      <formula>0</formula>
    </cfRule>
    <cfRule type="cellIs" dxfId="40" priority="20" stopIfTrue="1" operator="greaterThan">
      <formula>0</formula>
    </cfRule>
  </conditionalFormatting>
  <conditionalFormatting sqref="C4:D4">
    <cfRule type="cellIs" dxfId="39" priority="17" operator="lessThan">
      <formula>0</formula>
    </cfRule>
    <cfRule type="cellIs" dxfId="38" priority="18" operator="greaterThan">
      <formula>0</formula>
    </cfRule>
  </conditionalFormatting>
  <conditionalFormatting sqref="C19">
    <cfRule type="cellIs" dxfId="37" priority="15" stopIfTrue="1" operator="lessThan">
      <formula>0</formula>
    </cfRule>
    <cfRule type="cellIs" dxfId="36" priority="16" stopIfTrue="1" operator="greaterThan">
      <formula>0</formula>
    </cfRule>
  </conditionalFormatting>
  <conditionalFormatting sqref="C19">
    <cfRule type="cellIs" dxfId="35" priority="13" stopIfTrue="1" operator="lessThan">
      <formula>0</formula>
    </cfRule>
    <cfRule type="cellIs" dxfId="34" priority="14" stopIfTrue="1" operator="greaterThan">
      <formula>0</formula>
    </cfRule>
  </conditionalFormatting>
  <conditionalFormatting sqref="C19">
    <cfRule type="cellIs" dxfId="33" priority="11" stopIfTrue="1" operator="lessThan">
      <formula>0</formula>
    </cfRule>
    <cfRule type="cellIs" dxfId="32" priority="12" stopIfTrue="1" operator="greaterThan">
      <formula>0</formula>
    </cfRule>
  </conditionalFormatting>
  <conditionalFormatting sqref="C19">
    <cfRule type="cellIs" dxfId="31" priority="9" stopIfTrue="1" operator="lessThan">
      <formula>0</formula>
    </cfRule>
    <cfRule type="cellIs" dxfId="30" priority="10" stopIfTrue="1" operator="greaterThan">
      <formula>0</formula>
    </cfRule>
  </conditionalFormatting>
  <conditionalFormatting sqref="C20">
    <cfRule type="cellIs" dxfId="29" priority="7" stopIfTrue="1" operator="lessThan">
      <formula>0</formula>
    </cfRule>
    <cfRule type="cellIs" dxfId="28" priority="8" stopIfTrue="1" operator="greaterThan">
      <formula>0</formula>
    </cfRule>
  </conditionalFormatting>
  <conditionalFormatting sqref="C20">
    <cfRule type="cellIs" dxfId="27" priority="5" stopIfTrue="1" operator="lessThan">
      <formula>0</formula>
    </cfRule>
    <cfRule type="cellIs" dxfId="26" priority="6" stopIfTrue="1" operator="greaterThan">
      <formula>0</formula>
    </cfRule>
  </conditionalFormatting>
  <conditionalFormatting sqref="C20">
    <cfRule type="cellIs" dxfId="25" priority="3" stopIfTrue="1" operator="lessThan">
      <formula>0</formula>
    </cfRule>
    <cfRule type="cellIs" dxfId="24" priority="4" stopIfTrue="1" operator="greaterThan">
      <formula>0</formula>
    </cfRule>
  </conditionalFormatting>
  <conditionalFormatting sqref="C20">
    <cfRule type="cellIs" dxfId="23" priority="1" stopIfTrue="1" operator="lessThan">
      <formula>0</formula>
    </cfRule>
    <cfRule type="cellIs" dxfId="22" priority="2" stopIfTrue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B39"/>
  <sheetViews>
    <sheetView zoomScale="75" zoomScaleNormal="75" workbookViewId="0">
      <pane xSplit="3" topLeftCell="E1" activePane="topRight" state="frozen"/>
      <selection pane="topRight" activeCell="C6" sqref="C6"/>
    </sheetView>
  </sheetViews>
  <sheetFormatPr defaultRowHeight="15.75"/>
  <cols>
    <col min="1" max="1" width="9.140625" style="14"/>
    <col min="2" max="2" width="13.5703125" style="26" bestFit="1" customWidth="1"/>
    <col min="3" max="3" width="13.7109375" style="27" bestFit="1" customWidth="1"/>
    <col min="4" max="4" width="9.140625" style="14"/>
    <col min="5" max="5" width="11.7109375" style="14" bestFit="1" customWidth="1"/>
    <col min="6" max="6" width="12.85546875" style="14" bestFit="1" customWidth="1"/>
    <col min="7" max="7" width="10.28515625" style="14" bestFit="1" customWidth="1"/>
    <col min="8" max="8" width="13.85546875" style="14" bestFit="1" customWidth="1"/>
    <col min="9" max="9" width="9.140625" style="14"/>
    <col min="10" max="10" width="11.7109375" style="14" bestFit="1" customWidth="1"/>
    <col min="11" max="11" width="10" style="14" bestFit="1" customWidth="1"/>
    <col min="12" max="12" width="10.28515625" style="14" bestFit="1" customWidth="1"/>
    <col min="13" max="13" width="13.85546875" style="14" bestFit="1" customWidth="1"/>
    <col min="14" max="14" width="9.140625" style="14"/>
    <col min="15" max="15" width="11.7109375" style="14" bestFit="1" customWidth="1"/>
    <col min="16" max="16" width="8.85546875" style="14" bestFit="1" customWidth="1"/>
    <col min="17" max="17" width="10.28515625" style="14" bestFit="1" customWidth="1"/>
    <col min="18" max="18" width="13.85546875" style="14" bestFit="1" customWidth="1"/>
    <col min="19" max="19" width="9.140625" style="14"/>
    <col min="20" max="20" width="11.7109375" style="14" bestFit="1" customWidth="1"/>
    <col min="21" max="21" width="10" style="14" bestFit="1" customWidth="1"/>
    <col min="22" max="22" width="10.28515625" style="14" bestFit="1" customWidth="1"/>
    <col min="23" max="23" width="11.28515625" style="14" bestFit="1" customWidth="1"/>
    <col min="24" max="24" width="9.140625" style="14"/>
    <col min="25" max="25" width="11.7109375" style="14" bestFit="1" customWidth="1"/>
    <col min="26" max="26" width="8.85546875" style="14" bestFit="1" customWidth="1"/>
    <col min="27" max="27" width="10.28515625" style="14" bestFit="1" customWidth="1"/>
    <col min="28" max="28" width="11.28515625" style="14" bestFit="1" customWidth="1"/>
    <col min="29" max="16384" width="9.140625" style="14"/>
  </cols>
  <sheetData>
    <row r="1" spans="2:28">
      <c r="B1" s="29" t="s">
        <v>84</v>
      </c>
      <c r="C1" s="29"/>
      <c r="E1" s="13" t="s">
        <v>64</v>
      </c>
      <c r="F1" s="13"/>
      <c r="G1" s="13"/>
      <c r="H1" s="13"/>
      <c r="J1" s="13" t="s">
        <v>65</v>
      </c>
      <c r="K1" s="13"/>
      <c r="L1" s="13"/>
      <c r="M1" s="13"/>
      <c r="O1" s="13" t="s">
        <v>66</v>
      </c>
      <c r="P1" s="13"/>
      <c r="Q1" s="13"/>
      <c r="R1" s="13"/>
      <c r="T1" s="13" t="s">
        <v>67</v>
      </c>
      <c r="U1" s="13"/>
      <c r="V1" s="13"/>
      <c r="W1" s="13"/>
      <c r="Y1" s="13" t="s">
        <v>68</v>
      </c>
      <c r="Z1" s="13"/>
      <c r="AA1" s="13"/>
      <c r="AB1" s="13"/>
    </row>
    <row r="2" spans="2:28">
      <c r="B2" s="23" t="s">
        <v>87</v>
      </c>
      <c r="C2" s="36">
        <v>141986</v>
      </c>
      <c r="E2" s="15" t="s">
        <v>2</v>
      </c>
      <c r="F2" s="18" t="s">
        <v>10</v>
      </c>
      <c r="G2" s="15" t="s">
        <v>632</v>
      </c>
      <c r="H2" s="80">
        <v>0.05</v>
      </c>
      <c r="J2" s="15" t="s">
        <v>2</v>
      </c>
      <c r="K2" s="18" t="s">
        <v>10</v>
      </c>
      <c r="L2" s="15" t="s">
        <v>632</v>
      </c>
      <c r="M2" s="80">
        <f>H2</f>
        <v>0.05</v>
      </c>
      <c r="O2" s="15" t="s">
        <v>2</v>
      </c>
      <c r="P2" s="18" t="s">
        <v>10</v>
      </c>
      <c r="Q2" s="15" t="s">
        <v>632</v>
      </c>
      <c r="R2" s="80">
        <f>M2</f>
        <v>0.05</v>
      </c>
      <c r="T2" s="15" t="s">
        <v>2</v>
      </c>
      <c r="U2" s="18" t="s">
        <v>10</v>
      </c>
      <c r="V2" s="15" t="s">
        <v>632</v>
      </c>
      <c r="W2" s="80">
        <f>R2</f>
        <v>0.05</v>
      </c>
      <c r="Y2" s="15" t="s">
        <v>2</v>
      </c>
      <c r="Z2" s="18" t="s">
        <v>10</v>
      </c>
      <c r="AA2" s="15"/>
      <c r="AB2" s="80">
        <f>W2</f>
        <v>0.05</v>
      </c>
    </row>
    <row r="3" spans="2:28">
      <c r="B3" s="23" t="s">
        <v>88</v>
      </c>
      <c r="C3" s="36">
        <f>C2-C10</f>
        <v>-238426</v>
      </c>
      <c r="E3" s="15" t="s">
        <v>42</v>
      </c>
      <c r="F3" s="18" t="s">
        <v>630</v>
      </c>
      <c r="G3" s="15" t="s">
        <v>514</v>
      </c>
      <c r="H3" s="16">
        <f>mrigxl_getIndexQuote(VLOOKUP(F3,Reference!$B$3:$F$6,5,0))</f>
        <v>17580.900000000001</v>
      </c>
      <c r="J3" s="15" t="s">
        <v>42</v>
      </c>
      <c r="K3" s="18" t="s">
        <v>630</v>
      </c>
      <c r="L3" s="15" t="s">
        <v>514</v>
      </c>
      <c r="M3" s="16">
        <v>17620</v>
      </c>
      <c r="O3" s="15" t="s">
        <v>42</v>
      </c>
      <c r="P3" s="18" t="s">
        <v>630</v>
      </c>
      <c r="Q3" s="15" t="s">
        <v>514</v>
      </c>
      <c r="R3" s="16">
        <f>M3</f>
        <v>17620</v>
      </c>
      <c r="T3" s="15" t="s">
        <v>42</v>
      </c>
      <c r="U3" s="18" t="s">
        <v>630</v>
      </c>
      <c r="V3" s="15"/>
      <c r="W3" s="16">
        <f>R3</f>
        <v>17620</v>
      </c>
      <c r="Y3" s="15" t="s">
        <v>42</v>
      </c>
      <c r="Z3" s="18"/>
      <c r="AA3" s="15"/>
      <c r="AB3" s="16"/>
    </row>
    <row r="4" spans="2:28">
      <c r="B4" s="23"/>
      <c r="C4" s="24"/>
      <c r="E4" s="15" t="s">
        <v>43</v>
      </c>
      <c r="F4" s="18">
        <v>17800</v>
      </c>
      <c r="G4" s="76">
        <v>44497</v>
      </c>
      <c r="H4" s="16">
        <f ca="1">(G$4-TODAY())/365</f>
        <v>9.8630136986301367E-2</v>
      </c>
      <c r="J4" s="15" t="s">
        <v>43</v>
      </c>
      <c r="K4" s="18">
        <v>17800</v>
      </c>
      <c r="L4" s="76">
        <v>44497</v>
      </c>
      <c r="M4" s="16">
        <f ca="1">(L$4-TODAY())/365</f>
        <v>9.8630136986301367E-2</v>
      </c>
      <c r="O4" s="15" t="s">
        <v>43</v>
      </c>
      <c r="P4" s="18">
        <v>17800</v>
      </c>
      <c r="Q4" s="76">
        <v>44497</v>
      </c>
      <c r="R4" s="16">
        <f ca="1">(Q$4-TODAY())/365</f>
        <v>9.8630136986301367E-2</v>
      </c>
      <c r="T4" s="15" t="s">
        <v>43</v>
      </c>
      <c r="U4" s="18">
        <v>17800</v>
      </c>
      <c r="V4" s="15"/>
      <c r="W4" s="16">
        <f ca="1">(V$4-TODAY())/365</f>
        <v>-121.81095890410958</v>
      </c>
      <c r="Y4" s="15" t="s">
        <v>43</v>
      </c>
      <c r="Z4" s="18"/>
      <c r="AA4" s="15"/>
      <c r="AB4" s="16"/>
    </row>
    <row r="5" spans="2:28">
      <c r="B5" s="23"/>
      <c r="C5" s="36"/>
      <c r="E5" s="15" t="s">
        <v>44</v>
      </c>
      <c r="F5" s="31">
        <v>220.8</v>
      </c>
      <c r="G5" s="79" t="str">
        <f>mrigxl_getIndexOptionQuote(F3,G4,F4,G3)</f>
        <v>229.00</v>
      </c>
      <c r="H5" s="77">
        <f>IF(G5&gt;0,(G$5-F$5)*F$8,0)</f>
        <v>3279.9999999999955</v>
      </c>
      <c r="J5" s="15" t="s">
        <v>44</v>
      </c>
      <c r="K5" s="31">
        <v>216</v>
      </c>
      <c r="L5" s="79" t="str">
        <f>G5</f>
        <v>229.00</v>
      </c>
      <c r="M5" s="77">
        <f>IF(L5&gt;0,(L$5-K$5)*K$8,0)</f>
        <v>6500</v>
      </c>
      <c r="O5" s="15" t="s">
        <v>44</v>
      </c>
      <c r="P5" s="31">
        <v>231.25</v>
      </c>
      <c r="Q5" s="79"/>
      <c r="R5" s="77">
        <f>IF(Q5&gt;0,(Q$5-P$5)*P$8,0)</f>
        <v>0</v>
      </c>
      <c r="T5" s="15" t="s">
        <v>44</v>
      </c>
      <c r="U5" s="31">
        <v>228.98</v>
      </c>
      <c r="V5" s="79"/>
      <c r="W5" s="77">
        <f>IF(V5&gt;0,(V$5-U$5)*U$8,0)</f>
        <v>0</v>
      </c>
      <c r="Y5" s="15" t="s">
        <v>44</v>
      </c>
      <c r="Z5" s="31"/>
      <c r="AA5" s="15"/>
      <c r="AB5" s="77">
        <f>IF(AA5&gt;0,(AA$5-Z$5)*Z$8,0)</f>
        <v>0</v>
      </c>
    </row>
    <row r="6" spans="2:28">
      <c r="B6" s="25" t="s">
        <v>72</v>
      </c>
      <c r="C6" s="33">
        <f>SUM(H6,M6,R6,W6,AB6)</f>
        <v>2203.795126400013</v>
      </c>
      <c r="E6" s="15" t="s">
        <v>70</v>
      </c>
      <c r="F6" s="31">
        <v>216.83</v>
      </c>
      <c r="G6" s="15" t="s">
        <v>72</v>
      </c>
      <c r="H6" s="30">
        <f>IF(AND(F8&lt;&gt;0,F6&lt;&gt;0),(F7-1)*F$10-H$27*2,0)</f>
        <v>-1751.146495999998</v>
      </c>
      <c r="J6" s="15" t="s">
        <v>70</v>
      </c>
      <c r="K6" s="31">
        <v>223</v>
      </c>
      <c r="L6" s="15" t="s">
        <v>72</v>
      </c>
      <c r="M6" s="30">
        <f>IF(AND(K8&lt;&gt;0,K6&lt;&gt;0),(K7-1)*K$10-M$27*2,0)</f>
        <v>3311.0176000000038</v>
      </c>
      <c r="O6" s="15" t="s">
        <v>70</v>
      </c>
      <c r="P6" s="31">
        <v>229</v>
      </c>
      <c r="Q6" s="15" t="s">
        <v>72</v>
      </c>
      <c r="R6" s="30">
        <f>IF(AND(P8&lt;&gt;0,P6&lt;&gt;0),(P7-1)*P$10-R$27*2,0)</f>
        <v>-1068.6340000000009</v>
      </c>
      <c r="T6" s="15" t="s">
        <v>70</v>
      </c>
      <c r="U6" s="31">
        <v>233.68</v>
      </c>
      <c r="V6" s="15" t="s">
        <v>72</v>
      </c>
      <c r="W6" s="30">
        <f>IF(AND(U8&lt;&gt;0,U6&lt;&gt;0),(U7-1)*U$10-W$27*2,0)</f>
        <v>1712.5580224000082</v>
      </c>
      <c r="Y6" s="15" t="s">
        <v>70</v>
      </c>
      <c r="Z6" s="31"/>
      <c r="AA6" s="15" t="s">
        <v>72</v>
      </c>
      <c r="AB6" s="30">
        <f>IF(AND(Z8&lt;&gt;0,Z6&lt;&gt;0),(Z7-1)*Z$10-AB$27*2,0)</f>
        <v>0</v>
      </c>
    </row>
    <row r="7" spans="2:28">
      <c r="B7" s="25" t="s">
        <v>73</v>
      </c>
      <c r="C7" s="28">
        <f>C6/AVERAGE(F10,P10,K10)</f>
        <v>2.2891023402811576E-2</v>
      </c>
      <c r="E7" s="15" t="s">
        <v>71</v>
      </c>
      <c r="F7" s="20">
        <f>F6/F$5</f>
        <v>0.98201992753623191</v>
      </c>
      <c r="G7" s="15" t="s">
        <v>73</v>
      </c>
      <c r="H7" s="17">
        <f>IF(F$8&lt;&gt;0,H6/F$10,0)</f>
        <v>-1.9827292753623167E-2</v>
      </c>
      <c r="J7" s="15" t="s">
        <v>71</v>
      </c>
      <c r="K7" s="20">
        <f>K6/K$5</f>
        <v>1.0324074074074074</v>
      </c>
      <c r="L7" s="15" t="s">
        <v>73</v>
      </c>
      <c r="M7" s="17">
        <f>IF(K$8&lt;&gt;0,M6/K$10,0)</f>
        <v>3.0657570370370407E-2</v>
      </c>
      <c r="O7" s="15" t="s">
        <v>71</v>
      </c>
      <c r="P7" s="20">
        <f>P6/P$5</f>
        <v>0.99027027027027026</v>
      </c>
      <c r="Q7" s="15" t="s">
        <v>73</v>
      </c>
      <c r="R7" s="17">
        <f>IF(P$8&lt;&gt;0,R6/P$10,0)</f>
        <v>-1.1552800000000011E-2</v>
      </c>
      <c r="T7" s="15" t="s">
        <v>71</v>
      </c>
      <c r="U7" s="20">
        <f>U6/U$5</f>
        <v>1.0205258101144206</v>
      </c>
      <c r="V7" s="15" t="s">
        <v>73</v>
      </c>
      <c r="W7" s="17">
        <f>IF(U$8&lt;&gt;0,W6/U$10,0)</f>
        <v>1.8697681264739367E-2</v>
      </c>
      <c r="Y7" s="15" t="s">
        <v>71</v>
      </c>
      <c r="Z7" s="20" t="e">
        <f>Z6/Z$5</f>
        <v>#DIV/0!</v>
      </c>
      <c r="AA7" s="15" t="s">
        <v>73</v>
      </c>
      <c r="AB7" s="17">
        <f>IF(Z$8&lt;&gt;0,AB6/Z$10,0)</f>
        <v>0</v>
      </c>
    </row>
    <row r="8" spans="2:28">
      <c r="B8" s="25"/>
      <c r="C8" s="24"/>
      <c r="E8" s="15" t="s">
        <v>518</v>
      </c>
      <c r="F8" s="49">
        <v>400</v>
      </c>
      <c r="G8" s="15" t="s">
        <v>633</v>
      </c>
      <c r="H8" s="80">
        <v>0.14000000000000001</v>
      </c>
      <c r="J8" s="15" t="s">
        <v>518</v>
      </c>
      <c r="K8" s="49">
        <v>500</v>
      </c>
      <c r="L8" s="15" t="s">
        <v>633</v>
      </c>
      <c r="M8" s="80">
        <v>0.14000000000000001</v>
      </c>
      <c r="O8" s="15" t="s">
        <v>518</v>
      </c>
      <c r="P8" s="18">
        <v>400</v>
      </c>
      <c r="Q8" s="15" t="s">
        <v>633</v>
      </c>
      <c r="R8" s="80">
        <v>0.12</v>
      </c>
      <c r="T8" s="15" t="s">
        <v>518</v>
      </c>
      <c r="U8" s="18">
        <v>400</v>
      </c>
      <c r="V8" s="15" t="s">
        <v>633</v>
      </c>
      <c r="W8" s="80">
        <v>0.12</v>
      </c>
      <c r="Y8" s="15" t="s">
        <v>518</v>
      </c>
      <c r="Z8" s="18"/>
      <c r="AA8" s="15" t="s">
        <v>633</v>
      </c>
      <c r="AB8" s="80">
        <v>0.12</v>
      </c>
    </row>
    <row r="9" spans="2:28">
      <c r="B9" s="25"/>
      <c r="C9" s="24"/>
      <c r="E9" s="15" t="s">
        <v>55</v>
      </c>
      <c r="F9" s="18">
        <v>50</v>
      </c>
      <c r="G9" s="15" t="s">
        <v>168</v>
      </c>
      <c r="H9" s="81">
        <v>1.0699999999999999E-2</v>
      </c>
      <c r="J9" s="15" t="s">
        <v>55</v>
      </c>
      <c r="K9" s="18">
        <v>50</v>
      </c>
      <c r="L9" s="15" t="s">
        <v>168</v>
      </c>
      <c r="M9" s="81">
        <v>1.0699999999999999E-2</v>
      </c>
      <c r="O9" s="15" t="s">
        <v>55</v>
      </c>
      <c r="P9" s="18">
        <v>50</v>
      </c>
      <c r="Q9" s="15" t="s">
        <v>168</v>
      </c>
      <c r="R9" s="81">
        <v>1.0699999999999999E-2</v>
      </c>
      <c r="T9" s="15" t="s">
        <v>55</v>
      </c>
      <c r="U9" s="18">
        <v>50</v>
      </c>
      <c r="V9" s="15" t="s">
        <v>168</v>
      </c>
      <c r="W9" s="81">
        <v>1.0699999999999999E-2</v>
      </c>
      <c r="Y9" s="15" t="s">
        <v>55</v>
      </c>
      <c r="Z9" s="18">
        <v>50</v>
      </c>
      <c r="AA9" s="15" t="s">
        <v>168</v>
      </c>
      <c r="AB9" s="81">
        <v>1.0699999999999999E-2</v>
      </c>
    </row>
    <row r="10" spans="2:28">
      <c r="B10" s="25" t="s">
        <v>41</v>
      </c>
      <c r="C10" s="33">
        <f>SUM(F10,K10,P10,U10,Z10)</f>
        <v>380412</v>
      </c>
      <c r="E10" s="15" t="s">
        <v>41</v>
      </c>
      <c r="F10" s="19">
        <f>F$5*F$8</f>
        <v>88320</v>
      </c>
      <c r="G10" s="15"/>
      <c r="H10" s="16"/>
      <c r="J10" s="15" t="s">
        <v>41</v>
      </c>
      <c r="K10" s="19">
        <f>K$5*K$8</f>
        <v>108000</v>
      </c>
      <c r="L10" s="15"/>
      <c r="M10" s="16"/>
      <c r="O10" s="15" t="s">
        <v>41</v>
      </c>
      <c r="P10" s="19">
        <f>P$5*P$8</f>
        <v>92500</v>
      </c>
      <c r="Q10" s="15"/>
      <c r="R10" s="16"/>
      <c r="T10" s="15" t="s">
        <v>41</v>
      </c>
      <c r="U10" s="19">
        <f>U$5*U$8</f>
        <v>91592</v>
      </c>
      <c r="V10" s="15"/>
      <c r="W10" s="16"/>
      <c r="Y10" s="15" t="s">
        <v>41</v>
      </c>
      <c r="Z10" s="19">
        <f>Z$5*Z$8</f>
        <v>0</v>
      </c>
      <c r="AA10" s="15"/>
      <c r="AB10" s="16"/>
    </row>
    <row r="11" spans="2:28">
      <c r="B11" s="25"/>
      <c r="C11" s="24"/>
      <c r="E11" s="15" t="s">
        <v>26</v>
      </c>
      <c r="F11" s="30">
        <f>(1+F12)*F$5</f>
        <v>216.38400000000001</v>
      </c>
      <c r="G11" s="15" t="s">
        <v>86</v>
      </c>
      <c r="H11" s="30">
        <f>1*F$8-H$27*2</f>
        <v>236.85350400000002</v>
      </c>
      <c r="J11" s="15" t="s">
        <v>26</v>
      </c>
      <c r="K11" s="30">
        <f>(1+K12)*K$5</f>
        <v>211.68</v>
      </c>
      <c r="L11" s="15" t="s">
        <v>86</v>
      </c>
      <c r="M11" s="30">
        <f>1*K$8-M$27*2</f>
        <v>311.01760000000002</v>
      </c>
      <c r="O11" s="15" t="s">
        <v>26</v>
      </c>
      <c r="P11" s="30">
        <f>(1+P12)*P$5</f>
        <v>219.6875</v>
      </c>
      <c r="Q11" s="15" t="s">
        <v>86</v>
      </c>
      <c r="R11" s="30">
        <f>1*P$8-R$27*2</f>
        <v>231.36599999999999</v>
      </c>
      <c r="T11" s="15" t="s">
        <v>26</v>
      </c>
      <c r="U11" s="30">
        <f>(1+U12)*U$5</f>
        <v>224.40039999999999</v>
      </c>
      <c r="V11" s="15" t="s">
        <v>86</v>
      </c>
      <c r="W11" s="30">
        <f>1*U$8-W$27*2</f>
        <v>232.5580224</v>
      </c>
      <c r="Y11" s="15" t="s">
        <v>26</v>
      </c>
      <c r="Z11" s="30">
        <f>(1+Z12)*Z$5</f>
        <v>0</v>
      </c>
      <c r="AA11" s="15" t="s">
        <v>86</v>
      </c>
      <c r="AB11" s="30">
        <f>1*Z$8-AB$27*2</f>
        <v>0</v>
      </c>
    </row>
    <row r="12" spans="2:28">
      <c r="B12" s="25"/>
      <c r="C12" s="24"/>
      <c r="E12" s="15" t="s">
        <v>49</v>
      </c>
      <c r="F12" s="35">
        <v>-0.02</v>
      </c>
      <c r="G12" s="15" t="s">
        <v>50</v>
      </c>
      <c r="H12" s="30">
        <f>F12*F$10-H$27*2</f>
        <v>-1929.5464960000002</v>
      </c>
      <c r="J12" s="15" t="s">
        <v>49</v>
      </c>
      <c r="K12" s="35">
        <v>-0.02</v>
      </c>
      <c r="L12" s="15" t="s">
        <v>50</v>
      </c>
      <c r="M12" s="30">
        <f>K12*K$10-M$27*2</f>
        <v>-2348.9823999999999</v>
      </c>
      <c r="O12" s="15" t="s">
        <v>49</v>
      </c>
      <c r="P12" s="35">
        <v>-0.05</v>
      </c>
      <c r="Q12" s="15" t="s">
        <v>50</v>
      </c>
      <c r="R12" s="30">
        <f>P12*P$10-R$27*2</f>
        <v>-4793.634</v>
      </c>
      <c r="T12" s="15" t="s">
        <v>49</v>
      </c>
      <c r="U12" s="35">
        <v>-0.02</v>
      </c>
      <c r="V12" s="15" t="s">
        <v>50</v>
      </c>
      <c r="W12" s="30">
        <f>U12*U$10-W$27*2</f>
        <v>-1999.2819776000001</v>
      </c>
      <c r="Y12" s="15" t="s">
        <v>49</v>
      </c>
      <c r="Z12" s="35">
        <v>-0.05</v>
      </c>
      <c r="AA12" s="15" t="s">
        <v>50</v>
      </c>
      <c r="AB12" s="30">
        <f>Z12*Z$10-AB$27*2</f>
        <v>0</v>
      </c>
    </row>
    <row r="13" spans="2:28">
      <c r="B13" s="25" t="s">
        <v>51</v>
      </c>
      <c r="C13" s="33">
        <f>SUM(H13,M13,R13,W13,AB13)</f>
        <v>18332.395126399999</v>
      </c>
      <c r="E13" s="15" t="s">
        <v>45</v>
      </c>
      <c r="F13" s="30">
        <f>(1+F14)*F$5</f>
        <v>231.84000000000003</v>
      </c>
      <c r="G13" s="15" t="s">
        <v>51</v>
      </c>
      <c r="H13" s="30">
        <f>(F14)*F$10-H$27*2</f>
        <v>4252.8535039999997</v>
      </c>
      <c r="J13" s="15" t="s">
        <v>45</v>
      </c>
      <c r="K13" s="30">
        <f>(1+K14)*K$5</f>
        <v>226.8</v>
      </c>
      <c r="L13" s="15" t="s">
        <v>51</v>
      </c>
      <c r="M13" s="30">
        <f>(K14)*K$10-M$27*2</f>
        <v>5211.0176000000001</v>
      </c>
      <c r="O13" s="15" t="s">
        <v>45</v>
      </c>
      <c r="P13" s="30">
        <f>(1+P14)*P$5</f>
        <v>242.8125</v>
      </c>
      <c r="Q13" s="15" t="s">
        <v>51</v>
      </c>
      <c r="R13" s="30">
        <f>(P14)*P$10-R$27*2</f>
        <v>4456.366</v>
      </c>
      <c r="T13" s="15" t="s">
        <v>45</v>
      </c>
      <c r="U13" s="30">
        <f>(1+U14)*U$5</f>
        <v>240.429</v>
      </c>
      <c r="V13" s="15" t="s">
        <v>51</v>
      </c>
      <c r="W13" s="30">
        <f>(U14)*U$10-W$27*2</f>
        <v>4412.1580223999999</v>
      </c>
      <c r="Y13" s="15" t="s">
        <v>45</v>
      </c>
      <c r="Z13" s="30">
        <f>(1+Z14)*Z$5</f>
        <v>0</v>
      </c>
      <c r="AA13" s="15" t="s">
        <v>51</v>
      </c>
      <c r="AB13" s="30">
        <f>(Z14)*Z$10-AB$27*2</f>
        <v>0</v>
      </c>
    </row>
    <row r="14" spans="2:28">
      <c r="B14" s="25" t="s">
        <v>57</v>
      </c>
      <c r="C14" s="28">
        <f>IF(C$10&lt;&gt;0,C13/C$10,0)</f>
        <v>4.8190895992765735E-2</v>
      </c>
      <c r="E14" s="15" t="s">
        <v>56</v>
      </c>
      <c r="F14" s="35">
        <v>0.05</v>
      </c>
      <c r="G14" s="15" t="s">
        <v>57</v>
      </c>
      <c r="H14" s="17">
        <f>IF(F$8&lt;&gt;0,H13/F$10,0)</f>
        <v>4.8152779710144922E-2</v>
      </c>
      <c r="J14" s="15" t="s">
        <v>56</v>
      </c>
      <c r="K14" s="35">
        <v>0.05</v>
      </c>
      <c r="L14" s="15" t="s">
        <v>57</v>
      </c>
      <c r="M14" s="17">
        <f>IF(K$8&lt;&gt;0,M13/K$10,0)</f>
        <v>4.8250162962962966E-2</v>
      </c>
      <c r="O14" s="15" t="s">
        <v>56</v>
      </c>
      <c r="P14" s="35">
        <v>0.05</v>
      </c>
      <c r="Q14" s="15" t="s">
        <v>57</v>
      </c>
      <c r="R14" s="17">
        <f>IF(P$8&lt;&gt;0,R13/P$10,0)</f>
        <v>4.8176929729729728E-2</v>
      </c>
      <c r="T14" s="15" t="s">
        <v>56</v>
      </c>
      <c r="U14" s="35">
        <v>0.05</v>
      </c>
      <c r="V14" s="15" t="s">
        <v>57</v>
      </c>
      <c r="W14" s="17">
        <f>IF(U$8&lt;&gt;0,W13/U$10,0)</f>
        <v>4.8171871150318804E-2</v>
      </c>
      <c r="Y14" s="15" t="s">
        <v>56</v>
      </c>
      <c r="Z14" s="35">
        <v>0.1</v>
      </c>
      <c r="AA14" s="15" t="s">
        <v>57</v>
      </c>
      <c r="AB14" s="17">
        <f>IF(Z$8&lt;&gt;0,AB13/Z$10,0)</f>
        <v>0</v>
      </c>
    </row>
    <row r="15" spans="2:28">
      <c r="B15" s="25" t="s">
        <v>52</v>
      </c>
      <c r="C15" s="33">
        <f>SUM(H15,M15,R15,W15,AB15)</f>
        <v>55762.195126400002</v>
      </c>
      <c r="E15" s="15" t="s">
        <v>46</v>
      </c>
      <c r="F15" s="30">
        <f>(1+F16)*F$5</f>
        <v>242.88000000000002</v>
      </c>
      <c r="G15" s="15" t="s">
        <v>52</v>
      </c>
      <c r="H15" s="30">
        <f>IF(ISNUMBER(F15),(F16)*F$10-H$27*2,0)</f>
        <v>8668.8535040000006</v>
      </c>
      <c r="J15" s="15" t="s">
        <v>46</v>
      </c>
      <c r="K15" s="30">
        <f>(1+K16)*K$5</f>
        <v>237.60000000000002</v>
      </c>
      <c r="L15" s="15" t="s">
        <v>52</v>
      </c>
      <c r="M15" s="30">
        <f>IF(ISNUMBER(K15),(K16)*K$10-M$27*2,0)</f>
        <v>10611.017599999999</v>
      </c>
      <c r="O15" s="15" t="s">
        <v>46</v>
      </c>
      <c r="P15" s="30">
        <f>(1+P16)*P$5</f>
        <v>277.5</v>
      </c>
      <c r="Q15" s="15" t="s">
        <v>52</v>
      </c>
      <c r="R15" s="30">
        <f>IF(ISNUMBER(P15),(P16)*P$10-R$27*2,0)</f>
        <v>18331.366000000002</v>
      </c>
      <c r="T15" s="15" t="s">
        <v>46</v>
      </c>
      <c r="U15" s="30">
        <f>(1+U16)*U$5</f>
        <v>274.77599999999995</v>
      </c>
      <c r="V15" s="15" t="s">
        <v>52</v>
      </c>
      <c r="W15" s="30">
        <f>IF(ISNUMBER(U15),(U16)*U$10-W$27*2,0)</f>
        <v>18150.958022400002</v>
      </c>
      <c r="Y15" s="15" t="s">
        <v>46</v>
      </c>
      <c r="Z15" s="30">
        <f>(1+Z16)*Z$5</f>
        <v>0</v>
      </c>
      <c r="AA15" s="15" t="s">
        <v>52</v>
      </c>
      <c r="AB15" s="30">
        <f>IF(ISNUMBER(Z15),(Z16)*Z$10-AB$27*2,0)</f>
        <v>0</v>
      </c>
    </row>
    <row r="16" spans="2:28">
      <c r="B16" s="25" t="s">
        <v>57</v>
      </c>
      <c r="C16" s="28">
        <f>IF(C$10&lt;&gt;0,C15/C$10,0)</f>
        <v>0.14658369117272851</v>
      </c>
      <c r="E16" s="15" t="s">
        <v>58</v>
      </c>
      <c r="F16" s="35">
        <v>0.1</v>
      </c>
      <c r="G16" s="15" t="s">
        <v>59</v>
      </c>
      <c r="H16" s="17">
        <f>IF(F$8&lt;&gt;0,H15/F$10,0)</f>
        <v>9.8152779710144938E-2</v>
      </c>
      <c r="J16" s="15" t="s">
        <v>58</v>
      </c>
      <c r="K16" s="35">
        <v>0.1</v>
      </c>
      <c r="L16" s="15" t="s">
        <v>59</v>
      </c>
      <c r="M16" s="17">
        <f>IF(K$8&lt;&gt;0,M15/K$10,0)</f>
        <v>9.8250162962962961E-2</v>
      </c>
      <c r="O16" s="15" t="s">
        <v>58</v>
      </c>
      <c r="P16" s="35">
        <v>0.2</v>
      </c>
      <c r="Q16" s="15" t="s">
        <v>59</v>
      </c>
      <c r="R16" s="17">
        <f>IF(P$8&lt;&gt;0,R15/P$10,0)</f>
        <v>0.19817692972972975</v>
      </c>
      <c r="T16" s="15" t="s">
        <v>58</v>
      </c>
      <c r="U16" s="35">
        <v>0.2</v>
      </c>
      <c r="V16" s="15" t="s">
        <v>59</v>
      </c>
      <c r="W16" s="17">
        <f>IF(U$8&lt;&gt;0,W15/U$10,0)</f>
        <v>0.19817187115031884</v>
      </c>
      <c r="Y16" s="15" t="s">
        <v>58</v>
      </c>
      <c r="Z16" s="35">
        <v>0.2</v>
      </c>
      <c r="AA16" s="15" t="s">
        <v>59</v>
      </c>
      <c r="AB16" s="17">
        <f>IF(Z$8&lt;&gt;0,AB15/Z$10,0)</f>
        <v>0</v>
      </c>
    </row>
    <row r="17" spans="2:28">
      <c r="B17" s="25" t="s">
        <v>53</v>
      </c>
      <c r="C17" s="33">
        <f>SUM(H17,M17,R17,W17,AB17)</f>
        <v>89387.395126399992</v>
      </c>
      <c r="E17" s="15" t="s">
        <v>47</v>
      </c>
      <c r="F17" s="30">
        <f>(1+F18)*F$5</f>
        <v>253.92</v>
      </c>
      <c r="G17" s="15" t="s">
        <v>53</v>
      </c>
      <c r="H17" s="30">
        <f>IF(ISNUMBER(F17),(F18)*F$10-H$27*2,0)</f>
        <v>13084.853504000001</v>
      </c>
      <c r="J17" s="15" t="s">
        <v>47</v>
      </c>
      <c r="K17" s="30">
        <f>(1+K18)*K$5</f>
        <v>259.2</v>
      </c>
      <c r="L17" s="15" t="s">
        <v>53</v>
      </c>
      <c r="M17" s="30">
        <f>IF(ISNUMBER(K17),(K18)*K$10-M$27*2,0)</f>
        <v>21411.017599999999</v>
      </c>
      <c r="O17" s="15" t="s">
        <v>47</v>
      </c>
      <c r="P17" s="30">
        <f>(1+P18)*P$5</f>
        <v>300.625</v>
      </c>
      <c r="Q17" s="15" t="s">
        <v>53</v>
      </c>
      <c r="R17" s="30">
        <f>IF(ISNUMBER(P17),(P18)*P$10-R$27*2,0)</f>
        <v>27581.366000000002</v>
      </c>
      <c r="T17" s="15" t="s">
        <v>47</v>
      </c>
      <c r="U17" s="30">
        <f>(1+U18)*U$5</f>
        <v>297.67399999999998</v>
      </c>
      <c r="V17" s="15" t="s">
        <v>53</v>
      </c>
      <c r="W17" s="30">
        <f>IF(ISNUMBER(U17),(U18)*U$10-W$27*2,0)</f>
        <v>27310.158022399999</v>
      </c>
      <c r="Y17" s="15" t="s">
        <v>47</v>
      </c>
      <c r="Z17" s="30">
        <f>(1+Z18)*Z$5</f>
        <v>0</v>
      </c>
      <c r="AA17" s="15" t="s">
        <v>53</v>
      </c>
      <c r="AB17" s="30">
        <f>IF(ISNUMBER(Z17),(Z18)*Z$10-AB$27*2,0)</f>
        <v>0</v>
      </c>
    </row>
    <row r="18" spans="2:28">
      <c r="B18" s="25" t="s">
        <v>57</v>
      </c>
      <c r="C18" s="28">
        <f>IF(C$10&lt;&gt;0,C17/C$10,0)</f>
        <v>0.23497522456284237</v>
      </c>
      <c r="E18" s="15" t="s">
        <v>60</v>
      </c>
      <c r="F18" s="35">
        <v>0.15</v>
      </c>
      <c r="G18" s="15" t="s">
        <v>61</v>
      </c>
      <c r="H18" s="17">
        <f>IF(F$8&lt;&gt;0,H17/F$10,0)</f>
        <v>0.14815277971014493</v>
      </c>
      <c r="J18" s="15" t="s">
        <v>60</v>
      </c>
      <c r="K18" s="35">
        <v>0.2</v>
      </c>
      <c r="L18" s="15" t="s">
        <v>61</v>
      </c>
      <c r="M18" s="17">
        <f>IF(K$8&lt;&gt;0,M17/K$10,0)</f>
        <v>0.19825016296296297</v>
      </c>
      <c r="O18" s="15" t="s">
        <v>60</v>
      </c>
      <c r="P18" s="35">
        <v>0.3</v>
      </c>
      <c r="Q18" s="15" t="s">
        <v>61</v>
      </c>
      <c r="R18" s="17">
        <f>IF(P$8&lt;&gt;0,R17/P$10,0)</f>
        <v>0.29817692972972976</v>
      </c>
      <c r="T18" s="15" t="s">
        <v>60</v>
      </c>
      <c r="U18" s="35">
        <v>0.3</v>
      </c>
      <c r="V18" s="15" t="s">
        <v>61</v>
      </c>
      <c r="W18" s="17">
        <f>IF(U$8&lt;&gt;0,W17/U$10,0)</f>
        <v>0.29817187115031879</v>
      </c>
      <c r="Y18" s="15" t="s">
        <v>60</v>
      </c>
      <c r="Z18" s="35">
        <v>0.3</v>
      </c>
      <c r="AA18" s="15" t="s">
        <v>61</v>
      </c>
      <c r="AB18" s="17">
        <f>IF(Z$8&lt;&gt;0,AB17/Z$10,0)</f>
        <v>0</v>
      </c>
    </row>
    <row r="19" spans="2:28">
      <c r="B19" s="25" t="s">
        <v>54</v>
      </c>
      <c r="C19" s="33">
        <f>SUM(H19,M19,R19,W19,AB19)</f>
        <v>167917.79512640001</v>
      </c>
      <c r="E19" s="15" t="s">
        <v>48</v>
      </c>
      <c r="F19" s="30">
        <f>(1+F20)*F$5</f>
        <v>331.20000000000005</v>
      </c>
      <c r="G19" s="15" t="s">
        <v>54</v>
      </c>
      <c r="H19" s="30">
        <f>IF(ISNUMBER(F19),(F20)*F$10-H$27*2,0)</f>
        <v>43996.853503999999</v>
      </c>
      <c r="J19" s="15" t="s">
        <v>48</v>
      </c>
      <c r="K19" s="30">
        <f>(1+K20)*K$5</f>
        <v>280.8</v>
      </c>
      <c r="L19" s="15" t="s">
        <v>54</v>
      </c>
      <c r="M19" s="30">
        <f>IF(ISNUMBER(K19),(K20)*K$10-M$27*2,0)</f>
        <v>32211.017599999999</v>
      </c>
      <c r="O19" s="15" t="s">
        <v>48</v>
      </c>
      <c r="P19" s="30">
        <f>(1+P20)*P$5</f>
        <v>346.875</v>
      </c>
      <c r="Q19" s="15" t="s">
        <v>54</v>
      </c>
      <c r="R19" s="30">
        <f>IF(ISNUMBER(P19),(P20)*P$10-R$27*2,0)</f>
        <v>46081.366000000002</v>
      </c>
      <c r="T19" s="15" t="s">
        <v>48</v>
      </c>
      <c r="U19" s="30">
        <f>(1+U20)*U$5</f>
        <v>343.46999999999997</v>
      </c>
      <c r="V19" s="15" t="s">
        <v>54</v>
      </c>
      <c r="W19" s="30">
        <f>IF(ISNUMBER(U19),(U20)*U$10-W$27*2,0)</f>
        <v>45628.5580224</v>
      </c>
      <c r="Y19" s="15" t="s">
        <v>48</v>
      </c>
      <c r="Z19" s="30">
        <f>(1+Z20)*Z$5</f>
        <v>0</v>
      </c>
      <c r="AA19" s="15" t="s">
        <v>54</v>
      </c>
      <c r="AB19" s="30">
        <f>IF(ISNUMBER(Z19),(Z20)*Z$10-AB$27*2,0)</f>
        <v>0</v>
      </c>
    </row>
    <row r="20" spans="2:28">
      <c r="B20" s="25" t="s">
        <v>57</v>
      </c>
      <c r="C20" s="28">
        <f>IF(C$10&lt;&gt;0,C19/C$10,0)</f>
        <v>0.44141035279223584</v>
      </c>
      <c r="E20" s="15" t="s">
        <v>62</v>
      </c>
      <c r="F20" s="35">
        <v>0.5</v>
      </c>
      <c r="G20" s="15" t="s">
        <v>63</v>
      </c>
      <c r="H20" s="17">
        <f>IF(F$8&lt;&gt;0,H19/F$10,0)</f>
        <v>0.49815277971014493</v>
      </c>
      <c r="J20" s="15" t="s">
        <v>62</v>
      </c>
      <c r="K20" s="35">
        <v>0.3</v>
      </c>
      <c r="L20" s="15" t="s">
        <v>63</v>
      </c>
      <c r="M20" s="17">
        <f>IF(K$8&lt;&gt;0,M19/K$10,0)</f>
        <v>0.29825016296296297</v>
      </c>
      <c r="O20" s="15" t="s">
        <v>62</v>
      </c>
      <c r="P20" s="35">
        <v>0.5</v>
      </c>
      <c r="Q20" s="15" t="s">
        <v>63</v>
      </c>
      <c r="R20" s="17">
        <f>IF(P$8&lt;&gt;0,R19/P$10,0)</f>
        <v>0.49817692972972977</v>
      </c>
      <c r="T20" s="15" t="s">
        <v>62</v>
      </c>
      <c r="U20" s="35">
        <v>0.5</v>
      </c>
      <c r="V20" s="15" t="s">
        <v>63</v>
      </c>
      <c r="W20" s="17">
        <f>IF(U$8&lt;&gt;0,W19/U$10,0)</f>
        <v>0.4981718711503188</v>
      </c>
      <c r="Y20" s="15" t="s">
        <v>62</v>
      </c>
      <c r="Z20" s="35">
        <v>0.5</v>
      </c>
      <c r="AA20" s="15" t="s">
        <v>63</v>
      </c>
      <c r="AB20" s="17">
        <f>IF(Z$8&lt;&gt;0,AB19/Z$10,0)</f>
        <v>0</v>
      </c>
    </row>
    <row r="21" spans="2:28">
      <c r="B21" s="25"/>
      <c r="C21" s="24"/>
      <c r="E21" s="15" t="s">
        <v>83</v>
      </c>
      <c r="F21" s="31">
        <v>1</v>
      </c>
      <c r="G21" s="15" t="s">
        <v>631</v>
      </c>
      <c r="H21" s="30">
        <f ca="1">OptionPrice(LEFT(G3),H3,F4,H4,H2,H8,H9)</f>
        <v>240.07911782878818</v>
      </c>
      <c r="J21" s="15" t="s">
        <v>83</v>
      </c>
      <c r="K21" s="31">
        <v>1</v>
      </c>
      <c r="L21" s="15" t="s">
        <v>631</v>
      </c>
      <c r="M21" s="30">
        <f ca="1">OptionPrice(LEFT(L3),M3,K4,M4,M2,M8,M9)</f>
        <v>257.33752185822595</v>
      </c>
      <c r="O21" s="15" t="s">
        <v>83</v>
      </c>
      <c r="P21" s="31">
        <v>1</v>
      </c>
      <c r="Q21" s="15" t="s">
        <v>631</v>
      </c>
      <c r="R21" s="30">
        <f ca="1">OptionPrice(LEFT(Q3),R3,P4,R4,R2,R8,R9)</f>
        <v>213.62696330642302</v>
      </c>
      <c r="T21" s="15" t="s">
        <v>83</v>
      </c>
      <c r="U21" s="31">
        <v>1</v>
      </c>
      <c r="V21" s="15" t="s">
        <v>631</v>
      </c>
      <c r="W21" s="30">
        <f>OptionPrice(LEFT(V3),W3,U4,W4,W2,W8,W9)</f>
        <v>0</v>
      </c>
      <c r="Y21" s="15" t="s">
        <v>83</v>
      </c>
      <c r="Z21" s="31">
        <v>1</v>
      </c>
      <c r="AA21" s="15" t="s">
        <v>631</v>
      </c>
      <c r="AB21" s="30">
        <f>OptionPrice(LEFT(AA3),AB3,Z4,AB4,AB2,AB8,AB9)</f>
        <v>0</v>
      </c>
    </row>
    <row r="22" spans="2:28">
      <c r="B22" s="25"/>
      <c r="C22" s="24"/>
      <c r="E22" s="15" t="s">
        <v>79</v>
      </c>
      <c r="F22" s="31"/>
      <c r="G22" s="15" t="s">
        <v>628</v>
      </c>
      <c r="H22" s="17">
        <f ca="1">OptionDelta(LEFT(G3),H3,F4,H4,H2,H8,H9)</f>
        <v>0.43189576063018359</v>
      </c>
      <c r="J22" s="15" t="s">
        <v>79</v>
      </c>
      <c r="K22" s="31"/>
      <c r="L22" s="15" t="s">
        <v>628</v>
      </c>
      <c r="M22" s="17">
        <f ca="1">OptionDelta(LEFT(L3),M3,K4,M4,M2,M8,M9)</f>
        <v>0.45183636328802895</v>
      </c>
      <c r="O22" s="15" t="s">
        <v>79</v>
      </c>
      <c r="P22" s="31"/>
      <c r="Q22" s="15" t="s">
        <v>628</v>
      </c>
      <c r="R22" s="17">
        <f ca="1">OptionDelta(LEFT(Q3),R3,P4,R4,R2,R8,R9)</f>
        <v>0.44117211599878614</v>
      </c>
      <c r="T22" s="15" t="s">
        <v>79</v>
      </c>
      <c r="U22" s="31"/>
      <c r="V22" s="15" t="s">
        <v>628</v>
      </c>
      <c r="W22" s="17">
        <f>OptionDelta(LEFT(V3),W3,U4,W4,W2,W8,W9)</f>
        <v>0</v>
      </c>
      <c r="Y22" s="15" t="s">
        <v>79</v>
      </c>
      <c r="Z22" s="31"/>
      <c r="AA22" s="15" t="s">
        <v>628</v>
      </c>
      <c r="AB22" s="17">
        <f>OptionDelta(LEFT(AA3),AB3,Z4,AB4,AB2,AB8,AB9)</f>
        <v>0</v>
      </c>
    </row>
    <row r="23" spans="2:28">
      <c r="B23" s="25"/>
      <c r="C23" s="24"/>
      <c r="E23" s="15" t="s">
        <v>80</v>
      </c>
      <c r="F23" s="20">
        <f>(1-F22/F$21)</f>
        <v>1</v>
      </c>
      <c r="G23" s="15" t="s">
        <v>96</v>
      </c>
      <c r="H23" s="30">
        <f ca="1">OptionTheta(LEFT(G3),H3,F4,H4,H2,H8,H9)</f>
        <v>-3.2143038768603942</v>
      </c>
      <c r="J23" s="15" t="s">
        <v>80</v>
      </c>
      <c r="K23" s="20">
        <f>(1-K22/K$21)</f>
        <v>1</v>
      </c>
      <c r="L23" s="15" t="s">
        <v>96</v>
      </c>
      <c r="M23" s="30">
        <f ca="1">OptionTheta(LEFT(L3),M3,K4,M4,M2,M8,M9)</f>
        <v>-3.2070439224388338</v>
      </c>
      <c r="O23" s="15" t="s">
        <v>80</v>
      </c>
      <c r="P23" s="20">
        <f>(1-P22/P$21)</f>
        <v>1</v>
      </c>
      <c r="Q23" s="15" t="s">
        <v>96</v>
      </c>
      <c r="R23" s="30">
        <f ca="1">OptionTheta(LEFT(Q3),R3,P4,R4,R2,R8,R9)</f>
        <v>-2.6047921367400075</v>
      </c>
      <c r="T23" s="15" t="s">
        <v>80</v>
      </c>
      <c r="U23" s="20">
        <f>(1-U22/U$21)</f>
        <v>1</v>
      </c>
      <c r="V23" s="15" t="s">
        <v>96</v>
      </c>
      <c r="W23" s="30">
        <f>OptionTheta(LEFT(V3),W3,U4,W4,W2,W8,W9)</f>
        <v>0</v>
      </c>
      <c r="Y23" s="15" t="s">
        <v>80</v>
      </c>
      <c r="Z23" s="20">
        <f>(1-Z22/Z$21)</f>
        <v>1</v>
      </c>
      <c r="AA23" s="15" t="s">
        <v>96</v>
      </c>
      <c r="AB23" s="30">
        <f>OptionTheta(LEFT(AA3),AB3,Z4,AB4,AB2,AB8,AB9)</f>
        <v>0</v>
      </c>
    </row>
    <row r="24" spans="2:28">
      <c r="B24" s="25"/>
      <c r="C24" s="24"/>
      <c r="E24" s="15" t="s">
        <v>81</v>
      </c>
      <c r="F24" s="31"/>
      <c r="G24" s="15" t="s">
        <v>98</v>
      </c>
      <c r="H24" s="17">
        <f ca="1">OptionGamma(H3,F4,H4,H2,H8,H9)</f>
        <v>0</v>
      </c>
      <c r="J24" s="15" t="s">
        <v>81</v>
      </c>
      <c r="K24" s="31"/>
      <c r="L24" s="15" t="s">
        <v>98</v>
      </c>
      <c r="M24" s="17">
        <f ca="1">OptionGamma(M3,K4,M4,M2,M8,M9)</f>
        <v>0</v>
      </c>
      <c r="O24" s="15" t="s">
        <v>81</v>
      </c>
      <c r="P24" s="31"/>
      <c r="Q24" s="15" t="s">
        <v>98</v>
      </c>
      <c r="R24" s="17">
        <f ca="1">OptionGamma(R3,P4,R4,R2,R8,R9)</f>
        <v>0</v>
      </c>
      <c r="T24" s="15" t="s">
        <v>81</v>
      </c>
      <c r="U24" s="31"/>
      <c r="V24" s="15" t="s">
        <v>98</v>
      </c>
      <c r="W24" s="17" t="e">
        <f ca="1">OptionGamma(W3,U4,W4,W2,W8,W9)</f>
        <v>#VALUE!</v>
      </c>
      <c r="Y24" s="15" t="s">
        <v>81</v>
      </c>
      <c r="Z24" s="31"/>
      <c r="AA24" s="15" t="s">
        <v>98</v>
      </c>
      <c r="AB24" s="17" t="e">
        <f>OptionGamma(AB3,Z4,AB4,AB2,AB8,AB9)</f>
        <v>#VALUE!</v>
      </c>
    </row>
    <row r="25" spans="2:28">
      <c r="B25" s="25"/>
      <c r="C25" s="24"/>
      <c r="E25" s="15" t="s">
        <v>82</v>
      </c>
      <c r="F25" s="20">
        <f>(1-F24/F$21)</f>
        <v>1</v>
      </c>
      <c r="G25" s="15" t="s">
        <v>675</v>
      </c>
      <c r="H25" s="17">
        <f ca="1">ImpliedVolatility(LEFT(G3),H3,F4,H2,H4,H9,G5,12%)</f>
        <v>0.13488668540873242</v>
      </c>
      <c r="J25" s="15" t="s">
        <v>82</v>
      </c>
      <c r="K25" s="20">
        <f>(1-K24/K$21)</f>
        <v>1</v>
      </c>
      <c r="L25" s="15" t="s">
        <v>675</v>
      </c>
      <c r="M25" s="17">
        <f ca="1">ImpliedVolatility(LEFT(L3),M3,K4,M2,M4,M9,L5,12%)</f>
        <v>0.12704243719313796</v>
      </c>
      <c r="O25" s="15" t="s">
        <v>82</v>
      </c>
      <c r="P25" s="20">
        <f>(1-P24/P$21)</f>
        <v>1</v>
      </c>
      <c r="Q25" s="15"/>
      <c r="R25" s="17"/>
      <c r="T25" s="15" t="s">
        <v>82</v>
      </c>
      <c r="U25" s="20">
        <f>(1-U24/U$21)</f>
        <v>1</v>
      </c>
      <c r="V25" s="15"/>
      <c r="W25" s="17"/>
      <c r="Y25" s="15" t="s">
        <v>82</v>
      </c>
      <c r="Z25" s="20">
        <f>(1-Z24/Z$21)</f>
        <v>1</v>
      </c>
      <c r="AA25" s="15"/>
      <c r="AB25" s="17"/>
    </row>
    <row r="26" spans="2:28">
      <c r="B26" s="23"/>
      <c r="C26" s="24"/>
      <c r="E26" s="15" t="s">
        <v>7</v>
      </c>
      <c r="F26" s="32">
        <f>IF(F8&lt;&gt;0,20,0)</f>
        <v>20</v>
      </c>
      <c r="G26" s="15"/>
      <c r="H26" s="16"/>
      <c r="J26" s="15" t="s">
        <v>7</v>
      </c>
      <c r="K26" s="32">
        <f>IF(K8&lt;&gt;0,20,0)</f>
        <v>20</v>
      </c>
      <c r="L26" s="15"/>
      <c r="M26" s="16"/>
      <c r="O26" s="15" t="s">
        <v>7</v>
      </c>
      <c r="P26" s="32">
        <f>IF(P8&lt;&gt;0,20,0)</f>
        <v>20</v>
      </c>
      <c r="Q26" s="15"/>
      <c r="R26" s="16"/>
      <c r="T26" s="15" t="s">
        <v>7</v>
      </c>
      <c r="U26" s="32">
        <f>IF(U8&lt;&gt;0,20,0)</f>
        <v>20</v>
      </c>
      <c r="V26" s="15"/>
      <c r="W26" s="16"/>
      <c r="Y26" s="15" t="s">
        <v>7</v>
      </c>
      <c r="Z26" s="32">
        <f>IF(Z8&lt;&gt;0,20,0)</f>
        <v>0</v>
      </c>
      <c r="AA26" s="15"/>
      <c r="AB26" s="16"/>
    </row>
    <row r="27" spans="2:28">
      <c r="B27" s="23" t="s">
        <v>85</v>
      </c>
      <c r="C27" s="30">
        <f>SUM(H27,M27,R27,W27,AB27)</f>
        <v>344.10243679999996</v>
      </c>
      <c r="E27" s="15" t="s">
        <v>19</v>
      </c>
      <c r="F27" s="32">
        <f>0.053%*F$10</f>
        <v>46.809599999999996</v>
      </c>
      <c r="G27" s="15" t="s">
        <v>74</v>
      </c>
      <c r="H27" s="30">
        <f>SUM(F$26:F$31)</f>
        <v>81.573247999999992</v>
      </c>
      <c r="J27" s="15" t="s">
        <v>19</v>
      </c>
      <c r="K27" s="32">
        <f>0.053%*K$10</f>
        <v>57.239999999999995</v>
      </c>
      <c r="L27" s="15" t="s">
        <v>74</v>
      </c>
      <c r="M27" s="30">
        <f>SUM(K$26:K$31)</f>
        <v>94.491199999999992</v>
      </c>
      <c r="O27" s="15" t="s">
        <v>19</v>
      </c>
      <c r="P27" s="32">
        <f>0.053%*P$10</f>
        <v>49.024999999999999</v>
      </c>
      <c r="Q27" s="15" t="s">
        <v>74</v>
      </c>
      <c r="R27" s="30">
        <f>SUM(P$26:P$31)</f>
        <v>84.317000000000007</v>
      </c>
      <c r="T27" s="15" t="s">
        <v>19</v>
      </c>
      <c r="U27" s="32">
        <f>0.053%*U$10</f>
        <v>48.543759999999999</v>
      </c>
      <c r="V27" s="15" t="s">
        <v>74</v>
      </c>
      <c r="W27" s="30">
        <f>SUM(U$26:U$31)</f>
        <v>83.720988800000001</v>
      </c>
      <c r="Y27" s="15" t="s">
        <v>19</v>
      </c>
      <c r="Z27" s="32">
        <f>0.053%*Z$10</f>
        <v>0</v>
      </c>
      <c r="AA27" s="15" t="s">
        <v>74</v>
      </c>
      <c r="AB27" s="30">
        <f>SUM(Z$26:Z$31)</f>
        <v>0</v>
      </c>
    </row>
    <row r="28" spans="2:28">
      <c r="B28" s="23"/>
      <c r="C28" s="24"/>
      <c r="E28" s="15" t="s">
        <v>13</v>
      </c>
      <c r="F28" s="32">
        <f>18%*(F26+F27)</f>
        <v>12.025727999999997</v>
      </c>
      <c r="G28" s="15"/>
      <c r="H28" s="16"/>
      <c r="J28" s="15" t="s">
        <v>13</v>
      </c>
      <c r="K28" s="32">
        <f>18%*(K26+K27)</f>
        <v>13.903199999999998</v>
      </c>
      <c r="L28" s="15"/>
      <c r="M28" s="16"/>
      <c r="O28" s="15" t="s">
        <v>13</v>
      </c>
      <c r="P28" s="32">
        <f>18%*(P26+P27)</f>
        <v>12.4245</v>
      </c>
      <c r="Q28" s="15"/>
      <c r="R28" s="16"/>
      <c r="T28" s="15" t="s">
        <v>13</v>
      </c>
      <c r="U28" s="32">
        <f>18%*(U26+U27)</f>
        <v>12.337876799999998</v>
      </c>
      <c r="V28" s="15"/>
      <c r="W28" s="16"/>
      <c r="Y28" s="15" t="s">
        <v>13</v>
      </c>
      <c r="Z28" s="32">
        <f>18%*(Z26+Z27)</f>
        <v>0</v>
      </c>
      <c r="AA28" s="15"/>
      <c r="AB28" s="16"/>
    </row>
    <row r="29" spans="2:28">
      <c r="B29" s="23"/>
      <c r="C29" s="24"/>
      <c r="E29" s="15" t="s">
        <v>14</v>
      </c>
      <c r="F29" s="32">
        <f>0.05%*F$10*(IF(F$2="B",0,1))</f>
        <v>0</v>
      </c>
      <c r="G29" s="15"/>
      <c r="H29" s="16"/>
      <c r="J29" s="15" t="s">
        <v>14</v>
      </c>
      <c r="K29" s="32">
        <f>0.05%*K$10*(IF(K$2="B",0,1))</f>
        <v>0</v>
      </c>
      <c r="L29" s="15"/>
      <c r="M29" s="16"/>
      <c r="O29" s="15" t="s">
        <v>14</v>
      </c>
      <c r="P29" s="32">
        <f>0.05%*P$10*(IF(P$2="B",0,1))</f>
        <v>0</v>
      </c>
      <c r="Q29" s="15"/>
      <c r="R29" s="16"/>
      <c r="T29" s="15" t="s">
        <v>14</v>
      </c>
      <c r="U29" s="32">
        <f>0.05%*U$10*(IF(U$2="B",0,1))</f>
        <v>0</v>
      </c>
      <c r="V29" s="15"/>
      <c r="W29" s="16"/>
      <c r="Y29" s="15" t="s">
        <v>14</v>
      </c>
      <c r="Z29" s="32">
        <f>0.05%*Z$10*(IF(Z$2="B",0,1))</f>
        <v>0</v>
      </c>
      <c r="AA29" s="15"/>
      <c r="AB29" s="16"/>
    </row>
    <row r="30" spans="2:28">
      <c r="B30" s="23"/>
      <c r="C30" s="24"/>
      <c r="E30" s="15" t="s">
        <v>15</v>
      </c>
      <c r="F30" s="32">
        <f>10/10000000*F$10</f>
        <v>8.8319999999999996E-2</v>
      </c>
      <c r="G30" s="15"/>
      <c r="H30" s="16"/>
      <c r="J30" s="15" t="s">
        <v>15</v>
      </c>
      <c r="K30" s="32">
        <f>10/10000000*K$10</f>
        <v>0.108</v>
      </c>
      <c r="L30" s="15"/>
      <c r="M30" s="16"/>
      <c r="O30" s="15" t="s">
        <v>15</v>
      </c>
      <c r="P30" s="32">
        <f>10/10000000*P$10</f>
        <v>9.2499999999999999E-2</v>
      </c>
      <c r="Q30" s="15"/>
      <c r="R30" s="16"/>
      <c r="T30" s="15" t="s">
        <v>15</v>
      </c>
      <c r="U30" s="32">
        <f>10/10000000*U$10</f>
        <v>9.1591999999999993E-2</v>
      </c>
      <c r="V30" s="15"/>
      <c r="W30" s="16"/>
      <c r="Y30" s="15" t="s">
        <v>15</v>
      </c>
      <c r="Z30" s="32">
        <f>10/10000000*Z$10</f>
        <v>0</v>
      </c>
      <c r="AA30" s="15"/>
      <c r="AB30" s="16"/>
    </row>
    <row r="31" spans="2:28">
      <c r="B31" s="23"/>
      <c r="C31" s="24"/>
      <c r="E31" s="15" t="s">
        <v>16</v>
      </c>
      <c r="F31" s="32">
        <f>300/10000000*F$10*(IF(F$2="B",1,0))</f>
        <v>2.6496</v>
      </c>
      <c r="G31" s="15"/>
      <c r="H31" s="16"/>
      <c r="J31" s="15" t="s">
        <v>16</v>
      </c>
      <c r="K31" s="32">
        <f>300/10000000*K$10*(IF(K$2="B",1,0))</f>
        <v>3.24</v>
      </c>
      <c r="L31" s="15"/>
      <c r="M31" s="16"/>
      <c r="O31" s="15" t="s">
        <v>16</v>
      </c>
      <c r="P31" s="32">
        <f>300/10000000*P$10*(IF(P$2="B",1,0))</f>
        <v>2.7749999999999999</v>
      </c>
      <c r="Q31" s="15"/>
      <c r="R31" s="16"/>
      <c r="T31" s="15" t="s">
        <v>16</v>
      </c>
      <c r="U31" s="32">
        <f>300/10000000*U$10*(IF(U$2="B",1,0))</f>
        <v>2.74776</v>
      </c>
      <c r="V31" s="15"/>
      <c r="W31" s="16"/>
      <c r="Y31" s="15" t="s">
        <v>16</v>
      </c>
      <c r="Z31" s="32">
        <f>300/10000000*Z$10*(IF(Z$2="B",1,0))</f>
        <v>0</v>
      </c>
      <c r="AA31" s="15"/>
      <c r="AB31" s="16"/>
    </row>
    <row r="34" spans="6:28">
      <c r="F34" s="34"/>
      <c r="H34" s="21"/>
      <c r="K34" s="34"/>
      <c r="M34" s="21"/>
      <c r="P34" s="34"/>
      <c r="R34" s="21"/>
      <c r="U34" s="34"/>
      <c r="W34" s="21"/>
      <c r="Z34" s="34"/>
      <c r="AB34" s="21"/>
    </row>
    <row r="35" spans="6:28">
      <c r="F35" s="34"/>
      <c r="K35" s="34"/>
      <c r="P35" s="34"/>
      <c r="U35" s="34"/>
      <c r="Z35" s="34"/>
    </row>
    <row r="38" spans="6:28">
      <c r="F38" s="22"/>
      <c r="K38" s="22"/>
      <c r="P38" s="22"/>
      <c r="U38" s="22"/>
      <c r="Z38" s="22"/>
    </row>
    <row r="39" spans="6:28">
      <c r="F39" s="22"/>
      <c r="K39" s="22"/>
      <c r="P39" s="22"/>
      <c r="U39" s="22"/>
      <c r="Z39" s="22"/>
    </row>
  </sheetData>
  <conditionalFormatting sqref="C6">
    <cfRule type="cellIs" dxfId="21" priority="37" operator="lessThan">
      <formula>0</formula>
    </cfRule>
    <cfRule type="cellIs" dxfId="20" priority="43" operator="greaterThan">
      <formula>0</formula>
    </cfRule>
  </conditionalFormatting>
  <conditionalFormatting sqref="C10">
    <cfRule type="cellIs" dxfId="19" priority="35" operator="lessThan">
      <formula>0</formula>
    </cfRule>
    <cfRule type="cellIs" dxfId="18" priority="36" operator="greaterThan">
      <formula>0</formula>
    </cfRule>
  </conditionalFormatting>
  <conditionalFormatting sqref="C7">
    <cfRule type="cellIs" dxfId="17" priority="25" operator="lessThan">
      <formula>0</formula>
    </cfRule>
    <cfRule type="cellIs" dxfId="16" priority="26" operator="greaterThan">
      <formula>0</formula>
    </cfRule>
  </conditionalFormatting>
  <conditionalFormatting sqref="C13">
    <cfRule type="cellIs" dxfId="15" priority="15" operator="lessThan">
      <formula>0</formula>
    </cfRule>
    <cfRule type="cellIs" dxfId="14" priority="16" operator="greaterThan">
      <formula>0</formula>
    </cfRule>
  </conditionalFormatting>
  <conditionalFormatting sqref="C15">
    <cfRule type="cellIs" dxfId="13" priority="13" operator="lessThan">
      <formula>0</formula>
    </cfRule>
    <cfRule type="cellIs" dxfId="12" priority="14" operator="greaterThan">
      <formula>0</formula>
    </cfRule>
  </conditionalFormatting>
  <conditionalFormatting sqref="C17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C19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C14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C16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C18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C20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B2" sqref="B2"/>
    </sheetView>
  </sheetViews>
  <sheetFormatPr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S30"/>
  <sheetViews>
    <sheetView workbookViewId="0">
      <selection activeCell="I13" sqref="I13"/>
    </sheetView>
  </sheetViews>
  <sheetFormatPr defaultColWidth="36.7109375" defaultRowHeight="15"/>
  <cols>
    <col min="1" max="1" width="6.5703125" customWidth="1"/>
    <col min="2" max="2" width="19.7109375" bestFit="1" customWidth="1"/>
    <col min="3" max="3" width="33.140625" bestFit="1" customWidth="1"/>
    <col min="4" max="4" width="15.140625" bestFit="1" customWidth="1"/>
    <col min="5" max="5" width="15.28515625" bestFit="1" customWidth="1"/>
    <col min="6" max="6" width="18.42578125" bestFit="1" customWidth="1"/>
    <col min="7" max="7" width="31.42578125" bestFit="1" customWidth="1"/>
    <col min="8" max="8" width="9.140625" bestFit="1" customWidth="1"/>
    <col min="9" max="9" width="15.140625" bestFit="1" customWidth="1"/>
    <col min="10" max="10" width="16.85546875" bestFit="1" customWidth="1"/>
    <col min="11" max="11" width="7.85546875" bestFit="1" customWidth="1"/>
    <col min="12" max="12" width="8.7109375" bestFit="1" customWidth="1"/>
    <col min="13" max="13" width="7.85546875" bestFit="1" customWidth="1"/>
    <col min="14" max="14" width="9" bestFit="1" customWidth="1"/>
    <col min="15" max="15" width="16.5703125" bestFit="1" customWidth="1"/>
    <col min="16" max="16" width="17" bestFit="1" customWidth="1"/>
    <col min="17" max="17" width="10.42578125" bestFit="1" customWidth="1"/>
    <col min="18" max="18" width="10.5703125" bestFit="1" customWidth="1"/>
    <col min="19" max="19" width="12.7109375" bestFit="1" customWidth="1"/>
  </cols>
  <sheetData>
    <row r="2" spans="1:19">
      <c r="B2" s="60" t="s">
        <v>521</v>
      </c>
      <c r="C2" s="60" t="s">
        <v>522</v>
      </c>
      <c r="D2" s="60" t="s">
        <v>601</v>
      </c>
      <c r="E2" s="60" t="s">
        <v>523</v>
      </c>
      <c r="F2" s="60" t="s">
        <v>524</v>
      </c>
    </row>
    <row r="3" spans="1:19">
      <c r="B3" s="61" t="s">
        <v>525</v>
      </c>
      <c r="C3" s="62">
        <v>0.2</v>
      </c>
      <c r="D3" s="61" t="s">
        <v>526</v>
      </c>
      <c r="E3" s="61">
        <v>10</v>
      </c>
      <c r="F3" s="61" t="s">
        <v>527</v>
      </c>
    </row>
    <row r="4" spans="1:19">
      <c r="B4" s="59" t="s">
        <v>423</v>
      </c>
      <c r="C4" s="63">
        <v>0.15</v>
      </c>
      <c r="D4" s="59" t="s">
        <v>528</v>
      </c>
      <c r="E4" s="59">
        <v>20</v>
      </c>
      <c r="F4" s="59" t="s">
        <v>529</v>
      </c>
    </row>
    <row r="5" spans="1:19">
      <c r="B5" s="61" t="s">
        <v>474</v>
      </c>
      <c r="C5" s="62">
        <v>0.2</v>
      </c>
      <c r="D5" s="61" t="s">
        <v>530</v>
      </c>
      <c r="E5" s="61">
        <v>4</v>
      </c>
      <c r="F5" s="61" t="s">
        <v>531</v>
      </c>
    </row>
    <row r="6" spans="1:19">
      <c r="B6" s="59" t="s">
        <v>532</v>
      </c>
      <c r="C6" s="63">
        <v>0.25</v>
      </c>
      <c r="D6" s="59" t="s">
        <v>533</v>
      </c>
      <c r="E6" s="59">
        <v>8</v>
      </c>
      <c r="F6" s="59" t="s">
        <v>534</v>
      </c>
    </row>
    <row r="7" spans="1:19">
      <c r="B7" s="61" t="s">
        <v>535</v>
      </c>
      <c r="C7" s="62">
        <v>0.2</v>
      </c>
      <c r="D7" s="61" t="s">
        <v>536</v>
      </c>
      <c r="E7" s="61">
        <v>12</v>
      </c>
      <c r="F7" s="61" t="s">
        <v>537</v>
      </c>
    </row>
    <row r="8" spans="1:19">
      <c r="B8" s="59"/>
      <c r="C8" s="59"/>
      <c r="D8" s="59" t="s">
        <v>538</v>
      </c>
      <c r="E8" s="59"/>
      <c r="F8" s="60" t="s">
        <v>539</v>
      </c>
    </row>
    <row r="9" spans="1:19" ht="18">
      <c r="A9" t="s">
        <v>600</v>
      </c>
      <c r="B9" s="64"/>
    </row>
    <row r="10" spans="1:19">
      <c r="B10" s="60" t="s">
        <v>540</v>
      </c>
      <c r="C10" s="60" t="s">
        <v>521</v>
      </c>
      <c r="D10" s="60" t="s">
        <v>541</v>
      </c>
      <c r="E10" s="60" t="s">
        <v>542</v>
      </c>
      <c r="F10" s="60" t="s">
        <v>543</v>
      </c>
      <c r="G10" s="60" t="s">
        <v>544</v>
      </c>
      <c r="H10" s="60" t="s">
        <v>545</v>
      </c>
      <c r="I10" s="60" t="s">
        <v>546</v>
      </c>
      <c r="J10" s="60" t="s">
        <v>547</v>
      </c>
      <c r="K10" s="60" t="s">
        <v>548</v>
      </c>
      <c r="L10" s="60" t="s">
        <v>549</v>
      </c>
      <c r="M10" s="60" t="s">
        <v>550</v>
      </c>
      <c r="N10" s="60" t="s">
        <v>551</v>
      </c>
      <c r="O10" s="60" t="s">
        <v>552</v>
      </c>
      <c r="P10" s="60" t="s">
        <v>553</v>
      </c>
      <c r="Q10" s="60" t="s">
        <v>554</v>
      </c>
      <c r="R10" s="60" t="s">
        <v>555</v>
      </c>
      <c r="S10" s="60" t="s">
        <v>556</v>
      </c>
    </row>
    <row r="11" spans="1:19">
      <c r="B11" s="59">
        <v>6</v>
      </c>
      <c r="C11" s="59" t="s">
        <v>570</v>
      </c>
      <c r="D11" s="59" t="s">
        <v>571</v>
      </c>
      <c r="E11" s="59">
        <v>532977</v>
      </c>
      <c r="F11" s="65">
        <v>4124.6499999999996</v>
      </c>
      <c r="G11" s="59" t="s">
        <v>572</v>
      </c>
      <c r="H11" s="67">
        <v>4.5</v>
      </c>
      <c r="I11" s="67">
        <v>121055.25</v>
      </c>
      <c r="J11" s="67">
        <v>27273.43</v>
      </c>
      <c r="K11" s="59">
        <v>24.92</v>
      </c>
      <c r="L11" s="59">
        <v>17.75</v>
      </c>
      <c r="M11" s="59">
        <v>19.850000000000001</v>
      </c>
      <c r="N11" s="59">
        <v>25.41</v>
      </c>
      <c r="O11" s="59">
        <v>4.21</v>
      </c>
      <c r="P11" s="59">
        <v>3.62</v>
      </c>
      <c r="Q11" s="59" t="s">
        <v>564</v>
      </c>
      <c r="R11" s="59">
        <v>4.4400000000000004</v>
      </c>
      <c r="S11" s="59">
        <v>4.3600000000000003</v>
      </c>
    </row>
    <row r="12" spans="1:19">
      <c r="B12" s="61">
        <v>19</v>
      </c>
      <c r="C12" s="61" t="s">
        <v>596</v>
      </c>
      <c r="D12" s="61" t="s">
        <v>485</v>
      </c>
      <c r="E12" s="61">
        <v>541154</v>
      </c>
      <c r="F12" s="66">
        <v>1036.3</v>
      </c>
      <c r="G12" s="61" t="s">
        <v>597</v>
      </c>
      <c r="H12" s="68">
        <v>1</v>
      </c>
      <c r="I12" s="68">
        <v>34866.58</v>
      </c>
      <c r="J12" s="68">
        <v>15412.27</v>
      </c>
      <c r="K12" s="61">
        <v>10.76</v>
      </c>
      <c r="L12" s="61">
        <v>23.51</v>
      </c>
      <c r="M12" s="61">
        <v>22.61</v>
      </c>
      <c r="N12" s="61">
        <v>26.33</v>
      </c>
      <c r="O12" s="61">
        <v>6.31</v>
      </c>
      <c r="P12" s="61">
        <v>10.09</v>
      </c>
      <c r="Q12" s="61" t="s">
        <v>564</v>
      </c>
      <c r="R12" s="61">
        <v>2.2599999999999998</v>
      </c>
      <c r="S12" s="61">
        <v>1.53</v>
      </c>
    </row>
    <row r="13" spans="1:19">
      <c r="B13" s="59">
        <v>16</v>
      </c>
      <c r="C13" s="59" t="s">
        <v>423</v>
      </c>
      <c r="D13" s="59" t="s">
        <v>423</v>
      </c>
      <c r="E13" s="59">
        <v>500875</v>
      </c>
      <c r="F13" s="59">
        <v>203.3</v>
      </c>
      <c r="G13" s="59" t="s">
        <v>590</v>
      </c>
      <c r="H13" s="67">
        <v>4.5</v>
      </c>
      <c r="I13" s="67">
        <v>250608.07</v>
      </c>
      <c r="J13" s="67">
        <v>60347.34</v>
      </c>
      <c r="K13" s="59">
        <v>19.04</v>
      </c>
      <c r="L13" s="59">
        <v>34.51</v>
      </c>
      <c r="M13" s="59">
        <v>20.95</v>
      </c>
      <c r="N13" s="59">
        <v>28.52</v>
      </c>
      <c r="O13" s="59">
        <v>4.68</v>
      </c>
      <c r="P13" s="59">
        <v>7.01</v>
      </c>
      <c r="Q13" s="59" t="s">
        <v>564</v>
      </c>
      <c r="R13" s="59">
        <v>4.1500000000000004</v>
      </c>
      <c r="S13" s="59">
        <v>5.09</v>
      </c>
    </row>
    <row r="14" spans="1:19">
      <c r="B14" s="59">
        <v>18</v>
      </c>
      <c r="C14" s="59" t="s">
        <v>594</v>
      </c>
      <c r="D14" s="59" t="s">
        <v>484</v>
      </c>
      <c r="E14" s="59">
        <v>540699</v>
      </c>
      <c r="F14" s="65">
        <v>4477.75</v>
      </c>
      <c r="G14" s="59" t="s">
        <v>595</v>
      </c>
      <c r="H14" s="67">
        <v>1</v>
      </c>
      <c r="I14" s="67">
        <v>26208.03</v>
      </c>
      <c r="J14" s="67">
        <v>737.3</v>
      </c>
      <c r="K14" s="59">
        <v>164.01</v>
      </c>
      <c r="L14" s="59">
        <v>4.4400000000000004</v>
      </c>
      <c r="M14" s="59">
        <v>25</v>
      </c>
      <c r="N14" s="59">
        <v>32.24</v>
      </c>
      <c r="O14" s="59">
        <v>35.93</v>
      </c>
      <c r="P14" s="59">
        <v>35.5</v>
      </c>
      <c r="Q14" s="59">
        <v>0.21</v>
      </c>
      <c r="R14" s="59">
        <v>35.549999999999997</v>
      </c>
      <c r="S14" s="59">
        <v>4.0599999999999996</v>
      </c>
    </row>
    <row r="15" spans="1:19">
      <c r="B15" s="59">
        <v>14</v>
      </c>
      <c r="C15" s="59" t="s">
        <v>586</v>
      </c>
      <c r="D15" s="59" t="s">
        <v>587</v>
      </c>
      <c r="E15" s="59">
        <v>509820</v>
      </c>
      <c r="F15" s="59">
        <v>293.8</v>
      </c>
      <c r="G15" s="59" t="s">
        <v>588</v>
      </c>
      <c r="H15" s="67">
        <v>0.5</v>
      </c>
      <c r="I15" s="67">
        <v>2246.02</v>
      </c>
      <c r="J15" s="67">
        <v>764.91</v>
      </c>
      <c r="K15" s="59">
        <v>26.47</v>
      </c>
      <c r="L15" s="59">
        <v>8.74</v>
      </c>
      <c r="M15" s="59">
        <v>12.83</v>
      </c>
      <c r="N15" s="59">
        <v>13.96</v>
      </c>
      <c r="O15" s="59">
        <v>16.43</v>
      </c>
      <c r="P15" s="59">
        <v>13.85</v>
      </c>
      <c r="Q15" s="59">
        <v>0.39</v>
      </c>
      <c r="R15" s="59">
        <v>2.94</v>
      </c>
      <c r="S15" s="59">
        <v>0.89</v>
      </c>
    </row>
    <row r="16" spans="1:19">
      <c r="B16" s="59">
        <v>8</v>
      </c>
      <c r="C16" s="59" t="s">
        <v>576</v>
      </c>
      <c r="D16" s="59" t="s">
        <v>490</v>
      </c>
      <c r="E16" s="59">
        <v>542652</v>
      </c>
      <c r="F16" s="65">
        <v>1947.6</v>
      </c>
      <c r="G16" s="59" t="s">
        <v>575</v>
      </c>
      <c r="H16" s="67">
        <v>1</v>
      </c>
      <c r="I16" s="67">
        <v>29062.06</v>
      </c>
      <c r="J16" s="67">
        <v>4753.9399999999996</v>
      </c>
      <c r="K16" s="59">
        <v>33.25</v>
      </c>
      <c r="L16" s="59">
        <v>13.07</v>
      </c>
      <c r="M16" s="59">
        <v>20.36</v>
      </c>
      <c r="N16" s="59">
        <v>24.8</v>
      </c>
      <c r="O16" s="59">
        <v>11.4</v>
      </c>
      <c r="P16" s="59">
        <v>36.450000000000003</v>
      </c>
      <c r="Q16" s="59">
        <v>0.04</v>
      </c>
      <c r="R16" s="59">
        <v>6.11</v>
      </c>
      <c r="S16" s="59">
        <v>3.26</v>
      </c>
    </row>
    <row r="17" spans="2:19">
      <c r="B17" s="61">
        <v>7</v>
      </c>
      <c r="C17" s="61" t="s">
        <v>573</v>
      </c>
      <c r="D17" s="61" t="s">
        <v>574</v>
      </c>
      <c r="E17" s="61">
        <v>517569</v>
      </c>
      <c r="F17" s="61">
        <v>696.15</v>
      </c>
      <c r="G17" s="61" t="s">
        <v>575</v>
      </c>
      <c r="H17" s="68">
        <v>0.5</v>
      </c>
      <c r="I17" s="68">
        <v>6231.03</v>
      </c>
      <c r="J17" s="68">
        <v>1778.05</v>
      </c>
      <c r="K17" s="61">
        <v>22.8</v>
      </c>
      <c r="L17" s="61">
        <v>11.01</v>
      </c>
      <c r="M17" s="61">
        <v>16.64</v>
      </c>
      <c r="N17" s="61">
        <v>21.48</v>
      </c>
      <c r="O17" s="61">
        <v>12.21</v>
      </c>
      <c r="P17" s="61">
        <v>34.31</v>
      </c>
      <c r="Q17" s="61">
        <v>0.16</v>
      </c>
      <c r="R17" s="61">
        <v>3.5</v>
      </c>
      <c r="S17" s="61">
        <v>1.49</v>
      </c>
    </row>
    <row r="18" spans="2:19">
      <c r="B18" s="61">
        <v>9</v>
      </c>
      <c r="C18" s="61" t="s">
        <v>577</v>
      </c>
      <c r="D18" s="61" t="s">
        <v>226</v>
      </c>
      <c r="E18" s="61">
        <v>506395</v>
      </c>
      <c r="F18" s="61">
        <v>898.6</v>
      </c>
      <c r="G18" s="61" t="s">
        <v>578</v>
      </c>
      <c r="H18" s="68">
        <v>3</v>
      </c>
      <c r="I18" s="68">
        <v>26867.62</v>
      </c>
      <c r="J18" s="68">
        <v>5150.59</v>
      </c>
      <c r="K18" s="61">
        <v>20.21</v>
      </c>
      <c r="L18" s="61">
        <v>14.18</v>
      </c>
      <c r="M18" s="61">
        <v>28.08</v>
      </c>
      <c r="N18" s="61">
        <v>32.96</v>
      </c>
      <c r="O18" s="61">
        <v>4.3600000000000003</v>
      </c>
      <c r="P18" s="61">
        <v>31.11</v>
      </c>
      <c r="Q18" s="61">
        <v>7.0000000000000007E-2</v>
      </c>
      <c r="R18" s="61">
        <v>5.22</v>
      </c>
      <c r="S18" s="61">
        <v>1.89</v>
      </c>
    </row>
    <row r="19" spans="2:19">
      <c r="B19" s="61">
        <v>11</v>
      </c>
      <c r="C19" s="61" t="s">
        <v>580</v>
      </c>
      <c r="D19" s="61" t="s">
        <v>581</v>
      </c>
      <c r="E19" s="61">
        <v>532714</v>
      </c>
      <c r="F19" s="61">
        <v>449.1</v>
      </c>
      <c r="G19" s="61" t="s">
        <v>582</v>
      </c>
      <c r="H19" s="68">
        <v>0.5</v>
      </c>
      <c r="I19" s="68">
        <v>11660.24</v>
      </c>
      <c r="J19" s="68">
        <v>3359.69</v>
      </c>
      <c r="K19" s="61">
        <v>21.1</v>
      </c>
      <c r="L19" s="61">
        <v>8.6999999999999993</v>
      </c>
      <c r="M19" s="61">
        <v>17.95</v>
      </c>
      <c r="N19" s="61">
        <v>19.11</v>
      </c>
      <c r="O19" s="61">
        <v>9.01</v>
      </c>
      <c r="P19" s="61">
        <v>30.37</v>
      </c>
      <c r="Q19" s="61">
        <v>0.59</v>
      </c>
      <c r="R19" s="61">
        <v>3.47</v>
      </c>
      <c r="S19" s="61">
        <v>0.89</v>
      </c>
    </row>
    <row r="20" spans="2:19">
      <c r="B20" s="59">
        <v>20</v>
      </c>
      <c r="C20" s="59" t="s">
        <v>598</v>
      </c>
      <c r="D20" s="59" t="s">
        <v>599</v>
      </c>
      <c r="E20" s="59">
        <v>533758</v>
      </c>
      <c r="F20" s="65">
        <v>1576.35</v>
      </c>
      <c r="G20" s="59" t="s">
        <v>567</v>
      </c>
      <c r="H20" s="67">
        <v>2</v>
      </c>
      <c r="I20" s="67">
        <v>20025.2</v>
      </c>
      <c r="J20" s="67">
        <v>1694.66</v>
      </c>
      <c r="K20" s="59">
        <v>55.6</v>
      </c>
      <c r="L20" s="59">
        <v>7.99</v>
      </c>
      <c r="M20" s="59">
        <v>23.61</v>
      </c>
      <c r="N20" s="59">
        <v>28.28</v>
      </c>
      <c r="O20" s="59">
        <v>15.4</v>
      </c>
      <c r="P20" s="59">
        <v>25.32</v>
      </c>
      <c r="Q20" s="59">
        <v>0.26</v>
      </c>
      <c r="R20" s="59">
        <v>11.82</v>
      </c>
      <c r="S20" s="59">
        <v>2.36</v>
      </c>
    </row>
    <row r="21" spans="2:19">
      <c r="B21" s="59">
        <v>4</v>
      </c>
      <c r="C21" s="59" t="s">
        <v>565</v>
      </c>
      <c r="D21" s="59" t="s">
        <v>566</v>
      </c>
      <c r="E21" s="59">
        <v>513434</v>
      </c>
      <c r="F21" s="65">
        <v>1115.9000000000001</v>
      </c>
      <c r="G21" s="59" t="s">
        <v>567</v>
      </c>
      <c r="H21" s="67">
        <v>0.5</v>
      </c>
      <c r="I21" s="67">
        <v>3595.1</v>
      </c>
      <c r="J21" s="67">
        <v>1300.05</v>
      </c>
      <c r="K21" s="59">
        <v>16.36</v>
      </c>
      <c r="L21" s="59">
        <v>20.27</v>
      </c>
      <c r="M21" s="59">
        <v>20.32</v>
      </c>
      <c r="N21" s="59">
        <v>25.09</v>
      </c>
      <c r="O21" s="59">
        <v>6.63</v>
      </c>
      <c r="P21" s="59">
        <v>14.3</v>
      </c>
      <c r="Q21" s="59">
        <v>0.12</v>
      </c>
      <c r="R21" s="59">
        <v>2.77</v>
      </c>
      <c r="S21" s="59">
        <v>1.88</v>
      </c>
    </row>
    <row r="22" spans="2:19">
      <c r="B22" s="61">
        <v>5</v>
      </c>
      <c r="C22" s="61" t="s">
        <v>568</v>
      </c>
      <c r="D22" s="61" t="s">
        <v>414</v>
      </c>
      <c r="E22" s="61">
        <v>532281</v>
      </c>
      <c r="F22" s="61">
        <v>983.6</v>
      </c>
      <c r="G22" s="61" t="s">
        <v>569</v>
      </c>
      <c r="H22" s="68">
        <v>4</v>
      </c>
      <c r="I22" s="68">
        <v>267377.42</v>
      </c>
      <c r="J22" s="68">
        <v>59913</v>
      </c>
      <c r="K22" s="61">
        <v>23.99</v>
      </c>
      <c r="L22" s="61">
        <v>26.6</v>
      </c>
      <c r="M22" s="61">
        <v>20.05</v>
      </c>
      <c r="N22" s="61">
        <v>26.06</v>
      </c>
      <c r="O22" s="61">
        <v>19.34</v>
      </c>
      <c r="P22" s="61">
        <v>14.75</v>
      </c>
      <c r="Q22" s="61">
        <v>0.11</v>
      </c>
      <c r="R22" s="61">
        <v>4.46</v>
      </c>
      <c r="S22" s="61">
        <v>3.55</v>
      </c>
    </row>
    <row r="23" spans="2:19">
      <c r="B23" s="61">
        <v>15</v>
      </c>
      <c r="C23" s="61" t="s">
        <v>589</v>
      </c>
      <c r="D23" s="61" t="s">
        <v>489</v>
      </c>
      <c r="E23" s="61">
        <v>532466</v>
      </c>
      <c r="F23" s="66">
        <v>3574.5</v>
      </c>
      <c r="G23" s="61" t="s">
        <v>569</v>
      </c>
      <c r="H23" s="68">
        <v>4</v>
      </c>
      <c r="I23" s="68">
        <v>30952.67</v>
      </c>
      <c r="J23" s="68">
        <v>6848.77</v>
      </c>
      <c r="K23" s="61">
        <v>17.57</v>
      </c>
      <c r="L23" s="61">
        <v>49.53</v>
      </c>
      <c r="M23" s="61">
        <v>26.26</v>
      </c>
      <c r="N23" s="61">
        <v>36.71</v>
      </c>
      <c r="O23" s="61">
        <v>3.82</v>
      </c>
      <c r="P23" s="61">
        <v>10.58</v>
      </c>
      <c r="Q23" s="61">
        <v>0.01</v>
      </c>
      <c r="R23" s="61">
        <v>4.5199999999999996</v>
      </c>
      <c r="S23" s="61">
        <v>6.21</v>
      </c>
    </row>
    <row r="24" spans="2:19">
      <c r="B24" s="59">
        <v>10</v>
      </c>
      <c r="C24" s="59" t="s">
        <v>579</v>
      </c>
      <c r="D24" s="59" t="s">
        <v>474</v>
      </c>
      <c r="E24" s="59">
        <v>526299</v>
      </c>
      <c r="F24" s="65">
        <v>2086.15</v>
      </c>
      <c r="G24" s="59" t="s">
        <v>569</v>
      </c>
      <c r="H24" s="67">
        <v>3</v>
      </c>
      <c r="I24" s="67">
        <v>38359.379999999997</v>
      </c>
      <c r="J24" s="67">
        <v>6526.71</v>
      </c>
      <c r="K24" s="59">
        <v>31.52</v>
      </c>
      <c r="L24" s="59">
        <v>18.54</v>
      </c>
      <c r="M24" s="59">
        <v>19.7</v>
      </c>
      <c r="N24" s="59">
        <v>24.01</v>
      </c>
      <c r="O24" s="59">
        <v>9.84</v>
      </c>
      <c r="P24" s="59">
        <v>13.53</v>
      </c>
      <c r="Q24" s="59">
        <v>0.18</v>
      </c>
      <c r="R24" s="59">
        <v>5.88</v>
      </c>
      <c r="S24" s="59">
        <v>3.95</v>
      </c>
    </row>
    <row r="25" spans="2:19">
      <c r="B25" s="61">
        <v>17</v>
      </c>
      <c r="C25" s="61" t="s">
        <v>591</v>
      </c>
      <c r="D25" s="61" t="s">
        <v>592</v>
      </c>
      <c r="E25" s="61">
        <v>500408</v>
      </c>
      <c r="F25" s="66">
        <v>4002.95</v>
      </c>
      <c r="G25" s="61" t="s">
        <v>593</v>
      </c>
      <c r="H25" s="68">
        <v>1</v>
      </c>
      <c r="I25" s="68">
        <v>23828.21</v>
      </c>
      <c r="J25" s="68">
        <v>1352.18</v>
      </c>
      <c r="K25" s="61">
        <v>65.22</v>
      </c>
      <c r="L25" s="61">
        <v>28.67</v>
      </c>
      <c r="M25" s="61">
        <v>29.92</v>
      </c>
      <c r="N25" s="61">
        <v>40.03</v>
      </c>
      <c r="O25" s="61">
        <v>11.18</v>
      </c>
      <c r="P25" s="61">
        <v>18.809999999999999</v>
      </c>
      <c r="Q25" s="61">
        <v>0.05</v>
      </c>
      <c r="R25" s="61">
        <v>17.62</v>
      </c>
      <c r="S25" s="61">
        <v>13.05</v>
      </c>
    </row>
    <row r="26" spans="2:19">
      <c r="B26" s="61">
        <v>3</v>
      </c>
      <c r="C26" s="61" t="s">
        <v>561</v>
      </c>
      <c r="D26" s="61" t="s">
        <v>562</v>
      </c>
      <c r="E26" s="61">
        <v>512573</v>
      </c>
      <c r="F26" s="61">
        <v>531.54999999999995</v>
      </c>
      <c r="G26" s="61" t="s">
        <v>563</v>
      </c>
      <c r="H26" s="68">
        <v>3</v>
      </c>
      <c r="I26" s="68">
        <v>7384.51</v>
      </c>
      <c r="J26" s="68">
        <v>1761.21</v>
      </c>
      <c r="K26" s="61">
        <v>20.51</v>
      </c>
      <c r="L26" s="61">
        <v>11.21</v>
      </c>
      <c r="M26" s="61">
        <v>22.75</v>
      </c>
      <c r="N26" s="61">
        <v>32.26</v>
      </c>
      <c r="O26" s="61">
        <v>16.2</v>
      </c>
      <c r="P26" s="61">
        <v>18.62</v>
      </c>
      <c r="Q26" s="61" t="s">
        <v>564</v>
      </c>
      <c r="R26" s="61">
        <v>4.1900000000000004</v>
      </c>
      <c r="S26" s="61">
        <v>1.8</v>
      </c>
    </row>
    <row r="27" spans="2:19">
      <c r="B27" s="59">
        <v>2</v>
      </c>
      <c r="C27" s="59" t="s">
        <v>559</v>
      </c>
      <c r="D27" s="59" t="s">
        <v>407</v>
      </c>
      <c r="E27" s="59">
        <v>531642</v>
      </c>
      <c r="F27" s="59">
        <v>537.70000000000005</v>
      </c>
      <c r="G27" s="59" t="s">
        <v>560</v>
      </c>
      <c r="H27" s="67">
        <v>4.5</v>
      </c>
      <c r="I27" s="67">
        <v>65802.61</v>
      </c>
      <c r="J27" s="67">
        <v>3240</v>
      </c>
      <c r="K27" s="59">
        <v>56.62</v>
      </c>
      <c r="L27" s="59">
        <v>19.739999999999998</v>
      </c>
      <c r="M27" s="59">
        <v>36.950000000000003</v>
      </c>
      <c r="N27" s="59">
        <v>44.27</v>
      </c>
      <c r="O27" s="59">
        <v>5.99</v>
      </c>
      <c r="P27" s="59">
        <v>10.8</v>
      </c>
      <c r="Q27" s="59">
        <v>0.11</v>
      </c>
      <c r="R27" s="59">
        <v>20.309999999999999</v>
      </c>
      <c r="S27" s="59">
        <v>8.18</v>
      </c>
    </row>
    <row r="28" spans="2:19">
      <c r="B28" s="59">
        <v>12</v>
      </c>
      <c r="C28" s="59" t="s">
        <v>583</v>
      </c>
      <c r="D28" s="59" t="s">
        <v>24</v>
      </c>
      <c r="E28" s="59">
        <v>533573</v>
      </c>
      <c r="F28" s="59">
        <v>986.8</v>
      </c>
      <c r="G28" s="59" t="s">
        <v>558</v>
      </c>
      <c r="H28" s="67">
        <v>3</v>
      </c>
      <c r="I28" s="67">
        <v>19688.75</v>
      </c>
      <c r="J28" s="67">
        <v>5127.6099999999997</v>
      </c>
      <c r="K28" s="59">
        <v>16.71</v>
      </c>
      <c r="L28" s="59">
        <v>28.88</v>
      </c>
      <c r="M28" s="59">
        <v>28.23</v>
      </c>
      <c r="N28" s="59">
        <v>26.01</v>
      </c>
      <c r="O28" s="59">
        <v>11.24</v>
      </c>
      <c r="P28" s="59">
        <v>10.35</v>
      </c>
      <c r="Q28" s="59">
        <v>0.1</v>
      </c>
      <c r="R28" s="59">
        <v>3.84</v>
      </c>
      <c r="S28" s="59">
        <v>3.65</v>
      </c>
    </row>
    <row r="29" spans="2:19">
      <c r="B29" s="61">
        <v>1</v>
      </c>
      <c r="C29" s="61" t="s">
        <v>557</v>
      </c>
      <c r="D29" s="61" t="s">
        <v>25</v>
      </c>
      <c r="E29" s="61">
        <v>524742</v>
      </c>
      <c r="F29" s="61">
        <v>658.5</v>
      </c>
      <c r="G29" s="61" t="s">
        <v>558</v>
      </c>
      <c r="H29" s="68">
        <v>0.5</v>
      </c>
      <c r="I29" s="68">
        <v>5009.4399999999996</v>
      </c>
      <c r="J29" s="68">
        <v>1185.83</v>
      </c>
      <c r="K29" s="61">
        <v>20.68</v>
      </c>
      <c r="L29" s="61">
        <v>30.97</v>
      </c>
      <c r="M29" s="61">
        <v>24.33</v>
      </c>
      <c r="N29" s="61">
        <v>30.77</v>
      </c>
      <c r="O29" s="61">
        <v>34.770000000000003</v>
      </c>
      <c r="P29" s="61">
        <v>39.619999999999997</v>
      </c>
      <c r="Q29" s="61">
        <v>0.02</v>
      </c>
      <c r="R29" s="61">
        <v>4.22</v>
      </c>
      <c r="S29" s="61">
        <v>4.72</v>
      </c>
    </row>
    <row r="30" spans="2:19">
      <c r="B30" s="61">
        <v>13</v>
      </c>
      <c r="C30" s="61" t="s">
        <v>584</v>
      </c>
      <c r="D30" s="61" t="s">
        <v>355</v>
      </c>
      <c r="E30" s="61">
        <v>534816</v>
      </c>
      <c r="F30" s="61">
        <v>241.7</v>
      </c>
      <c r="G30" s="61" t="s">
        <v>585</v>
      </c>
      <c r="H30" s="68">
        <v>0.5</v>
      </c>
      <c r="I30" s="68">
        <v>65918.16</v>
      </c>
      <c r="J30" s="68">
        <v>15877</v>
      </c>
      <c r="K30" s="61">
        <v>17.440000000000001</v>
      </c>
      <c r="L30" s="61">
        <v>51.45</v>
      </c>
      <c r="M30" s="61">
        <v>25.69</v>
      </c>
      <c r="N30" s="61">
        <v>19.82</v>
      </c>
      <c r="O30" s="61">
        <v>20.21</v>
      </c>
      <c r="P30" s="61">
        <v>13.89</v>
      </c>
      <c r="Q30" s="61">
        <v>1.28</v>
      </c>
      <c r="R30" s="61">
        <v>4.1500000000000004</v>
      </c>
      <c r="S30" s="61">
        <v>4.72</v>
      </c>
    </row>
  </sheetData>
  <sortState ref="B11:S30">
    <sortCondition ref="G11:G30"/>
    <sortCondition descending="1" ref="H11:H30"/>
    <sortCondition descending="1" ref="I11:I30"/>
    <sortCondition ref="K11:K30"/>
    <sortCondition descending="1" ref="M11:M30"/>
    <sortCondition ref="Q11:Q30"/>
    <sortCondition ref="R11:R30"/>
    <sortCondition ref="S11:S30"/>
    <sortCondition descending="1" ref="O11:O3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Z58"/>
  <sheetViews>
    <sheetView zoomScale="85" zoomScaleNormal="85" workbookViewId="0">
      <pane xSplit="3" ySplit="1" topLeftCell="AI52" activePane="bottomRight" state="frozen"/>
      <selection pane="topRight" activeCell="D1" sqref="D1"/>
      <selection pane="bottomLeft" activeCell="A2" sqref="A2"/>
      <selection pane="bottomRight" activeCell="AL54" sqref="AL54"/>
    </sheetView>
  </sheetViews>
  <sheetFormatPr defaultRowHeight="15" outlineLevelCol="1"/>
  <cols>
    <col min="1" max="1" width="10.5703125" bestFit="1" customWidth="1"/>
    <col min="2" max="2" width="20.5703125" bestFit="1" customWidth="1"/>
    <col min="3" max="3" width="20.5703125" customWidth="1"/>
    <col min="7" max="7" width="12.28515625" bestFit="1" customWidth="1"/>
    <col min="8" max="8" width="12" customWidth="1"/>
    <col min="14" max="14" width="9.28515625" bestFit="1" customWidth="1"/>
    <col min="15" max="15" width="11.85546875" bestFit="1" customWidth="1"/>
    <col min="16" max="16" width="11.85546875" customWidth="1"/>
    <col min="17" max="17" width="9.28515625" bestFit="1" customWidth="1"/>
    <col min="18" max="18" width="9.28515625" customWidth="1"/>
    <col min="19" max="19" width="12.7109375" bestFit="1" customWidth="1"/>
    <col min="20" max="20" width="9.28515625" customWidth="1"/>
    <col min="21" max="21" width="10.28515625" bestFit="1" customWidth="1"/>
    <col min="22" max="22" width="11.7109375" bestFit="1" customWidth="1"/>
    <col min="23" max="23" width="12.7109375" bestFit="1" customWidth="1"/>
    <col min="24" max="24" width="11.85546875" style="40" bestFit="1" customWidth="1"/>
    <col min="27" max="27" width="9.140625" style="40"/>
    <col min="28" max="28" width="15" bestFit="1" customWidth="1"/>
    <col min="37" max="37" width="22.140625" customWidth="1"/>
    <col min="38" max="41" width="12.28515625" customWidth="1"/>
    <col min="42" max="42" width="12.28515625" hidden="1" customWidth="1" outlineLevel="1"/>
    <col min="43" max="43" width="12.28515625" customWidth="1" collapsed="1"/>
    <col min="44" max="45" width="12.28515625" hidden="1" customWidth="1" outlineLevel="1"/>
    <col min="46" max="46" width="12.28515625" customWidth="1" collapsed="1"/>
    <col min="47" max="47" width="12.28515625" customWidth="1"/>
    <col min="48" max="48" width="18.5703125" hidden="1" customWidth="1" outlineLevel="1"/>
    <col min="49" max="49" width="17.5703125" hidden="1" customWidth="1" outlineLevel="1"/>
    <col min="50" max="50" width="9.140625" collapsed="1"/>
  </cols>
  <sheetData>
    <row r="1" spans="1:52" ht="45">
      <c r="A1" s="43">
        <f ca="1">TODAY()</f>
        <v>44461</v>
      </c>
      <c r="B1" t="s">
        <v>42</v>
      </c>
      <c r="C1" s="54" t="s">
        <v>492</v>
      </c>
      <c r="D1" s="54" t="s">
        <v>601</v>
      </c>
      <c r="E1" s="54" t="s">
        <v>603</v>
      </c>
      <c r="F1" s="69" t="s">
        <v>606</v>
      </c>
      <c r="G1" s="69" t="s">
        <v>607</v>
      </c>
      <c r="H1" s="69" t="s">
        <v>608</v>
      </c>
      <c r="I1" s="70">
        <v>-0.1</v>
      </c>
      <c r="J1" s="70">
        <v>-0.15</v>
      </c>
      <c r="K1" s="70">
        <v>0.1</v>
      </c>
      <c r="L1" s="70">
        <v>0.15</v>
      </c>
      <c r="M1" s="70" t="s">
        <v>99</v>
      </c>
      <c r="N1" s="69" t="s">
        <v>135</v>
      </c>
      <c r="O1" s="69" t="s">
        <v>132</v>
      </c>
      <c r="P1" s="69" t="s">
        <v>629</v>
      </c>
      <c r="Q1" s="69" t="s">
        <v>134</v>
      </c>
      <c r="R1" s="69" t="s">
        <v>92</v>
      </c>
      <c r="S1" s="69" t="s">
        <v>144</v>
      </c>
      <c r="T1" s="69" t="s">
        <v>136</v>
      </c>
      <c r="U1" s="69" t="s">
        <v>137</v>
      </c>
      <c r="V1" s="69" t="s">
        <v>139</v>
      </c>
      <c r="W1" s="69" t="s">
        <v>138</v>
      </c>
      <c r="X1" s="71" t="s">
        <v>140</v>
      </c>
      <c r="Y1" s="69" t="s">
        <v>141</v>
      </c>
      <c r="Z1" s="69" t="s">
        <v>519</v>
      </c>
      <c r="AA1" s="71" t="s">
        <v>142</v>
      </c>
      <c r="AB1" s="69" t="s">
        <v>143</v>
      </c>
      <c r="AC1" s="69" t="s">
        <v>96</v>
      </c>
      <c r="AD1" s="69" t="s">
        <v>628</v>
      </c>
      <c r="AE1" s="69" t="s">
        <v>98</v>
      </c>
      <c r="AF1" s="69" t="s">
        <v>97</v>
      </c>
      <c r="AG1" t="s">
        <v>156</v>
      </c>
      <c r="AK1" s="54" t="s">
        <v>3</v>
      </c>
      <c r="AL1" s="54" t="s">
        <v>494</v>
      </c>
      <c r="AM1" s="54" t="s">
        <v>495</v>
      </c>
      <c r="AN1" s="54" t="s">
        <v>496</v>
      </c>
      <c r="AO1" s="54" t="s">
        <v>497</v>
      </c>
      <c r="AP1" s="54" t="s">
        <v>498</v>
      </c>
      <c r="AQ1" s="54" t="s">
        <v>499</v>
      </c>
      <c r="AR1" s="54" t="s">
        <v>500</v>
      </c>
      <c r="AS1" s="54" t="s">
        <v>501</v>
      </c>
      <c r="AT1" s="54" t="s">
        <v>502</v>
      </c>
      <c r="AU1" s="54" t="s">
        <v>503</v>
      </c>
      <c r="AV1" t="s">
        <v>504</v>
      </c>
      <c r="AW1" t="s">
        <v>505</v>
      </c>
      <c r="AX1" t="s">
        <v>637</v>
      </c>
    </row>
    <row r="2" spans="1:52">
      <c r="A2" s="43" t="s">
        <v>602</v>
      </c>
      <c r="B2" t="s">
        <v>414</v>
      </c>
      <c r="C2" t="s">
        <v>613</v>
      </c>
      <c r="D2">
        <f>mrigxl_stockquote(B2)</f>
        <v>1285.95</v>
      </c>
      <c r="E2" t="s">
        <v>604</v>
      </c>
      <c r="G2" t="s">
        <v>612</v>
      </c>
      <c r="I2">
        <f>$D2*(1+I$1)</f>
        <v>1157.355</v>
      </c>
      <c r="J2">
        <f t="shared" ref="J2:L7" si="0">$D2*(1+J$1)</f>
        <v>1093.0575000000001</v>
      </c>
      <c r="K2">
        <f t="shared" si="0"/>
        <v>1414.5450000000001</v>
      </c>
      <c r="L2">
        <f t="shared" si="0"/>
        <v>1478.8425</v>
      </c>
      <c r="M2" s="42">
        <v>44497</v>
      </c>
      <c r="N2" s="38">
        <f>VLOOKUP(TRIM($B2),Lots!$B:$E,2,0)</f>
        <v>700</v>
      </c>
      <c r="O2" s="38">
        <v>1100</v>
      </c>
      <c r="P2" s="40">
        <f>O2/D2</f>
        <v>0.85539873245460551</v>
      </c>
      <c r="Q2" s="38">
        <v>12.25</v>
      </c>
      <c r="R2" s="38">
        <v>30.81</v>
      </c>
      <c r="S2" s="38">
        <v>107058</v>
      </c>
      <c r="T2" s="38">
        <v>1</v>
      </c>
      <c r="U2" s="38">
        <f t="shared" ref="U2:U5" si="1">Q2*N2*T2</f>
        <v>8575</v>
      </c>
      <c r="V2" s="38">
        <f t="shared" ref="V2:V7" si="2">S2*T2</f>
        <v>107058</v>
      </c>
      <c r="W2" s="38">
        <f t="shared" ref="W2:W6" si="3">N2*O2*T2</f>
        <v>770000</v>
      </c>
      <c r="X2" s="40">
        <f t="shared" ref="X2:X6" si="4">Q2*N2/S2</f>
        <v>8.009676997515365E-2</v>
      </c>
      <c r="Y2" s="38">
        <f t="shared" ref="Y2:Y6" ca="1" si="5">YEARFRAC($A$1,M2)</f>
        <v>0.1</v>
      </c>
      <c r="Z2" s="38">
        <f ca="1">M2-$A$1</f>
        <v>36</v>
      </c>
      <c r="AA2" s="40">
        <f t="shared" ref="AA2:AA3" ca="1" si="6">X2/Y2</f>
        <v>0.80096769975153648</v>
      </c>
      <c r="AB2" s="38"/>
      <c r="AG2" t="s">
        <v>157</v>
      </c>
      <c r="AK2" t="s">
        <v>110</v>
      </c>
      <c r="AL2" s="47">
        <v>17387.650000000001</v>
      </c>
      <c r="AM2" s="47">
        <v>17532.7</v>
      </c>
      <c r="AN2" s="47">
        <v>17386.900000000001</v>
      </c>
      <c r="AO2" s="47">
        <v>17523.900000000001</v>
      </c>
      <c r="AP2">
        <v>143.9</v>
      </c>
      <c r="AQ2">
        <v>0.83</v>
      </c>
      <c r="AR2" s="47">
        <v>3347.65</v>
      </c>
      <c r="AS2" s="47">
        <v>20873.57</v>
      </c>
      <c r="AT2" s="47">
        <v>17438.55</v>
      </c>
      <c r="AU2" s="47">
        <v>10790.2</v>
      </c>
      <c r="AV2">
        <v>53.18</v>
      </c>
      <c r="AW2">
        <v>5.8</v>
      </c>
      <c r="AX2">
        <v>5.15</v>
      </c>
    </row>
    <row r="3" spans="1:52">
      <c r="A3" s="43"/>
      <c r="B3" t="s">
        <v>423</v>
      </c>
      <c r="C3" t="s">
        <v>622</v>
      </c>
      <c r="D3">
        <f t="shared" ref="D3:D5" si="7">mrigxl_stockquote(B3)</f>
        <v>235.8</v>
      </c>
      <c r="E3" t="s">
        <v>605</v>
      </c>
      <c r="F3">
        <v>260</v>
      </c>
      <c r="I3">
        <f t="shared" ref="I3:I7" si="8">$D3*(1+I$1)</f>
        <v>212.22000000000003</v>
      </c>
      <c r="J3">
        <f t="shared" si="0"/>
        <v>200.43</v>
      </c>
      <c r="K3">
        <f t="shared" si="0"/>
        <v>259.38000000000005</v>
      </c>
      <c r="L3">
        <f t="shared" si="0"/>
        <v>271.17</v>
      </c>
      <c r="M3" s="42">
        <v>44497</v>
      </c>
      <c r="N3" s="38">
        <f>VLOOKUP(TRIM($B3),Lots!$B:$E,2,0)</f>
        <v>3200</v>
      </c>
      <c r="O3" s="38">
        <v>190</v>
      </c>
      <c r="P3" s="40">
        <f t="shared" ref="P3:P7" si="9">O3/D3</f>
        <v>0.80576759966072942</v>
      </c>
      <c r="Q3" s="38">
        <v>0.7</v>
      </c>
      <c r="R3" s="38">
        <v>21.96</v>
      </c>
      <c r="S3" s="38">
        <v>88434</v>
      </c>
      <c r="T3" s="38">
        <v>1</v>
      </c>
      <c r="U3" s="38">
        <f t="shared" si="1"/>
        <v>2240</v>
      </c>
      <c r="V3" s="38">
        <f t="shared" si="2"/>
        <v>88434</v>
      </c>
      <c r="W3" s="38">
        <f t="shared" si="3"/>
        <v>608000</v>
      </c>
      <c r="X3" s="40">
        <f t="shared" si="4"/>
        <v>2.5329624352624557E-2</v>
      </c>
      <c r="Y3" s="38">
        <f t="shared" ca="1" si="5"/>
        <v>0.1</v>
      </c>
      <c r="Z3" s="38">
        <f t="shared" ref="Z3:Z6" ca="1" si="10">M3-$A$1</f>
        <v>36</v>
      </c>
      <c r="AA3" s="40">
        <f t="shared" ca="1" si="6"/>
        <v>0.25329624352624552</v>
      </c>
      <c r="AB3" s="38"/>
      <c r="AG3" t="s">
        <v>158</v>
      </c>
      <c r="AK3" t="s">
        <v>438</v>
      </c>
      <c r="AL3" s="47">
        <v>116</v>
      </c>
      <c r="AM3" s="47">
        <v>123.75</v>
      </c>
      <c r="AN3" s="47">
        <v>116</v>
      </c>
      <c r="AO3" s="47">
        <v>123.65</v>
      </c>
      <c r="AP3">
        <v>7.75</v>
      </c>
      <c r="AQ3">
        <v>6.69</v>
      </c>
      <c r="AR3">
        <v>412.77</v>
      </c>
      <c r="AS3" s="47">
        <v>502.79</v>
      </c>
      <c r="AT3" s="47">
        <v>123.75</v>
      </c>
      <c r="AU3" s="47">
        <v>78.099999999999994</v>
      </c>
      <c r="AV3">
        <v>36.1</v>
      </c>
      <c r="AW3">
        <v>4.04</v>
      </c>
      <c r="AX3">
        <v>-1.99</v>
      </c>
      <c r="AZ3" t="str">
        <f>"'"&amp;AK3&amp;"',"</f>
        <v>'NTPC',</v>
      </c>
    </row>
    <row r="4" spans="1:52">
      <c r="A4" s="43"/>
      <c r="B4" s="37" t="s">
        <v>123</v>
      </c>
      <c r="C4" s="37" t="s">
        <v>611</v>
      </c>
      <c r="D4" s="37">
        <f t="shared" si="7"/>
        <v>153.9</v>
      </c>
      <c r="E4" s="37" t="s">
        <v>617</v>
      </c>
      <c r="F4" s="37">
        <v>177</v>
      </c>
      <c r="G4" s="72" t="s">
        <v>609</v>
      </c>
      <c r="H4" s="73" t="s">
        <v>610</v>
      </c>
      <c r="I4" s="37">
        <f t="shared" si="8"/>
        <v>138.51000000000002</v>
      </c>
      <c r="J4" s="37">
        <f t="shared" si="0"/>
        <v>130.815</v>
      </c>
      <c r="K4" s="37">
        <f t="shared" si="0"/>
        <v>169.29000000000002</v>
      </c>
      <c r="L4" s="37">
        <f t="shared" si="0"/>
        <v>176.98499999999999</v>
      </c>
      <c r="M4" s="50">
        <v>44497</v>
      </c>
      <c r="N4" s="51">
        <f>VLOOKUP(TRIM($B4),Lots!$B:$E,2,0)</f>
        <v>4200</v>
      </c>
      <c r="O4" s="51">
        <v>130</v>
      </c>
      <c r="P4" s="52">
        <f t="shared" si="9"/>
        <v>0.84470435347628325</v>
      </c>
      <c r="Q4" s="51">
        <v>1</v>
      </c>
      <c r="R4" s="51">
        <v>28.39</v>
      </c>
      <c r="S4" s="51">
        <v>86689</v>
      </c>
      <c r="T4" s="51">
        <v>1</v>
      </c>
      <c r="U4" s="51">
        <f t="shared" si="1"/>
        <v>4200</v>
      </c>
      <c r="V4" s="51">
        <f t="shared" si="2"/>
        <v>86689</v>
      </c>
      <c r="W4" s="51">
        <f t="shared" si="3"/>
        <v>546000</v>
      </c>
      <c r="X4" s="52">
        <f t="shared" si="4"/>
        <v>4.8449053513133153E-2</v>
      </c>
      <c r="Y4" s="51">
        <f t="shared" ca="1" si="5"/>
        <v>0.1</v>
      </c>
      <c r="Z4" s="51">
        <f t="shared" ca="1" si="10"/>
        <v>36</v>
      </c>
      <c r="AA4" s="52">
        <f ca="1">X4/Y4</f>
        <v>0.4844905351313315</v>
      </c>
      <c r="AB4" s="38"/>
      <c r="AG4" t="s">
        <v>159</v>
      </c>
      <c r="AK4" t="s">
        <v>215</v>
      </c>
      <c r="AL4">
        <v>697</v>
      </c>
      <c r="AM4">
        <v>734.95</v>
      </c>
      <c r="AN4">
        <v>696.15</v>
      </c>
      <c r="AO4">
        <v>725.55</v>
      </c>
      <c r="AP4">
        <v>31.35</v>
      </c>
      <c r="AQ4">
        <v>4.5199999999999996</v>
      </c>
      <c r="AR4">
        <v>509.11</v>
      </c>
      <c r="AS4">
        <v>3669.19</v>
      </c>
      <c r="AT4">
        <v>734.95</v>
      </c>
      <c r="AU4">
        <v>394</v>
      </c>
      <c r="AV4">
        <v>53.04</v>
      </c>
      <c r="AW4">
        <v>14.43</v>
      </c>
      <c r="AX4">
        <v>8.9700000000000006</v>
      </c>
      <c r="AZ4" t="str">
        <f>AZ3&amp;"'"&amp;AK4&amp;"',"</f>
        <v>'NTPC','BHARTIARTL',</v>
      </c>
    </row>
    <row r="5" spans="1:52">
      <c r="A5" s="43"/>
      <c r="B5" s="37" t="s">
        <v>155</v>
      </c>
      <c r="C5" s="37" t="s">
        <v>623</v>
      </c>
      <c r="D5" s="37">
        <f t="shared" si="7"/>
        <v>662.65</v>
      </c>
      <c r="E5" s="37" t="s">
        <v>616</v>
      </c>
      <c r="F5" s="37"/>
      <c r="G5" s="37" t="s">
        <v>614</v>
      </c>
      <c r="H5" s="37" t="s">
        <v>615</v>
      </c>
      <c r="I5" s="37">
        <f t="shared" si="8"/>
        <v>596.38499999999999</v>
      </c>
      <c r="J5" s="37">
        <f t="shared" si="0"/>
        <v>563.25249999999994</v>
      </c>
      <c r="K5" s="37">
        <f t="shared" si="0"/>
        <v>728.91500000000008</v>
      </c>
      <c r="L5" s="37">
        <f t="shared" si="0"/>
        <v>762.0474999999999</v>
      </c>
      <c r="M5" s="50">
        <v>44497</v>
      </c>
      <c r="N5" s="51">
        <f>VLOOKUP(TRIM($B5),Lots!$B:$E,2,0)</f>
        <v>1350</v>
      </c>
      <c r="O5" s="51">
        <v>600</v>
      </c>
      <c r="P5" s="52">
        <f t="shared" si="9"/>
        <v>0.90545536859578968</v>
      </c>
      <c r="Q5" s="51">
        <v>7.9</v>
      </c>
      <c r="R5" s="51">
        <v>39.409999999999997</v>
      </c>
      <c r="S5" s="51">
        <v>145115</v>
      </c>
      <c r="T5" s="51">
        <v>1</v>
      </c>
      <c r="U5" s="51">
        <f t="shared" si="1"/>
        <v>10665</v>
      </c>
      <c r="V5" s="51">
        <f t="shared" si="2"/>
        <v>145115</v>
      </c>
      <c r="W5" s="51">
        <f t="shared" si="3"/>
        <v>810000</v>
      </c>
      <c r="X5" s="52">
        <f t="shared" si="4"/>
        <v>7.3493436240223267E-2</v>
      </c>
      <c r="Y5" s="51">
        <f t="shared" ca="1" si="5"/>
        <v>0.1</v>
      </c>
      <c r="Z5" s="51">
        <f t="shared" ca="1" si="10"/>
        <v>36</v>
      </c>
      <c r="AA5" s="52">
        <f t="shared" ref="AA5:AA6" ca="1" si="11">X5/Y5</f>
        <v>0.73493436240223264</v>
      </c>
      <c r="AB5" s="38"/>
      <c r="AK5" t="s">
        <v>123</v>
      </c>
      <c r="AL5">
        <v>155.5</v>
      </c>
      <c r="AM5">
        <v>162.25</v>
      </c>
      <c r="AN5">
        <v>154.25</v>
      </c>
      <c r="AO5">
        <v>161.25</v>
      </c>
      <c r="AP5">
        <v>6.55</v>
      </c>
      <c r="AQ5">
        <v>4.2300000000000004</v>
      </c>
      <c r="AR5">
        <v>221.03</v>
      </c>
      <c r="AS5">
        <v>351.45</v>
      </c>
      <c r="AT5">
        <v>165</v>
      </c>
      <c r="AU5">
        <v>109.55</v>
      </c>
      <c r="AV5">
        <v>29.05</v>
      </c>
      <c r="AW5">
        <v>13.56</v>
      </c>
      <c r="AX5">
        <v>7.62</v>
      </c>
      <c r="AZ5" t="str">
        <f t="shared" ref="AZ5:AZ52" si="12">AZ4&amp;"'"&amp;AK5&amp;"',"</f>
        <v>'NTPC','BHARTIARTL','COALINDIA',</v>
      </c>
    </row>
    <row r="6" spans="1:52">
      <c r="A6" s="43"/>
      <c r="B6" s="37" t="s">
        <v>146</v>
      </c>
      <c r="C6" s="53" t="s">
        <v>621</v>
      </c>
      <c r="D6" s="37">
        <f>mrigxl_stockquote(B6)</f>
        <v>4840.8</v>
      </c>
      <c r="E6" s="37" t="s">
        <v>618</v>
      </c>
      <c r="F6" s="37"/>
      <c r="G6" s="37" t="s">
        <v>619</v>
      </c>
      <c r="H6" s="37" t="s">
        <v>620</v>
      </c>
      <c r="I6" s="37">
        <f t="shared" si="8"/>
        <v>4356.72</v>
      </c>
      <c r="J6" s="37">
        <f t="shared" si="0"/>
        <v>4114.68</v>
      </c>
      <c r="K6" s="37">
        <f t="shared" si="0"/>
        <v>5324.880000000001</v>
      </c>
      <c r="L6" s="37">
        <f t="shared" si="0"/>
        <v>5566.92</v>
      </c>
      <c r="M6" s="50">
        <v>44497</v>
      </c>
      <c r="N6" s="51">
        <f>VLOOKUP(TRIM($B6),Lots!$B:$E,2,0)</f>
        <v>125</v>
      </c>
      <c r="O6" s="51">
        <v>4400</v>
      </c>
      <c r="P6" s="52">
        <f t="shared" si="9"/>
        <v>0.90894067096347708</v>
      </c>
      <c r="Q6" s="51">
        <v>63</v>
      </c>
      <c r="R6" s="51">
        <v>29.34</v>
      </c>
      <c r="S6" s="51">
        <v>76077</v>
      </c>
      <c r="T6" s="51">
        <v>1</v>
      </c>
      <c r="U6" s="51">
        <f>Q6*N6*T6</f>
        <v>7875</v>
      </c>
      <c r="V6" s="51">
        <f t="shared" si="2"/>
        <v>76077</v>
      </c>
      <c r="W6" s="51">
        <f t="shared" si="3"/>
        <v>550000</v>
      </c>
      <c r="X6" s="52">
        <f t="shared" si="4"/>
        <v>0.10351354548680941</v>
      </c>
      <c r="Y6" s="51">
        <f t="shared" ca="1" si="5"/>
        <v>0.1</v>
      </c>
      <c r="Z6" s="51">
        <f t="shared" ca="1" si="10"/>
        <v>36</v>
      </c>
      <c r="AA6" s="52">
        <f t="shared" ca="1" si="11"/>
        <v>1.035135454868094</v>
      </c>
      <c r="AB6" s="38"/>
      <c r="AG6" t="s">
        <v>160</v>
      </c>
      <c r="AK6" t="s">
        <v>439</v>
      </c>
      <c r="AL6" s="47">
        <v>124.25</v>
      </c>
      <c r="AM6" s="47">
        <v>130.69999999999999</v>
      </c>
      <c r="AN6" s="47">
        <v>124.25</v>
      </c>
      <c r="AO6" s="47">
        <v>128.94999999999999</v>
      </c>
      <c r="AP6">
        <v>5</v>
      </c>
      <c r="AQ6">
        <v>4.03</v>
      </c>
      <c r="AR6">
        <v>385.54</v>
      </c>
      <c r="AS6">
        <v>496.84</v>
      </c>
      <c r="AT6" s="47">
        <v>130.69999999999999</v>
      </c>
      <c r="AU6" s="47">
        <v>64.099999999999994</v>
      </c>
      <c r="AV6">
        <v>75.08</v>
      </c>
      <c r="AW6">
        <v>11.65</v>
      </c>
      <c r="AX6">
        <v>6.76</v>
      </c>
      <c r="AZ6" t="str">
        <f t="shared" si="12"/>
        <v>'NTPC','BHARTIARTL','COALINDIA','ONGC',</v>
      </c>
    </row>
    <row r="7" spans="1:52">
      <c r="A7" s="43"/>
      <c r="B7" s="37" t="s">
        <v>146</v>
      </c>
      <c r="C7" s="53" t="s">
        <v>621</v>
      </c>
      <c r="D7" s="37">
        <f>mrigxl_stockquote(B7)</f>
        <v>4840.8</v>
      </c>
      <c r="E7" s="37" t="s">
        <v>618</v>
      </c>
      <c r="F7" s="37"/>
      <c r="G7" s="37" t="s">
        <v>619</v>
      </c>
      <c r="H7" s="37" t="s">
        <v>620</v>
      </c>
      <c r="I7" s="75">
        <f t="shared" si="8"/>
        <v>4356.72</v>
      </c>
      <c r="J7" s="75">
        <f t="shared" si="0"/>
        <v>4114.68</v>
      </c>
      <c r="K7" s="75">
        <f t="shared" si="0"/>
        <v>5324.880000000001</v>
      </c>
      <c r="L7" s="75">
        <f t="shared" si="0"/>
        <v>5566.92</v>
      </c>
      <c r="M7" s="50">
        <v>44469</v>
      </c>
      <c r="N7" s="51">
        <f>VLOOKUP(TRIM($B7),Lots!$B:$E,2,0)</f>
        <v>125</v>
      </c>
      <c r="O7" s="51">
        <v>4650</v>
      </c>
      <c r="P7" s="52">
        <f t="shared" si="9"/>
        <v>0.96058502726822004</v>
      </c>
      <c r="Q7" s="51">
        <v>32.65</v>
      </c>
      <c r="R7" s="51">
        <v>29.34</v>
      </c>
      <c r="S7" s="51">
        <v>82682.720000000001</v>
      </c>
      <c r="T7" s="51">
        <v>1</v>
      </c>
      <c r="U7" s="51">
        <f>Q7*N7*T7</f>
        <v>4081.25</v>
      </c>
      <c r="V7" s="51">
        <f t="shared" si="2"/>
        <v>82682.720000000001</v>
      </c>
      <c r="W7" s="51">
        <f t="shared" ref="W7" si="13">N7*O7*T7</f>
        <v>581250</v>
      </c>
      <c r="X7" s="52">
        <f t="shared" ref="X7" si="14">Q7*N7/S7</f>
        <v>4.9360374211201569E-2</v>
      </c>
      <c r="Y7" s="51">
        <f t="shared" ref="Y7" ca="1" si="15">YEARFRAC($A$1,M7)</f>
        <v>2.2222222222222223E-2</v>
      </c>
      <c r="Z7" s="51">
        <f t="shared" ref="Z7" ca="1" si="16">M7-$A$1</f>
        <v>8</v>
      </c>
      <c r="AA7" s="52">
        <f t="shared" ref="AA7" ca="1" si="17">X7/Y7</f>
        <v>2.2212168395040703</v>
      </c>
      <c r="AB7" s="38"/>
      <c r="AG7" t="s">
        <v>161</v>
      </c>
      <c r="AK7" t="s">
        <v>446</v>
      </c>
      <c r="AL7" s="47">
        <v>2060</v>
      </c>
      <c r="AM7" s="47">
        <v>2133</v>
      </c>
      <c r="AN7" s="47">
        <v>2060</v>
      </c>
      <c r="AO7" s="47">
        <v>2123</v>
      </c>
      <c r="AP7">
        <v>67.3</v>
      </c>
      <c r="AQ7">
        <v>3.27</v>
      </c>
      <c r="AR7">
        <v>25.33</v>
      </c>
      <c r="AS7">
        <v>535.33000000000004</v>
      </c>
      <c r="AT7" s="47">
        <v>2133</v>
      </c>
      <c r="AU7" s="47">
        <v>1076</v>
      </c>
      <c r="AV7">
        <v>78.7</v>
      </c>
      <c r="AW7">
        <v>15.56</v>
      </c>
      <c r="AX7">
        <v>11.85</v>
      </c>
      <c r="AZ7" t="str">
        <f t="shared" si="12"/>
        <v>'NTPC','BHARTIARTL','COALINDIA','ONGC','TITAN',</v>
      </c>
    </row>
    <row r="8" spans="1:52">
      <c r="A8" s="43"/>
      <c r="I8" s="8"/>
      <c r="J8" s="8"/>
      <c r="K8" s="8"/>
      <c r="L8" s="8"/>
      <c r="M8" s="8"/>
      <c r="N8" s="38"/>
      <c r="O8" s="38"/>
      <c r="P8" s="38"/>
      <c r="Q8" s="38"/>
      <c r="R8" s="38"/>
      <c r="S8" s="38"/>
      <c r="T8" s="38"/>
      <c r="U8" s="38"/>
      <c r="V8" s="38"/>
      <c r="W8" s="38"/>
      <c r="Y8" s="38"/>
      <c r="Z8" s="38"/>
      <c r="AB8" s="38"/>
      <c r="AG8" t="s">
        <v>162</v>
      </c>
      <c r="AK8" t="s">
        <v>414</v>
      </c>
      <c r="AL8" s="47">
        <v>1238.6500000000001</v>
      </c>
      <c r="AM8" s="47">
        <v>1288.95</v>
      </c>
      <c r="AN8" s="47">
        <v>1230.25</v>
      </c>
      <c r="AO8" s="47">
        <v>1274.9000000000001</v>
      </c>
      <c r="AP8">
        <v>36.25</v>
      </c>
      <c r="AQ8">
        <v>2.93</v>
      </c>
      <c r="AR8">
        <v>54.11</v>
      </c>
      <c r="AS8">
        <v>683.43</v>
      </c>
      <c r="AT8" s="47">
        <v>1288.95</v>
      </c>
      <c r="AU8" s="47">
        <v>744.15</v>
      </c>
      <c r="AV8">
        <v>60.37</v>
      </c>
      <c r="AW8">
        <v>13.46</v>
      </c>
      <c r="AX8">
        <v>10.65</v>
      </c>
      <c r="AZ8" t="str">
        <f t="shared" si="12"/>
        <v>'NTPC','BHARTIARTL','COALINDIA','ONGC','TITAN','HCLTECH',</v>
      </c>
    </row>
    <row r="9" spans="1:52">
      <c r="A9" s="43"/>
      <c r="I9" s="8"/>
      <c r="J9" s="8"/>
      <c r="K9" s="8"/>
      <c r="L9" s="8"/>
      <c r="M9" s="8"/>
      <c r="N9" s="38"/>
      <c r="O9" s="38"/>
      <c r="P9" s="38"/>
      <c r="Q9" s="38"/>
      <c r="R9" s="38"/>
      <c r="S9" s="38"/>
      <c r="T9" s="38"/>
      <c r="U9" s="38"/>
      <c r="V9" s="38"/>
      <c r="W9" s="38"/>
      <c r="Y9" s="38"/>
      <c r="Z9" s="38"/>
      <c r="AB9" s="38"/>
      <c r="AK9" t="s">
        <v>130</v>
      </c>
      <c r="AL9">
        <v>433</v>
      </c>
      <c r="AM9">
        <v>444.9</v>
      </c>
      <c r="AN9">
        <v>431.45</v>
      </c>
      <c r="AO9">
        <v>444.5</v>
      </c>
      <c r="AP9">
        <v>11.5</v>
      </c>
      <c r="AQ9">
        <v>2.66</v>
      </c>
      <c r="AR9">
        <v>181.99</v>
      </c>
      <c r="AS9">
        <v>797.97</v>
      </c>
      <c r="AT9">
        <v>467.45</v>
      </c>
      <c r="AU9">
        <v>175.5</v>
      </c>
      <c r="AV9">
        <v>123.93</v>
      </c>
      <c r="AW9">
        <v>4.63</v>
      </c>
      <c r="AX9">
        <v>0.42</v>
      </c>
      <c r="AZ9" t="str">
        <f t="shared" si="12"/>
        <v>'NTPC','BHARTIARTL','COALINDIA','ONGC','TITAN','HCLTECH','SBIN',</v>
      </c>
    </row>
    <row r="10" spans="1:52">
      <c r="A10" s="43"/>
      <c r="I10" s="8"/>
      <c r="J10" s="8"/>
      <c r="K10" s="8"/>
      <c r="L10" s="8"/>
      <c r="M10" s="8"/>
      <c r="N10" s="38"/>
      <c r="O10" s="38"/>
      <c r="P10" s="38"/>
      <c r="Q10" s="38"/>
      <c r="R10" s="38"/>
      <c r="S10" s="38"/>
      <c r="T10" s="38"/>
      <c r="U10" s="38"/>
      <c r="V10" s="38"/>
      <c r="W10" s="38"/>
      <c r="Y10" s="38"/>
      <c r="Z10" s="38"/>
      <c r="AB10" s="38"/>
      <c r="AG10" t="s">
        <v>163</v>
      </c>
      <c r="AK10" t="s">
        <v>411</v>
      </c>
      <c r="AL10" s="47">
        <v>174</v>
      </c>
      <c r="AM10" s="47">
        <v>179</v>
      </c>
      <c r="AN10" s="47">
        <v>173.75</v>
      </c>
      <c r="AO10" s="47">
        <v>177.95</v>
      </c>
      <c r="AP10">
        <v>3.85</v>
      </c>
      <c r="AQ10">
        <v>2.21</v>
      </c>
      <c r="AR10">
        <v>126.27</v>
      </c>
      <c r="AS10">
        <v>224.16</v>
      </c>
      <c r="AT10" s="47">
        <v>188.63</v>
      </c>
      <c r="AU10" s="47">
        <v>115.95</v>
      </c>
      <c r="AV10">
        <v>3.76</v>
      </c>
      <c r="AW10">
        <v>-1.52</v>
      </c>
      <c r="AX10">
        <v>-5.76</v>
      </c>
      <c r="AZ10" t="str">
        <f t="shared" si="12"/>
        <v>'NTPC','BHARTIARTL','COALINDIA','ONGC','TITAN','HCLTECH','SBIN','POWERGRID',</v>
      </c>
    </row>
    <row r="11" spans="1:52">
      <c r="A11" s="43"/>
      <c r="I11" s="8"/>
      <c r="J11" s="8"/>
      <c r="K11" s="8"/>
      <c r="L11" s="8"/>
      <c r="M11" s="8"/>
      <c r="N11" s="38"/>
      <c r="O11" s="38"/>
      <c r="P11" s="38"/>
      <c r="Q11" s="38"/>
      <c r="R11" s="38"/>
      <c r="S11" s="38"/>
      <c r="T11" s="38"/>
      <c r="U11" s="38"/>
      <c r="V11" s="38"/>
      <c r="W11" s="38"/>
      <c r="Y11" s="38"/>
      <c r="Z11" s="38"/>
      <c r="AB11" s="38"/>
      <c r="AC11" s="46"/>
      <c r="AK11" t="s">
        <v>127</v>
      </c>
      <c r="AL11" s="47">
        <v>1036</v>
      </c>
      <c r="AM11" s="47">
        <v>1059.8</v>
      </c>
      <c r="AN11" s="47">
        <v>1027.5</v>
      </c>
      <c r="AO11" s="47">
        <v>1057.45</v>
      </c>
      <c r="AP11">
        <v>20.85</v>
      </c>
      <c r="AQ11">
        <v>2.0099999999999998</v>
      </c>
      <c r="AR11">
        <v>52.97</v>
      </c>
      <c r="AS11">
        <v>552.9</v>
      </c>
      <c r="AT11" s="47">
        <v>1119.5</v>
      </c>
      <c r="AU11" s="47">
        <v>485</v>
      </c>
      <c r="AV11">
        <v>73.540000000000006</v>
      </c>
      <c r="AW11">
        <v>3.77</v>
      </c>
      <c r="AX11">
        <v>1.22</v>
      </c>
      <c r="AZ11" t="str">
        <f t="shared" si="12"/>
        <v>'NTPC','BHARTIARTL','COALINDIA','ONGC','TITAN','HCLTECH','SBIN','POWERGRID','INDUSINDBK',</v>
      </c>
    </row>
    <row r="12" spans="1:52">
      <c r="A12" s="43"/>
      <c r="I12" s="8"/>
      <c r="J12" s="8"/>
      <c r="K12" s="8"/>
      <c r="L12" s="8"/>
      <c r="M12" s="8"/>
      <c r="N12" s="38"/>
      <c r="O12" s="38"/>
      <c r="P12" s="38"/>
      <c r="Q12" s="38"/>
      <c r="R12" s="38"/>
      <c r="S12" s="38"/>
      <c r="T12" s="38"/>
      <c r="U12" s="38"/>
      <c r="V12" s="38"/>
      <c r="W12" s="38"/>
      <c r="Y12" s="38"/>
      <c r="Z12" s="38"/>
      <c r="AB12" s="38"/>
      <c r="AC12" s="46"/>
      <c r="AG12" t="s">
        <v>164</v>
      </c>
      <c r="AK12" t="s">
        <v>311</v>
      </c>
      <c r="AL12" s="47">
        <v>306.10000000000002</v>
      </c>
      <c r="AM12" s="47">
        <v>312.45</v>
      </c>
      <c r="AN12" s="47">
        <v>306.10000000000002</v>
      </c>
      <c r="AO12" s="47">
        <v>312.2</v>
      </c>
      <c r="AP12">
        <v>6.1</v>
      </c>
      <c r="AQ12">
        <v>1.99</v>
      </c>
      <c r="AR12">
        <v>211.6</v>
      </c>
      <c r="AS12">
        <v>653.37</v>
      </c>
      <c r="AT12" s="47">
        <v>360.75</v>
      </c>
      <c r="AU12" s="47">
        <v>122.15</v>
      </c>
      <c r="AV12">
        <v>110.16</v>
      </c>
      <c r="AW12">
        <v>2.8</v>
      </c>
      <c r="AX12">
        <v>-0.37</v>
      </c>
      <c r="AZ12" t="str">
        <f t="shared" si="12"/>
        <v>'NTPC','BHARTIARTL','COALINDIA','ONGC','TITAN','HCLTECH','SBIN','POWERGRID','INDUSINDBK','TATAMOTORS',</v>
      </c>
    </row>
    <row r="13" spans="1:52">
      <c r="A13" s="43"/>
      <c r="I13" s="8"/>
      <c r="J13" s="8"/>
      <c r="K13" s="8"/>
      <c r="L13" s="8"/>
      <c r="M13" s="8"/>
      <c r="N13" s="38"/>
      <c r="O13" s="38"/>
      <c r="P13" s="38"/>
      <c r="Q13" s="38"/>
      <c r="R13" s="38"/>
      <c r="S13" s="38"/>
      <c r="T13" s="38"/>
      <c r="U13" s="38"/>
      <c r="V13" s="38"/>
      <c r="W13" s="38"/>
      <c r="Y13" s="38"/>
      <c r="Z13" s="38"/>
      <c r="AB13" s="38"/>
      <c r="AC13" s="46"/>
      <c r="AG13" t="s">
        <v>165</v>
      </c>
      <c r="AK13" t="s">
        <v>112</v>
      </c>
      <c r="AL13" s="47">
        <v>3882.1</v>
      </c>
      <c r="AM13" s="47">
        <v>3980</v>
      </c>
      <c r="AN13" s="47">
        <v>3866</v>
      </c>
      <c r="AO13" s="47">
        <v>3950</v>
      </c>
      <c r="AP13">
        <v>64.099999999999994</v>
      </c>
      <c r="AQ13">
        <v>1.65</v>
      </c>
      <c r="AR13">
        <v>21.45</v>
      </c>
      <c r="AS13" s="47">
        <v>842.22</v>
      </c>
      <c r="AT13" s="47">
        <v>3980</v>
      </c>
      <c r="AU13">
        <v>2302.6</v>
      </c>
      <c r="AV13">
        <v>58.55</v>
      </c>
      <c r="AW13">
        <v>13.74</v>
      </c>
      <c r="AX13">
        <v>12.2</v>
      </c>
      <c r="AZ13" t="str">
        <f t="shared" si="12"/>
        <v>'NTPC','BHARTIARTL','COALINDIA','ONGC','TITAN','HCLTECH','SBIN','POWERGRID','INDUSINDBK','TATAMOTORS','TCS',</v>
      </c>
    </row>
    <row r="14" spans="1:52">
      <c r="A14" s="43"/>
      <c r="I14" s="8"/>
      <c r="J14" s="8"/>
      <c r="K14" s="8"/>
      <c r="L14" s="8"/>
      <c r="M14" s="8"/>
      <c r="N14" s="38"/>
      <c r="O14" s="38"/>
      <c r="P14" s="38"/>
      <c r="Q14" s="38"/>
      <c r="R14" s="38"/>
      <c r="S14" s="38"/>
      <c r="T14" s="38"/>
      <c r="U14" s="38"/>
      <c r="V14" s="38"/>
      <c r="W14" s="38"/>
      <c r="Y14" s="38"/>
      <c r="Z14" s="38"/>
      <c r="AB14" s="38"/>
      <c r="AC14" s="46"/>
      <c r="AG14" t="s">
        <v>166</v>
      </c>
      <c r="AK14" t="s">
        <v>115</v>
      </c>
      <c r="AL14" s="47">
        <v>478.2</v>
      </c>
      <c r="AM14" s="47">
        <v>487.4</v>
      </c>
      <c r="AN14" s="47">
        <v>474.35</v>
      </c>
      <c r="AO14" s="47">
        <v>485.45</v>
      </c>
      <c r="AP14">
        <v>7.5</v>
      </c>
      <c r="AQ14">
        <v>1.57</v>
      </c>
      <c r="AR14">
        <v>110.68</v>
      </c>
      <c r="AS14">
        <v>532.1</v>
      </c>
      <c r="AT14" s="47">
        <v>487.4</v>
      </c>
      <c r="AU14" s="47">
        <v>154.4</v>
      </c>
      <c r="AV14">
        <v>176.14</v>
      </c>
      <c r="AW14">
        <v>9.89</v>
      </c>
      <c r="AX14">
        <v>8.1199999999999992</v>
      </c>
      <c r="AZ14" t="str">
        <f t="shared" si="12"/>
        <v>'NTPC','BHARTIARTL','COALINDIA','ONGC','TITAN','HCLTECH','SBIN','POWERGRID','INDUSINDBK','TATAMOTORS','TCS','HINDALCO',</v>
      </c>
    </row>
    <row r="15" spans="1:52">
      <c r="A15" s="43"/>
      <c r="I15" s="8"/>
      <c r="J15" s="8"/>
      <c r="K15" s="8"/>
      <c r="L15" s="8"/>
      <c r="M15" s="8"/>
      <c r="N15" s="38"/>
      <c r="O15" s="38"/>
      <c r="P15" s="38"/>
      <c r="Q15" s="38"/>
      <c r="R15" s="38"/>
      <c r="S15" s="38"/>
      <c r="T15" s="38"/>
      <c r="U15" s="38"/>
      <c r="V15" s="38"/>
      <c r="W15" s="38"/>
      <c r="Y15" s="38"/>
      <c r="Z15" s="38"/>
      <c r="AB15" s="38"/>
      <c r="AC15" s="46"/>
      <c r="AG15" t="s">
        <v>167</v>
      </c>
      <c r="AK15" t="s">
        <v>184</v>
      </c>
      <c r="AL15" s="47">
        <v>758.55</v>
      </c>
      <c r="AM15" s="47">
        <v>769.8</v>
      </c>
      <c r="AN15" s="47">
        <v>753.6</v>
      </c>
      <c r="AO15" s="47">
        <v>766.75</v>
      </c>
      <c r="AP15">
        <v>11.35</v>
      </c>
      <c r="AQ15">
        <v>1.5</v>
      </c>
      <c r="AR15">
        <v>60.95</v>
      </c>
      <c r="AS15">
        <v>465.02</v>
      </c>
      <c r="AT15" s="47">
        <v>901</v>
      </c>
      <c r="AU15" s="47">
        <v>312.10000000000002</v>
      </c>
      <c r="AV15">
        <v>118.04</v>
      </c>
      <c r="AW15">
        <v>8.4700000000000006</v>
      </c>
      <c r="AX15">
        <v>7.28</v>
      </c>
      <c r="AZ15" t="str">
        <f t="shared" si="12"/>
        <v>'NTPC','BHARTIARTL','COALINDIA','ONGC','TITAN','HCLTECH','SBIN','POWERGRID','INDUSINDBK','TATAMOTORS','TCS','HINDALCO','ADANIPORTS',</v>
      </c>
    </row>
    <row r="16" spans="1:52">
      <c r="A16" s="43"/>
      <c r="I16" s="8"/>
      <c r="J16" s="8"/>
      <c r="K16" s="8"/>
      <c r="L16" s="8"/>
      <c r="M16" s="8"/>
      <c r="N16" s="38"/>
      <c r="O16" s="38"/>
      <c r="P16" s="38"/>
      <c r="Q16" s="38"/>
      <c r="R16" s="38"/>
      <c r="S16" s="38"/>
      <c r="T16" s="38"/>
      <c r="U16" s="38"/>
      <c r="V16" s="38"/>
      <c r="W16" s="38"/>
      <c r="Y16" s="38"/>
      <c r="Z16" s="38"/>
      <c r="AB16" s="38"/>
      <c r="AC16" s="46"/>
      <c r="AG16" t="s">
        <v>168</v>
      </c>
      <c r="AK16" t="s">
        <v>116</v>
      </c>
      <c r="AL16">
        <v>1693.25</v>
      </c>
      <c r="AM16">
        <v>1715.1</v>
      </c>
      <c r="AN16">
        <v>1690.2</v>
      </c>
      <c r="AO16">
        <v>1710.6</v>
      </c>
      <c r="AP16">
        <v>24.45</v>
      </c>
      <c r="AQ16">
        <v>1.45</v>
      </c>
      <c r="AR16">
        <v>34.69</v>
      </c>
      <c r="AS16">
        <v>591.04999999999995</v>
      </c>
      <c r="AT16">
        <v>1757</v>
      </c>
      <c r="AU16">
        <v>948.3</v>
      </c>
      <c r="AV16">
        <v>74.84</v>
      </c>
      <c r="AW16">
        <v>0.36</v>
      </c>
      <c r="AX16">
        <v>-1.52</v>
      </c>
      <c r="AZ16" t="str">
        <f t="shared" si="12"/>
        <v>'NTPC','BHARTIARTL','COALINDIA','ONGC','TITAN','HCLTECH','SBIN','POWERGRID','INDUSINDBK','TATAMOTORS','TCS','HINDALCO','ADANIPORTS','INFY',</v>
      </c>
    </row>
    <row r="17" spans="1:52">
      <c r="A17">
        <v>1</v>
      </c>
      <c r="B17" t="s">
        <v>154</v>
      </c>
      <c r="D17">
        <f>mrigxl_stockquote(B17)</f>
        <v>1494.3</v>
      </c>
      <c r="I17">
        <f>$D17*(1+I$1)</f>
        <v>1344.87</v>
      </c>
      <c r="J17">
        <f t="shared" ref="J17:L36" si="18">$D17*(1+J$1)</f>
        <v>1270.155</v>
      </c>
      <c r="K17">
        <f t="shared" si="18"/>
        <v>1643.73</v>
      </c>
      <c r="L17">
        <f t="shared" si="18"/>
        <v>1718.4449999999997</v>
      </c>
      <c r="M17" s="42">
        <v>44497</v>
      </c>
      <c r="N17" s="38">
        <f>VLOOKUP(TRIM($B17),Lots!$B:$E,2,0)</f>
        <v>750</v>
      </c>
      <c r="O17" s="38"/>
      <c r="P17" s="38"/>
      <c r="Q17" s="38"/>
      <c r="R17" s="38"/>
      <c r="S17" s="38">
        <v>-1</v>
      </c>
      <c r="T17" s="38">
        <v>0</v>
      </c>
      <c r="U17" s="38">
        <f t="shared" ref="U17:U36" si="19">Q17*N17*T17</f>
        <v>0</v>
      </c>
      <c r="V17" s="38">
        <f t="shared" ref="V17:V36" si="20">S17*T17</f>
        <v>0</v>
      </c>
      <c r="W17" s="38">
        <f t="shared" ref="W17:W36" si="21">N17*O17*T17</f>
        <v>0</v>
      </c>
      <c r="X17" s="40">
        <f t="shared" ref="X17:X36" si="22">Q17*N17/S17</f>
        <v>0</v>
      </c>
      <c r="Y17" s="38">
        <f t="shared" ref="Y17:Y37" ca="1" si="23">YEARFRAC($A$1,M17)</f>
        <v>0.1</v>
      </c>
      <c r="Z17" s="38">
        <f ca="1">M17-$A$1</f>
        <v>36</v>
      </c>
      <c r="AA17" s="40">
        <f t="shared" ref="AA17:AA22" ca="1" si="24">X17/Y17</f>
        <v>0</v>
      </c>
      <c r="AC17" s="46"/>
      <c r="AG17" t="s">
        <v>169</v>
      </c>
      <c r="AK17" t="s">
        <v>483</v>
      </c>
      <c r="AL17" s="47">
        <v>756.8</v>
      </c>
      <c r="AM17" s="47">
        <v>763.6</v>
      </c>
      <c r="AN17" s="47">
        <v>752.6</v>
      </c>
      <c r="AO17" s="47">
        <v>762.5</v>
      </c>
      <c r="AP17">
        <v>10</v>
      </c>
      <c r="AQ17">
        <v>1.33</v>
      </c>
      <c r="AR17">
        <v>9.49</v>
      </c>
      <c r="AS17">
        <v>71.790000000000006</v>
      </c>
      <c r="AT17" s="47">
        <v>864.7</v>
      </c>
      <c r="AU17" s="47">
        <v>399</v>
      </c>
      <c r="AV17">
        <v>47.8</v>
      </c>
      <c r="AW17">
        <v>-1.33</v>
      </c>
      <c r="AX17">
        <v>-3.41</v>
      </c>
      <c r="AZ17" t="str">
        <f t="shared" si="12"/>
        <v>'NTPC','BHARTIARTL','COALINDIA','ONGC','TITAN','HCLTECH','SBIN','POWERGRID','INDUSINDBK','TATAMOTORS','TCS','HINDALCO','ADANIPORTS','INFY','UPL',</v>
      </c>
    </row>
    <row r="18" spans="1:52">
      <c r="A18">
        <v>2</v>
      </c>
      <c r="B18" t="s">
        <v>155</v>
      </c>
      <c r="D18">
        <v>686</v>
      </c>
      <c r="G18" t="s">
        <v>614</v>
      </c>
      <c r="H18" t="s">
        <v>615</v>
      </c>
      <c r="I18">
        <f t="shared" ref="I18:I36" si="25">$D18*(1+I$1)</f>
        <v>617.4</v>
      </c>
      <c r="J18">
        <f t="shared" si="18"/>
        <v>583.1</v>
      </c>
      <c r="K18">
        <f t="shared" si="18"/>
        <v>754.6</v>
      </c>
      <c r="L18">
        <f t="shared" si="18"/>
        <v>788.9</v>
      </c>
      <c r="M18" s="42">
        <v>44497</v>
      </c>
      <c r="N18" s="38">
        <f>VLOOKUP(TRIM($B18),Lots!$B:$E,2,0)</f>
        <v>1350</v>
      </c>
      <c r="O18" s="38">
        <v>600</v>
      </c>
      <c r="P18" s="38"/>
      <c r="Q18" s="38">
        <v>7.9</v>
      </c>
      <c r="R18" s="38">
        <v>39.409999999999997</v>
      </c>
      <c r="S18" s="38">
        <v>144763</v>
      </c>
      <c r="T18" s="38">
        <v>1</v>
      </c>
      <c r="U18" s="38">
        <f t="shared" si="19"/>
        <v>10665</v>
      </c>
      <c r="V18" s="38">
        <f t="shared" si="20"/>
        <v>144763</v>
      </c>
      <c r="W18" s="38">
        <f t="shared" si="21"/>
        <v>810000</v>
      </c>
      <c r="X18" s="40">
        <f t="shared" si="22"/>
        <v>7.3672139980519885E-2</v>
      </c>
      <c r="Y18" s="38">
        <f t="shared" ca="1" si="23"/>
        <v>0.1</v>
      </c>
      <c r="Z18" s="38">
        <f t="shared" ref="Z18:Z58" ca="1" si="26">M18-$A$1</f>
        <v>36</v>
      </c>
      <c r="AA18" s="44">
        <f t="shared" ca="1" si="24"/>
        <v>0.7367213998051988</v>
      </c>
      <c r="AC18" s="46"/>
      <c r="AG18" t="s">
        <v>170</v>
      </c>
      <c r="AK18" t="s">
        <v>426</v>
      </c>
      <c r="AL18" s="47">
        <v>1700</v>
      </c>
      <c r="AM18" s="47">
        <v>1724.6</v>
      </c>
      <c r="AN18" s="47">
        <v>1697</v>
      </c>
      <c r="AO18" s="47">
        <v>1718.1</v>
      </c>
      <c r="AP18">
        <v>21.65</v>
      </c>
      <c r="AQ18">
        <v>1.28</v>
      </c>
      <c r="AR18">
        <v>24.19</v>
      </c>
      <c r="AS18">
        <v>414.79</v>
      </c>
      <c r="AT18" s="47">
        <v>1724.6</v>
      </c>
      <c r="AU18">
        <v>843</v>
      </c>
      <c r="AV18">
        <v>90.46</v>
      </c>
      <c r="AW18">
        <v>3.74</v>
      </c>
      <c r="AX18">
        <v>1.68</v>
      </c>
      <c r="AZ18" t="str">
        <f t="shared" si="12"/>
        <v>'NTPC','BHARTIARTL','COALINDIA','ONGC','TITAN','HCLTECH','SBIN','POWERGRID','INDUSINDBK','TATAMOTORS','TCS','HINDALCO','ADANIPORTS','INFY','UPL','LT',</v>
      </c>
    </row>
    <row r="19" spans="1:52">
      <c r="A19">
        <v>3</v>
      </c>
      <c r="B19" s="37" t="s">
        <v>146</v>
      </c>
      <c r="C19" s="53"/>
      <c r="D19" s="37">
        <v>4903.8999999999996</v>
      </c>
      <c r="E19" s="37"/>
      <c r="F19" s="37"/>
      <c r="G19" s="37"/>
      <c r="H19" s="37"/>
      <c r="I19" s="37">
        <f t="shared" si="25"/>
        <v>4413.51</v>
      </c>
      <c r="J19" s="37">
        <f t="shared" si="18"/>
        <v>4168.3149999999996</v>
      </c>
      <c r="K19" s="37">
        <f t="shared" si="18"/>
        <v>5394.29</v>
      </c>
      <c r="L19" s="37">
        <f t="shared" si="18"/>
        <v>5639.4849999999988</v>
      </c>
      <c r="M19" s="50">
        <v>44497</v>
      </c>
      <c r="N19" s="51">
        <f>VLOOKUP(TRIM($B19),Lots!$B:$E,2,0)</f>
        <v>125</v>
      </c>
      <c r="O19" s="51">
        <v>4400</v>
      </c>
      <c r="P19" s="51"/>
      <c r="Q19" s="51">
        <v>40</v>
      </c>
      <c r="R19" s="51">
        <v>0</v>
      </c>
      <c r="S19" s="51">
        <v>75855</v>
      </c>
      <c r="T19" s="51">
        <v>1</v>
      </c>
      <c r="U19" s="51">
        <f t="shared" si="19"/>
        <v>5000</v>
      </c>
      <c r="V19" s="51">
        <f t="shared" si="20"/>
        <v>75855</v>
      </c>
      <c r="W19" s="51">
        <f t="shared" si="21"/>
        <v>550000</v>
      </c>
      <c r="X19" s="52">
        <f t="shared" si="22"/>
        <v>6.5915233010348698E-2</v>
      </c>
      <c r="Y19" s="51">
        <f t="shared" ca="1" si="23"/>
        <v>0.1</v>
      </c>
      <c r="Z19" s="51">
        <f t="shared" ca="1" si="26"/>
        <v>36</v>
      </c>
      <c r="AA19" s="52">
        <f t="shared" ca="1" si="24"/>
        <v>0.65915233010348695</v>
      </c>
      <c r="AC19" s="46"/>
      <c r="AK19" t="s">
        <v>448</v>
      </c>
      <c r="AL19">
        <v>5122.95</v>
      </c>
      <c r="AM19">
        <v>5152.5</v>
      </c>
      <c r="AN19">
        <v>5090.1000000000004</v>
      </c>
      <c r="AO19">
        <v>5147.8999999999996</v>
      </c>
      <c r="AP19">
        <v>53.05</v>
      </c>
      <c r="AQ19">
        <v>1.04</v>
      </c>
      <c r="AR19">
        <v>2.79</v>
      </c>
      <c r="AS19">
        <v>142.76</v>
      </c>
      <c r="AT19">
        <v>5271.65</v>
      </c>
      <c r="AU19">
        <v>2985</v>
      </c>
      <c r="AV19">
        <v>62.66</v>
      </c>
      <c r="AW19">
        <v>5.08</v>
      </c>
      <c r="AX19">
        <v>2.95</v>
      </c>
      <c r="AZ19" t="str">
        <f t="shared" si="12"/>
        <v>'NTPC','BHARTIARTL','COALINDIA','ONGC','TITAN','HCLTECH','SBIN','POWERGRID','INDUSINDBK','TATAMOTORS','TCS','HINDALCO','ADANIPORTS','INFY','UPL','LT','DIVISLAB',</v>
      </c>
    </row>
    <row r="20" spans="1:52">
      <c r="A20">
        <v>4</v>
      </c>
      <c r="B20" t="s">
        <v>120</v>
      </c>
      <c r="D20">
        <v>800.6</v>
      </c>
      <c r="I20">
        <f t="shared" si="25"/>
        <v>720.54000000000008</v>
      </c>
      <c r="J20">
        <f t="shared" si="18"/>
        <v>680.51</v>
      </c>
      <c r="K20">
        <f t="shared" si="18"/>
        <v>880.66000000000008</v>
      </c>
      <c r="L20">
        <f t="shared" si="18"/>
        <v>920.68999999999994</v>
      </c>
      <c r="M20" s="42">
        <v>44497</v>
      </c>
      <c r="N20" s="38">
        <f>VLOOKUP(TRIM($B20),Lots!$B:$E,2,0)</f>
        <v>1200</v>
      </c>
      <c r="O20" s="38"/>
      <c r="P20" s="38"/>
      <c r="Q20" s="38"/>
      <c r="R20" s="38"/>
      <c r="S20" s="38">
        <v>-1</v>
      </c>
      <c r="T20" s="38">
        <v>0</v>
      </c>
      <c r="U20" s="38">
        <f t="shared" si="19"/>
        <v>0</v>
      </c>
      <c r="V20" s="38">
        <f t="shared" si="20"/>
        <v>0</v>
      </c>
      <c r="W20" s="38">
        <f t="shared" si="21"/>
        <v>0</v>
      </c>
      <c r="X20" s="40">
        <f t="shared" si="22"/>
        <v>0</v>
      </c>
      <c r="Y20" s="38">
        <f t="shared" ca="1" si="23"/>
        <v>0.1</v>
      </c>
      <c r="Z20" s="38">
        <f t="shared" ca="1" si="26"/>
        <v>36</v>
      </c>
      <c r="AA20" s="40">
        <f t="shared" ca="1" si="24"/>
        <v>0</v>
      </c>
      <c r="AC20" s="46"/>
      <c r="AK20" t="s">
        <v>124</v>
      </c>
      <c r="AL20" s="47">
        <v>707.1</v>
      </c>
      <c r="AM20" s="47">
        <v>716</v>
      </c>
      <c r="AN20" s="47">
        <v>706.3</v>
      </c>
      <c r="AO20" s="47">
        <v>714.3</v>
      </c>
      <c r="AP20">
        <v>6.85</v>
      </c>
      <c r="AQ20">
        <v>0.97</v>
      </c>
      <c r="AR20">
        <v>49.54</v>
      </c>
      <c r="AS20">
        <v>351.82</v>
      </c>
      <c r="AT20" s="47">
        <v>734.8</v>
      </c>
      <c r="AU20">
        <v>333.75</v>
      </c>
      <c r="AV20">
        <v>96.4</v>
      </c>
      <c r="AW20">
        <v>1.66</v>
      </c>
      <c r="AX20">
        <v>2.87</v>
      </c>
      <c r="AZ20" t="str">
        <f t="shared" si="12"/>
        <v>'NTPC','BHARTIARTL','COALINDIA','ONGC','TITAN','HCLTECH','SBIN','POWERGRID','INDUSINDBK','TATAMOTORS','TCS','HINDALCO','ADANIPORTS','INFY','UPL','LT','DIVISLAB','ICICIBANK',</v>
      </c>
    </row>
    <row r="21" spans="1:52">
      <c r="A21">
        <v>5</v>
      </c>
      <c r="B21" t="s">
        <v>149</v>
      </c>
      <c r="D21">
        <v>981.65</v>
      </c>
      <c r="I21">
        <f t="shared" si="25"/>
        <v>883.48500000000001</v>
      </c>
      <c r="J21">
        <f t="shared" si="18"/>
        <v>834.40249999999992</v>
      </c>
      <c r="K21">
        <f t="shared" si="18"/>
        <v>1079.8150000000001</v>
      </c>
      <c r="L21">
        <f t="shared" si="18"/>
        <v>1128.8974999999998</v>
      </c>
      <c r="M21" s="42">
        <v>44497</v>
      </c>
      <c r="N21" s="38">
        <f>VLOOKUP(TRIM($B21),Lots!$B:$E,2,0)</f>
        <v>850</v>
      </c>
      <c r="O21" s="38">
        <v>860</v>
      </c>
      <c r="P21" s="38"/>
      <c r="Q21" s="38">
        <v>5</v>
      </c>
      <c r="R21" s="38">
        <v>0</v>
      </c>
      <c r="S21" s="38">
        <v>116757</v>
      </c>
      <c r="T21" s="38">
        <v>1</v>
      </c>
      <c r="U21" s="38">
        <f t="shared" si="19"/>
        <v>4250</v>
      </c>
      <c r="V21" s="38">
        <f t="shared" si="20"/>
        <v>116757</v>
      </c>
      <c r="W21" s="38">
        <f t="shared" si="21"/>
        <v>731000</v>
      </c>
      <c r="X21" s="40">
        <f t="shared" si="22"/>
        <v>3.6400387128823111E-2</v>
      </c>
      <c r="Y21" s="38">
        <f t="shared" ca="1" si="23"/>
        <v>0.1</v>
      </c>
      <c r="Z21" s="38">
        <f t="shared" ca="1" si="26"/>
        <v>36</v>
      </c>
      <c r="AA21" s="40">
        <f t="shared" ca="1" si="24"/>
        <v>0.36400387128823108</v>
      </c>
      <c r="AC21" s="46"/>
      <c r="AK21" t="s">
        <v>247</v>
      </c>
      <c r="AL21" s="47">
        <v>2860</v>
      </c>
      <c r="AM21" s="47">
        <v>2885</v>
      </c>
      <c r="AN21" s="47">
        <v>2860</v>
      </c>
      <c r="AO21" s="47">
        <v>2878.7</v>
      </c>
      <c r="AP21">
        <v>27</v>
      </c>
      <c r="AQ21">
        <v>0.95</v>
      </c>
      <c r="AR21">
        <v>5.9</v>
      </c>
      <c r="AS21">
        <v>169.82</v>
      </c>
      <c r="AT21" s="47">
        <v>3629.05</v>
      </c>
      <c r="AU21" s="47">
        <v>2636</v>
      </c>
      <c r="AV21">
        <v>-4.95</v>
      </c>
      <c r="AW21">
        <v>4.78</v>
      </c>
      <c r="AX21">
        <v>0.38</v>
      </c>
      <c r="AZ21" t="str">
        <f t="shared" si="12"/>
        <v>'NTPC','BHARTIARTL','COALINDIA','ONGC','TITAN','HCLTECH','SBIN','POWERGRID','INDUSINDBK','TATAMOTORS','TCS','HINDALCO','ADANIPORTS','INFY','UPL','LT','DIVISLAB','ICICIBANK','HEROMOTOCO',</v>
      </c>
    </row>
    <row r="22" spans="1:52">
      <c r="A22">
        <v>6</v>
      </c>
      <c r="B22" t="s">
        <v>145</v>
      </c>
      <c r="D22">
        <v>344.8</v>
      </c>
      <c r="I22">
        <f t="shared" si="25"/>
        <v>310.32</v>
      </c>
      <c r="J22">
        <f t="shared" si="18"/>
        <v>293.08</v>
      </c>
      <c r="K22">
        <f t="shared" si="18"/>
        <v>379.28000000000003</v>
      </c>
      <c r="L22">
        <f t="shared" si="18"/>
        <v>396.52</v>
      </c>
      <c r="M22" s="42">
        <v>44497</v>
      </c>
      <c r="N22" s="38">
        <f>VLOOKUP(TRIM($B22),Lots!$B:$E,2,0)</f>
        <v>3300</v>
      </c>
      <c r="O22" s="38">
        <v>300</v>
      </c>
      <c r="P22" s="38"/>
      <c r="Q22" s="38">
        <v>4.9000000000000004</v>
      </c>
      <c r="R22" s="38">
        <v>41.23</v>
      </c>
      <c r="S22" s="38">
        <v>200077</v>
      </c>
      <c r="T22" s="38">
        <v>1</v>
      </c>
      <c r="U22" s="38">
        <f t="shared" si="19"/>
        <v>16170.000000000002</v>
      </c>
      <c r="V22" s="38">
        <f t="shared" si="20"/>
        <v>200077</v>
      </c>
      <c r="W22" s="38">
        <f t="shared" si="21"/>
        <v>990000</v>
      </c>
      <c r="X22" s="40">
        <f t="shared" si="22"/>
        <v>8.0818884729379203E-2</v>
      </c>
      <c r="Y22" s="38">
        <f t="shared" ca="1" si="23"/>
        <v>0.1</v>
      </c>
      <c r="Z22" s="38">
        <f t="shared" ca="1" si="26"/>
        <v>36</v>
      </c>
      <c r="AA22" s="44">
        <f t="shared" ca="1" si="24"/>
        <v>0.80818884729379203</v>
      </c>
      <c r="AC22" s="46"/>
      <c r="AK22" t="s">
        <v>401</v>
      </c>
      <c r="AL22">
        <v>115.45</v>
      </c>
      <c r="AM22">
        <v>116.75</v>
      </c>
      <c r="AN22">
        <v>115.2</v>
      </c>
      <c r="AO22">
        <v>116.25</v>
      </c>
      <c r="AP22">
        <v>1</v>
      </c>
      <c r="AQ22">
        <v>0.87</v>
      </c>
      <c r="AR22">
        <v>103.24</v>
      </c>
      <c r="AS22">
        <v>119.97</v>
      </c>
      <c r="AT22">
        <v>117.85</v>
      </c>
      <c r="AU22">
        <v>71.650000000000006</v>
      </c>
      <c r="AV22">
        <v>40.57</v>
      </c>
      <c r="AW22">
        <v>8.44</v>
      </c>
      <c r="AX22">
        <v>10.130000000000001</v>
      </c>
      <c r="AZ22" t="str">
        <f t="shared" si="12"/>
        <v>'NTPC','BHARTIARTL','COALINDIA','ONGC','TITAN','HCLTECH','SBIN','POWERGRID','INDUSINDBK','TATAMOTORS','TCS','HINDALCO','ADANIPORTS','INFY','UPL','LT','DIVISLAB','ICICIBANK','HEROMOTOCO','IOC',</v>
      </c>
    </row>
    <row r="23" spans="1:52">
      <c r="A23">
        <v>7</v>
      </c>
      <c r="B23" s="37" t="s">
        <v>123</v>
      </c>
      <c r="C23" s="37"/>
      <c r="D23" s="37">
        <v>146.1</v>
      </c>
      <c r="E23" s="37"/>
      <c r="F23" s="37"/>
      <c r="G23" s="37"/>
      <c r="H23" s="37"/>
      <c r="I23" s="37">
        <f t="shared" si="25"/>
        <v>131.49</v>
      </c>
      <c r="J23" s="37">
        <f t="shared" si="18"/>
        <v>124.18499999999999</v>
      </c>
      <c r="K23" s="37">
        <f t="shared" si="18"/>
        <v>160.71</v>
      </c>
      <c r="L23" s="37">
        <f t="shared" si="18"/>
        <v>168.01499999999999</v>
      </c>
      <c r="M23" s="50">
        <v>44497</v>
      </c>
      <c r="N23" s="51">
        <f>VLOOKUP(TRIM($B23),Lots!$B:$E,2,0)</f>
        <v>4200</v>
      </c>
      <c r="O23" s="51">
        <v>130</v>
      </c>
      <c r="P23" s="51"/>
      <c r="Q23" s="51">
        <v>1</v>
      </c>
      <c r="R23" s="51">
        <v>28.39</v>
      </c>
      <c r="S23" s="51">
        <v>86689</v>
      </c>
      <c r="T23" s="51">
        <v>1</v>
      </c>
      <c r="U23" s="51">
        <f t="shared" si="19"/>
        <v>4200</v>
      </c>
      <c r="V23" s="51">
        <f t="shared" si="20"/>
        <v>86689</v>
      </c>
      <c r="W23" s="51">
        <f t="shared" si="21"/>
        <v>546000</v>
      </c>
      <c r="X23" s="52">
        <f t="shared" si="22"/>
        <v>4.8449053513133153E-2</v>
      </c>
      <c r="Y23" s="51">
        <f t="shared" ca="1" si="23"/>
        <v>0.1</v>
      </c>
      <c r="Z23" s="51">
        <f t="shared" ca="1" si="26"/>
        <v>36</v>
      </c>
      <c r="AA23" s="52">
        <f ca="1">X23/Y23</f>
        <v>0.4844905351313315</v>
      </c>
      <c r="AK23" t="s">
        <v>416</v>
      </c>
      <c r="AL23" s="47">
        <v>740.9</v>
      </c>
      <c r="AM23" s="47">
        <v>752</v>
      </c>
      <c r="AN23" s="47">
        <v>740</v>
      </c>
      <c r="AO23" s="47">
        <v>745.05</v>
      </c>
      <c r="AP23">
        <v>5.85</v>
      </c>
      <c r="AQ23">
        <v>0.79</v>
      </c>
      <c r="AR23">
        <v>25.26</v>
      </c>
      <c r="AS23">
        <v>188.76</v>
      </c>
      <c r="AT23" s="47">
        <v>775.65</v>
      </c>
      <c r="AU23" s="47">
        <v>555.95000000000005</v>
      </c>
      <c r="AV23">
        <v>24.29</v>
      </c>
      <c r="AW23">
        <v>10.62</v>
      </c>
      <c r="AX23">
        <v>10.25</v>
      </c>
      <c r="AZ23" t="str">
        <f t="shared" si="12"/>
        <v>'NTPC','BHARTIARTL','COALINDIA','ONGC','TITAN','HCLTECH','SBIN','POWERGRID','INDUSINDBK','TATAMOTORS','TCS','HINDALCO','ADANIPORTS','INFY','UPL','LT','DIVISLAB','ICICIBANK','HEROMOTOCO','IOC','HDFCLIFE',</v>
      </c>
    </row>
    <row r="24" spans="1:52">
      <c r="A24">
        <v>8</v>
      </c>
      <c r="B24" t="s">
        <v>150</v>
      </c>
      <c r="D24">
        <v>4125</v>
      </c>
      <c r="I24">
        <f t="shared" si="25"/>
        <v>3712.5</v>
      </c>
      <c r="J24">
        <f t="shared" si="18"/>
        <v>3506.25</v>
      </c>
      <c r="K24">
        <f t="shared" si="18"/>
        <v>4537.5</v>
      </c>
      <c r="L24">
        <f t="shared" si="18"/>
        <v>4743.75</v>
      </c>
      <c r="M24" s="42">
        <v>44497</v>
      </c>
      <c r="N24" s="38">
        <f>VLOOKUP(TRIM($B24),Lots!$B:$E,2,0)</f>
        <v>225</v>
      </c>
      <c r="O24" s="38"/>
      <c r="P24" s="38"/>
      <c r="Q24" s="38"/>
      <c r="R24" s="38"/>
      <c r="S24" s="38">
        <v>133990</v>
      </c>
      <c r="T24" s="38">
        <v>0</v>
      </c>
      <c r="U24" s="38">
        <f t="shared" si="19"/>
        <v>0</v>
      </c>
      <c r="V24" s="38">
        <f t="shared" si="20"/>
        <v>0</v>
      </c>
      <c r="W24" s="38">
        <f t="shared" si="21"/>
        <v>0</v>
      </c>
      <c r="X24" s="40">
        <f t="shared" si="22"/>
        <v>0</v>
      </c>
      <c r="Y24" s="38">
        <f t="shared" ca="1" si="23"/>
        <v>0.1</v>
      </c>
      <c r="Z24" s="38">
        <f t="shared" ca="1" si="26"/>
        <v>36</v>
      </c>
      <c r="AA24" s="40">
        <f t="shared" ref="AA24:AA58" ca="1" si="27">X24/Y24</f>
        <v>0</v>
      </c>
      <c r="AC24" s="46"/>
      <c r="AK24" t="s">
        <v>430</v>
      </c>
      <c r="AL24" s="47">
        <v>1442.1</v>
      </c>
      <c r="AM24" s="47">
        <v>1480</v>
      </c>
      <c r="AN24" s="47">
        <v>1437.95</v>
      </c>
      <c r="AO24" s="47">
        <v>1462.95</v>
      </c>
      <c r="AP24">
        <v>10.9</v>
      </c>
      <c r="AQ24">
        <v>0.75</v>
      </c>
      <c r="AR24">
        <v>21.08</v>
      </c>
      <c r="AS24">
        <v>307.99</v>
      </c>
      <c r="AT24" s="47">
        <v>1480</v>
      </c>
      <c r="AU24">
        <v>747.55</v>
      </c>
      <c r="AV24">
        <v>85.01</v>
      </c>
      <c r="AW24">
        <v>6.95</v>
      </c>
      <c r="AX24">
        <v>4.9800000000000004</v>
      </c>
      <c r="AZ24" t="str">
        <f t="shared" si="12"/>
        <v>'NTPC','BHARTIARTL','COALINDIA','ONGC','TITAN','HCLTECH','SBIN','POWERGRID','INDUSINDBK','TATAMOTORS','TCS','HINDALCO','ADANIPORTS','INFY','UPL','LT','DIVISLAB','ICICIBANK','HEROMOTOCO','IOC','HDFCLIFE','TECHM',</v>
      </c>
    </row>
    <row r="25" spans="1:52">
      <c r="A25">
        <v>9</v>
      </c>
      <c r="B25" s="37" t="s">
        <v>125</v>
      </c>
      <c r="C25" s="37"/>
      <c r="D25" s="37">
        <v>1565</v>
      </c>
      <c r="E25" s="37"/>
      <c r="F25" s="37"/>
      <c r="G25" s="37"/>
      <c r="H25" s="37"/>
      <c r="I25" s="37">
        <f t="shared" si="25"/>
        <v>1408.5</v>
      </c>
      <c r="J25" s="37">
        <f t="shared" si="18"/>
        <v>1330.25</v>
      </c>
      <c r="K25" s="37">
        <f t="shared" si="18"/>
        <v>1721.5000000000002</v>
      </c>
      <c r="L25" s="37">
        <f t="shared" si="18"/>
        <v>1799.7499999999998</v>
      </c>
      <c r="M25" s="50">
        <v>44497</v>
      </c>
      <c r="N25" s="51">
        <f>VLOOKUP(TRIM($B25),Lots!$B:$E,2,0)</f>
        <v>550</v>
      </c>
      <c r="O25" s="51">
        <v>1400</v>
      </c>
      <c r="P25" s="51"/>
      <c r="Q25" s="51">
        <v>6.7</v>
      </c>
      <c r="R25" s="51">
        <v>26.31</v>
      </c>
      <c r="S25" s="51">
        <v>90873</v>
      </c>
      <c r="T25" s="51">
        <v>1</v>
      </c>
      <c r="U25" s="51">
        <f t="shared" si="19"/>
        <v>3685</v>
      </c>
      <c r="V25" s="51">
        <f t="shared" si="20"/>
        <v>90873</v>
      </c>
      <c r="W25" s="51">
        <f t="shared" si="21"/>
        <v>770000</v>
      </c>
      <c r="X25" s="52">
        <f t="shared" si="22"/>
        <v>4.0551098786218126E-2</v>
      </c>
      <c r="Y25" s="51">
        <f t="shared" ca="1" si="23"/>
        <v>0.1</v>
      </c>
      <c r="Z25" s="51">
        <f t="shared" ca="1" si="26"/>
        <v>36</v>
      </c>
      <c r="AA25" s="52">
        <f t="shared" ca="1" si="27"/>
        <v>0.40551098786218126</v>
      </c>
      <c r="AC25" s="46"/>
      <c r="AK25" t="s">
        <v>462</v>
      </c>
      <c r="AL25">
        <v>30770</v>
      </c>
      <c r="AM25">
        <v>31469.95</v>
      </c>
      <c r="AN25">
        <v>30650</v>
      </c>
      <c r="AO25">
        <v>30856.65</v>
      </c>
      <c r="AP25">
        <v>198.15</v>
      </c>
      <c r="AQ25">
        <v>0.65</v>
      </c>
      <c r="AR25">
        <v>0.66</v>
      </c>
      <c r="AS25">
        <v>204.28</v>
      </c>
      <c r="AT25">
        <v>32048</v>
      </c>
      <c r="AU25">
        <v>18183.55</v>
      </c>
      <c r="AV25">
        <v>55.92</v>
      </c>
      <c r="AW25">
        <v>18.78</v>
      </c>
      <c r="AX25">
        <v>15.26</v>
      </c>
      <c r="AZ25" t="str">
        <f t="shared" si="12"/>
        <v>'NTPC','BHARTIARTL','COALINDIA','ONGC','TITAN','HCLTECH','SBIN','POWERGRID','INDUSINDBK','TATAMOTORS','TCS','HINDALCO','ADANIPORTS','INFY','UPL','LT','DIVISLAB','ICICIBANK','HEROMOTOCO','IOC','HDFCLIFE','TECHM','SHREECEM',</v>
      </c>
    </row>
    <row r="26" spans="1:52">
      <c r="A26">
        <v>10</v>
      </c>
      <c r="B26" t="s">
        <v>147</v>
      </c>
      <c r="D26">
        <v>230.6</v>
      </c>
      <c r="I26">
        <f t="shared" si="25"/>
        <v>207.54</v>
      </c>
      <c r="J26">
        <f t="shared" si="18"/>
        <v>196.01</v>
      </c>
      <c r="K26">
        <f t="shared" si="18"/>
        <v>253.66000000000003</v>
      </c>
      <c r="L26">
        <f t="shared" si="18"/>
        <v>265.19</v>
      </c>
      <c r="M26" s="42">
        <v>44497</v>
      </c>
      <c r="N26" s="38">
        <f>VLOOKUP(TRIM($B26),Lots!$B:$E,2,0)</f>
        <v>3100</v>
      </c>
      <c r="O26" s="38">
        <v>200</v>
      </c>
      <c r="P26" s="38"/>
      <c r="Q26" s="38">
        <v>8</v>
      </c>
      <c r="R26" s="38">
        <v>0</v>
      </c>
      <c r="S26" s="38">
        <v>-1</v>
      </c>
      <c r="T26" s="38">
        <v>0</v>
      </c>
      <c r="U26" s="38">
        <f t="shared" si="19"/>
        <v>0</v>
      </c>
      <c r="V26" s="38">
        <f t="shared" si="20"/>
        <v>0</v>
      </c>
      <c r="W26" s="38">
        <f t="shared" si="21"/>
        <v>0</v>
      </c>
      <c r="X26" s="40">
        <f t="shared" si="22"/>
        <v>-24800</v>
      </c>
      <c r="Y26" s="38">
        <f t="shared" ca="1" si="23"/>
        <v>0.1</v>
      </c>
      <c r="Z26" s="38">
        <f t="shared" ca="1" si="26"/>
        <v>36</v>
      </c>
      <c r="AA26" s="40">
        <f t="shared" ca="1" si="27"/>
        <v>-248000</v>
      </c>
      <c r="AC26" s="46"/>
      <c r="AK26" t="s">
        <v>456</v>
      </c>
      <c r="AL26">
        <v>2820.3</v>
      </c>
      <c r="AM26">
        <v>2851.95</v>
      </c>
      <c r="AN26">
        <v>2801.2</v>
      </c>
      <c r="AO26">
        <v>2838.35</v>
      </c>
      <c r="AP26">
        <v>18.05</v>
      </c>
      <c r="AQ26">
        <v>0.64</v>
      </c>
      <c r="AR26">
        <v>3.47</v>
      </c>
      <c r="AS26">
        <v>97.82</v>
      </c>
      <c r="AT26">
        <v>3037</v>
      </c>
      <c r="AU26">
        <v>2015.2</v>
      </c>
      <c r="AV26">
        <v>31.44</v>
      </c>
      <c r="AW26">
        <v>13.72</v>
      </c>
      <c r="AX26">
        <v>-1.95</v>
      </c>
      <c r="AZ26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</v>
      </c>
    </row>
    <row r="27" spans="1:52">
      <c r="A27">
        <v>11</v>
      </c>
      <c r="B27" t="s">
        <v>126</v>
      </c>
      <c r="D27">
        <v>2780</v>
      </c>
      <c r="I27">
        <f t="shared" si="25"/>
        <v>2502</v>
      </c>
      <c r="J27">
        <f t="shared" si="18"/>
        <v>2363</v>
      </c>
      <c r="K27">
        <f t="shared" si="18"/>
        <v>3058.0000000000005</v>
      </c>
      <c r="L27">
        <f t="shared" si="18"/>
        <v>3196.9999999999995</v>
      </c>
      <c r="M27" s="42">
        <v>44497</v>
      </c>
      <c r="N27" s="38">
        <f>VLOOKUP(TRIM($B27),Lots!$B:$E,2,0)</f>
        <v>300</v>
      </c>
      <c r="O27" s="38"/>
      <c r="P27" s="38"/>
      <c r="Q27" s="38"/>
      <c r="R27" s="38"/>
      <c r="S27" s="38">
        <v>88722</v>
      </c>
      <c r="T27" s="38">
        <v>1</v>
      </c>
      <c r="U27" s="38">
        <f t="shared" si="19"/>
        <v>0</v>
      </c>
      <c r="V27" s="38">
        <f t="shared" si="20"/>
        <v>88722</v>
      </c>
      <c r="W27" s="38">
        <f t="shared" si="21"/>
        <v>0</v>
      </c>
      <c r="X27" s="40">
        <f t="shared" si="22"/>
        <v>0</v>
      </c>
      <c r="Y27" s="38">
        <f t="shared" ca="1" si="23"/>
        <v>0.1</v>
      </c>
      <c r="Z27" s="38">
        <f t="shared" ca="1" si="26"/>
        <v>36</v>
      </c>
      <c r="AA27" s="44">
        <f t="shared" ca="1" si="27"/>
        <v>0</v>
      </c>
      <c r="AC27" s="46"/>
      <c r="AK27" t="s">
        <v>205</v>
      </c>
      <c r="AL27" s="47">
        <v>3762.6</v>
      </c>
      <c r="AM27" s="47">
        <v>3801.6</v>
      </c>
      <c r="AN27" s="47">
        <v>3758.05</v>
      </c>
      <c r="AO27" s="47">
        <v>3773.5</v>
      </c>
      <c r="AP27">
        <v>22.45</v>
      </c>
      <c r="AQ27">
        <v>0.6</v>
      </c>
      <c r="AR27">
        <v>4.41</v>
      </c>
      <c r="AS27">
        <v>166.74</v>
      </c>
      <c r="AT27" s="47">
        <v>4361.3999999999996</v>
      </c>
      <c r="AU27">
        <v>2822.45</v>
      </c>
      <c r="AV27">
        <v>27.58</v>
      </c>
      <c r="AW27">
        <v>0.67</v>
      </c>
      <c r="AX27">
        <v>10.74</v>
      </c>
      <c r="AZ27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</v>
      </c>
    </row>
    <row r="28" spans="1:52">
      <c r="A28">
        <v>12</v>
      </c>
      <c r="B28" t="s">
        <v>124</v>
      </c>
      <c r="D28">
        <v>720.25</v>
      </c>
      <c r="I28">
        <f t="shared" si="25"/>
        <v>648.22500000000002</v>
      </c>
      <c r="J28">
        <f t="shared" si="18"/>
        <v>612.21249999999998</v>
      </c>
      <c r="K28">
        <f t="shared" si="18"/>
        <v>792.27500000000009</v>
      </c>
      <c r="L28">
        <f t="shared" si="18"/>
        <v>828.28749999999991</v>
      </c>
      <c r="M28" s="42">
        <v>44497</v>
      </c>
      <c r="N28" s="38">
        <f>VLOOKUP(TRIM($B28),Lots!$B:$E,2,0)</f>
        <v>1375</v>
      </c>
      <c r="O28" s="38">
        <v>650</v>
      </c>
      <c r="P28" s="38"/>
      <c r="Q28" s="38">
        <v>4.75</v>
      </c>
      <c r="R28" s="38">
        <v>0</v>
      </c>
      <c r="S28" s="38">
        <v>165812</v>
      </c>
      <c r="T28" s="38">
        <v>1</v>
      </c>
      <c r="U28" s="38">
        <f t="shared" si="19"/>
        <v>6531.25</v>
      </c>
      <c r="V28" s="38">
        <f t="shared" si="20"/>
        <v>165812</v>
      </c>
      <c r="W28" s="38">
        <f t="shared" si="21"/>
        <v>893750</v>
      </c>
      <c r="X28" s="40">
        <f t="shared" si="22"/>
        <v>3.9389489301136227E-2</v>
      </c>
      <c r="Y28" s="38">
        <f t="shared" ca="1" si="23"/>
        <v>0.1</v>
      </c>
      <c r="Z28" s="38">
        <f t="shared" ca="1" si="26"/>
        <v>36</v>
      </c>
      <c r="AA28" s="40">
        <f t="shared" ca="1" si="27"/>
        <v>0.39389489301136227</v>
      </c>
      <c r="AC28" s="46"/>
      <c r="AK28" t="s">
        <v>146</v>
      </c>
      <c r="AL28">
        <v>4937</v>
      </c>
      <c r="AM28">
        <v>4975</v>
      </c>
      <c r="AN28">
        <v>4918.8999999999996</v>
      </c>
      <c r="AO28">
        <v>4956.8999999999996</v>
      </c>
      <c r="AP28">
        <v>26.15</v>
      </c>
      <c r="AQ28">
        <v>0.53</v>
      </c>
      <c r="AR28">
        <v>2.4900000000000002</v>
      </c>
      <c r="AS28">
        <v>123.2</v>
      </c>
      <c r="AT28">
        <v>5614.6</v>
      </c>
      <c r="AU28">
        <v>4135</v>
      </c>
      <c r="AV28">
        <v>13.58</v>
      </c>
      <c r="AW28">
        <v>6.35</v>
      </c>
      <c r="AX28">
        <v>5.99</v>
      </c>
      <c r="AZ28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</v>
      </c>
    </row>
    <row r="29" spans="1:52">
      <c r="A29">
        <v>13</v>
      </c>
      <c r="B29" t="s">
        <v>151</v>
      </c>
      <c r="D29">
        <v>6040</v>
      </c>
      <c r="I29">
        <f t="shared" si="25"/>
        <v>5436</v>
      </c>
      <c r="J29">
        <f t="shared" si="18"/>
        <v>5134</v>
      </c>
      <c r="K29">
        <f t="shared" si="18"/>
        <v>6644.0000000000009</v>
      </c>
      <c r="L29">
        <f t="shared" si="18"/>
        <v>6945.9999999999991</v>
      </c>
      <c r="M29" s="42">
        <v>44497</v>
      </c>
      <c r="N29" s="38">
        <f>VLOOKUP(TRIM($B29),Lots!$B:$E,2,0)</f>
        <v>125</v>
      </c>
      <c r="O29" s="38"/>
      <c r="P29" s="38"/>
      <c r="Q29" s="38"/>
      <c r="R29" s="38"/>
      <c r="S29" s="38">
        <v>341637</v>
      </c>
      <c r="T29" s="38">
        <v>1</v>
      </c>
      <c r="U29" s="38">
        <f t="shared" si="19"/>
        <v>0</v>
      </c>
      <c r="V29" s="38">
        <f t="shared" si="20"/>
        <v>341637</v>
      </c>
      <c r="W29" s="38">
        <f t="shared" si="21"/>
        <v>0</v>
      </c>
      <c r="X29" s="40">
        <f t="shared" si="22"/>
        <v>0</v>
      </c>
      <c r="Y29" s="38">
        <f t="shared" ca="1" si="23"/>
        <v>0.1</v>
      </c>
      <c r="Z29" s="38">
        <f t="shared" ca="1" si="26"/>
        <v>36</v>
      </c>
      <c r="AA29" s="40">
        <f t="shared" ca="1" si="27"/>
        <v>0</v>
      </c>
      <c r="AC29" s="46"/>
      <c r="AK29" t="s">
        <v>472</v>
      </c>
      <c r="AL29" s="47">
        <v>752</v>
      </c>
      <c r="AM29" s="47">
        <v>760</v>
      </c>
      <c r="AN29" s="47">
        <v>746.5</v>
      </c>
      <c r="AO29" s="47">
        <v>754.15</v>
      </c>
      <c r="AP29">
        <v>3.95</v>
      </c>
      <c r="AQ29">
        <v>0.53</v>
      </c>
      <c r="AR29">
        <v>29.11</v>
      </c>
      <c r="AS29">
        <v>219.59</v>
      </c>
      <c r="AT29" s="47">
        <v>952.05</v>
      </c>
      <c r="AU29" s="47">
        <v>567.5</v>
      </c>
      <c r="AV29">
        <v>22.57</v>
      </c>
      <c r="AW29">
        <v>-5.65</v>
      </c>
      <c r="AX29">
        <v>4.46</v>
      </c>
      <c r="AZ29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</v>
      </c>
    </row>
    <row r="30" spans="1:52">
      <c r="A30">
        <v>14</v>
      </c>
      <c r="B30" t="s">
        <v>116</v>
      </c>
      <c r="D30">
        <v>1731.2</v>
      </c>
      <c r="I30">
        <f t="shared" si="25"/>
        <v>1558.0800000000002</v>
      </c>
      <c r="J30">
        <f t="shared" si="18"/>
        <v>1471.52</v>
      </c>
      <c r="K30">
        <f t="shared" si="18"/>
        <v>1904.3200000000002</v>
      </c>
      <c r="L30">
        <f t="shared" si="18"/>
        <v>1990.8799999999999</v>
      </c>
      <c r="M30" s="42">
        <v>44497</v>
      </c>
      <c r="N30" s="38">
        <f>VLOOKUP(TRIM($B30),Lots!$B:$E,2,0)</f>
        <v>600</v>
      </c>
      <c r="O30" s="38">
        <v>1500</v>
      </c>
      <c r="P30" s="38"/>
      <c r="Q30" s="38">
        <v>6.7</v>
      </c>
      <c r="R30" s="38">
        <v>26.77</v>
      </c>
      <c r="S30" s="38">
        <v>100187</v>
      </c>
      <c r="T30" s="38">
        <v>1</v>
      </c>
      <c r="U30" s="38">
        <f t="shared" si="19"/>
        <v>4020</v>
      </c>
      <c r="V30" s="38">
        <f t="shared" si="20"/>
        <v>100187</v>
      </c>
      <c r="W30" s="38">
        <f t="shared" si="21"/>
        <v>900000</v>
      </c>
      <c r="X30" s="40">
        <f t="shared" si="22"/>
        <v>4.0124966312994698E-2</v>
      </c>
      <c r="Y30" s="38">
        <f t="shared" ca="1" si="23"/>
        <v>0.1</v>
      </c>
      <c r="Z30" s="38">
        <f t="shared" ca="1" si="26"/>
        <v>36</v>
      </c>
      <c r="AA30" s="40">
        <f t="shared" ca="1" si="27"/>
        <v>0.40124966312994698</v>
      </c>
      <c r="AC30" s="46"/>
      <c r="AK30" t="s">
        <v>128</v>
      </c>
      <c r="AL30" s="47">
        <v>1874</v>
      </c>
      <c r="AM30" s="47">
        <v>1898.45</v>
      </c>
      <c r="AN30" s="47">
        <v>1858</v>
      </c>
      <c r="AO30" s="47">
        <v>1877.45</v>
      </c>
      <c r="AP30">
        <v>9.6999999999999993</v>
      </c>
      <c r="AQ30">
        <v>0.52</v>
      </c>
      <c r="AR30">
        <v>45.1</v>
      </c>
      <c r="AS30">
        <v>849.73</v>
      </c>
      <c r="AT30" s="47">
        <v>2049</v>
      </c>
      <c r="AU30" s="47">
        <v>1230.5999999999999</v>
      </c>
      <c r="AV30">
        <v>43.9</v>
      </c>
      <c r="AW30">
        <v>5.34</v>
      </c>
      <c r="AX30">
        <v>-3.65</v>
      </c>
      <c r="AZ30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</v>
      </c>
    </row>
    <row r="31" spans="1:52">
      <c r="A31">
        <v>15</v>
      </c>
      <c r="B31" t="s">
        <v>148</v>
      </c>
      <c r="C31" t="s">
        <v>493</v>
      </c>
      <c r="D31">
        <v>562</v>
      </c>
      <c r="I31">
        <f t="shared" si="25"/>
        <v>505.8</v>
      </c>
      <c r="J31">
        <f t="shared" si="18"/>
        <v>477.7</v>
      </c>
      <c r="K31">
        <f t="shared" si="18"/>
        <v>618.20000000000005</v>
      </c>
      <c r="L31">
        <f t="shared" si="18"/>
        <v>646.29999999999995</v>
      </c>
      <c r="M31" s="42">
        <v>44497</v>
      </c>
      <c r="N31" s="38">
        <f>VLOOKUP(TRIM($B31),Lots!$B:$E,2,0)</f>
        <v>1250</v>
      </c>
      <c r="O31" s="38">
        <v>450</v>
      </c>
      <c r="P31" s="38"/>
      <c r="Q31" s="38">
        <v>10</v>
      </c>
      <c r="R31" s="38">
        <v>0</v>
      </c>
      <c r="S31" s="38">
        <v>89342</v>
      </c>
      <c r="T31" s="38">
        <v>1</v>
      </c>
      <c r="U31" s="38">
        <f t="shared" si="19"/>
        <v>12500</v>
      </c>
      <c r="V31" s="38">
        <f t="shared" si="20"/>
        <v>89342</v>
      </c>
      <c r="W31" s="38">
        <f t="shared" si="21"/>
        <v>562500</v>
      </c>
      <c r="X31" s="40">
        <f t="shared" si="22"/>
        <v>0.13991179960153119</v>
      </c>
      <c r="Y31" s="38">
        <f t="shared" ca="1" si="23"/>
        <v>0.1</v>
      </c>
      <c r="Z31" s="38">
        <f t="shared" ca="1" si="26"/>
        <v>36</v>
      </c>
      <c r="AA31" s="44">
        <f t="shared" ca="1" si="27"/>
        <v>1.3991179960153117</v>
      </c>
      <c r="AC31" s="46"/>
      <c r="AK31" t="s">
        <v>155</v>
      </c>
      <c r="AL31">
        <v>697</v>
      </c>
      <c r="AM31">
        <v>698</v>
      </c>
      <c r="AN31">
        <v>687.05</v>
      </c>
      <c r="AO31">
        <v>696.7</v>
      </c>
      <c r="AP31">
        <v>3.05</v>
      </c>
      <c r="AQ31">
        <v>0.44</v>
      </c>
      <c r="AR31">
        <v>23.76</v>
      </c>
      <c r="AS31">
        <v>164.84</v>
      </c>
      <c r="AT31">
        <v>776.5</v>
      </c>
      <c r="AU31">
        <v>257.55</v>
      </c>
      <c r="AV31">
        <v>140.37</v>
      </c>
      <c r="AW31">
        <v>-8.5299999999999994</v>
      </c>
      <c r="AX31">
        <v>-7.4</v>
      </c>
      <c r="AZ31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</v>
      </c>
    </row>
    <row r="32" spans="1:52">
      <c r="A32">
        <v>16</v>
      </c>
      <c r="B32" t="s">
        <v>129</v>
      </c>
      <c r="D32">
        <v>1189</v>
      </c>
      <c r="I32">
        <f t="shared" si="25"/>
        <v>1070.1000000000001</v>
      </c>
      <c r="J32">
        <f t="shared" si="18"/>
        <v>1010.65</v>
      </c>
      <c r="K32">
        <f t="shared" si="18"/>
        <v>1307.9000000000001</v>
      </c>
      <c r="L32">
        <f t="shared" si="18"/>
        <v>1367.35</v>
      </c>
      <c r="M32" s="42">
        <v>44497</v>
      </c>
      <c r="N32" s="38">
        <f>VLOOKUP(TRIM($B32),Lots!$B:$E,2,0)</f>
        <v>600</v>
      </c>
      <c r="O32" s="38"/>
      <c r="P32" s="38"/>
      <c r="Q32" s="38"/>
      <c r="R32" s="38"/>
      <c r="S32" s="38">
        <v>-1</v>
      </c>
      <c r="T32" s="38">
        <v>1</v>
      </c>
      <c r="U32" s="38">
        <f t="shared" si="19"/>
        <v>0</v>
      </c>
      <c r="V32" s="38">
        <f t="shared" si="20"/>
        <v>-1</v>
      </c>
      <c r="W32" s="38">
        <f t="shared" si="21"/>
        <v>0</v>
      </c>
      <c r="X32" s="40">
        <f t="shared" si="22"/>
        <v>0</v>
      </c>
      <c r="Y32" s="38">
        <f t="shared" ca="1" si="23"/>
        <v>0.1</v>
      </c>
      <c r="Z32" s="38">
        <f t="shared" ca="1" si="26"/>
        <v>36</v>
      </c>
      <c r="AA32" s="40">
        <f t="shared" ca="1" si="27"/>
        <v>0</v>
      </c>
      <c r="AC32" s="46"/>
      <c r="AK32" t="s">
        <v>117</v>
      </c>
      <c r="AL32" s="47">
        <v>2368.5</v>
      </c>
      <c r="AM32" s="47">
        <v>2395.75</v>
      </c>
      <c r="AN32" s="47">
        <v>2368.5</v>
      </c>
      <c r="AO32" s="47">
        <v>2376.4499999999998</v>
      </c>
      <c r="AP32">
        <v>8</v>
      </c>
      <c r="AQ32">
        <v>0.34</v>
      </c>
      <c r="AR32">
        <v>33.58</v>
      </c>
      <c r="AS32">
        <v>799.47</v>
      </c>
      <c r="AT32" s="47">
        <v>2480</v>
      </c>
      <c r="AU32" s="47">
        <v>1830</v>
      </c>
      <c r="AV32">
        <v>3.21</v>
      </c>
      <c r="AW32">
        <v>9.34</v>
      </c>
      <c r="AX32">
        <v>10.38</v>
      </c>
      <c r="AZ32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</v>
      </c>
    </row>
    <row r="33" spans="1:52">
      <c r="A33">
        <v>17</v>
      </c>
      <c r="B33" t="s">
        <v>117</v>
      </c>
      <c r="D33">
        <v>2429</v>
      </c>
      <c r="I33">
        <f t="shared" si="25"/>
        <v>2186.1</v>
      </c>
      <c r="J33">
        <f t="shared" si="18"/>
        <v>2064.65</v>
      </c>
      <c r="K33">
        <f t="shared" si="18"/>
        <v>2671.9</v>
      </c>
      <c r="L33">
        <f t="shared" si="18"/>
        <v>2793.35</v>
      </c>
      <c r="M33" s="42">
        <v>44497</v>
      </c>
      <c r="N33" s="38">
        <f>VLOOKUP(TRIM($B33),Lots!$B:$E,2,0)</f>
        <v>250</v>
      </c>
      <c r="O33" s="38"/>
      <c r="P33" s="38"/>
      <c r="Q33" s="38"/>
      <c r="R33" s="38"/>
      <c r="S33" s="38">
        <v>74953</v>
      </c>
      <c r="T33" s="38">
        <v>1</v>
      </c>
      <c r="U33" s="38">
        <f t="shared" si="19"/>
        <v>0</v>
      </c>
      <c r="V33" s="38">
        <f t="shared" si="20"/>
        <v>74953</v>
      </c>
      <c r="W33" s="38">
        <f t="shared" si="21"/>
        <v>0</v>
      </c>
      <c r="X33" s="40">
        <f t="shared" si="22"/>
        <v>0</v>
      </c>
      <c r="Y33" s="38">
        <f t="shared" ca="1" si="23"/>
        <v>0.1</v>
      </c>
      <c r="Z33" s="38">
        <f t="shared" ca="1" si="26"/>
        <v>36</v>
      </c>
      <c r="AA33" s="44">
        <f t="shared" ca="1" si="27"/>
        <v>0</v>
      </c>
      <c r="AC33" s="46"/>
      <c r="AK33" t="s">
        <v>126</v>
      </c>
      <c r="AL33" s="47">
        <v>2774</v>
      </c>
      <c r="AM33" s="47">
        <v>2775.95</v>
      </c>
      <c r="AN33" s="47">
        <v>2749.05</v>
      </c>
      <c r="AO33" s="47">
        <v>2770.15</v>
      </c>
      <c r="AP33">
        <v>7.6</v>
      </c>
      <c r="AQ33">
        <v>0.28000000000000003</v>
      </c>
      <c r="AR33">
        <v>11.32</v>
      </c>
      <c r="AS33">
        <v>312.75</v>
      </c>
      <c r="AT33" s="47">
        <v>2825</v>
      </c>
      <c r="AU33">
        <v>2000.05</v>
      </c>
      <c r="AV33">
        <v>30.45</v>
      </c>
      <c r="AW33">
        <v>14.17</v>
      </c>
      <c r="AX33">
        <v>-0.64</v>
      </c>
      <c r="AZ33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</v>
      </c>
    </row>
    <row r="34" spans="1:52">
      <c r="A34">
        <v>18</v>
      </c>
      <c r="B34" s="37" t="s">
        <v>130</v>
      </c>
      <c r="C34" s="37"/>
      <c r="D34" s="37">
        <v>431</v>
      </c>
      <c r="E34" s="37"/>
      <c r="F34" s="37"/>
      <c r="G34" s="37"/>
      <c r="H34" s="37"/>
      <c r="I34" s="37">
        <f t="shared" si="25"/>
        <v>387.90000000000003</v>
      </c>
      <c r="J34" s="37">
        <f t="shared" si="18"/>
        <v>366.34999999999997</v>
      </c>
      <c r="K34" s="37">
        <f t="shared" si="18"/>
        <v>474.1</v>
      </c>
      <c r="L34" s="37">
        <f t="shared" si="18"/>
        <v>495.65</v>
      </c>
      <c r="M34" s="50">
        <v>44497</v>
      </c>
      <c r="N34" s="51">
        <f>VLOOKUP(TRIM($B34),Lots!$B:$E,2,0)</f>
        <v>1500</v>
      </c>
      <c r="O34" s="51">
        <v>380</v>
      </c>
      <c r="P34" s="51"/>
      <c r="Q34" s="51">
        <v>3</v>
      </c>
      <c r="R34" s="51">
        <v>31.29</v>
      </c>
      <c r="S34" s="51">
        <v>145024</v>
      </c>
      <c r="T34" s="51">
        <v>1</v>
      </c>
      <c r="U34" s="51">
        <f t="shared" si="19"/>
        <v>4500</v>
      </c>
      <c r="V34" s="51">
        <f t="shared" si="20"/>
        <v>145024</v>
      </c>
      <c r="W34" s="51">
        <f t="shared" si="21"/>
        <v>570000</v>
      </c>
      <c r="X34" s="52">
        <f t="shared" si="22"/>
        <v>3.1029346866725507E-2</v>
      </c>
      <c r="Y34" s="51">
        <f t="shared" ca="1" si="23"/>
        <v>0.1</v>
      </c>
      <c r="Z34" s="51">
        <f t="shared" ca="1" si="26"/>
        <v>36</v>
      </c>
      <c r="AA34" s="52">
        <f t="shared" ca="1" si="27"/>
        <v>0.31029346866725505</v>
      </c>
      <c r="AC34" s="46"/>
      <c r="AK34" t="s">
        <v>445</v>
      </c>
      <c r="AL34">
        <v>1452.3</v>
      </c>
      <c r="AM34">
        <v>1463.7</v>
      </c>
      <c r="AN34">
        <v>1444.4</v>
      </c>
      <c r="AO34">
        <v>1456.3</v>
      </c>
      <c r="AP34">
        <v>4</v>
      </c>
      <c r="AQ34">
        <v>0.28000000000000003</v>
      </c>
      <c r="AR34">
        <v>38.9</v>
      </c>
      <c r="AS34">
        <v>565.77</v>
      </c>
      <c r="AT34">
        <v>1534.5</v>
      </c>
      <c r="AU34">
        <v>342.75</v>
      </c>
      <c r="AV34">
        <v>259.89</v>
      </c>
      <c r="AW34">
        <v>-4.1500000000000004</v>
      </c>
      <c r="AX34">
        <v>14.89</v>
      </c>
      <c r="AZ34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</v>
      </c>
    </row>
    <row r="35" spans="1:52">
      <c r="A35">
        <v>19</v>
      </c>
      <c r="B35" t="s">
        <v>152</v>
      </c>
      <c r="D35">
        <v>818</v>
      </c>
      <c r="I35">
        <f t="shared" si="25"/>
        <v>736.2</v>
      </c>
      <c r="J35">
        <f t="shared" si="18"/>
        <v>695.3</v>
      </c>
      <c r="K35">
        <f t="shared" si="18"/>
        <v>899.80000000000007</v>
      </c>
      <c r="L35">
        <f t="shared" si="18"/>
        <v>940.69999999999993</v>
      </c>
      <c r="M35" s="42">
        <v>44497</v>
      </c>
      <c r="N35" s="38"/>
      <c r="O35" s="38"/>
      <c r="P35" s="38"/>
      <c r="Q35" s="38"/>
      <c r="R35" s="38"/>
      <c r="S35" s="38">
        <v>133676</v>
      </c>
      <c r="T35" s="38">
        <v>1</v>
      </c>
      <c r="U35" s="38">
        <f t="shared" si="19"/>
        <v>0</v>
      </c>
      <c r="V35" s="38">
        <f t="shared" si="20"/>
        <v>133676</v>
      </c>
      <c r="W35" s="38">
        <f t="shared" si="21"/>
        <v>0</v>
      </c>
      <c r="X35" s="40">
        <f t="shared" si="22"/>
        <v>0</v>
      </c>
      <c r="Y35" s="38">
        <f t="shared" ca="1" si="23"/>
        <v>0.1</v>
      </c>
      <c r="Z35" s="38">
        <f t="shared" ca="1" si="26"/>
        <v>36</v>
      </c>
      <c r="AA35" s="40">
        <f t="shared" ca="1" si="27"/>
        <v>0</v>
      </c>
      <c r="AC35" s="46"/>
      <c r="AK35" t="s">
        <v>429</v>
      </c>
      <c r="AL35" s="47">
        <v>6938</v>
      </c>
      <c r="AM35" s="47">
        <v>6938</v>
      </c>
      <c r="AN35" s="47">
        <v>6880</v>
      </c>
      <c r="AO35" s="47">
        <v>6909.3</v>
      </c>
      <c r="AP35">
        <v>14.85</v>
      </c>
      <c r="AQ35">
        <v>0.22</v>
      </c>
      <c r="AR35">
        <v>2.4500000000000002</v>
      </c>
      <c r="AS35">
        <v>169.3</v>
      </c>
      <c r="AT35" s="47">
        <v>8329</v>
      </c>
      <c r="AU35">
        <v>6270.15</v>
      </c>
      <c r="AV35">
        <v>-3.08</v>
      </c>
      <c r="AW35">
        <v>1.21</v>
      </c>
      <c r="AX35">
        <v>-1.54</v>
      </c>
      <c r="AZ35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</v>
      </c>
    </row>
    <row r="36" spans="1:52">
      <c r="A36">
        <v>20</v>
      </c>
      <c r="B36" t="s">
        <v>153</v>
      </c>
      <c r="D36">
        <v>132.1</v>
      </c>
      <c r="I36">
        <f t="shared" si="25"/>
        <v>118.89</v>
      </c>
      <c r="J36">
        <f t="shared" si="18"/>
        <v>112.285</v>
      </c>
      <c r="K36">
        <f t="shared" si="18"/>
        <v>145.31</v>
      </c>
      <c r="L36">
        <f t="shared" si="18"/>
        <v>151.91499999999999</v>
      </c>
      <c r="M36" s="42">
        <v>44497</v>
      </c>
      <c r="N36" s="38">
        <f>VLOOKUP(TRIM($B36),Lots!$B:$E,2,0)</f>
        <v>6750</v>
      </c>
      <c r="O36" s="38">
        <v>115</v>
      </c>
      <c r="P36" s="38"/>
      <c r="Q36" s="38">
        <v>1.25</v>
      </c>
      <c r="R36" s="38">
        <v>0</v>
      </c>
      <c r="S36" s="38">
        <v>137192</v>
      </c>
      <c r="T36" s="38">
        <v>1</v>
      </c>
      <c r="U36" s="38">
        <f t="shared" si="19"/>
        <v>8437.5</v>
      </c>
      <c r="V36" s="38">
        <f t="shared" si="20"/>
        <v>137192</v>
      </c>
      <c r="W36" s="38">
        <f t="shared" si="21"/>
        <v>776250</v>
      </c>
      <c r="X36" s="40">
        <f t="shared" si="22"/>
        <v>6.1501399498513035E-2</v>
      </c>
      <c r="Y36" s="38">
        <f t="shared" ca="1" si="23"/>
        <v>0.1</v>
      </c>
      <c r="Z36" s="38">
        <f t="shared" ca="1" si="26"/>
        <v>36</v>
      </c>
      <c r="AA36" s="44">
        <f t="shared" ca="1" si="27"/>
        <v>0.61501399498513032</v>
      </c>
      <c r="AK36" t="s">
        <v>121</v>
      </c>
      <c r="AL36">
        <v>16851.25</v>
      </c>
      <c r="AM36">
        <v>16982</v>
      </c>
      <c r="AN36">
        <v>16837.2</v>
      </c>
      <c r="AO36">
        <v>16864.5</v>
      </c>
      <c r="AP36">
        <v>33.25</v>
      </c>
      <c r="AQ36">
        <v>0.2</v>
      </c>
      <c r="AR36">
        <v>0.96</v>
      </c>
      <c r="AS36">
        <v>162.33000000000001</v>
      </c>
      <c r="AT36">
        <v>17263.5</v>
      </c>
      <c r="AU36">
        <v>5400</v>
      </c>
      <c r="AV36">
        <v>175.92</v>
      </c>
      <c r="AW36">
        <v>15.91</v>
      </c>
      <c r="AX36">
        <v>9.42</v>
      </c>
      <c r="AZ36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</v>
      </c>
    </row>
    <row r="37" spans="1:52">
      <c r="M37" s="42">
        <v>44497</v>
      </c>
      <c r="N37" s="38"/>
      <c r="O37" s="38"/>
      <c r="P37" s="38"/>
      <c r="Q37" s="38"/>
      <c r="R37" s="38"/>
      <c r="S37" s="38">
        <f>SUM(S17:S36)</f>
        <v>2125545</v>
      </c>
      <c r="T37" s="38"/>
      <c r="U37" s="38">
        <f>SUM(U17:U36)</f>
        <v>79958.75</v>
      </c>
      <c r="V37" s="38">
        <f>SUM(V17:V36)</f>
        <v>1991558</v>
      </c>
      <c r="W37" s="38">
        <f>SUM(W17:W36)</f>
        <v>8099500</v>
      </c>
      <c r="X37" s="40">
        <f>U37/V37</f>
        <v>4.014884326743183E-2</v>
      </c>
      <c r="Y37" s="38">
        <f t="shared" ca="1" si="23"/>
        <v>0.1</v>
      </c>
      <c r="Z37" s="38">
        <f t="shared" ca="1" si="26"/>
        <v>36</v>
      </c>
      <c r="AA37" s="40">
        <f t="shared" ca="1" si="27"/>
        <v>0.40148843267431827</v>
      </c>
      <c r="AK37" t="s">
        <v>478</v>
      </c>
      <c r="AL37" s="47">
        <v>674</v>
      </c>
      <c r="AM37" s="47">
        <v>680.55</v>
      </c>
      <c r="AN37" s="47">
        <v>670</v>
      </c>
      <c r="AO37" s="47">
        <v>674.55</v>
      </c>
      <c r="AP37">
        <v>1.1000000000000001</v>
      </c>
      <c r="AQ37">
        <v>0.16</v>
      </c>
      <c r="AR37">
        <v>35.25</v>
      </c>
      <c r="AS37">
        <v>237.98</v>
      </c>
      <c r="AT37" s="47">
        <v>690</v>
      </c>
      <c r="AU37" s="47">
        <v>293.14999999999998</v>
      </c>
      <c r="AV37">
        <v>119.58</v>
      </c>
      <c r="AW37">
        <v>9.85</v>
      </c>
      <c r="AX37">
        <v>17.559999999999999</v>
      </c>
      <c r="AZ37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</v>
      </c>
    </row>
    <row r="38" spans="1:52">
      <c r="N38" s="38"/>
      <c r="O38" s="38"/>
      <c r="P38" s="38"/>
      <c r="Q38" s="38"/>
      <c r="R38" s="38"/>
      <c r="S38" s="38"/>
      <c r="T38" s="38"/>
      <c r="U38" s="38"/>
      <c r="V38" s="38"/>
      <c r="W38" s="38">
        <f t="shared" ref="W38:W58" si="28">N38*O38*T38</f>
        <v>0</v>
      </c>
      <c r="Y38" s="38"/>
      <c r="Z38" s="38"/>
      <c r="AK38" t="s">
        <v>125</v>
      </c>
      <c r="AL38">
        <v>1535</v>
      </c>
      <c r="AM38">
        <v>1554.8</v>
      </c>
      <c r="AN38">
        <v>1535</v>
      </c>
      <c r="AO38">
        <v>1550.3</v>
      </c>
      <c r="AP38">
        <v>1.75</v>
      </c>
      <c r="AQ38">
        <v>0.11</v>
      </c>
      <c r="AR38">
        <v>66.260000000000005</v>
      </c>
      <c r="AS38">
        <v>1022.72</v>
      </c>
      <c r="AT38">
        <v>1641</v>
      </c>
      <c r="AU38">
        <v>1025</v>
      </c>
      <c r="AV38">
        <v>46.54</v>
      </c>
      <c r="AW38">
        <v>1.29</v>
      </c>
      <c r="AX38">
        <v>1.46</v>
      </c>
      <c r="AZ38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'HDFCBANK',</v>
      </c>
    </row>
    <row r="39" spans="1:52">
      <c r="A39">
        <v>1</v>
      </c>
      <c r="B39" t="s">
        <v>113</v>
      </c>
      <c r="D39">
        <f>mrigxl_stockquote(B39)</f>
        <v>2356.1</v>
      </c>
      <c r="I39">
        <f>$D39*(1+I$1)</f>
        <v>2120.4899999999998</v>
      </c>
      <c r="J39">
        <f t="shared" ref="J39:L58" si="29">$D39*(1+J$1)</f>
        <v>2002.6849999999999</v>
      </c>
      <c r="K39">
        <f t="shared" si="29"/>
        <v>2591.71</v>
      </c>
      <c r="L39">
        <f t="shared" si="29"/>
        <v>2709.5149999999999</v>
      </c>
      <c r="M39" s="42">
        <v>44469</v>
      </c>
      <c r="N39" s="38"/>
      <c r="O39" s="38"/>
      <c r="P39" s="38"/>
      <c r="Q39" s="38"/>
      <c r="R39" s="38"/>
      <c r="S39" s="38">
        <v>-1</v>
      </c>
      <c r="T39" s="38">
        <v>0</v>
      </c>
      <c r="U39" s="38">
        <f t="shared" ref="U39:U58" si="30">Q39*N39*T39</f>
        <v>0</v>
      </c>
      <c r="V39" s="38">
        <f t="shared" ref="V39:V58" si="31">S39*T39</f>
        <v>0</v>
      </c>
      <c r="W39" s="38">
        <f t="shared" si="28"/>
        <v>0</v>
      </c>
      <c r="X39" s="40">
        <f t="shared" ref="X39:X58" si="32">Q39*N39/S39</f>
        <v>0</v>
      </c>
      <c r="Y39" s="38">
        <f t="shared" ref="Y39:Y58" ca="1" si="33">YEARFRAC($A$1,M39)</f>
        <v>2.2222222222222223E-2</v>
      </c>
      <c r="Z39" s="38">
        <f t="shared" ca="1" si="26"/>
        <v>8</v>
      </c>
      <c r="AA39" s="40">
        <f t="shared" ca="1" si="27"/>
        <v>0</v>
      </c>
      <c r="AK39" t="s">
        <v>420</v>
      </c>
      <c r="AL39" s="47">
        <v>784.7</v>
      </c>
      <c r="AM39" s="47">
        <v>785.75</v>
      </c>
      <c r="AN39" s="47">
        <v>778.9</v>
      </c>
      <c r="AO39" s="47">
        <v>782.05</v>
      </c>
      <c r="AP39">
        <v>0.65</v>
      </c>
      <c r="AQ39">
        <v>0.08</v>
      </c>
      <c r="AR39">
        <v>9.3800000000000008</v>
      </c>
      <c r="AS39">
        <v>73.42</v>
      </c>
      <c r="AT39" s="47">
        <v>804.35</v>
      </c>
      <c r="AU39" s="47">
        <v>452.25</v>
      </c>
      <c r="AV39">
        <v>57.73</v>
      </c>
      <c r="AW39">
        <v>0.16</v>
      </c>
      <c r="AX39">
        <v>0.4</v>
      </c>
      <c r="AZ39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'HDFCBANK','SUNPHARMA',</v>
      </c>
    </row>
    <row r="40" spans="1:52">
      <c r="A40">
        <v>2</v>
      </c>
      <c r="B40" t="s">
        <v>118</v>
      </c>
      <c r="D40">
        <v>3339.65</v>
      </c>
      <c r="I40">
        <f t="shared" ref="I40:I58" si="34">$D40*(1+I$1)</f>
        <v>3005.6849999999999</v>
      </c>
      <c r="J40">
        <f t="shared" si="29"/>
        <v>2838.7024999999999</v>
      </c>
      <c r="K40">
        <f t="shared" si="29"/>
        <v>3673.6150000000002</v>
      </c>
      <c r="L40">
        <f t="shared" si="29"/>
        <v>3840.5974999999999</v>
      </c>
      <c r="M40" s="42">
        <v>44469</v>
      </c>
      <c r="N40" s="38"/>
      <c r="O40" s="38"/>
      <c r="P40" s="38"/>
      <c r="Q40" s="38"/>
      <c r="R40" s="38"/>
      <c r="S40" s="38">
        <v>-1</v>
      </c>
      <c r="T40" s="38">
        <v>0</v>
      </c>
      <c r="U40" s="38">
        <f t="shared" si="30"/>
        <v>0</v>
      </c>
      <c r="V40" s="38">
        <f t="shared" si="31"/>
        <v>0</v>
      </c>
      <c r="W40" s="38">
        <f t="shared" si="28"/>
        <v>0</v>
      </c>
      <c r="X40" s="40">
        <f t="shared" si="32"/>
        <v>0</v>
      </c>
      <c r="Y40" s="38">
        <f t="shared" ca="1" si="33"/>
        <v>2.2222222222222223E-2</v>
      </c>
      <c r="Z40" s="38">
        <f t="shared" ca="1" si="26"/>
        <v>8</v>
      </c>
      <c r="AA40" s="40">
        <f t="shared" ca="1" si="27"/>
        <v>0</v>
      </c>
      <c r="AK40" t="s">
        <v>133</v>
      </c>
      <c r="AL40">
        <v>7445</v>
      </c>
      <c r="AM40">
        <v>7480</v>
      </c>
      <c r="AN40">
        <v>7380</v>
      </c>
      <c r="AO40">
        <v>7421</v>
      </c>
      <c r="AP40">
        <v>3.45</v>
      </c>
      <c r="AQ40">
        <v>0.05</v>
      </c>
      <c r="AR40">
        <v>5.72</v>
      </c>
      <c r="AS40">
        <v>423.8</v>
      </c>
      <c r="AT40">
        <v>7674.5</v>
      </c>
      <c r="AU40">
        <v>3006.9</v>
      </c>
      <c r="AV40">
        <v>115.68</v>
      </c>
      <c r="AW40">
        <v>16.37</v>
      </c>
      <c r="AX40">
        <v>2.2000000000000002</v>
      </c>
      <c r="AZ40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'HDFCBANK','SUNPHARMA','BAJFINANCE',</v>
      </c>
    </row>
    <row r="41" spans="1:52">
      <c r="A41">
        <v>3</v>
      </c>
      <c r="B41" t="s">
        <v>119</v>
      </c>
      <c r="D41">
        <v>759.5</v>
      </c>
      <c r="I41">
        <f t="shared" si="34"/>
        <v>683.55000000000007</v>
      </c>
      <c r="J41">
        <f t="shared" si="29"/>
        <v>645.57499999999993</v>
      </c>
      <c r="K41">
        <f t="shared" si="29"/>
        <v>835.45</v>
      </c>
      <c r="L41">
        <f t="shared" si="29"/>
        <v>873.42499999999995</v>
      </c>
      <c r="M41" s="42">
        <v>44469</v>
      </c>
      <c r="N41" s="38"/>
      <c r="O41" s="38"/>
      <c r="P41" s="38"/>
      <c r="Q41" s="38"/>
      <c r="R41" s="38"/>
      <c r="S41" s="38">
        <v>-1</v>
      </c>
      <c r="T41" s="38">
        <v>0</v>
      </c>
      <c r="U41" s="38">
        <f t="shared" si="30"/>
        <v>0</v>
      </c>
      <c r="V41" s="38">
        <f t="shared" si="31"/>
        <v>0</v>
      </c>
      <c r="W41" s="38">
        <f t="shared" si="28"/>
        <v>0</v>
      </c>
      <c r="X41" s="40">
        <f t="shared" si="32"/>
        <v>0</v>
      </c>
      <c r="Y41" s="38">
        <f t="shared" ca="1" si="33"/>
        <v>2.2222222222222223E-2</v>
      </c>
      <c r="Z41" s="38">
        <f t="shared" ca="1" si="26"/>
        <v>8</v>
      </c>
      <c r="AA41" s="40">
        <f t="shared" ca="1" si="27"/>
        <v>0</v>
      </c>
      <c r="AK41" t="s">
        <v>443</v>
      </c>
      <c r="AL41">
        <v>1170.9000000000001</v>
      </c>
      <c r="AM41">
        <v>1176</v>
      </c>
      <c r="AN41">
        <v>1165.5</v>
      </c>
      <c r="AO41">
        <v>1171.3499999999999</v>
      </c>
      <c r="AP41">
        <v>0.45</v>
      </c>
      <c r="AQ41">
        <v>0.04</v>
      </c>
      <c r="AR41">
        <v>14.99</v>
      </c>
      <c r="AS41">
        <v>175.58</v>
      </c>
      <c r="AT41">
        <v>1253.6500000000001</v>
      </c>
      <c r="AU41">
        <v>755.25</v>
      </c>
      <c r="AV41">
        <v>36.659999999999997</v>
      </c>
      <c r="AW41">
        <v>2.83</v>
      </c>
      <c r="AX41">
        <v>20.48</v>
      </c>
      <c r="AZ41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'HDFCBANK','SUNPHARMA','BAJFINANCE','SBILIFE',</v>
      </c>
    </row>
    <row r="42" spans="1:52">
      <c r="A42">
        <v>4</v>
      </c>
      <c r="B42" t="s">
        <v>120</v>
      </c>
      <c r="D42">
        <v>799.55</v>
      </c>
      <c r="I42">
        <f t="shared" si="34"/>
        <v>719.59500000000003</v>
      </c>
      <c r="J42">
        <f t="shared" si="29"/>
        <v>679.61749999999995</v>
      </c>
      <c r="K42">
        <f t="shared" si="29"/>
        <v>879.505</v>
      </c>
      <c r="L42">
        <f t="shared" si="29"/>
        <v>919.48249999999985</v>
      </c>
      <c r="M42" s="42">
        <v>44469</v>
      </c>
      <c r="N42" s="38"/>
      <c r="O42" s="38"/>
      <c r="P42" s="38"/>
      <c r="Q42" s="38"/>
      <c r="R42" s="38"/>
      <c r="S42" s="38">
        <v>-1</v>
      </c>
      <c r="T42" s="38">
        <v>0</v>
      </c>
      <c r="U42" s="38">
        <f t="shared" si="30"/>
        <v>0</v>
      </c>
      <c r="V42" s="38">
        <f t="shared" si="31"/>
        <v>0</v>
      </c>
      <c r="W42" s="38">
        <f t="shared" si="28"/>
        <v>0</v>
      </c>
      <c r="X42" s="40">
        <f t="shared" si="32"/>
        <v>0</v>
      </c>
      <c r="Y42" s="38">
        <f t="shared" ca="1" si="33"/>
        <v>2.2222222222222223E-2</v>
      </c>
      <c r="Z42" s="38">
        <f t="shared" ca="1" si="26"/>
        <v>8</v>
      </c>
      <c r="AA42" s="40">
        <f t="shared" ca="1" si="27"/>
        <v>0</v>
      </c>
      <c r="AK42" t="s">
        <v>423</v>
      </c>
      <c r="AL42">
        <v>217.1</v>
      </c>
      <c r="AM42">
        <v>217.2</v>
      </c>
      <c r="AN42">
        <v>215.3</v>
      </c>
      <c r="AO42">
        <v>216</v>
      </c>
      <c r="AP42">
        <v>-0.1</v>
      </c>
      <c r="AQ42">
        <v>-0.05</v>
      </c>
      <c r="AR42">
        <v>184.84</v>
      </c>
      <c r="AS42">
        <v>399.05</v>
      </c>
      <c r="AT42">
        <v>239.2</v>
      </c>
      <c r="AU42">
        <v>163.35</v>
      </c>
      <c r="AV42">
        <v>17.809999999999999</v>
      </c>
      <c r="AW42">
        <v>2.42</v>
      </c>
      <c r="AX42">
        <v>2.84</v>
      </c>
      <c r="AZ42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'HDFCBANK','SUNPHARMA','BAJFINANCE','SBILIFE','ITC',</v>
      </c>
    </row>
    <row r="43" spans="1:52">
      <c r="A43">
        <v>5</v>
      </c>
      <c r="B43" t="s">
        <v>133</v>
      </c>
      <c r="D43">
        <v>7532.4</v>
      </c>
      <c r="I43">
        <f t="shared" si="34"/>
        <v>6779.16</v>
      </c>
      <c r="J43">
        <f t="shared" si="29"/>
        <v>6402.54</v>
      </c>
      <c r="K43">
        <f t="shared" si="29"/>
        <v>8285.64</v>
      </c>
      <c r="L43">
        <f t="shared" si="29"/>
        <v>8662.2599999999984</v>
      </c>
      <c r="M43" s="42">
        <v>44469</v>
      </c>
      <c r="N43" s="38"/>
      <c r="O43" s="38"/>
      <c r="P43" s="38"/>
      <c r="Q43" s="38"/>
      <c r="R43" s="38"/>
      <c r="S43" s="38">
        <v>-1</v>
      </c>
      <c r="T43" s="38">
        <v>0</v>
      </c>
      <c r="U43" s="38">
        <f t="shared" si="30"/>
        <v>0</v>
      </c>
      <c r="V43" s="38">
        <f t="shared" si="31"/>
        <v>0</v>
      </c>
      <c r="W43" s="38">
        <f t="shared" si="28"/>
        <v>0</v>
      </c>
      <c r="X43" s="40">
        <f t="shared" si="32"/>
        <v>0</v>
      </c>
      <c r="Y43" s="38">
        <f t="shared" ca="1" si="33"/>
        <v>2.2222222222222223E-2</v>
      </c>
      <c r="Z43" s="38">
        <f t="shared" ca="1" si="26"/>
        <v>8</v>
      </c>
      <c r="AA43" s="40">
        <f t="shared" ca="1" si="27"/>
        <v>0</v>
      </c>
      <c r="AK43" t="s">
        <v>114</v>
      </c>
      <c r="AL43">
        <v>2805.7</v>
      </c>
      <c r="AM43">
        <v>2843</v>
      </c>
      <c r="AN43">
        <v>2795</v>
      </c>
      <c r="AO43">
        <v>2815.7</v>
      </c>
      <c r="AP43">
        <v>-2.35</v>
      </c>
      <c r="AQ43">
        <v>-0.08</v>
      </c>
      <c r="AR43">
        <v>16.68</v>
      </c>
      <c r="AS43">
        <v>470.09</v>
      </c>
      <c r="AT43">
        <v>2896</v>
      </c>
      <c r="AU43">
        <v>1623</v>
      </c>
      <c r="AV43">
        <v>62.01</v>
      </c>
      <c r="AW43">
        <v>3.1</v>
      </c>
      <c r="AX43">
        <v>4.21</v>
      </c>
      <c r="AZ43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'HDFCBANK','SUNPHARMA','BAJFINANCE','SBILIFE','ITC','HDFC',</v>
      </c>
    </row>
    <row r="44" spans="1:52">
      <c r="A44">
        <v>6</v>
      </c>
      <c r="B44" t="s">
        <v>122</v>
      </c>
      <c r="D44">
        <v>198.55</v>
      </c>
      <c r="I44">
        <f t="shared" si="34"/>
        <v>178.69500000000002</v>
      </c>
      <c r="J44">
        <f t="shared" si="29"/>
        <v>168.76750000000001</v>
      </c>
      <c r="K44">
        <f t="shared" si="29"/>
        <v>218.40500000000003</v>
      </c>
      <c r="L44">
        <f t="shared" si="29"/>
        <v>228.33249999999998</v>
      </c>
      <c r="M44" s="42">
        <v>44469</v>
      </c>
      <c r="N44" s="38"/>
      <c r="O44" s="38"/>
      <c r="P44" s="38"/>
      <c r="Q44" s="38"/>
      <c r="R44" s="38"/>
      <c r="S44" s="38">
        <v>-1</v>
      </c>
      <c r="T44" s="38">
        <v>0</v>
      </c>
      <c r="U44" s="38">
        <f t="shared" si="30"/>
        <v>0</v>
      </c>
      <c r="V44" s="38">
        <f t="shared" si="31"/>
        <v>0</v>
      </c>
      <c r="W44" s="38">
        <f t="shared" si="28"/>
        <v>0</v>
      </c>
      <c r="X44" s="40">
        <f t="shared" si="32"/>
        <v>0</v>
      </c>
      <c r="Y44" s="38">
        <f t="shared" ca="1" si="33"/>
        <v>2.2222222222222223E-2</v>
      </c>
      <c r="Z44" s="38">
        <f t="shared" ca="1" si="26"/>
        <v>8</v>
      </c>
      <c r="AA44" s="40">
        <f t="shared" ca="1" si="27"/>
        <v>0</v>
      </c>
      <c r="AK44" t="s">
        <v>120</v>
      </c>
      <c r="AL44">
        <v>796</v>
      </c>
      <c r="AM44">
        <v>797.45</v>
      </c>
      <c r="AN44">
        <v>787</v>
      </c>
      <c r="AO44">
        <v>793.5</v>
      </c>
      <c r="AP44">
        <v>-0.9</v>
      </c>
      <c r="AQ44">
        <v>-0.11</v>
      </c>
      <c r="AR44">
        <v>34.409999999999997</v>
      </c>
      <c r="AS44">
        <v>272.14</v>
      </c>
      <c r="AT44">
        <v>819</v>
      </c>
      <c r="AU44">
        <v>400.15</v>
      </c>
      <c r="AV44">
        <v>80.12</v>
      </c>
      <c r="AW44">
        <v>4.13</v>
      </c>
      <c r="AX44">
        <v>4.54</v>
      </c>
      <c r="AZ44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'HDFCBANK','SUNPHARMA','BAJFINANCE','SBILIFE','ITC','HDFC','AXISBANK',</v>
      </c>
    </row>
    <row r="45" spans="1:52">
      <c r="A45">
        <v>7</v>
      </c>
      <c r="B45" t="s">
        <v>123</v>
      </c>
      <c r="D45">
        <v>146.75</v>
      </c>
      <c r="I45">
        <f t="shared" si="34"/>
        <v>132.07500000000002</v>
      </c>
      <c r="J45">
        <f t="shared" si="29"/>
        <v>124.7375</v>
      </c>
      <c r="K45">
        <f t="shared" si="29"/>
        <v>161.42500000000001</v>
      </c>
      <c r="L45">
        <f t="shared" si="29"/>
        <v>168.76249999999999</v>
      </c>
      <c r="M45" s="42">
        <v>44469</v>
      </c>
      <c r="N45" s="38">
        <v>4200</v>
      </c>
      <c r="O45" s="38">
        <v>130</v>
      </c>
      <c r="P45" s="38"/>
      <c r="Q45" s="38">
        <v>1.05</v>
      </c>
      <c r="R45" s="38"/>
      <c r="S45" s="38">
        <v>87591</v>
      </c>
      <c r="T45" s="38">
        <v>1</v>
      </c>
      <c r="U45" s="38">
        <f t="shared" si="30"/>
        <v>4410</v>
      </c>
      <c r="V45" s="38">
        <f t="shared" si="31"/>
        <v>87591</v>
      </c>
      <c r="W45" s="38">
        <f t="shared" si="28"/>
        <v>546000</v>
      </c>
      <c r="X45" s="40">
        <f t="shared" si="32"/>
        <v>5.0347638456005754E-2</v>
      </c>
      <c r="Y45" s="38">
        <f t="shared" ca="1" si="33"/>
        <v>2.2222222222222223E-2</v>
      </c>
      <c r="Z45" s="38">
        <f t="shared" ca="1" si="26"/>
        <v>8</v>
      </c>
      <c r="AA45" s="44">
        <f t="shared" ca="1" si="27"/>
        <v>2.2656437305202588</v>
      </c>
      <c r="AK45" t="s">
        <v>118</v>
      </c>
      <c r="AL45" s="47">
        <v>3361.85</v>
      </c>
      <c r="AM45" s="47">
        <v>3383.95</v>
      </c>
      <c r="AN45" s="47">
        <v>3353</v>
      </c>
      <c r="AO45" s="47">
        <v>3356</v>
      </c>
      <c r="AP45">
        <v>-6.5</v>
      </c>
      <c r="AQ45">
        <v>-0.19</v>
      </c>
      <c r="AR45">
        <v>4.8099999999999996</v>
      </c>
      <c r="AS45">
        <v>161.91</v>
      </c>
      <c r="AT45" s="47">
        <v>3394.6</v>
      </c>
      <c r="AU45" s="47">
        <v>1907.75</v>
      </c>
      <c r="AV45">
        <v>65.22</v>
      </c>
      <c r="AW45">
        <v>12.94</v>
      </c>
      <c r="AX45">
        <v>7.68</v>
      </c>
      <c r="AZ45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'HDFCBANK','SUNPHARMA','BAJFINANCE','SBILIFE','ITC','HDFC','AXISBANK','ASIANPAINT',</v>
      </c>
    </row>
    <row r="46" spans="1:52">
      <c r="A46">
        <v>8</v>
      </c>
      <c r="B46" t="s">
        <v>114</v>
      </c>
      <c r="D46">
        <v>2759.65</v>
      </c>
      <c r="I46">
        <f t="shared" si="34"/>
        <v>2483.6849999999999</v>
      </c>
      <c r="J46">
        <f t="shared" si="29"/>
        <v>2345.7024999999999</v>
      </c>
      <c r="K46">
        <f t="shared" si="29"/>
        <v>3035.6150000000002</v>
      </c>
      <c r="L46">
        <f t="shared" si="29"/>
        <v>3173.5974999999999</v>
      </c>
      <c r="M46" s="42">
        <v>44469</v>
      </c>
      <c r="N46" s="38">
        <v>300</v>
      </c>
      <c r="O46" s="38">
        <v>2500</v>
      </c>
      <c r="P46" s="38"/>
      <c r="Q46" s="38">
        <v>9</v>
      </c>
      <c r="R46" s="38"/>
      <c r="S46" s="38">
        <v>133990</v>
      </c>
      <c r="T46" s="38">
        <v>0</v>
      </c>
      <c r="U46" s="38">
        <f t="shared" si="30"/>
        <v>0</v>
      </c>
      <c r="V46" s="38">
        <f t="shared" si="31"/>
        <v>0</v>
      </c>
      <c r="W46" s="38">
        <f t="shared" si="28"/>
        <v>0</v>
      </c>
      <c r="X46" s="40">
        <f t="shared" si="32"/>
        <v>2.0150757519217851E-2</v>
      </c>
      <c r="Y46" s="38">
        <f t="shared" ca="1" si="33"/>
        <v>2.2222222222222223E-2</v>
      </c>
      <c r="Z46" s="38">
        <f t="shared" ca="1" si="26"/>
        <v>8</v>
      </c>
      <c r="AA46" s="40">
        <f t="shared" ca="1" si="27"/>
        <v>0.90678408836480329</v>
      </c>
      <c r="AK46" t="s">
        <v>402</v>
      </c>
      <c r="AL46" s="47">
        <v>955</v>
      </c>
      <c r="AM46" s="47">
        <v>956.6</v>
      </c>
      <c r="AN46">
        <v>948.3</v>
      </c>
      <c r="AO46" s="47">
        <v>949.95</v>
      </c>
      <c r="AP46">
        <v>-3.2</v>
      </c>
      <c r="AQ46">
        <v>-0.34</v>
      </c>
      <c r="AR46">
        <v>20.38</v>
      </c>
      <c r="AS46">
        <v>193.72</v>
      </c>
      <c r="AT46" s="47">
        <v>997</v>
      </c>
      <c r="AU46">
        <v>706.5</v>
      </c>
      <c r="AV46">
        <v>31.64</v>
      </c>
      <c r="AW46">
        <v>6.95</v>
      </c>
      <c r="AX46">
        <v>12.51</v>
      </c>
      <c r="AZ46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'HDFCBANK','SUNPHARMA','BAJFINANCE','SBILIFE','ITC','HDFC','AXISBANK','ASIANPAINT','CIPLA',</v>
      </c>
    </row>
    <row r="47" spans="1:52">
      <c r="A47">
        <v>9</v>
      </c>
      <c r="B47" t="s">
        <v>125</v>
      </c>
      <c r="D47">
        <v>1577.55</v>
      </c>
      <c r="I47">
        <f t="shared" si="34"/>
        <v>1419.7950000000001</v>
      </c>
      <c r="J47">
        <f t="shared" si="29"/>
        <v>1340.9175</v>
      </c>
      <c r="K47">
        <f t="shared" si="29"/>
        <v>1735.3050000000001</v>
      </c>
      <c r="L47">
        <f t="shared" si="29"/>
        <v>1814.1824999999999</v>
      </c>
      <c r="M47" s="42">
        <v>44469</v>
      </c>
      <c r="N47" s="38">
        <v>550</v>
      </c>
      <c r="O47" s="38">
        <v>1400</v>
      </c>
      <c r="P47" s="38"/>
      <c r="Q47" s="38">
        <v>6.65</v>
      </c>
      <c r="R47" s="38"/>
      <c r="S47" s="38">
        <v>90873</v>
      </c>
      <c r="T47" s="38">
        <v>0</v>
      </c>
      <c r="U47" s="38">
        <f t="shared" si="30"/>
        <v>0</v>
      </c>
      <c r="V47" s="38">
        <f t="shared" si="31"/>
        <v>0</v>
      </c>
      <c r="W47" s="38">
        <f t="shared" si="28"/>
        <v>0</v>
      </c>
      <c r="X47" s="40">
        <f t="shared" si="32"/>
        <v>4.0248478646022469E-2</v>
      </c>
      <c r="Y47" s="38">
        <f t="shared" ca="1" si="33"/>
        <v>2.2222222222222223E-2</v>
      </c>
      <c r="Z47" s="38">
        <f t="shared" ca="1" si="26"/>
        <v>8</v>
      </c>
      <c r="AA47" s="40">
        <f t="shared" ca="1" si="27"/>
        <v>1.8111815390710111</v>
      </c>
      <c r="AK47" t="s">
        <v>454</v>
      </c>
      <c r="AL47" s="47">
        <v>1615</v>
      </c>
      <c r="AM47" s="47">
        <v>1622.65</v>
      </c>
      <c r="AN47" s="47">
        <v>1590</v>
      </c>
      <c r="AO47" s="47">
        <v>1605.6</v>
      </c>
      <c r="AP47">
        <v>-6.2</v>
      </c>
      <c r="AQ47">
        <v>-0.38</v>
      </c>
      <c r="AR47">
        <v>7.73</v>
      </c>
      <c r="AS47">
        <v>124</v>
      </c>
      <c r="AT47" s="47">
        <v>1622.65</v>
      </c>
      <c r="AU47" s="47">
        <v>675.5</v>
      </c>
      <c r="AV47">
        <v>127.1</v>
      </c>
      <c r="AW47">
        <v>7.69</v>
      </c>
      <c r="AX47">
        <v>6.57</v>
      </c>
      <c r="AZ47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'HDFCBANK','SUNPHARMA','BAJFINANCE','SBILIFE','ITC','HDFC','AXISBANK','ASIANPAINT','CIPLA','GRASIM',</v>
      </c>
    </row>
    <row r="48" spans="1:52">
      <c r="A48">
        <v>10</v>
      </c>
      <c r="B48" t="s">
        <v>115</v>
      </c>
      <c r="D48">
        <v>462.05</v>
      </c>
      <c r="I48">
        <f t="shared" si="34"/>
        <v>415.84500000000003</v>
      </c>
      <c r="J48">
        <f t="shared" si="29"/>
        <v>392.74250000000001</v>
      </c>
      <c r="K48">
        <f t="shared" si="29"/>
        <v>508.25500000000005</v>
      </c>
      <c r="L48">
        <f t="shared" si="29"/>
        <v>531.35749999999996</v>
      </c>
      <c r="M48" s="42">
        <v>44469</v>
      </c>
      <c r="N48" s="38"/>
      <c r="O48" s="38"/>
      <c r="P48" s="38"/>
      <c r="Q48" s="38"/>
      <c r="R48" s="38"/>
      <c r="S48" s="38">
        <v>-1</v>
      </c>
      <c r="T48" s="38">
        <v>0</v>
      </c>
      <c r="U48" s="38">
        <f t="shared" si="30"/>
        <v>0</v>
      </c>
      <c r="V48" s="38">
        <f t="shared" si="31"/>
        <v>0</v>
      </c>
      <c r="W48" s="38">
        <f t="shared" si="28"/>
        <v>0</v>
      </c>
      <c r="X48" s="40">
        <f t="shared" si="32"/>
        <v>0</v>
      </c>
      <c r="Y48" s="38">
        <f t="shared" ca="1" si="33"/>
        <v>2.2222222222222223E-2</v>
      </c>
      <c r="Z48" s="38">
        <f t="shared" ca="1" si="26"/>
        <v>8</v>
      </c>
      <c r="AA48" s="40">
        <f t="shared" ca="1" si="27"/>
        <v>0</v>
      </c>
      <c r="AK48" t="s">
        <v>131</v>
      </c>
      <c r="AL48" s="47">
        <v>7889</v>
      </c>
      <c r="AM48" s="47">
        <v>7929</v>
      </c>
      <c r="AN48" s="47">
        <v>7790</v>
      </c>
      <c r="AO48" s="47">
        <v>7825.65</v>
      </c>
      <c r="AP48">
        <v>-30.8</v>
      </c>
      <c r="AQ48">
        <v>-0.39</v>
      </c>
      <c r="AR48">
        <v>1.85</v>
      </c>
      <c r="AS48">
        <v>144.94</v>
      </c>
      <c r="AT48" s="47">
        <v>8073.3</v>
      </c>
      <c r="AU48" s="47">
        <v>3753.9</v>
      </c>
      <c r="AV48">
        <v>99.93</v>
      </c>
      <c r="AW48">
        <v>6.52</v>
      </c>
      <c r="AX48">
        <v>10.73</v>
      </c>
      <c r="AZ48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'HDFCBANK','SUNPHARMA','BAJFINANCE','SBILIFE','ITC','HDFC','AXISBANK','ASIANPAINT','CIPLA','GRASIM','ULTRACEMCO',</v>
      </c>
    </row>
    <row r="49" spans="1:52">
      <c r="A49">
        <v>11</v>
      </c>
      <c r="B49" t="s">
        <v>126</v>
      </c>
      <c r="D49">
        <v>2765.55</v>
      </c>
      <c r="I49">
        <f t="shared" si="34"/>
        <v>2488.9950000000003</v>
      </c>
      <c r="J49">
        <f t="shared" si="29"/>
        <v>2350.7175000000002</v>
      </c>
      <c r="K49">
        <f t="shared" si="29"/>
        <v>3042.1050000000005</v>
      </c>
      <c r="L49">
        <f t="shared" si="29"/>
        <v>3180.3825000000002</v>
      </c>
      <c r="M49" s="42">
        <v>44469</v>
      </c>
      <c r="N49" s="38">
        <v>300</v>
      </c>
      <c r="O49" s="38">
        <v>2500</v>
      </c>
      <c r="P49" s="38"/>
      <c r="Q49" s="38">
        <v>16</v>
      </c>
      <c r="R49" s="38"/>
      <c r="S49" s="38">
        <v>88722</v>
      </c>
      <c r="T49" s="38">
        <v>1</v>
      </c>
      <c r="U49" s="38">
        <f t="shared" si="30"/>
        <v>4800</v>
      </c>
      <c r="V49" s="38">
        <f t="shared" si="31"/>
        <v>88722</v>
      </c>
      <c r="W49" s="38">
        <f t="shared" si="28"/>
        <v>750000</v>
      </c>
      <c r="X49" s="40">
        <f t="shared" si="32"/>
        <v>5.410157570839251E-2</v>
      </c>
      <c r="Y49" s="38">
        <f t="shared" ca="1" si="33"/>
        <v>2.2222222222222223E-2</v>
      </c>
      <c r="Z49" s="38">
        <f t="shared" ca="1" si="26"/>
        <v>8</v>
      </c>
      <c r="AA49" s="44">
        <f t="shared" ca="1" si="27"/>
        <v>2.4345709068776631</v>
      </c>
      <c r="AK49" t="s">
        <v>436</v>
      </c>
      <c r="AL49" s="47">
        <v>20369.849999999999</v>
      </c>
      <c r="AM49" s="47">
        <v>20370</v>
      </c>
      <c r="AN49" s="47">
        <v>20104.650000000001</v>
      </c>
      <c r="AO49" s="47">
        <v>20143.95</v>
      </c>
      <c r="AP49">
        <v>-86.5</v>
      </c>
      <c r="AQ49">
        <v>-0.43</v>
      </c>
      <c r="AR49">
        <v>0.3</v>
      </c>
      <c r="AS49">
        <v>60.76</v>
      </c>
      <c r="AT49" s="47">
        <v>20609.150000000001</v>
      </c>
      <c r="AU49" s="47">
        <v>15100</v>
      </c>
      <c r="AV49">
        <v>25.25</v>
      </c>
      <c r="AW49">
        <v>10.1</v>
      </c>
      <c r="AX49">
        <v>14.58</v>
      </c>
      <c r="AZ49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'HDFCBANK','SUNPHARMA','BAJFINANCE','SBILIFE','ITC','HDFC','AXISBANK','ASIANPAINT','CIPLA','GRASIM','ULTRACEMCO','NESTLEIND',</v>
      </c>
    </row>
    <row r="50" spans="1:52">
      <c r="A50">
        <v>12</v>
      </c>
      <c r="B50" t="s">
        <v>124</v>
      </c>
      <c r="D50">
        <v>724.45</v>
      </c>
      <c r="I50">
        <f t="shared" si="34"/>
        <v>652.00500000000011</v>
      </c>
      <c r="J50">
        <f t="shared" si="29"/>
        <v>615.78250000000003</v>
      </c>
      <c r="K50">
        <f t="shared" si="29"/>
        <v>796.8950000000001</v>
      </c>
      <c r="L50">
        <f t="shared" si="29"/>
        <v>833.11749999999995</v>
      </c>
      <c r="M50" s="42">
        <v>44469</v>
      </c>
      <c r="N50" s="38"/>
      <c r="O50" s="38"/>
      <c r="P50" s="38"/>
      <c r="Q50" s="38"/>
      <c r="R50" s="38"/>
      <c r="S50" s="38">
        <v>-1</v>
      </c>
      <c r="T50" s="38">
        <v>0</v>
      </c>
      <c r="U50" s="38">
        <f t="shared" si="30"/>
        <v>0</v>
      </c>
      <c r="V50" s="38">
        <f t="shared" si="31"/>
        <v>0</v>
      </c>
      <c r="W50" s="38">
        <f t="shared" si="28"/>
        <v>0</v>
      </c>
      <c r="X50" s="40">
        <f t="shared" si="32"/>
        <v>0</v>
      </c>
      <c r="Y50" s="38">
        <f t="shared" ca="1" si="33"/>
        <v>2.2222222222222223E-2</v>
      </c>
      <c r="Z50" s="38">
        <f t="shared" ca="1" si="26"/>
        <v>8</v>
      </c>
      <c r="AA50" s="40">
        <f t="shared" ca="1" si="27"/>
        <v>0</v>
      </c>
      <c r="AK50" t="s">
        <v>452</v>
      </c>
      <c r="AL50">
        <v>4105.2</v>
      </c>
      <c r="AM50">
        <v>4135</v>
      </c>
      <c r="AN50">
        <v>4071.05</v>
      </c>
      <c r="AO50">
        <v>4083.7</v>
      </c>
      <c r="AP50">
        <v>-17.8</v>
      </c>
      <c r="AQ50">
        <v>-0.43</v>
      </c>
      <c r="AR50">
        <v>1.91</v>
      </c>
      <c r="AS50">
        <v>78.11</v>
      </c>
      <c r="AT50">
        <v>4153</v>
      </c>
      <c r="AU50">
        <v>3317.3</v>
      </c>
      <c r="AV50">
        <v>9.7899999999999991</v>
      </c>
      <c r="AW50">
        <v>11.72</v>
      </c>
      <c r="AX50">
        <v>8.4</v>
      </c>
      <c r="AZ50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'HDFCBANK','SUNPHARMA','BAJFINANCE','SBILIFE','ITC','HDFC','AXISBANK','ASIANPAINT','CIPLA','GRASIM','ULTRACEMCO','NESTLEIND','BRITANNIA',</v>
      </c>
    </row>
    <row r="51" spans="1:52">
      <c r="A51">
        <v>13</v>
      </c>
      <c r="B51" t="s">
        <v>127</v>
      </c>
      <c r="D51">
        <v>1003.25</v>
      </c>
      <c r="I51">
        <f t="shared" si="34"/>
        <v>902.92500000000007</v>
      </c>
      <c r="J51">
        <f t="shared" si="29"/>
        <v>852.76249999999993</v>
      </c>
      <c r="K51">
        <f t="shared" si="29"/>
        <v>1103.575</v>
      </c>
      <c r="L51">
        <f t="shared" si="29"/>
        <v>1153.7375</v>
      </c>
      <c r="M51" s="42">
        <v>44469</v>
      </c>
      <c r="N51" s="38">
        <v>900</v>
      </c>
      <c r="O51" s="38">
        <v>900</v>
      </c>
      <c r="P51" s="38"/>
      <c r="Q51" s="38">
        <v>15</v>
      </c>
      <c r="R51" s="38"/>
      <c r="S51" s="38">
        <v>341637</v>
      </c>
      <c r="T51" s="38">
        <v>0</v>
      </c>
      <c r="U51" s="38">
        <f t="shared" si="30"/>
        <v>0</v>
      </c>
      <c r="V51" s="38">
        <f t="shared" si="31"/>
        <v>0</v>
      </c>
      <c r="W51" s="38">
        <f t="shared" si="28"/>
        <v>0</v>
      </c>
      <c r="X51" s="40">
        <f t="shared" si="32"/>
        <v>3.9515626234863321E-2</v>
      </c>
      <c r="Y51" s="38">
        <f t="shared" ca="1" si="33"/>
        <v>2.2222222222222223E-2</v>
      </c>
      <c r="Z51" s="38">
        <f t="shared" ca="1" si="26"/>
        <v>8</v>
      </c>
      <c r="AA51" s="40">
        <f t="shared" ca="1" si="27"/>
        <v>1.7782031805688494</v>
      </c>
      <c r="AK51" t="s">
        <v>397</v>
      </c>
      <c r="AL51">
        <v>494</v>
      </c>
      <c r="AM51">
        <v>494.95</v>
      </c>
      <c r="AN51">
        <v>488.1</v>
      </c>
      <c r="AO51">
        <v>490.6</v>
      </c>
      <c r="AP51">
        <v>-2.5</v>
      </c>
      <c r="AQ51">
        <v>-0.51</v>
      </c>
      <c r="AR51">
        <v>81.77</v>
      </c>
      <c r="AS51">
        <v>400.96</v>
      </c>
      <c r="AT51">
        <v>503</v>
      </c>
      <c r="AU51">
        <v>325</v>
      </c>
      <c r="AV51">
        <v>17.61</v>
      </c>
      <c r="AW51">
        <v>5.73</v>
      </c>
      <c r="AX51">
        <v>5.3</v>
      </c>
      <c r="AZ51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'HDFCBANK','SUNPHARMA','BAJFINANCE','SBILIFE','ITC','HDFC','AXISBANK','ASIANPAINT','CIPLA','GRASIM','ULTRACEMCO','NESTLEIND','BRITANNIA','BPCL',</v>
      </c>
    </row>
    <row r="52" spans="1:52">
      <c r="A52">
        <v>14</v>
      </c>
      <c r="B52" t="s">
        <v>116</v>
      </c>
      <c r="D52">
        <v>1700.5</v>
      </c>
      <c r="I52">
        <f t="shared" si="34"/>
        <v>1530.45</v>
      </c>
      <c r="J52">
        <f t="shared" si="29"/>
        <v>1445.425</v>
      </c>
      <c r="K52">
        <f t="shared" si="29"/>
        <v>1870.5500000000002</v>
      </c>
      <c r="L52">
        <f t="shared" si="29"/>
        <v>1955.5749999999998</v>
      </c>
      <c r="M52" s="42">
        <v>44469</v>
      </c>
      <c r="N52" s="38">
        <v>600</v>
      </c>
      <c r="O52" s="38">
        <v>1500</v>
      </c>
      <c r="P52" s="38"/>
      <c r="Q52" s="38">
        <v>6.3</v>
      </c>
      <c r="R52" s="38"/>
      <c r="S52" s="38">
        <v>100187</v>
      </c>
      <c r="T52" s="38">
        <v>0</v>
      </c>
      <c r="U52" s="38">
        <f t="shared" si="30"/>
        <v>0</v>
      </c>
      <c r="V52" s="38">
        <f t="shared" si="31"/>
        <v>0</v>
      </c>
      <c r="W52" s="38">
        <f t="shared" si="28"/>
        <v>0</v>
      </c>
      <c r="X52" s="40">
        <f t="shared" si="32"/>
        <v>3.7729445936099497E-2</v>
      </c>
      <c r="Y52" s="38">
        <f t="shared" ca="1" si="33"/>
        <v>2.2222222222222223E-2</v>
      </c>
      <c r="Z52" s="38">
        <f t="shared" ca="1" si="26"/>
        <v>8</v>
      </c>
      <c r="AA52" s="40">
        <f t="shared" ca="1" si="27"/>
        <v>1.6978250671244772</v>
      </c>
      <c r="AK52" t="s">
        <v>344</v>
      </c>
      <c r="AL52">
        <v>885</v>
      </c>
      <c r="AM52">
        <v>887.4</v>
      </c>
      <c r="AN52">
        <v>870.5</v>
      </c>
      <c r="AO52">
        <v>871.2</v>
      </c>
      <c r="AP52">
        <v>-10.1</v>
      </c>
      <c r="AQ52">
        <v>-1.1499999999999999</v>
      </c>
      <c r="AR52">
        <v>15.18</v>
      </c>
      <c r="AS52" s="47">
        <v>133.05000000000001</v>
      </c>
      <c r="AT52">
        <v>889</v>
      </c>
      <c r="AU52">
        <v>458.95</v>
      </c>
      <c r="AV52">
        <v>59.41</v>
      </c>
      <c r="AW52">
        <v>8.61</v>
      </c>
      <c r="AX52">
        <v>9.15</v>
      </c>
      <c r="AZ52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'HDFCBANK','SUNPHARMA','BAJFINANCE','SBILIFE','ITC','HDFC','AXISBANK','ASIANPAINT','CIPLA','GRASIM','ULTRACEMCO','NESTLEIND','BRITANNIA','BPCL','TATACONSUM',</v>
      </c>
    </row>
    <row r="53" spans="1:52">
      <c r="A53">
        <v>15</v>
      </c>
      <c r="B53" t="s">
        <v>128</v>
      </c>
      <c r="D53">
        <v>1790.5</v>
      </c>
      <c r="I53">
        <f t="shared" si="34"/>
        <v>1611.45</v>
      </c>
      <c r="J53">
        <f t="shared" si="29"/>
        <v>1521.925</v>
      </c>
      <c r="K53">
        <f t="shared" si="29"/>
        <v>1969.5500000000002</v>
      </c>
      <c r="L53">
        <f t="shared" si="29"/>
        <v>2059.0749999999998</v>
      </c>
      <c r="M53" s="42">
        <v>44469</v>
      </c>
      <c r="N53" s="38"/>
      <c r="O53" s="38"/>
      <c r="P53" s="38"/>
      <c r="Q53" s="38"/>
      <c r="R53" s="38"/>
      <c r="S53" s="38">
        <v>-1</v>
      </c>
      <c r="T53" s="38">
        <v>0</v>
      </c>
      <c r="U53" s="38">
        <f t="shared" si="30"/>
        <v>0</v>
      </c>
      <c r="V53" s="38">
        <f t="shared" si="31"/>
        <v>0</v>
      </c>
      <c r="W53" s="38">
        <f t="shared" si="28"/>
        <v>0</v>
      </c>
      <c r="X53" s="40">
        <f t="shared" si="32"/>
        <v>0</v>
      </c>
      <c r="Y53" s="38">
        <f t="shared" ca="1" si="33"/>
        <v>2.2222222222222223E-2</v>
      </c>
      <c r="Z53" s="38">
        <f t="shared" ca="1" si="26"/>
        <v>8</v>
      </c>
      <c r="AA53" s="40">
        <f t="shared" ca="1" si="27"/>
        <v>0</v>
      </c>
    </row>
    <row r="54" spans="1:52">
      <c r="A54">
        <v>16</v>
      </c>
      <c r="B54" t="s">
        <v>129</v>
      </c>
      <c r="D54">
        <v>1174.0999999999999</v>
      </c>
      <c r="I54">
        <f t="shared" si="34"/>
        <v>1056.69</v>
      </c>
      <c r="J54">
        <f t="shared" si="29"/>
        <v>997.9849999999999</v>
      </c>
      <c r="K54">
        <f t="shared" si="29"/>
        <v>1291.51</v>
      </c>
      <c r="L54">
        <f t="shared" si="29"/>
        <v>1350.2149999999997</v>
      </c>
      <c r="M54" s="42">
        <v>44469</v>
      </c>
      <c r="N54" s="38">
        <v>600</v>
      </c>
      <c r="O54" s="38">
        <v>1000</v>
      </c>
      <c r="P54" s="38"/>
      <c r="Q54" s="38"/>
      <c r="R54" s="38"/>
      <c r="S54" s="38">
        <v>-1</v>
      </c>
      <c r="T54" s="38">
        <v>0</v>
      </c>
      <c r="U54" s="38">
        <f t="shared" si="30"/>
        <v>0</v>
      </c>
      <c r="V54" s="38">
        <f t="shared" si="31"/>
        <v>0</v>
      </c>
      <c r="W54" s="38">
        <f t="shared" si="28"/>
        <v>0</v>
      </c>
      <c r="X54" s="40">
        <f t="shared" si="32"/>
        <v>0</v>
      </c>
      <c r="Y54" s="38">
        <f t="shared" ca="1" si="33"/>
        <v>2.2222222222222223E-2</v>
      </c>
      <c r="Z54" s="38">
        <f t="shared" ca="1" si="26"/>
        <v>8</v>
      </c>
      <c r="AA54" s="40">
        <f t="shared" ca="1" si="27"/>
        <v>0</v>
      </c>
      <c r="AK54" t="s">
        <v>506</v>
      </c>
      <c r="AL54" t="s">
        <v>507</v>
      </c>
    </row>
    <row r="55" spans="1:52">
      <c r="A55">
        <v>17</v>
      </c>
      <c r="B55" t="s">
        <v>117</v>
      </c>
      <c r="D55">
        <v>2392.1999999999998</v>
      </c>
      <c r="I55">
        <f t="shared" si="34"/>
        <v>2152.98</v>
      </c>
      <c r="J55">
        <f t="shared" si="29"/>
        <v>2033.37</v>
      </c>
      <c r="K55">
        <f t="shared" si="29"/>
        <v>2631.42</v>
      </c>
      <c r="L55">
        <f t="shared" si="29"/>
        <v>2751.0299999999997</v>
      </c>
      <c r="M55" s="42">
        <v>44469</v>
      </c>
      <c r="N55" s="38">
        <v>250</v>
      </c>
      <c r="O55" s="38">
        <v>2100</v>
      </c>
      <c r="P55" s="38"/>
      <c r="Q55" s="38">
        <v>14.65</v>
      </c>
      <c r="R55" s="38"/>
      <c r="S55" s="38">
        <v>74953</v>
      </c>
      <c r="T55" s="38">
        <v>1</v>
      </c>
      <c r="U55" s="38">
        <f t="shared" si="30"/>
        <v>3662.5</v>
      </c>
      <c r="V55" s="38">
        <f t="shared" si="31"/>
        <v>74953</v>
      </c>
      <c r="W55" s="38">
        <f t="shared" si="28"/>
        <v>525000</v>
      </c>
      <c r="X55" s="40">
        <f t="shared" si="32"/>
        <v>4.8863954744973515E-2</v>
      </c>
      <c r="Y55" s="38">
        <f t="shared" ca="1" si="33"/>
        <v>2.2222222222222223E-2</v>
      </c>
      <c r="Z55" s="38">
        <f t="shared" ca="1" si="26"/>
        <v>8</v>
      </c>
      <c r="AA55" s="44">
        <f t="shared" ca="1" si="27"/>
        <v>2.1988779635238083</v>
      </c>
    </row>
    <row r="56" spans="1:52">
      <c r="A56">
        <v>18</v>
      </c>
      <c r="B56" t="s">
        <v>130</v>
      </c>
      <c r="D56">
        <v>431.55</v>
      </c>
      <c r="I56">
        <f t="shared" si="34"/>
        <v>388.39500000000004</v>
      </c>
      <c r="J56">
        <f t="shared" si="29"/>
        <v>366.8175</v>
      </c>
      <c r="K56">
        <f t="shared" si="29"/>
        <v>474.70500000000004</v>
      </c>
      <c r="L56">
        <f t="shared" si="29"/>
        <v>496.28249999999997</v>
      </c>
      <c r="M56" s="42">
        <v>44469</v>
      </c>
      <c r="N56" s="38">
        <v>1500</v>
      </c>
      <c r="O56" s="38">
        <v>380</v>
      </c>
      <c r="P56" s="38"/>
      <c r="Q56" s="38">
        <v>3.45</v>
      </c>
      <c r="R56" s="38"/>
      <c r="S56" s="38">
        <v>145024</v>
      </c>
      <c r="T56" s="38">
        <v>0</v>
      </c>
      <c r="U56" s="38">
        <f t="shared" si="30"/>
        <v>0</v>
      </c>
      <c r="V56" s="38">
        <f t="shared" si="31"/>
        <v>0</v>
      </c>
      <c r="W56" s="38">
        <f t="shared" si="28"/>
        <v>0</v>
      </c>
      <c r="X56" s="40">
        <f t="shared" si="32"/>
        <v>3.5683748896734334E-2</v>
      </c>
      <c r="Y56" s="38">
        <f t="shared" ca="1" si="33"/>
        <v>2.2222222222222223E-2</v>
      </c>
      <c r="Z56" s="38">
        <f t="shared" ca="1" si="26"/>
        <v>8</v>
      </c>
      <c r="AA56" s="40">
        <f t="shared" ca="1" si="27"/>
        <v>1.605768700353045</v>
      </c>
    </row>
    <row r="57" spans="1:52">
      <c r="A57">
        <v>19</v>
      </c>
      <c r="B57" t="s">
        <v>112</v>
      </c>
      <c r="D57">
        <v>3845.65</v>
      </c>
      <c r="I57">
        <f t="shared" si="34"/>
        <v>3461.085</v>
      </c>
      <c r="J57">
        <f t="shared" si="29"/>
        <v>3268.8024999999998</v>
      </c>
      <c r="K57">
        <f t="shared" si="29"/>
        <v>4230.2150000000001</v>
      </c>
      <c r="L57">
        <f t="shared" si="29"/>
        <v>4422.4974999999995</v>
      </c>
      <c r="M57" s="42">
        <v>44469</v>
      </c>
      <c r="N57" s="38">
        <v>300</v>
      </c>
      <c r="O57" s="38">
        <v>3400</v>
      </c>
      <c r="P57" s="38"/>
      <c r="Q57" s="38">
        <v>14.1</v>
      </c>
      <c r="R57" s="38"/>
      <c r="S57" s="38">
        <v>133676</v>
      </c>
      <c r="T57" s="38">
        <v>0</v>
      </c>
      <c r="U57" s="38">
        <f t="shared" si="30"/>
        <v>0</v>
      </c>
      <c r="V57" s="38">
        <f t="shared" si="31"/>
        <v>0</v>
      </c>
      <c r="W57" s="38">
        <f t="shared" si="28"/>
        <v>0</v>
      </c>
      <c r="X57" s="40">
        <f t="shared" si="32"/>
        <v>3.1643675753313984E-2</v>
      </c>
      <c r="Y57" s="38">
        <f t="shared" ca="1" si="33"/>
        <v>2.2222222222222223E-2</v>
      </c>
      <c r="Z57" s="38">
        <f t="shared" ca="1" si="26"/>
        <v>8</v>
      </c>
      <c r="AA57" s="40">
        <f t="shared" ca="1" si="27"/>
        <v>1.4239654088991291</v>
      </c>
    </row>
    <row r="58" spans="1:52">
      <c r="A58">
        <v>20</v>
      </c>
      <c r="B58" t="s">
        <v>131</v>
      </c>
      <c r="D58">
        <v>7926</v>
      </c>
      <c r="I58">
        <f t="shared" si="34"/>
        <v>7133.4000000000005</v>
      </c>
      <c r="J58">
        <f t="shared" si="29"/>
        <v>6737.0999999999995</v>
      </c>
      <c r="K58">
        <f t="shared" si="29"/>
        <v>8718.6</v>
      </c>
      <c r="L58">
        <f t="shared" si="29"/>
        <v>9114.9</v>
      </c>
      <c r="M58" s="42">
        <v>44469</v>
      </c>
      <c r="N58" s="38"/>
      <c r="O58" s="38"/>
      <c r="P58" s="38"/>
      <c r="Q58" s="38"/>
      <c r="R58" s="38"/>
      <c r="S58" s="38">
        <v>-1</v>
      </c>
      <c r="T58" s="38"/>
      <c r="U58" s="38">
        <f t="shared" si="30"/>
        <v>0</v>
      </c>
      <c r="V58" s="38">
        <f t="shared" si="31"/>
        <v>0</v>
      </c>
      <c r="W58" s="38">
        <f t="shared" si="28"/>
        <v>0</v>
      </c>
      <c r="X58" s="40">
        <f t="shared" si="32"/>
        <v>0</v>
      </c>
      <c r="Y58" s="38">
        <f t="shared" ca="1" si="33"/>
        <v>2.2222222222222223E-2</v>
      </c>
      <c r="Z58" s="38">
        <f t="shared" ca="1" si="26"/>
        <v>8</v>
      </c>
      <c r="AA58" s="40">
        <f t="shared" ca="1" si="27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>
      <selection activeCell="I13" sqref="I13"/>
    </sheetView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XFD60"/>
  <sheetViews>
    <sheetView zoomScale="85" zoomScaleNormal="85" workbookViewId="0">
      <selection activeCell="H7" sqref="H7"/>
    </sheetView>
  </sheetViews>
  <sheetFormatPr defaultRowHeight="15"/>
  <cols>
    <col min="1" max="1" width="24" style="82" bestFit="1" customWidth="1"/>
    <col min="2" max="2" width="12.7109375" style="82" bestFit="1" customWidth="1"/>
    <col min="3" max="3" width="9.140625" style="82"/>
    <col min="7" max="7" width="9.28515625" style="38" bestFit="1" customWidth="1"/>
    <col min="8" max="8" width="10.7109375" style="38" bestFit="1" customWidth="1"/>
    <col min="11" max="11" width="13.5703125" style="38" bestFit="1" customWidth="1"/>
    <col min="14" max="14" width="10" customWidth="1"/>
    <col min="15" max="15" width="14.42578125" style="38" bestFit="1" customWidth="1"/>
    <col min="16" max="16" width="12.7109375" style="38" customWidth="1"/>
    <col min="17" max="17" width="15.42578125" style="38" bestFit="1" customWidth="1"/>
    <col min="18" max="18" width="18.5703125" style="38" customWidth="1"/>
    <col min="19" max="32" width="16.42578125" style="38" bestFit="1" customWidth="1"/>
    <col min="33" max="33" width="9.85546875" bestFit="1" customWidth="1"/>
    <col min="34" max="34" width="9.140625" style="40"/>
    <col min="36" max="36" width="9.28515625" bestFit="1" customWidth="1"/>
  </cols>
  <sheetData>
    <row r="1" spans="1:16384" ht="30">
      <c r="D1" s="97" t="s">
        <v>638</v>
      </c>
      <c r="E1" s="98" t="s">
        <v>639</v>
      </c>
      <c r="F1" s="98" t="s">
        <v>640</v>
      </c>
      <c r="G1" s="99" t="s">
        <v>661</v>
      </c>
      <c r="H1" s="99" t="s">
        <v>641</v>
      </c>
      <c r="I1" s="98" t="s">
        <v>642</v>
      </c>
      <c r="J1" s="98" t="s">
        <v>139</v>
      </c>
      <c r="K1" s="99" t="s">
        <v>643</v>
      </c>
      <c r="L1" s="98" t="s">
        <v>140</v>
      </c>
      <c r="M1" s="98" t="s">
        <v>142</v>
      </c>
      <c r="N1" s="98" t="s">
        <v>644</v>
      </c>
      <c r="O1" s="99" t="s">
        <v>645</v>
      </c>
      <c r="P1" s="99" t="s">
        <v>646</v>
      </c>
      <c r="Q1" s="99" t="s">
        <v>647</v>
      </c>
      <c r="R1" s="92" t="s">
        <v>660</v>
      </c>
      <c r="S1" s="93">
        <v>0.09</v>
      </c>
      <c r="T1" s="93">
        <f>S1-0.5%</f>
        <v>8.4999999999999992E-2</v>
      </c>
      <c r="U1" s="93">
        <f t="shared" ref="U1:AC1" si="0">T1-0.5%</f>
        <v>7.9999999999999988E-2</v>
      </c>
      <c r="V1" s="93">
        <f t="shared" si="0"/>
        <v>7.4999999999999983E-2</v>
      </c>
      <c r="W1" s="93">
        <f t="shared" si="0"/>
        <v>6.9999999999999979E-2</v>
      </c>
      <c r="X1" s="93">
        <f t="shared" si="0"/>
        <v>6.4999999999999974E-2</v>
      </c>
      <c r="Y1" s="93">
        <f t="shared" si="0"/>
        <v>5.9999999999999977E-2</v>
      </c>
      <c r="Z1" s="93">
        <f t="shared" si="0"/>
        <v>5.4999999999999979E-2</v>
      </c>
      <c r="AA1" s="93">
        <f t="shared" si="0"/>
        <v>4.9999999999999982E-2</v>
      </c>
      <c r="AB1" s="93">
        <f t="shared" si="0"/>
        <v>4.4999999999999984E-2</v>
      </c>
      <c r="AC1" s="93">
        <f t="shared" si="0"/>
        <v>3.9999999999999987E-2</v>
      </c>
      <c r="AD1" s="93">
        <f t="shared" ref="AD1:AF1" si="1">AC1-0.5%</f>
        <v>3.4999999999999989E-2</v>
      </c>
      <c r="AE1" s="93">
        <f t="shared" si="1"/>
        <v>2.9999999999999988E-2</v>
      </c>
      <c r="AF1" s="93">
        <f t="shared" si="1"/>
        <v>2.4999999999999988E-2</v>
      </c>
      <c r="AG1" s="83"/>
      <c r="AH1" s="40" t="s">
        <v>648</v>
      </c>
      <c r="AI1" t="s">
        <v>649</v>
      </c>
      <c r="AJ1" s="83"/>
      <c r="AK1" s="89" t="s">
        <v>89</v>
      </c>
      <c r="AL1" s="89" t="s">
        <v>90</v>
      </c>
      <c r="AM1" s="89" t="s">
        <v>91</v>
      </c>
      <c r="AN1" s="89" t="s">
        <v>43</v>
      </c>
      <c r="AO1" s="89" t="s">
        <v>92</v>
      </c>
      <c r="AP1" s="89" t="s">
        <v>650</v>
      </c>
      <c r="AQ1" s="89" t="s">
        <v>93</v>
      </c>
      <c r="AR1" s="89" t="s">
        <v>94</v>
      </c>
      <c r="AS1" s="89" t="s">
        <v>95</v>
      </c>
      <c r="AT1" s="89" t="s">
        <v>96</v>
      </c>
      <c r="AU1" s="89" t="s">
        <v>97</v>
      </c>
      <c r="AV1" s="89" t="s">
        <v>98</v>
      </c>
      <c r="AY1" t="s">
        <v>89</v>
      </c>
      <c r="AZ1" t="s">
        <v>90</v>
      </c>
      <c r="BA1" t="s">
        <v>91</v>
      </c>
      <c r="BB1" t="s">
        <v>43</v>
      </c>
      <c r="BC1" t="s">
        <v>92</v>
      </c>
      <c r="BD1" t="s">
        <v>650</v>
      </c>
      <c r="BE1" t="s">
        <v>93</v>
      </c>
      <c r="BF1" t="s">
        <v>94</v>
      </c>
      <c r="BG1" t="s">
        <v>95</v>
      </c>
      <c r="BH1" t="s">
        <v>96</v>
      </c>
      <c r="BI1" t="s">
        <v>97</v>
      </c>
      <c r="BJ1" t="s">
        <v>98</v>
      </c>
    </row>
    <row r="2" spans="1:16384">
      <c r="A2" s="78" t="s">
        <v>651</v>
      </c>
      <c r="B2" s="78">
        <v>17629</v>
      </c>
      <c r="D2">
        <v>1</v>
      </c>
      <c r="E2">
        <f ca="1">OFFSET($AN$2,COUNTIF($AI$3:$AI$59,TRUE),0)</f>
        <v>17100</v>
      </c>
      <c r="F2">
        <f t="shared" ref="F2:F12" si="2">IF(AI2,AN2)</f>
        <v>16100</v>
      </c>
      <c r="G2" s="38">
        <f t="shared" ref="G2:G33" ca="1" si="3">50*(VLOOKUP($E2,$AN:$AQ,4,0)-VLOOKUP($F2,$AN:$AQ,4,0))*IF(AS2&gt;0,1,0)</f>
        <v>1405</v>
      </c>
      <c r="H2" s="38">
        <f t="shared" ref="H2:H12" ca="1" si="4">50*(F2-E2)+G2</f>
        <v>-48595</v>
      </c>
      <c r="I2" s="40">
        <f t="shared" ref="I2:I12" ca="1" si="5">ABS(G2/H2)</f>
        <v>2.8912439551394175E-2</v>
      </c>
      <c r="J2" t="e">
        <f ca="1">VLOOKUP($B$5&amp;E2&amp;F2,'Margin Schedule'!$A:$E,5,0)</f>
        <v>#N/A</v>
      </c>
      <c r="K2" s="38" t="e">
        <f ca="1">VLOOKUP($B$5&amp;E2&amp;F2,'Margin Schedule'!$A:$F,6,0)</f>
        <v>#N/A</v>
      </c>
      <c r="L2" s="40" t="e">
        <f t="shared" ref="L2:L12" ca="1" si="6">G2/J2</f>
        <v>#N/A</v>
      </c>
      <c r="M2" s="40" t="e">
        <f t="shared" ref="M2:M12" ca="1" si="7">L2/YEARFRAC(TODAY(),$B$5)</f>
        <v>#N/A</v>
      </c>
      <c r="N2" s="84">
        <f ca="1">IFERROR(INT($B$3/G2),INT($B$3/K2))</f>
        <v>35</v>
      </c>
      <c r="O2" s="38" t="e">
        <f t="shared" ref="O2:O12" ca="1" si="8">N2*J2</f>
        <v>#N/A</v>
      </c>
      <c r="P2" s="38" t="e">
        <f ca="1">N2*MAX(G2,K2)</f>
        <v>#N/A</v>
      </c>
      <c r="Q2" s="38">
        <f t="shared" ref="Q2:Q12" ca="1" si="9">H2*N2</f>
        <v>-1700825</v>
      </c>
      <c r="R2" s="90"/>
      <c r="S2" s="90" t="e">
        <f t="shared" ref="S2:AC12" ca="1" si="10">$N2*50*(-MAX($E2-$B$2*(1-S$1),0)+MAX($F2-$B$2*(1-S$1),0))+$P2</f>
        <v>#N/A</v>
      </c>
      <c r="T2" s="90" t="e">
        <f t="shared" ca="1" si="10"/>
        <v>#N/A</v>
      </c>
      <c r="U2" s="90" t="e">
        <f t="shared" ca="1" si="10"/>
        <v>#N/A</v>
      </c>
      <c r="V2" s="90" t="e">
        <f t="shared" ca="1" si="10"/>
        <v>#N/A</v>
      </c>
      <c r="W2" s="90" t="e">
        <f t="shared" ca="1" si="10"/>
        <v>#N/A</v>
      </c>
      <c r="X2" s="90" t="e">
        <f t="shared" ca="1" si="10"/>
        <v>#N/A</v>
      </c>
      <c r="Y2" s="90" t="e">
        <f t="shared" ca="1" si="10"/>
        <v>#N/A</v>
      </c>
      <c r="Z2" s="90" t="e">
        <f t="shared" ca="1" si="10"/>
        <v>#N/A</v>
      </c>
      <c r="AA2" s="90" t="e">
        <f t="shared" ca="1" si="10"/>
        <v>#N/A</v>
      </c>
      <c r="AB2" s="90" t="e">
        <f t="shared" ca="1" si="10"/>
        <v>#N/A</v>
      </c>
      <c r="AC2" s="90" t="e">
        <f t="shared" ca="1" si="10"/>
        <v>#N/A</v>
      </c>
      <c r="AD2" s="90" t="e">
        <f t="shared" ref="AD2:AF17" ca="1" si="11">$N2*50*(-MAX($E2-$B$2*(1-AD$1),0)+MAX($F2-$B$2*(1-AD$1),0))+$P2</f>
        <v>#N/A</v>
      </c>
      <c r="AE2" s="90" t="e">
        <f t="shared" ca="1" si="11"/>
        <v>#N/A</v>
      </c>
      <c r="AF2" s="90" t="e">
        <f t="shared" ca="1" si="11"/>
        <v>#N/A</v>
      </c>
      <c r="AH2" s="40">
        <f>AN2/$B$2</f>
        <v>0.91326791082874803</v>
      </c>
      <c r="AI2" t="b">
        <f t="shared" ref="AI2:AI33" si="12">AH2&lt;$B$4</f>
        <v>1</v>
      </c>
      <c r="AK2">
        <v>69350</v>
      </c>
      <c r="AL2">
        <v>1523</v>
      </c>
      <c r="AM2">
        <v>0.97</v>
      </c>
      <c r="AN2">
        <v>16100</v>
      </c>
      <c r="AO2">
        <v>24.25</v>
      </c>
      <c r="AP2" t="s">
        <v>630</v>
      </c>
      <c r="AQ2">
        <v>9.1</v>
      </c>
      <c r="AR2">
        <v>-0.03</v>
      </c>
      <c r="AS2">
        <v>290100</v>
      </c>
      <c r="AT2">
        <v>-1.91</v>
      </c>
      <c r="AU2">
        <v>2.21</v>
      </c>
      <c r="AV2">
        <v>8.0000000000000007E-5</v>
      </c>
      <c r="AY2">
        <v>5750</v>
      </c>
      <c r="AZ2">
        <v>1484.35</v>
      </c>
      <c r="BA2">
        <v>0.97</v>
      </c>
      <c r="BB2">
        <v>16050</v>
      </c>
      <c r="BC2">
        <v>23.18</v>
      </c>
      <c r="BD2" t="s">
        <v>630</v>
      </c>
      <c r="BE2">
        <v>9.1</v>
      </c>
      <c r="BF2">
        <v>-0.03</v>
      </c>
      <c r="BG2">
        <v>23600</v>
      </c>
      <c r="BH2">
        <v>-1.78</v>
      </c>
      <c r="BI2">
        <v>2.2999999999999998</v>
      </c>
      <c r="BJ2">
        <v>8.0000000000000007E-5</v>
      </c>
    </row>
    <row r="3" spans="1:16384">
      <c r="A3" s="78" t="s">
        <v>652</v>
      </c>
      <c r="B3" s="78">
        <v>50000</v>
      </c>
      <c r="D3">
        <v>2</v>
      </c>
      <c r="E3">
        <f ca="1">E2</f>
        <v>17100</v>
      </c>
      <c r="F3">
        <f t="shared" si="2"/>
        <v>16150</v>
      </c>
      <c r="G3" s="38">
        <f t="shared" ca="1" si="3"/>
        <v>1392.5</v>
      </c>
      <c r="H3" s="38">
        <f t="shared" ca="1" si="4"/>
        <v>-46107.5</v>
      </c>
      <c r="I3" s="40">
        <f t="shared" ca="1" si="5"/>
        <v>3.0201160331833215E-2</v>
      </c>
      <c r="J3" t="e">
        <f ca="1">VLOOKUP($B$5&amp;E3&amp;F3,'Margin Schedule'!$A:$E,5,0)</f>
        <v>#N/A</v>
      </c>
      <c r="K3" s="38" t="e">
        <f ca="1">VLOOKUP($B$5&amp;E3&amp;F3,'Margin Schedule'!$A:$F,6,0)</f>
        <v>#N/A</v>
      </c>
      <c r="L3" s="40" t="e">
        <f t="shared" ca="1" si="6"/>
        <v>#N/A</v>
      </c>
      <c r="M3" s="40" t="e">
        <f t="shared" ca="1" si="7"/>
        <v>#N/A</v>
      </c>
      <c r="N3" s="84">
        <v>52</v>
      </c>
      <c r="O3" s="38" t="e">
        <f t="shared" ca="1" si="8"/>
        <v>#N/A</v>
      </c>
      <c r="P3" s="38">
        <v>58656</v>
      </c>
      <c r="Q3" s="38">
        <f t="shared" ca="1" si="9"/>
        <v>-2397590</v>
      </c>
      <c r="R3" s="90"/>
      <c r="S3" s="90">
        <f t="shared" ca="1" si="10"/>
        <v>-2411344</v>
      </c>
      <c r="T3" s="90">
        <f t="shared" ca="1" si="10"/>
        <v>-2411344</v>
      </c>
      <c r="U3" s="90">
        <f t="shared" ca="1" si="10"/>
        <v>-2232775.9999999991</v>
      </c>
      <c r="V3" s="90">
        <f t="shared" ca="1" si="10"/>
        <v>-2003598.9999999981</v>
      </c>
      <c r="W3" s="90">
        <f t="shared" ca="1" si="10"/>
        <v>-1774421.999999997</v>
      </c>
      <c r="X3" s="90">
        <f t="shared" ca="1" si="10"/>
        <v>-1545244.9999999958</v>
      </c>
      <c r="Y3" s="90">
        <f t="shared" ca="1" si="10"/>
        <v>-1316067.9999999946</v>
      </c>
      <c r="Z3" s="90">
        <f t="shared" ca="1" si="10"/>
        <v>-1086890.9999999935</v>
      </c>
      <c r="AA3" s="90">
        <f t="shared" ca="1" si="10"/>
        <v>-857713.99999999243</v>
      </c>
      <c r="AB3" s="90">
        <f t="shared" ca="1" si="10"/>
        <v>-628537.0000000007</v>
      </c>
      <c r="AC3" s="90">
        <f t="shared" ca="1" si="10"/>
        <v>-399359.99999999965</v>
      </c>
      <c r="AD3" s="90">
        <f t="shared" ca="1" si="11"/>
        <v>-170182.99999999849</v>
      </c>
      <c r="AE3" s="90">
        <f t="shared" ca="1" si="11"/>
        <v>58656</v>
      </c>
      <c r="AF3" s="90">
        <f t="shared" ca="1" si="11"/>
        <v>58656</v>
      </c>
      <c r="AH3" s="40">
        <f t="shared" ref="AH3:AH59" si="13">AN3/$B$2</f>
        <v>0.9161041465766635</v>
      </c>
      <c r="AI3" t="b">
        <f t="shared" si="12"/>
        <v>1</v>
      </c>
      <c r="AK3">
        <v>3350</v>
      </c>
      <c r="AL3">
        <v>1480</v>
      </c>
      <c r="AM3">
        <v>0.97</v>
      </c>
      <c r="AN3">
        <v>16150</v>
      </c>
      <c r="AO3">
        <v>23.66</v>
      </c>
      <c r="AP3" t="s">
        <v>630</v>
      </c>
      <c r="AQ3">
        <v>9.35</v>
      </c>
      <c r="AR3">
        <v>-0.03</v>
      </c>
      <c r="AS3">
        <v>28200</v>
      </c>
      <c r="AT3">
        <v>-1.94</v>
      </c>
      <c r="AU3">
        <v>2.2999999999999998</v>
      </c>
      <c r="AV3">
        <v>8.0000000000000007E-5</v>
      </c>
      <c r="AY3">
        <v>73100</v>
      </c>
      <c r="AZ3">
        <v>1448</v>
      </c>
      <c r="BA3">
        <v>0.97</v>
      </c>
      <c r="BB3">
        <v>16100</v>
      </c>
      <c r="BC3">
        <v>22.45</v>
      </c>
      <c r="BD3" t="s">
        <v>630</v>
      </c>
      <c r="BE3">
        <v>9</v>
      </c>
      <c r="BF3">
        <v>-0.03</v>
      </c>
      <c r="BG3">
        <v>281350</v>
      </c>
      <c r="BH3">
        <v>-1.75</v>
      </c>
      <c r="BI3">
        <v>2.34</v>
      </c>
      <c r="BJ3">
        <v>8.0000000000000007E-5</v>
      </c>
      <c r="BL3">
        <v>0</v>
      </c>
      <c r="BM3">
        <v>0</v>
      </c>
      <c r="BN3">
        <v>0.86</v>
      </c>
      <c r="BO3">
        <v>16050</v>
      </c>
      <c r="BP3">
        <v>23.11</v>
      </c>
      <c r="BQ3" t="s">
        <v>630</v>
      </c>
      <c r="BR3">
        <v>0</v>
      </c>
      <c r="BS3">
        <v>-0.14000000000000001</v>
      </c>
      <c r="BT3">
        <v>0</v>
      </c>
      <c r="BU3">
        <v>-3.6</v>
      </c>
      <c r="BV3">
        <v>13.49</v>
      </c>
      <c r="BW3">
        <v>1.6000000000000001E-4</v>
      </c>
    </row>
    <row r="4" spans="1:16384">
      <c r="A4" s="78" t="s">
        <v>653</v>
      </c>
      <c r="B4" s="85">
        <v>0.97</v>
      </c>
      <c r="D4">
        <v>3</v>
      </c>
      <c r="E4">
        <f t="shared" ref="E4:E59" ca="1" si="14">E3</f>
        <v>17100</v>
      </c>
      <c r="F4">
        <f t="shared" si="2"/>
        <v>16200</v>
      </c>
      <c r="G4" s="38">
        <f t="shared" ca="1" si="3"/>
        <v>1375.0000000000002</v>
      </c>
      <c r="H4" s="38">
        <f t="shared" ca="1" si="4"/>
        <v>-43625</v>
      </c>
      <c r="I4" s="40">
        <f t="shared" ca="1" si="5"/>
        <v>3.1518624641833817E-2</v>
      </c>
      <c r="J4" t="e">
        <f ca="1">VLOOKUP($B$5&amp;E4&amp;F4,'Margin Schedule'!$A:$E,5,0)</f>
        <v>#N/A</v>
      </c>
      <c r="K4" s="38" t="e">
        <f ca="1">VLOOKUP($B$5&amp;E4&amp;F4,'Margin Schedule'!$A:$F,6,0)</f>
        <v>#N/A</v>
      </c>
      <c r="L4" s="40" t="e">
        <f t="shared" ca="1" si="6"/>
        <v>#N/A</v>
      </c>
      <c r="M4" s="40" t="e">
        <f t="shared" ca="1" si="7"/>
        <v>#N/A</v>
      </c>
      <c r="N4" s="84">
        <v>53</v>
      </c>
      <c r="O4" s="38" t="e">
        <f t="shared" ca="1" si="8"/>
        <v>#N/A</v>
      </c>
      <c r="P4" s="38">
        <v>58724</v>
      </c>
      <c r="Q4" s="38">
        <f t="shared" ca="1" si="9"/>
        <v>-2312125</v>
      </c>
      <c r="R4" s="90"/>
      <c r="S4" s="90">
        <f t="shared" ca="1" si="10"/>
        <v>-2326276</v>
      </c>
      <c r="T4" s="90">
        <f t="shared" ca="1" si="10"/>
        <v>-2326276</v>
      </c>
      <c r="U4" s="90">
        <f t="shared" ca="1" si="10"/>
        <v>-2276773.9999999991</v>
      </c>
      <c r="V4" s="90">
        <f t="shared" ca="1" si="10"/>
        <v>-2043189.7499999981</v>
      </c>
      <c r="W4" s="90">
        <f t="shared" ca="1" si="10"/>
        <v>-1809605.499999997</v>
      </c>
      <c r="X4" s="90">
        <f t="shared" ca="1" si="10"/>
        <v>-1576021.2499999958</v>
      </c>
      <c r="Y4" s="90">
        <f t="shared" ca="1" si="10"/>
        <v>-1342436.9999999946</v>
      </c>
      <c r="Z4" s="90">
        <f t="shared" ca="1" si="10"/>
        <v>-1108852.7499999935</v>
      </c>
      <c r="AA4" s="90">
        <f t="shared" ca="1" si="10"/>
        <v>-875268.49999999232</v>
      </c>
      <c r="AB4" s="90">
        <f t="shared" ca="1" si="10"/>
        <v>-641684.25000000081</v>
      </c>
      <c r="AC4" s="90">
        <f t="shared" ca="1" si="10"/>
        <v>-408099.99999999959</v>
      </c>
      <c r="AD4" s="90">
        <f t="shared" ca="1" si="11"/>
        <v>-174515.74999999846</v>
      </c>
      <c r="AE4" s="90">
        <f t="shared" ca="1" si="11"/>
        <v>58724</v>
      </c>
      <c r="AF4" s="90">
        <f t="shared" ca="1" si="11"/>
        <v>58724</v>
      </c>
      <c r="AH4" s="40">
        <f t="shared" si="13"/>
        <v>0.91894038232457886</v>
      </c>
      <c r="AI4" t="b">
        <f t="shared" si="12"/>
        <v>1</v>
      </c>
      <c r="AK4">
        <v>148800</v>
      </c>
      <c r="AL4">
        <v>1421.9</v>
      </c>
      <c r="AM4">
        <v>0.97</v>
      </c>
      <c r="AN4">
        <v>16200</v>
      </c>
      <c r="AO4">
        <v>23.1</v>
      </c>
      <c r="AP4" t="s">
        <v>630</v>
      </c>
      <c r="AQ4">
        <v>9.6999999999999993</v>
      </c>
      <c r="AR4">
        <v>-0.03</v>
      </c>
      <c r="AS4">
        <v>465750</v>
      </c>
      <c r="AT4">
        <v>-1.98</v>
      </c>
      <c r="AU4">
        <v>2.4</v>
      </c>
      <c r="AV4">
        <v>9.0000000000000006E-5</v>
      </c>
      <c r="AY4">
        <v>3850</v>
      </c>
      <c r="AZ4">
        <v>1398</v>
      </c>
      <c r="BA4">
        <v>0.97</v>
      </c>
      <c r="BB4">
        <v>16150</v>
      </c>
      <c r="BC4">
        <v>22.02</v>
      </c>
      <c r="BD4" t="s">
        <v>630</v>
      </c>
      <c r="BE4">
        <v>9.6</v>
      </c>
      <c r="BF4">
        <v>-0.03</v>
      </c>
      <c r="BG4">
        <v>26100</v>
      </c>
      <c r="BH4">
        <v>-1.83</v>
      </c>
      <c r="BI4">
        <v>2.4900000000000002</v>
      </c>
      <c r="BJ4">
        <v>9.0000000000000006E-5</v>
      </c>
      <c r="BL4">
        <v>6100</v>
      </c>
      <c r="BM4">
        <v>1479.15</v>
      </c>
      <c r="BN4">
        <v>0.93</v>
      </c>
      <c r="BO4">
        <v>16100</v>
      </c>
      <c r="BP4">
        <v>17.88</v>
      </c>
      <c r="BQ4" t="s">
        <v>630</v>
      </c>
      <c r="BR4">
        <v>36.15</v>
      </c>
      <c r="BS4">
        <v>-7.0000000000000007E-2</v>
      </c>
      <c r="BT4">
        <v>59300</v>
      </c>
      <c r="BU4">
        <v>-1.74</v>
      </c>
      <c r="BV4">
        <v>8.39</v>
      </c>
      <c r="BW4">
        <v>1.2999999999999999E-4</v>
      </c>
    </row>
    <row r="5" spans="1:16384">
      <c r="A5" s="78" t="s">
        <v>99</v>
      </c>
      <c r="B5" s="86">
        <v>44469</v>
      </c>
      <c r="D5">
        <v>4</v>
      </c>
      <c r="E5">
        <f t="shared" ca="1" si="14"/>
        <v>17100</v>
      </c>
      <c r="F5">
        <f t="shared" si="2"/>
        <v>16250</v>
      </c>
      <c r="G5" s="38">
        <f t="shared" ca="1" si="3"/>
        <v>1345</v>
      </c>
      <c r="H5" s="38">
        <f t="shared" ca="1" si="4"/>
        <v>-41155</v>
      </c>
      <c r="I5" s="40">
        <f t="shared" ca="1" si="5"/>
        <v>3.2681326691774995E-2</v>
      </c>
      <c r="J5" t="e">
        <f ca="1">VLOOKUP($B$5&amp;E5&amp;F5,'Margin Schedule'!$A:$E,5,0)</f>
        <v>#N/A</v>
      </c>
      <c r="K5" s="38" t="e">
        <f ca="1">VLOOKUP($B$5&amp;E5&amp;F5,'Margin Schedule'!$A:$F,6,0)</f>
        <v>#N/A</v>
      </c>
      <c r="L5" s="40" t="e">
        <f t="shared" ca="1" si="6"/>
        <v>#N/A</v>
      </c>
      <c r="M5" s="40" t="e">
        <f t="shared" ca="1" si="7"/>
        <v>#N/A</v>
      </c>
      <c r="N5" s="84">
        <v>53</v>
      </c>
      <c r="O5" s="38" t="e">
        <f t="shared" ca="1" si="8"/>
        <v>#N/A</v>
      </c>
      <c r="P5" s="38">
        <v>57929</v>
      </c>
      <c r="Q5" s="38">
        <f t="shared" ca="1" si="9"/>
        <v>-2181215</v>
      </c>
      <c r="R5" s="90"/>
      <c r="S5" s="90">
        <f t="shared" ca="1" si="10"/>
        <v>-2194571</v>
      </c>
      <c r="T5" s="90">
        <f t="shared" ca="1" si="10"/>
        <v>-2194571</v>
      </c>
      <c r="U5" s="90">
        <f t="shared" ca="1" si="10"/>
        <v>-2194571</v>
      </c>
      <c r="V5" s="90">
        <f t="shared" ca="1" si="10"/>
        <v>-2043984.7499999981</v>
      </c>
      <c r="W5" s="90">
        <f t="shared" ca="1" si="10"/>
        <v>-1810400.499999997</v>
      </c>
      <c r="X5" s="90">
        <f t="shared" ca="1" si="10"/>
        <v>-1576816.2499999958</v>
      </c>
      <c r="Y5" s="90">
        <f t="shared" ca="1" si="10"/>
        <v>-1343231.9999999946</v>
      </c>
      <c r="Z5" s="90">
        <f t="shared" ca="1" si="10"/>
        <v>-1109647.7499999935</v>
      </c>
      <c r="AA5" s="90">
        <f t="shared" ca="1" si="10"/>
        <v>-876063.49999999232</v>
      </c>
      <c r="AB5" s="90">
        <f t="shared" ca="1" si="10"/>
        <v>-642479.25000000081</v>
      </c>
      <c r="AC5" s="90">
        <f t="shared" ca="1" si="10"/>
        <v>-408894.99999999959</v>
      </c>
      <c r="AD5" s="90">
        <f t="shared" ca="1" si="11"/>
        <v>-175310.74999999846</v>
      </c>
      <c r="AE5" s="90">
        <f t="shared" ca="1" si="11"/>
        <v>57929</v>
      </c>
      <c r="AF5" s="90">
        <f t="shared" ca="1" si="11"/>
        <v>57929</v>
      </c>
      <c r="AH5" s="40">
        <f t="shared" si="13"/>
        <v>0.92177661807249422</v>
      </c>
      <c r="AI5" t="b">
        <f t="shared" si="12"/>
        <v>1</v>
      </c>
      <c r="AK5">
        <v>11300</v>
      </c>
      <c r="AL5">
        <v>1387</v>
      </c>
      <c r="AM5">
        <v>0.97</v>
      </c>
      <c r="AN5">
        <v>16250</v>
      </c>
      <c r="AO5">
        <v>22.63</v>
      </c>
      <c r="AP5" t="s">
        <v>630</v>
      </c>
      <c r="AQ5">
        <v>10.3</v>
      </c>
      <c r="AR5">
        <v>-0.03</v>
      </c>
      <c r="AS5">
        <v>35500</v>
      </c>
      <c r="AT5">
        <v>-2.06</v>
      </c>
      <c r="AU5">
        <v>2.54</v>
      </c>
      <c r="AV5">
        <v>9.0000000000000006E-5</v>
      </c>
      <c r="AY5">
        <v>147600</v>
      </c>
      <c r="AZ5">
        <v>1352.1</v>
      </c>
      <c r="BA5">
        <v>0.97</v>
      </c>
      <c r="BB5">
        <v>16200</v>
      </c>
      <c r="BC5">
        <v>21.35</v>
      </c>
      <c r="BD5" t="s">
        <v>630</v>
      </c>
      <c r="BE5">
        <v>9.65</v>
      </c>
      <c r="BF5">
        <v>-0.03</v>
      </c>
      <c r="BG5">
        <v>462650</v>
      </c>
      <c r="BH5">
        <v>-1.82</v>
      </c>
      <c r="BI5">
        <v>2.5499999999999998</v>
      </c>
      <c r="BJ5">
        <v>9.0000000000000006E-5</v>
      </c>
      <c r="BL5">
        <v>0</v>
      </c>
      <c r="BM5">
        <v>0</v>
      </c>
      <c r="BN5">
        <v>0.84</v>
      </c>
      <c r="BO5">
        <v>16150</v>
      </c>
      <c r="BP5">
        <v>23.09</v>
      </c>
      <c r="BQ5" t="s">
        <v>630</v>
      </c>
      <c r="BR5">
        <v>0</v>
      </c>
      <c r="BS5">
        <v>-0.16</v>
      </c>
      <c r="BT5">
        <v>0</v>
      </c>
      <c r="BU5">
        <v>-3.9</v>
      </c>
      <c r="BV5">
        <v>14.61</v>
      </c>
      <c r="BW5">
        <v>1.8000000000000001E-4</v>
      </c>
    </row>
    <row r="6" spans="1:16384" s="37" customFormat="1">
      <c r="A6" s="78" t="s">
        <v>654</v>
      </c>
      <c r="B6" s="87">
        <v>4000000</v>
      </c>
      <c r="C6" s="82"/>
      <c r="D6">
        <v>5</v>
      </c>
      <c r="E6">
        <f t="shared" ca="1" si="14"/>
        <v>17100</v>
      </c>
      <c r="F6">
        <f t="shared" si="2"/>
        <v>16300</v>
      </c>
      <c r="G6" s="38">
        <f t="shared" ca="1" si="3"/>
        <v>1317.5</v>
      </c>
      <c r="H6" s="38">
        <f t="shared" ca="1" si="4"/>
        <v>-38682.5</v>
      </c>
      <c r="I6" s="40">
        <f t="shared" ca="1" si="5"/>
        <v>3.4059329154010214E-2</v>
      </c>
      <c r="J6" t="e">
        <f ca="1">VLOOKUP($B$5&amp;E6&amp;F6,'Margin Schedule'!$A:$E,5,0)</f>
        <v>#N/A</v>
      </c>
      <c r="K6" s="38" t="e">
        <f ca="1">VLOOKUP($B$5&amp;E6&amp;F6,'Margin Schedule'!$A:$F,6,0)</f>
        <v>#N/A</v>
      </c>
      <c r="L6" s="40" t="e">
        <f t="shared" ca="1" si="6"/>
        <v>#N/A</v>
      </c>
      <c r="M6" s="40" t="e">
        <f t="shared" ca="1" si="7"/>
        <v>#N/A</v>
      </c>
      <c r="N6" s="84">
        <v>55</v>
      </c>
      <c r="O6" s="38" t="e">
        <f t="shared" ca="1" si="8"/>
        <v>#N/A</v>
      </c>
      <c r="P6" s="38">
        <v>58850</v>
      </c>
      <c r="Q6" s="38">
        <f t="shared" ca="1" si="9"/>
        <v>-2127537.5</v>
      </c>
      <c r="R6" s="90"/>
      <c r="S6" s="90">
        <f t="shared" ca="1" si="10"/>
        <v>-2141150</v>
      </c>
      <c r="T6" s="90">
        <f t="shared" ca="1" si="10"/>
        <v>-2141150</v>
      </c>
      <c r="U6" s="90">
        <f t="shared" ca="1" si="10"/>
        <v>-2141150</v>
      </c>
      <c r="V6" s="90">
        <f t="shared" ca="1" si="10"/>
        <v>-2122381.2499999981</v>
      </c>
      <c r="W6" s="90">
        <f t="shared" ca="1" si="10"/>
        <v>-1879982.4999999967</v>
      </c>
      <c r="X6" s="90">
        <f t="shared" ca="1" si="10"/>
        <v>-1637583.7499999956</v>
      </c>
      <c r="Y6" s="90">
        <f t="shared" ca="1" si="10"/>
        <v>-1395184.9999999944</v>
      </c>
      <c r="Z6" s="90">
        <f t="shared" ca="1" si="10"/>
        <v>-1152786.2499999932</v>
      </c>
      <c r="AA6" s="90">
        <f t="shared" ca="1" si="10"/>
        <v>-910387.49999999197</v>
      </c>
      <c r="AB6" s="90">
        <f t="shared" ca="1" si="10"/>
        <v>-667988.75000000081</v>
      </c>
      <c r="AC6" s="90">
        <f t="shared" ca="1" si="10"/>
        <v>-425589.99999999959</v>
      </c>
      <c r="AD6" s="90">
        <f t="shared" ca="1" si="11"/>
        <v>-183191.2499999984</v>
      </c>
      <c r="AE6" s="90">
        <f t="shared" ca="1" si="11"/>
        <v>58850</v>
      </c>
      <c r="AF6" s="90">
        <f t="shared" ca="1" si="11"/>
        <v>58850</v>
      </c>
      <c r="AG6"/>
      <c r="AH6" s="40">
        <f t="shared" si="13"/>
        <v>0.92461285382040959</v>
      </c>
      <c r="AI6" t="b">
        <f t="shared" si="12"/>
        <v>1</v>
      </c>
      <c r="AJ6"/>
      <c r="AK6">
        <v>282000</v>
      </c>
      <c r="AL6">
        <v>1325.55</v>
      </c>
      <c r="AM6">
        <v>0.96</v>
      </c>
      <c r="AN6">
        <v>16300</v>
      </c>
      <c r="AO6">
        <v>22.12</v>
      </c>
      <c r="AP6" t="s">
        <v>630</v>
      </c>
      <c r="AQ6">
        <v>10.85</v>
      </c>
      <c r="AR6">
        <v>-0.04</v>
      </c>
      <c r="AS6">
        <v>687950</v>
      </c>
      <c r="AT6">
        <v>-2.12</v>
      </c>
      <c r="AU6">
        <v>2.69</v>
      </c>
      <c r="AV6">
        <v>1E-4</v>
      </c>
      <c r="AW6"/>
      <c r="AX6"/>
      <c r="AY6">
        <v>12000</v>
      </c>
      <c r="AZ6">
        <v>1283</v>
      </c>
      <c r="BA6">
        <v>0.97</v>
      </c>
      <c r="BB6">
        <v>16250</v>
      </c>
      <c r="BC6">
        <v>20.86</v>
      </c>
      <c r="BD6" t="s">
        <v>630</v>
      </c>
      <c r="BE6">
        <v>10.199999999999999</v>
      </c>
      <c r="BF6">
        <v>-0.03</v>
      </c>
      <c r="BG6">
        <v>34100</v>
      </c>
      <c r="BH6">
        <v>-1.88</v>
      </c>
      <c r="BI6">
        <v>2.7</v>
      </c>
      <c r="BJ6">
        <v>1E-4</v>
      </c>
      <c r="BK6"/>
      <c r="BL6">
        <v>15050</v>
      </c>
      <c r="BM6">
        <v>1390.95</v>
      </c>
      <c r="BN6">
        <v>0.92</v>
      </c>
      <c r="BO6">
        <v>16200</v>
      </c>
      <c r="BP6">
        <v>16.87</v>
      </c>
      <c r="BQ6" t="s">
        <v>630</v>
      </c>
      <c r="BR6">
        <v>35.85</v>
      </c>
      <c r="BS6">
        <v>-0.08</v>
      </c>
      <c r="BT6">
        <v>151000</v>
      </c>
      <c r="BU6">
        <v>-1.7</v>
      </c>
      <c r="BV6">
        <v>8.67</v>
      </c>
      <c r="BW6">
        <v>1.3999999999999999E-4</v>
      </c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  <c r="AMK6"/>
      <c r="AML6"/>
      <c r="AMM6"/>
      <c r="AMN6"/>
      <c r="AMO6"/>
      <c r="AMP6"/>
      <c r="AMQ6"/>
      <c r="AMR6"/>
      <c r="AMS6"/>
      <c r="AMT6"/>
      <c r="AMU6"/>
      <c r="AMV6"/>
      <c r="AMW6"/>
      <c r="AMX6"/>
      <c r="AMY6"/>
      <c r="AMZ6"/>
      <c r="ANA6"/>
      <c r="ANB6"/>
      <c r="ANC6"/>
      <c r="AND6"/>
      <c r="ANE6"/>
      <c r="ANF6"/>
      <c r="ANG6"/>
      <c r="ANH6"/>
      <c r="ANI6"/>
      <c r="ANJ6"/>
      <c r="ANK6"/>
      <c r="ANL6"/>
      <c r="ANM6"/>
      <c r="ANN6"/>
      <c r="ANO6"/>
      <c r="ANP6"/>
      <c r="ANQ6"/>
      <c r="ANR6"/>
      <c r="ANS6"/>
      <c r="ANT6"/>
      <c r="ANU6"/>
      <c r="ANV6"/>
      <c r="ANW6"/>
      <c r="ANX6"/>
      <c r="ANY6"/>
      <c r="ANZ6"/>
      <c r="AOA6"/>
      <c r="AOB6"/>
      <c r="AOC6"/>
      <c r="AOD6"/>
      <c r="AOE6"/>
      <c r="AOF6"/>
      <c r="AOG6"/>
      <c r="AOH6"/>
      <c r="AOI6"/>
      <c r="AOJ6"/>
      <c r="AOK6"/>
      <c r="AOL6"/>
      <c r="AOM6"/>
      <c r="AON6"/>
      <c r="AOO6"/>
      <c r="AOP6"/>
      <c r="AOQ6"/>
      <c r="AOR6"/>
      <c r="AOS6"/>
      <c r="AOT6"/>
      <c r="AOU6"/>
      <c r="AOV6"/>
      <c r="AOW6"/>
      <c r="AOX6"/>
      <c r="AOY6"/>
      <c r="AOZ6"/>
      <c r="APA6"/>
      <c r="APB6"/>
      <c r="APC6"/>
      <c r="APD6"/>
      <c r="APE6"/>
      <c r="APF6"/>
      <c r="APG6"/>
      <c r="APH6"/>
      <c r="API6"/>
      <c r="APJ6"/>
      <c r="APK6"/>
      <c r="APL6"/>
      <c r="APM6"/>
      <c r="APN6"/>
      <c r="APO6"/>
      <c r="APP6"/>
      <c r="APQ6"/>
      <c r="APR6"/>
      <c r="APS6"/>
      <c r="APT6"/>
      <c r="APU6"/>
      <c r="APV6"/>
      <c r="APW6"/>
      <c r="APX6"/>
      <c r="APY6"/>
      <c r="APZ6"/>
      <c r="AQA6"/>
      <c r="AQB6"/>
      <c r="AQC6"/>
      <c r="AQD6"/>
      <c r="AQE6"/>
      <c r="AQF6"/>
      <c r="AQG6"/>
      <c r="AQH6"/>
      <c r="AQI6"/>
      <c r="AQJ6"/>
      <c r="AQK6"/>
      <c r="AQL6"/>
      <c r="AQM6"/>
      <c r="AQN6"/>
      <c r="AQO6"/>
      <c r="AQP6"/>
      <c r="AQQ6"/>
      <c r="AQR6"/>
      <c r="AQS6"/>
      <c r="AQT6"/>
      <c r="AQU6"/>
      <c r="AQV6"/>
      <c r="AQW6"/>
      <c r="AQX6"/>
      <c r="AQY6"/>
      <c r="AQZ6"/>
      <c r="ARA6"/>
      <c r="ARB6"/>
      <c r="ARC6"/>
      <c r="ARD6"/>
      <c r="ARE6"/>
      <c r="ARF6"/>
      <c r="ARG6"/>
      <c r="ARH6"/>
      <c r="ARI6"/>
      <c r="ARJ6"/>
      <c r="ARK6"/>
      <c r="ARL6"/>
      <c r="ARM6"/>
      <c r="ARN6"/>
      <c r="ARO6"/>
      <c r="ARP6"/>
      <c r="ARQ6"/>
      <c r="ARR6"/>
      <c r="ARS6"/>
      <c r="ART6"/>
      <c r="ARU6"/>
      <c r="ARV6"/>
      <c r="ARW6"/>
      <c r="ARX6"/>
      <c r="ARY6"/>
      <c r="ARZ6"/>
      <c r="ASA6"/>
      <c r="ASB6"/>
      <c r="ASC6"/>
      <c r="ASD6"/>
      <c r="ASE6"/>
      <c r="ASF6"/>
      <c r="ASG6"/>
      <c r="ASH6"/>
      <c r="ASI6"/>
      <c r="ASJ6"/>
      <c r="ASK6"/>
      <c r="ASL6"/>
      <c r="ASM6"/>
      <c r="ASN6"/>
      <c r="ASO6"/>
      <c r="ASP6"/>
      <c r="ASQ6"/>
      <c r="ASR6"/>
      <c r="ASS6"/>
      <c r="AST6"/>
      <c r="ASU6"/>
      <c r="ASV6"/>
      <c r="ASW6"/>
      <c r="ASX6"/>
      <c r="ASY6"/>
      <c r="ASZ6"/>
      <c r="ATA6"/>
      <c r="ATB6"/>
      <c r="ATC6"/>
      <c r="ATD6"/>
      <c r="ATE6"/>
      <c r="ATF6"/>
      <c r="ATG6"/>
      <c r="ATH6"/>
      <c r="ATI6"/>
      <c r="ATJ6"/>
      <c r="ATK6"/>
      <c r="ATL6"/>
      <c r="ATM6"/>
      <c r="ATN6"/>
      <c r="ATO6"/>
      <c r="ATP6"/>
      <c r="ATQ6"/>
      <c r="ATR6"/>
      <c r="ATS6"/>
      <c r="ATT6"/>
      <c r="ATU6"/>
      <c r="ATV6"/>
      <c r="ATW6"/>
      <c r="ATX6"/>
      <c r="ATY6"/>
      <c r="ATZ6"/>
      <c r="AUA6"/>
      <c r="AUB6"/>
      <c r="AUC6"/>
      <c r="AUD6"/>
      <c r="AUE6"/>
      <c r="AUF6"/>
      <c r="AUG6"/>
      <c r="AUH6"/>
      <c r="AUI6"/>
      <c r="AUJ6"/>
      <c r="AUK6"/>
      <c r="AUL6"/>
      <c r="AUM6"/>
      <c r="AUN6"/>
      <c r="AUO6"/>
      <c r="AUP6"/>
      <c r="AUQ6"/>
      <c r="AUR6"/>
      <c r="AUS6"/>
      <c r="AUT6"/>
      <c r="AUU6"/>
      <c r="AUV6"/>
      <c r="AUW6"/>
      <c r="AUX6"/>
      <c r="AUY6"/>
      <c r="AUZ6"/>
      <c r="AVA6"/>
      <c r="AVB6"/>
      <c r="AVC6"/>
      <c r="AVD6"/>
      <c r="AVE6"/>
      <c r="AVF6"/>
      <c r="AVG6"/>
      <c r="AVH6"/>
      <c r="AVI6"/>
      <c r="AVJ6"/>
      <c r="AVK6"/>
      <c r="AVL6"/>
      <c r="AVM6"/>
      <c r="AVN6"/>
      <c r="AVO6"/>
      <c r="AVP6"/>
      <c r="AVQ6"/>
      <c r="AVR6"/>
      <c r="AVS6"/>
      <c r="AVT6"/>
      <c r="AVU6"/>
      <c r="AVV6"/>
      <c r="AVW6"/>
      <c r="AVX6"/>
      <c r="AVY6"/>
      <c r="AVZ6"/>
      <c r="AWA6"/>
      <c r="AWB6"/>
      <c r="AWC6"/>
      <c r="AWD6"/>
      <c r="AWE6"/>
      <c r="AWF6"/>
      <c r="AWG6"/>
      <c r="AWH6"/>
      <c r="AWI6"/>
      <c r="AWJ6"/>
      <c r="AWK6"/>
      <c r="AWL6"/>
      <c r="AWM6"/>
      <c r="AWN6"/>
      <c r="AWO6"/>
      <c r="AWP6"/>
      <c r="AWQ6"/>
      <c r="AWR6"/>
      <c r="AWS6"/>
      <c r="AWT6"/>
      <c r="AWU6"/>
      <c r="AWV6"/>
      <c r="AWW6"/>
      <c r="AWX6"/>
      <c r="AWY6"/>
      <c r="AWZ6"/>
      <c r="AXA6"/>
      <c r="AXB6"/>
      <c r="AXC6"/>
      <c r="AXD6"/>
      <c r="AXE6"/>
      <c r="AXF6"/>
      <c r="AXG6"/>
      <c r="AXH6"/>
      <c r="AXI6"/>
      <c r="AXJ6"/>
      <c r="AXK6"/>
      <c r="AXL6"/>
      <c r="AXM6"/>
      <c r="AXN6"/>
      <c r="AXO6"/>
      <c r="AXP6"/>
      <c r="AXQ6"/>
      <c r="AXR6"/>
      <c r="AXS6"/>
      <c r="AXT6"/>
      <c r="AXU6"/>
      <c r="AXV6"/>
      <c r="AXW6"/>
      <c r="AXX6"/>
      <c r="AXY6"/>
      <c r="AXZ6"/>
      <c r="AYA6"/>
      <c r="AYB6"/>
      <c r="AYC6"/>
      <c r="AYD6"/>
      <c r="AYE6"/>
      <c r="AYF6"/>
      <c r="AYG6"/>
      <c r="AYH6"/>
      <c r="AYI6"/>
      <c r="AYJ6"/>
      <c r="AYK6"/>
      <c r="AYL6"/>
      <c r="AYM6"/>
      <c r="AYN6"/>
      <c r="AYO6"/>
      <c r="AYP6"/>
      <c r="AYQ6"/>
      <c r="AYR6"/>
      <c r="AYS6"/>
      <c r="AYT6"/>
      <c r="AYU6"/>
      <c r="AYV6"/>
      <c r="AYW6"/>
      <c r="AYX6"/>
      <c r="AYY6"/>
      <c r="AYZ6"/>
      <c r="AZA6"/>
      <c r="AZB6"/>
      <c r="AZC6"/>
      <c r="AZD6"/>
      <c r="AZE6"/>
      <c r="AZF6"/>
      <c r="AZG6"/>
      <c r="AZH6"/>
      <c r="AZI6"/>
      <c r="AZJ6"/>
      <c r="AZK6"/>
      <c r="AZL6"/>
      <c r="AZM6"/>
      <c r="AZN6"/>
      <c r="AZO6"/>
      <c r="AZP6"/>
      <c r="AZQ6"/>
      <c r="AZR6"/>
      <c r="AZS6"/>
      <c r="AZT6"/>
      <c r="AZU6"/>
      <c r="AZV6"/>
      <c r="AZW6"/>
      <c r="AZX6"/>
      <c r="AZY6"/>
      <c r="AZZ6"/>
      <c r="BAA6"/>
      <c r="BAB6"/>
      <c r="BAC6"/>
      <c r="BAD6"/>
      <c r="BAE6"/>
      <c r="BAF6"/>
      <c r="BAG6"/>
      <c r="BAH6"/>
      <c r="BAI6"/>
      <c r="BAJ6"/>
      <c r="BAK6"/>
      <c r="BAL6"/>
      <c r="BAM6"/>
      <c r="BAN6"/>
      <c r="BAO6"/>
      <c r="BAP6"/>
      <c r="BAQ6"/>
      <c r="BAR6"/>
      <c r="BAS6"/>
      <c r="BAT6"/>
      <c r="BAU6"/>
      <c r="BAV6"/>
      <c r="BAW6"/>
      <c r="BAX6"/>
      <c r="BAY6"/>
      <c r="BAZ6"/>
      <c r="BBA6"/>
      <c r="BBB6"/>
      <c r="BBC6"/>
      <c r="BBD6"/>
      <c r="BBE6"/>
      <c r="BBF6"/>
      <c r="BBG6"/>
      <c r="BBH6"/>
      <c r="BBI6"/>
      <c r="BBJ6"/>
      <c r="BBK6"/>
      <c r="BBL6"/>
      <c r="BBM6"/>
      <c r="BBN6"/>
      <c r="BBO6"/>
      <c r="BBP6"/>
      <c r="BBQ6"/>
      <c r="BBR6"/>
      <c r="BBS6"/>
      <c r="BBT6"/>
      <c r="BBU6"/>
      <c r="BBV6"/>
      <c r="BBW6"/>
      <c r="BBX6"/>
      <c r="BBY6"/>
      <c r="BBZ6"/>
      <c r="BCA6"/>
      <c r="BCB6"/>
      <c r="BCC6"/>
      <c r="BCD6"/>
      <c r="BCE6"/>
      <c r="BCF6"/>
      <c r="BCG6"/>
      <c r="BCH6"/>
      <c r="BCI6"/>
      <c r="BCJ6"/>
      <c r="BCK6"/>
      <c r="BCL6"/>
      <c r="BCM6"/>
      <c r="BCN6"/>
      <c r="BCO6"/>
      <c r="BCP6"/>
      <c r="BCQ6"/>
      <c r="BCR6"/>
      <c r="BCS6"/>
      <c r="BCT6"/>
      <c r="BCU6"/>
      <c r="BCV6"/>
      <c r="BCW6"/>
      <c r="BCX6"/>
      <c r="BCY6"/>
      <c r="BCZ6"/>
      <c r="BDA6"/>
      <c r="BDB6"/>
      <c r="BDC6"/>
      <c r="BDD6"/>
      <c r="BDE6"/>
      <c r="BDF6"/>
      <c r="BDG6"/>
      <c r="BDH6"/>
      <c r="BDI6"/>
      <c r="BDJ6"/>
      <c r="BDK6"/>
      <c r="BDL6"/>
      <c r="BDM6"/>
      <c r="BDN6"/>
      <c r="BDO6"/>
      <c r="BDP6"/>
      <c r="BDQ6"/>
      <c r="BDR6"/>
      <c r="BDS6"/>
      <c r="BDT6"/>
      <c r="BDU6"/>
      <c r="BDV6"/>
      <c r="BDW6"/>
      <c r="BDX6"/>
      <c r="BDY6"/>
      <c r="BDZ6"/>
      <c r="BEA6"/>
      <c r="BEB6"/>
      <c r="BEC6"/>
      <c r="BED6"/>
      <c r="BEE6"/>
      <c r="BEF6"/>
      <c r="BEG6"/>
      <c r="BEH6"/>
      <c r="BEI6"/>
      <c r="BEJ6"/>
      <c r="BEK6"/>
      <c r="BEL6"/>
      <c r="BEM6"/>
      <c r="BEN6"/>
      <c r="BEO6"/>
      <c r="BEP6"/>
      <c r="BEQ6"/>
      <c r="BER6"/>
      <c r="BES6"/>
      <c r="BET6"/>
      <c r="BEU6"/>
      <c r="BEV6"/>
      <c r="BEW6"/>
      <c r="BEX6"/>
      <c r="BEY6"/>
      <c r="BEZ6"/>
      <c r="BFA6"/>
      <c r="BFB6"/>
      <c r="BFC6"/>
      <c r="BFD6"/>
      <c r="BFE6"/>
      <c r="BFF6"/>
      <c r="BFG6"/>
      <c r="BFH6"/>
      <c r="BFI6"/>
      <c r="BFJ6"/>
      <c r="BFK6"/>
      <c r="BFL6"/>
      <c r="BFM6"/>
      <c r="BFN6"/>
      <c r="BFO6"/>
      <c r="BFP6"/>
      <c r="BFQ6"/>
      <c r="BFR6"/>
      <c r="BFS6"/>
      <c r="BFT6"/>
      <c r="BFU6"/>
      <c r="BFV6"/>
      <c r="BFW6"/>
      <c r="BFX6"/>
      <c r="BFY6"/>
      <c r="BFZ6"/>
      <c r="BGA6"/>
      <c r="BGB6"/>
      <c r="BGC6"/>
      <c r="BGD6"/>
      <c r="BGE6"/>
      <c r="BGF6"/>
      <c r="BGG6"/>
      <c r="BGH6"/>
      <c r="BGI6"/>
      <c r="BGJ6"/>
      <c r="BGK6"/>
      <c r="BGL6"/>
      <c r="BGM6"/>
      <c r="BGN6"/>
      <c r="BGO6"/>
      <c r="BGP6"/>
      <c r="BGQ6"/>
      <c r="BGR6"/>
      <c r="BGS6"/>
      <c r="BGT6"/>
      <c r="BGU6"/>
      <c r="BGV6"/>
      <c r="BGW6"/>
      <c r="BGX6"/>
      <c r="BGY6"/>
      <c r="BGZ6"/>
      <c r="BHA6"/>
      <c r="BHB6"/>
      <c r="BHC6"/>
      <c r="BHD6"/>
      <c r="BHE6"/>
      <c r="BHF6"/>
      <c r="BHG6"/>
      <c r="BHH6"/>
      <c r="BHI6"/>
      <c r="BHJ6"/>
      <c r="BHK6"/>
      <c r="BHL6"/>
      <c r="BHM6"/>
      <c r="BHN6"/>
      <c r="BHO6"/>
      <c r="BHP6"/>
      <c r="BHQ6"/>
      <c r="BHR6"/>
      <c r="BHS6"/>
      <c r="BHT6"/>
      <c r="BHU6"/>
      <c r="BHV6"/>
      <c r="BHW6"/>
      <c r="BHX6"/>
      <c r="BHY6"/>
      <c r="BHZ6"/>
      <c r="BIA6"/>
      <c r="BIB6"/>
      <c r="BIC6"/>
      <c r="BID6"/>
      <c r="BIE6"/>
      <c r="BIF6"/>
      <c r="BIG6"/>
      <c r="BIH6"/>
      <c r="BII6"/>
      <c r="BIJ6"/>
      <c r="BIK6"/>
      <c r="BIL6"/>
      <c r="BIM6"/>
      <c r="BIN6"/>
      <c r="BIO6"/>
      <c r="BIP6"/>
      <c r="BIQ6"/>
      <c r="BIR6"/>
      <c r="BIS6"/>
      <c r="BIT6"/>
      <c r="BIU6"/>
      <c r="BIV6"/>
      <c r="BIW6"/>
      <c r="BIX6"/>
      <c r="BIY6"/>
      <c r="BIZ6"/>
      <c r="BJA6"/>
      <c r="BJB6"/>
      <c r="BJC6"/>
      <c r="BJD6"/>
      <c r="BJE6"/>
      <c r="BJF6"/>
      <c r="BJG6"/>
      <c r="BJH6"/>
      <c r="BJI6"/>
      <c r="BJJ6"/>
      <c r="BJK6"/>
      <c r="BJL6"/>
      <c r="BJM6"/>
      <c r="BJN6"/>
      <c r="BJO6"/>
      <c r="BJP6"/>
      <c r="BJQ6"/>
      <c r="BJR6"/>
      <c r="BJS6"/>
      <c r="BJT6"/>
      <c r="BJU6"/>
      <c r="BJV6"/>
      <c r="BJW6"/>
      <c r="BJX6"/>
      <c r="BJY6"/>
      <c r="BJZ6"/>
      <c r="BKA6"/>
      <c r="BKB6"/>
      <c r="BKC6"/>
      <c r="BKD6"/>
      <c r="BKE6"/>
      <c r="BKF6"/>
      <c r="BKG6"/>
      <c r="BKH6"/>
      <c r="BKI6"/>
      <c r="BKJ6"/>
      <c r="BKK6"/>
      <c r="BKL6"/>
      <c r="BKM6"/>
      <c r="BKN6"/>
      <c r="BKO6"/>
      <c r="BKP6"/>
      <c r="BKQ6"/>
      <c r="BKR6"/>
      <c r="BKS6"/>
      <c r="BKT6"/>
      <c r="BKU6"/>
      <c r="BKV6"/>
      <c r="BKW6"/>
      <c r="BKX6"/>
      <c r="BKY6"/>
      <c r="BKZ6"/>
      <c r="BLA6"/>
      <c r="BLB6"/>
      <c r="BLC6"/>
      <c r="BLD6"/>
      <c r="BLE6"/>
      <c r="BLF6"/>
      <c r="BLG6"/>
      <c r="BLH6"/>
      <c r="BLI6"/>
      <c r="BLJ6"/>
      <c r="BLK6"/>
      <c r="BLL6"/>
      <c r="BLM6"/>
      <c r="BLN6"/>
      <c r="BLO6"/>
      <c r="BLP6"/>
      <c r="BLQ6"/>
      <c r="BLR6"/>
      <c r="BLS6"/>
      <c r="BLT6"/>
      <c r="BLU6"/>
      <c r="BLV6"/>
      <c r="BLW6"/>
      <c r="BLX6"/>
      <c r="BLY6"/>
      <c r="BLZ6"/>
      <c r="BMA6"/>
      <c r="BMB6"/>
      <c r="BMC6"/>
      <c r="BMD6"/>
      <c r="BME6"/>
      <c r="BMF6"/>
      <c r="BMG6"/>
      <c r="BMH6"/>
      <c r="BMI6"/>
      <c r="BMJ6"/>
      <c r="BMK6"/>
      <c r="BML6"/>
      <c r="BMM6"/>
      <c r="BMN6"/>
      <c r="BMO6"/>
      <c r="BMP6"/>
      <c r="BMQ6"/>
      <c r="BMR6"/>
      <c r="BMS6"/>
      <c r="BMT6"/>
      <c r="BMU6"/>
      <c r="BMV6"/>
      <c r="BMW6"/>
      <c r="BMX6"/>
      <c r="BMY6"/>
      <c r="BMZ6"/>
      <c r="BNA6"/>
      <c r="BNB6"/>
      <c r="BNC6"/>
      <c r="BND6"/>
      <c r="BNE6"/>
      <c r="BNF6"/>
      <c r="BNG6"/>
      <c r="BNH6"/>
      <c r="BNI6"/>
      <c r="BNJ6"/>
      <c r="BNK6"/>
      <c r="BNL6"/>
      <c r="BNM6"/>
      <c r="BNN6"/>
      <c r="BNO6"/>
      <c r="BNP6"/>
      <c r="BNQ6"/>
      <c r="BNR6"/>
      <c r="BNS6"/>
      <c r="BNT6"/>
      <c r="BNU6"/>
      <c r="BNV6"/>
      <c r="BNW6"/>
      <c r="BNX6"/>
      <c r="BNY6"/>
      <c r="BNZ6"/>
      <c r="BOA6"/>
      <c r="BOB6"/>
      <c r="BOC6"/>
      <c r="BOD6"/>
      <c r="BOE6"/>
      <c r="BOF6"/>
      <c r="BOG6"/>
      <c r="BOH6"/>
      <c r="BOI6"/>
      <c r="BOJ6"/>
      <c r="BOK6"/>
      <c r="BOL6"/>
      <c r="BOM6"/>
      <c r="BON6"/>
      <c r="BOO6"/>
      <c r="BOP6"/>
      <c r="BOQ6"/>
      <c r="BOR6"/>
      <c r="BOS6"/>
      <c r="BOT6"/>
      <c r="BOU6"/>
      <c r="BOV6"/>
      <c r="BOW6"/>
      <c r="BOX6"/>
      <c r="BOY6"/>
      <c r="BOZ6"/>
      <c r="BPA6"/>
      <c r="BPB6"/>
      <c r="BPC6"/>
      <c r="BPD6"/>
      <c r="BPE6"/>
      <c r="BPF6"/>
      <c r="BPG6"/>
      <c r="BPH6"/>
      <c r="BPI6"/>
      <c r="BPJ6"/>
      <c r="BPK6"/>
      <c r="BPL6"/>
      <c r="BPM6"/>
      <c r="BPN6"/>
      <c r="BPO6"/>
      <c r="BPP6"/>
      <c r="BPQ6"/>
      <c r="BPR6"/>
      <c r="BPS6"/>
      <c r="BPT6"/>
      <c r="BPU6"/>
      <c r="BPV6"/>
      <c r="BPW6"/>
      <c r="BPX6"/>
      <c r="BPY6"/>
      <c r="BPZ6"/>
      <c r="BQA6"/>
      <c r="BQB6"/>
      <c r="BQC6"/>
      <c r="BQD6"/>
      <c r="BQE6"/>
      <c r="BQF6"/>
      <c r="BQG6"/>
      <c r="BQH6"/>
      <c r="BQI6"/>
      <c r="BQJ6"/>
      <c r="BQK6"/>
      <c r="BQL6"/>
      <c r="BQM6"/>
      <c r="BQN6"/>
      <c r="BQO6"/>
      <c r="BQP6"/>
      <c r="BQQ6"/>
      <c r="BQR6"/>
      <c r="BQS6"/>
      <c r="BQT6"/>
      <c r="BQU6"/>
      <c r="BQV6"/>
      <c r="BQW6"/>
      <c r="BQX6"/>
      <c r="BQY6"/>
      <c r="BQZ6"/>
      <c r="BRA6"/>
      <c r="BRB6"/>
      <c r="BRC6"/>
      <c r="BRD6"/>
      <c r="BRE6"/>
      <c r="BRF6"/>
      <c r="BRG6"/>
      <c r="BRH6"/>
      <c r="BRI6"/>
      <c r="BRJ6"/>
      <c r="BRK6"/>
      <c r="BRL6"/>
      <c r="BRM6"/>
      <c r="BRN6"/>
      <c r="BRO6"/>
      <c r="BRP6"/>
      <c r="BRQ6"/>
      <c r="BRR6"/>
      <c r="BRS6"/>
      <c r="BRT6"/>
      <c r="BRU6"/>
      <c r="BRV6"/>
      <c r="BRW6"/>
      <c r="BRX6"/>
      <c r="BRY6"/>
      <c r="BRZ6"/>
      <c r="BSA6"/>
      <c r="BSB6"/>
      <c r="BSC6"/>
      <c r="BSD6"/>
      <c r="BSE6"/>
      <c r="BSF6"/>
      <c r="BSG6"/>
      <c r="BSH6"/>
      <c r="BSI6"/>
      <c r="BSJ6"/>
      <c r="BSK6"/>
      <c r="BSL6"/>
      <c r="BSM6"/>
      <c r="BSN6"/>
      <c r="BSO6"/>
      <c r="BSP6"/>
      <c r="BSQ6"/>
      <c r="BSR6"/>
      <c r="BSS6"/>
      <c r="BST6"/>
      <c r="BSU6"/>
      <c r="BSV6"/>
      <c r="BSW6"/>
      <c r="BSX6"/>
      <c r="BSY6"/>
      <c r="BSZ6"/>
      <c r="BTA6"/>
      <c r="BTB6"/>
      <c r="BTC6"/>
      <c r="BTD6"/>
      <c r="BTE6"/>
      <c r="BTF6"/>
      <c r="BTG6"/>
      <c r="BTH6"/>
      <c r="BTI6"/>
      <c r="BTJ6"/>
      <c r="BTK6"/>
      <c r="BTL6"/>
      <c r="BTM6"/>
      <c r="BTN6"/>
      <c r="BTO6"/>
      <c r="BTP6"/>
      <c r="BTQ6"/>
      <c r="BTR6"/>
      <c r="BTS6"/>
      <c r="BTT6"/>
      <c r="BTU6"/>
      <c r="BTV6"/>
      <c r="BTW6"/>
      <c r="BTX6"/>
      <c r="BTY6"/>
      <c r="BTZ6"/>
      <c r="BUA6"/>
      <c r="BUB6"/>
      <c r="BUC6"/>
      <c r="BUD6"/>
      <c r="BUE6"/>
      <c r="BUF6"/>
      <c r="BUG6"/>
      <c r="BUH6"/>
      <c r="BUI6"/>
      <c r="BUJ6"/>
      <c r="BUK6"/>
      <c r="BUL6"/>
      <c r="BUM6"/>
      <c r="BUN6"/>
      <c r="BUO6"/>
      <c r="BUP6"/>
      <c r="BUQ6"/>
      <c r="BUR6"/>
      <c r="BUS6"/>
      <c r="BUT6"/>
      <c r="BUU6"/>
      <c r="BUV6"/>
      <c r="BUW6"/>
      <c r="BUX6"/>
      <c r="BUY6"/>
      <c r="BUZ6"/>
      <c r="BVA6"/>
      <c r="BVB6"/>
      <c r="BVC6"/>
      <c r="BVD6"/>
      <c r="BVE6"/>
      <c r="BVF6"/>
      <c r="BVG6"/>
      <c r="BVH6"/>
      <c r="BVI6"/>
      <c r="BVJ6"/>
      <c r="BVK6"/>
      <c r="BVL6"/>
      <c r="BVM6"/>
      <c r="BVN6"/>
      <c r="BVO6"/>
      <c r="BVP6"/>
      <c r="BVQ6"/>
      <c r="BVR6"/>
      <c r="BVS6"/>
      <c r="BVT6"/>
      <c r="BVU6"/>
      <c r="BVV6"/>
      <c r="BVW6"/>
      <c r="BVX6"/>
      <c r="BVY6"/>
      <c r="BVZ6"/>
      <c r="BWA6"/>
      <c r="BWB6"/>
      <c r="BWC6"/>
      <c r="BWD6"/>
      <c r="BWE6"/>
      <c r="BWF6"/>
      <c r="BWG6"/>
      <c r="BWH6"/>
      <c r="BWI6"/>
      <c r="BWJ6"/>
      <c r="BWK6"/>
      <c r="BWL6"/>
      <c r="BWM6"/>
      <c r="BWN6"/>
      <c r="BWO6"/>
      <c r="BWP6"/>
      <c r="BWQ6"/>
      <c r="BWR6"/>
      <c r="BWS6"/>
      <c r="BWT6"/>
      <c r="BWU6"/>
      <c r="BWV6"/>
      <c r="BWW6"/>
      <c r="BWX6"/>
      <c r="BWY6"/>
      <c r="BWZ6"/>
      <c r="BXA6"/>
      <c r="BXB6"/>
      <c r="BXC6"/>
      <c r="BXD6"/>
      <c r="BXE6"/>
      <c r="BXF6"/>
      <c r="BXG6"/>
      <c r="BXH6"/>
      <c r="BXI6"/>
      <c r="BXJ6"/>
      <c r="BXK6"/>
      <c r="BXL6"/>
      <c r="BXM6"/>
      <c r="BXN6"/>
      <c r="BXO6"/>
      <c r="BXP6"/>
      <c r="BXQ6"/>
      <c r="BXR6"/>
      <c r="BXS6"/>
      <c r="BXT6"/>
      <c r="BXU6"/>
      <c r="BXV6"/>
      <c r="BXW6"/>
      <c r="BXX6"/>
      <c r="BXY6"/>
      <c r="BXZ6"/>
      <c r="BYA6"/>
      <c r="BYB6"/>
      <c r="BYC6"/>
      <c r="BYD6"/>
      <c r="BYE6"/>
      <c r="BYF6"/>
      <c r="BYG6"/>
      <c r="BYH6"/>
      <c r="BYI6"/>
      <c r="BYJ6"/>
      <c r="BYK6"/>
      <c r="BYL6"/>
      <c r="BYM6"/>
      <c r="BYN6"/>
      <c r="BYO6"/>
      <c r="BYP6"/>
      <c r="BYQ6"/>
      <c r="BYR6"/>
      <c r="BYS6"/>
      <c r="BYT6"/>
      <c r="BYU6"/>
      <c r="BYV6"/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/>
      <c r="CQG6"/>
      <c r="CQH6"/>
      <c r="CQI6"/>
      <c r="CQJ6"/>
      <c r="CQK6"/>
      <c r="CQL6"/>
      <c r="CQM6"/>
      <c r="CQN6"/>
      <c r="CQO6"/>
      <c r="CQP6"/>
      <c r="CQQ6"/>
      <c r="CQR6"/>
      <c r="CQS6"/>
      <c r="CQT6"/>
      <c r="CQU6"/>
      <c r="CQV6"/>
      <c r="CQW6"/>
      <c r="CQX6"/>
      <c r="CQY6"/>
      <c r="CQZ6"/>
      <c r="CRA6"/>
      <c r="CRB6"/>
      <c r="CRC6"/>
      <c r="CRD6"/>
      <c r="CRE6"/>
      <c r="CRF6"/>
      <c r="CRG6"/>
      <c r="CRH6"/>
      <c r="CRI6"/>
      <c r="CRJ6"/>
      <c r="CRK6"/>
      <c r="CRL6"/>
      <c r="CRM6"/>
      <c r="CRN6"/>
      <c r="CRO6"/>
      <c r="CRP6"/>
      <c r="CRQ6"/>
      <c r="CRR6"/>
      <c r="CRS6"/>
      <c r="CRT6"/>
      <c r="CRU6"/>
      <c r="CRV6"/>
      <c r="CRW6"/>
      <c r="CRX6"/>
      <c r="CRY6"/>
      <c r="CRZ6"/>
      <c r="CSA6"/>
      <c r="CSB6"/>
      <c r="CSC6"/>
      <c r="CSD6"/>
      <c r="CSE6"/>
      <c r="CSF6"/>
      <c r="CSG6"/>
      <c r="CSH6"/>
      <c r="CSI6"/>
      <c r="CSJ6"/>
      <c r="CSK6"/>
      <c r="CSL6"/>
      <c r="CSM6"/>
      <c r="CSN6"/>
      <c r="CSO6"/>
      <c r="CSP6"/>
      <c r="CSQ6"/>
      <c r="CSR6"/>
      <c r="CSS6"/>
      <c r="CST6"/>
      <c r="CSU6"/>
      <c r="CSV6"/>
      <c r="CSW6"/>
      <c r="CSX6"/>
      <c r="CSY6"/>
      <c r="CSZ6"/>
      <c r="CTA6"/>
      <c r="CTB6"/>
      <c r="CTC6"/>
      <c r="CTD6"/>
      <c r="CTE6"/>
      <c r="CTF6"/>
      <c r="CTG6"/>
      <c r="CTH6"/>
      <c r="CTI6"/>
      <c r="CTJ6"/>
      <c r="CTK6"/>
      <c r="CTL6"/>
      <c r="CTM6"/>
      <c r="CTN6"/>
      <c r="CTO6"/>
      <c r="CTP6"/>
      <c r="CTQ6"/>
      <c r="CTR6"/>
      <c r="CTS6"/>
      <c r="CTT6"/>
      <c r="CTU6"/>
      <c r="CTV6"/>
      <c r="CTW6"/>
      <c r="CTX6"/>
      <c r="CTY6"/>
      <c r="CTZ6"/>
      <c r="CUA6"/>
      <c r="CUB6"/>
      <c r="CUC6"/>
      <c r="CUD6"/>
      <c r="CUE6"/>
      <c r="CUF6"/>
      <c r="CUG6"/>
      <c r="CUH6"/>
      <c r="CUI6"/>
      <c r="CUJ6"/>
      <c r="CUK6"/>
      <c r="CUL6"/>
      <c r="CUM6"/>
      <c r="CUN6"/>
      <c r="CUO6"/>
      <c r="CUP6"/>
      <c r="CUQ6"/>
      <c r="CUR6"/>
      <c r="CUS6"/>
      <c r="CUT6"/>
      <c r="CUU6"/>
      <c r="CUV6"/>
      <c r="CUW6"/>
      <c r="CUX6"/>
      <c r="CUY6"/>
      <c r="CUZ6"/>
      <c r="CVA6"/>
      <c r="CVB6"/>
      <c r="CVC6"/>
      <c r="CVD6"/>
      <c r="CVE6"/>
      <c r="CVF6"/>
      <c r="CVG6"/>
      <c r="CVH6"/>
      <c r="CVI6"/>
      <c r="CVJ6"/>
      <c r="CVK6"/>
      <c r="CVL6"/>
      <c r="CVM6"/>
      <c r="CVN6"/>
      <c r="CVO6"/>
      <c r="CVP6"/>
      <c r="CVQ6"/>
      <c r="CVR6"/>
      <c r="CVS6"/>
      <c r="CVT6"/>
      <c r="CVU6"/>
      <c r="CVV6"/>
      <c r="CVW6"/>
      <c r="CVX6"/>
      <c r="CVY6"/>
      <c r="CVZ6"/>
      <c r="CWA6"/>
      <c r="CWB6"/>
      <c r="CWC6"/>
      <c r="CWD6"/>
      <c r="CWE6"/>
      <c r="CWF6"/>
      <c r="CWG6"/>
      <c r="CWH6"/>
      <c r="CWI6"/>
      <c r="CWJ6"/>
      <c r="CWK6"/>
      <c r="CWL6"/>
      <c r="CWM6"/>
      <c r="CWN6"/>
      <c r="CWO6"/>
      <c r="CWP6"/>
      <c r="CWQ6"/>
      <c r="CWR6"/>
      <c r="CWS6"/>
      <c r="CWT6"/>
      <c r="CWU6"/>
      <c r="CWV6"/>
      <c r="CWW6"/>
      <c r="CWX6"/>
      <c r="CWY6"/>
      <c r="CWZ6"/>
      <c r="CXA6"/>
      <c r="CXB6"/>
      <c r="CXC6"/>
      <c r="CXD6"/>
      <c r="CXE6"/>
      <c r="CXF6"/>
      <c r="CXG6"/>
      <c r="CXH6"/>
      <c r="CXI6"/>
      <c r="CXJ6"/>
      <c r="CXK6"/>
      <c r="CXL6"/>
      <c r="CXM6"/>
      <c r="CXN6"/>
      <c r="CXO6"/>
      <c r="CXP6"/>
      <c r="CXQ6"/>
      <c r="CXR6"/>
      <c r="CXS6"/>
      <c r="CXT6"/>
      <c r="CXU6"/>
      <c r="CXV6"/>
      <c r="CXW6"/>
      <c r="CXX6"/>
      <c r="CXY6"/>
      <c r="CXZ6"/>
      <c r="CYA6"/>
      <c r="CYB6"/>
      <c r="CYC6"/>
      <c r="CYD6"/>
      <c r="CYE6"/>
      <c r="CYF6"/>
      <c r="CYG6"/>
      <c r="CYH6"/>
      <c r="CYI6"/>
      <c r="CYJ6"/>
      <c r="CYK6"/>
      <c r="CYL6"/>
      <c r="CYM6"/>
      <c r="CYN6"/>
      <c r="CYO6"/>
      <c r="CYP6"/>
      <c r="CYQ6"/>
      <c r="CYR6"/>
      <c r="CYS6"/>
      <c r="CYT6"/>
      <c r="CYU6"/>
      <c r="CYV6"/>
      <c r="CYW6"/>
      <c r="CYX6"/>
      <c r="CYY6"/>
      <c r="CYZ6"/>
      <c r="CZA6"/>
      <c r="CZB6"/>
      <c r="CZC6"/>
      <c r="CZD6"/>
      <c r="CZE6"/>
      <c r="CZF6"/>
      <c r="CZG6"/>
      <c r="CZH6"/>
      <c r="CZI6"/>
      <c r="CZJ6"/>
      <c r="CZK6"/>
      <c r="CZL6"/>
      <c r="CZM6"/>
      <c r="CZN6"/>
      <c r="CZO6"/>
      <c r="CZP6"/>
      <c r="CZQ6"/>
      <c r="CZR6"/>
      <c r="CZS6"/>
      <c r="CZT6"/>
      <c r="CZU6"/>
      <c r="CZV6"/>
      <c r="CZW6"/>
      <c r="CZX6"/>
      <c r="CZY6"/>
      <c r="CZZ6"/>
      <c r="DAA6"/>
      <c r="DAB6"/>
      <c r="DAC6"/>
      <c r="DAD6"/>
      <c r="DAE6"/>
      <c r="DAF6"/>
      <c r="DAG6"/>
      <c r="DAH6"/>
      <c r="DAI6"/>
      <c r="DAJ6"/>
      <c r="DAK6"/>
      <c r="DAL6"/>
      <c r="DAM6"/>
      <c r="DAN6"/>
      <c r="DAO6"/>
      <c r="DAP6"/>
      <c r="DAQ6"/>
      <c r="DAR6"/>
      <c r="DAS6"/>
      <c r="DAT6"/>
      <c r="DAU6"/>
      <c r="DAV6"/>
      <c r="DAW6"/>
      <c r="DAX6"/>
      <c r="DAY6"/>
      <c r="DAZ6"/>
      <c r="DBA6"/>
      <c r="DBB6"/>
      <c r="DBC6"/>
      <c r="DBD6"/>
      <c r="DBE6"/>
      <c r="DBF6"/>
      <c r="DBG6"/>
      <c r="DBH6"/>
      <c r="DBI6"/>
      <c r="DBJ6"/>
      <c r="DBK6"/>
      <c r="DBL6"/>
      <c r="DBM6"/>
      <c r="DBN6"/>
      <c r="DBO6"/>
      <c r="DBP6"/>
      <c r="DBQ6"/>
      <c r="DBR6"/>
      <c r="DBS6"/>
      <c r="DBT6"/>
      <c r="DBU6"/>
      <c r="DBV6"/>
      <c r="DBW6"/>
      <c r="DBX6"/>
      <c r="DBY6"/>
      <c r="DBZ6"/>
      <c r="DCA6"/>
      <c r="DCB6"/>
      <c r="DCC6"/>
      <c r="DCD6"/>
      <c r="DCE6"/>
      <c r="DCF6"/>
      <c r="DCG6"/>
      <c r="DCH6"/>
      <c r="DCI6"/>
      <c r="DCJ6"/>
      <c r="DCK6"/>
      <c r="DCL6"/>
      <c r="DCM6"/>
      <c r="DCN6"/>
      <c r="DCO6"/>
      <c r="DCP6"/>
      <c r="DCQ6"/>
      <c r="DCR6"/>
      <c r="DCS6"/>
      <c r="DCT6"/>
      <c r="DCU6"/>
      <c r="DCV6"/>
      <c r="DCW6"/>
      <c r="DCX6"/>
      <c r="DCY6"/>
      <c r="DCZ6"/>
      <c r="DDA6"/>
      <c r="DDB6"/>
      <c r="DDC6"/>
      <c r="DDD6"/>
      <c r="DDE6"/>
      <c r="DDF6"/>
      <c r="DDG6"/>
      <c r="DDH6"/>
      <c r="DDI6"/>
      <c r="DDJ6"/>
      <c r="DDK6"/>
      <c r="DDL6"/>
      <c r="DDM6"/>
      <c r="DDN6"/>
      <c r="DDO6"/>
      <c r="DDP6"/>
      <c r="DDQ6"/>
      <c r="DDR6"/>
      <c r="DDS6"/>
      <c r="DDT6"/>
      <c r="DDU6"/>
      <c r="DDV6"/>
      <c r="DDW6"/>
      <c r="DDX6"/>
      <c r="DDY6"/>
      <c r="DDZ6"/>
      <c r="DEA6"/>
      <c r="DEB6"/>
      <c r="DEC6"/>
      <c r="DED6"/>
      <c r="DEE6"/>
      <c r="DEF6"/>
      <c r="DEG6"/>
      <c r="DEH6"/>
      <c r="DEI6"/>
      <c r="DEJ6"/>
      <c r="DEK6"/>
      <c r="DEL6"/>
      <c r="DEM6"/>
      <c r="DEN6"/>
      <c r="DEO6"/>
      <c r="DEP6"/>
      <c r="DEQ6"/>
      <c r="DER6"/>
      <c r="DES6"/>
      <c r="DET6"/>
      <c r="DEU6"/>
      <c r="DEV6"/>
      <c r="DEW6"/>
      <c r="DEX6"/>
      <c r="DEY6"/>
      <c r="DEZ6"/>
      <c r="DFA6"/>
      <c r="DFB6"/>
      <c r="DFC6"/>
      <c r="DFD6"/>
      <c r="DFE6"/>
      <c r="DFF6"/>
      <c r="DFG6"/>
      <c r="DFH6"/>
      <c r="DFI6"/>
      <c r="DFJ6"/>
      <c r="DFK6"/>
      <c r="DFL6"/>
      <c r="DFM6"/>
      <c r="DFN6"/>
      <c r="DFO6"/>
      <c r="DFP6"/>
      <c r="DFQ6"/>
      <c r="DFR6"/>
      <c r="DFS6"/>
      <c r="DFT6"/>
      <c r="DFU6"/>
      <c r="DFV6"/>
      <c r="DFW6"/>
      <c r="DFX6"/>
      <c r="DFY6"/>
      <c r="DFZ6"/>
      <c r="DGA6"/>
      <c r="DGB6"/>
      <c r="DGC6"/>
      <c r="DGD6"/>
      <c r="DGE6"/>
      <c r="DGF6"/>
      <c r="DGG6"/>
      <c r="DGH6"/>
      <c r="DGI6"/>
      <c r="DGJ6"/>
      <c r="DGK6"/>
      <c r="DGL6"/>
      <c r="DGM6"/>
      <c r="DGN6"/>
      <c r="DGO6"/>
      <c r="DGP6"/>
      <c r="DGQ6"/>
      <c r="DGR6"/>
      <c r="DGS6"/>
      <c r="DGT6"/>
      <c r="DGU6"/>
      <c r="DGV6"/>
      <c r="DGW6"/>
      <c r="DGX6"/>
      <c r="DGY6"/>
      <c r="DGZ6"/>
      <c r="DHA6"/>
      <c r="DHB6"/>
      <c r="DHC6"/>
      <c r="DHD6"/>
      <c r="DHE6"/>
      <c r="DHF6"/>
      <c r="DHG6"/>
      <c r="DHH6"/>
      <c r="DHI6"/>
      <c r="DHJ6"/>
      <c r="DHK6"/>
      <c r="DHL6"/>
      <c r="DHM6"/>
      <c r="DHN6"/>
      <c r="DHO6"/>
      <c r="DHP6"/>
      <c r="DHQ6"/>
      <c r="DHR6"/>
      <c r="DHS6"/>
      <c r="DHT6"/>
      <c r="DHU6"/>
      <c r="DHV6"/>
      <c r="DHW6"/>
      <c r="DHX6"/>
      <c r="DHY6"/>
      <c r="DHZ6"/>
      <c r="DIA6"/>
      <c r="DIB6"/>
      <c r="DIC6"/>
      <c r="DID6"/>
      <c r="DIE6"/>
      <c r="DIF6"/>
      <c r="DIG6"/>
      <c r="DIH6"/>
      <c r="DII6"/>
      <c r="DIJ6"/>
      <c r="DIK6"/>
      <c r="DIL6"/>
      <c r="DIM6"/>
      <c r="DIN6"/>
      <c r="DIO6"/>
      <c r="DIP6"/>
      <c r="DIQ6"/>
      <c r="DIR6"/>
      <c r="DIS6"/>
      <c r="DIT6"/>
      <c r="DIU6"/>
      <c r="DIV6"/>
      <c r="DIW6"/>
      <c r="DIX6"/>
      <c r="DIY6"/>
      <c r="DIZ6"/>
      <c r="DJA6"/>
      <c r="DJB6"/>
      <c r="DJC6"/>
      <c r="DJD6"/>
      <c r="DJE6"/>
      <c r="DJF6"/>
      <c r="DJG6"/>
      <c r="DJH6"/>
      <c r="DJI6"/>
      <c r="DJJ6"/>
      <c r="DJK6"/>
      <c r="DJL6"/>
      <c r="DJM6"/>
      <c r="DJN6"/>
      <c r="DJO6"/>
      <c r="DJP6"/>
      <c r="DJQ6"/>
      <c r="DJR6"/>
      <c r="DJS6"/>
      <c r="DJT6"/>
      <c r="DJU6"/>
      <c r="DJV6"/>
      <c r="DJW6"/>
      <c r="DJX6"/>
      <c r="DJY6"/>
      <c r="DJZ6"/>
      <c r="DKA6"/>
      <c r="DKB6"/>
      <c r="DKC6"/>
      <c r="DKD6"/>
      <c r="DKE6"/>
      <c r="DKF6"/>
      <c r="DKG6"/>
      <c r="DKH6"/>
      <c r="DKI6"/>
      <c r="DKJ6"/>
      <c r="DKK6"/>
      <c r="DKL6"/>
      <c r="DKM6"/>
      <c r="DKN6"/>
      <c r="DKO6"/>
      <c r="DKP6"/>
      <c r="DKQ6"/>
      <c r="DKR6"/>
      <c r="DKS6"/>
      <c r="DKT6"/>
      <c r="DKU6"/>
      <c r="DKV6"/>
      <c r="DKW6"/>
      <c r="DKX6"/>
      <c r="DKY6"/>
      <c r="DKZ6"/>
      <c r="DLA6"/>
      <c r="DLB6"/>
      <c r="DLC6"/>
      <c r="DLD6"/>
      <c r="DLE6"/>
      <c r="DLF6"/>
      <c r="DLG6"/>
      <c r="DLH6"/>
      <c r="DLI6"/>
      <c r="DLJ6"/>
      <c r="DLK6"/>
      <c r="DLL6"/>
      <c r="DLM6"/>
      <c r="DLN6"/>
      <c r="DLO6"/>
      <c r="DLP6"/>
      <c r="DLQ6"/>
      <c r="DLR6"/>
      <c r="DLS6"/>
      <c r="DLT6"/>
      <c r="DLU6"/>
      <c r="DLV6"/>
      <c r="DLW6"/>
      <c r="DLX6"/>
      <c r="DLY6"/>
      <c r="DLZ6"/>
      <c r="DMA6"/>
      <c r="DMB6"/>
      <c r="DMC6"/>
      <c r="DMD6"/>
      <c r="DME6"/>
      <c r="DMF6"/>
      <c r="DMG6"/>
      <c r="DMH6"/>
      <c r="DMI6"/>
      <c r="DMJ6"/>
      <c r="DMK6"/>
      <c r="DML6"/>
      <c r="DMM6"/>
      <c r="DMN6"/>
      <c r="DMO6"/>
      <c r="DMP6"/>
      <c r="DMQ6"/>
      <c r="DMR6"/>
      <c r="DMS6"/>
      <c r="DMT6"/>
      <c r="DMU6"/>
      <c r="DMV6"/>
      <c r="DMW6"/>
      <c r="DMX6"/>
      <c r="DMY6"/>
      <c r="DMZ6"/>
      <c r="DNA6"/>
      <c r="DNB6"/>
      <c r="DNC6"/>
      <c r="DND6"/>
      <c r="DNE6"/>
      <c r="DNF6"/>
      <c r="DNG6"/>
      <c r="DNH6"/>
      <c r="DNI6"/>
      <c r="DNJ6"/>
      <c r="DNK6"/>
      <c r="DNL6"/>
      <c r="DNM6"/>
      <c r="DNN6"/>
      <c r="DNO6"/>
      <c r="DNP6"/>
      <c r="DNQ6"/>
      <c r="DNR6"/>
      <c r="DNS6"/>
      <c r="DNT6"/>
      <c r="DNU6"/>
      <c r="DNV6"/>
      <c r="DNW6"/>
      <c r="DNX6"/>
      <c r="DNY6"/>
      <c r="DNZ6"/>
      <c r="DOA6"/>
      <c r="DOB6"/>
      <c r="DOC6"/>
      <c r="DOD6"/>
      <c r="DOE6"/>
      <c r="DOF6"/>
      <c r="DOG6"/>
      <c r="DOH6"/>
      <c r="DOI6"/>
      <c r="DOJ6"/>
      <c r="DOK6"/>
      <c r="DOL6"/>
      <c r="DOM6"/>
      <c r="DON6"/>
      <c r="DOO6"/>
      <c r="DOP6"/>
      <c r="DOQ6"/>
      <c r="DOR6"/>
      <c r="DOS6"/>
      <c r="DOT6"/>
      <c r="DOU6"/>
      <c r="DOV6"/>
      <c r="DOW6"/>
      <c r="DOX6"/>
      <c r="DOY6"/>
      <c r="DOZ6"/>
      <c r="DPA6"/>
      <c r="DPB6"/>
      <c r="DPC6"/>
      <c r="DPD6"/>
      <c r="DPE6"/>
      <c r="DPF6"/>
      <c r="DPG6"/>
      <c r="DPH6"/>
      <c r="DPI6"/>
      <c r="DPJ6"/>
      <c r="DPK6"/>
      <c r="DPL6"/>
      <c r="DPM6"/>
      <c r="DPN6"/>
      <c r="DPO6"/>
      <c r="DPP6"/>
      <c r="DPQ6"/>
      <c r="DPR6"/>
      <c r="DPS6"/>
      <c r="DPT6"/>
      <c r="DPU6"/>
      <c r="DPV6"/>
      <c r="DPW6"/>
      <c r="DPX6"/>
      <c r="DPY6"/>
      <c r="DPZ6"/>
      <c r="DQA6"/>
      <c r="DQB6"/>
      <c r="DQC6"/>
      <c r="DQD6"/>
      <c r="DQE6"/>
      <c r="DQF6"/>
      <c r="DQG6"/>
      <c r="DQH6"/>
      <c r="DQI6"/>
      <c r="DQJ6"/>
      <c r="DQK6"/>
      <c r="DQL6"/>
      <c r="DQM6"/>
      <c r="DQN6"/>
      <c r="DQO6"/>
      <c r="DQP6"/>
      <c r="DQQ6"/>
      <c r="DQR6"/>
      <c r="DQS6"/>
      <c r="DQT6"/>
      <c r="DQU6"/>
      <c r="DQV6"/>
      <c r="DQW6"/>
      <c r="DQX6"/>
      <c r="DQY6"/>
      <c r="DQZ6"/>
      <c r="DRA6"/>
      <c r="DRB6"/>
      <c r="DRC6"/>
      <c r="DRD6"/>
      <c r="DRE6"/>
      <c r="DRF6"/>
      <c r="DRG6"/>
      <c r="DRH6"/>
      <c r="DRI6"/>
      <c r="DRJ6"/>
      <c r="DRK6"/>
      <c r="DRL6"/>
      <c r="DRM6"/>
      <c r="DRN6"/>
      <c r="DRO6"/>
      <c r="DRP6"/>
      <c r="DRQ6"/>
      <c r="DRR6"/>
      <c r="DRS6"/>
      <c r="DRT6"/>
      <c r="DRU6"/>
      <c r="DRV6"/>
      <c r="DRW6"/>
      <c r="DRX6"/>
      <c r="DRY6"/>
      <c r="DRZ6"/>
      <c r="DSA6"/>
      <c r="DSB6"/>
      <c r="DSC6"/>
      <c r="DSD6"/>
      <c r="DSE6"/>
      <c r="DSF6"/>
      <c r="DSG6"/>
      <c r="DSH6"/>
      <c r="DSI6"/>
      <c r="DSJ6"/>
      <c r="DSK6"/>
      <c r="DSL6"/>
      <c r="DSM6"/>
      <c r="DSN6"/>
      <c r="DSO6"/>
      <c r="DSP6"/>
      <c r="DSQ6"/>
      <c r="DSR6"/>
      <c r="DSS6"/>
      <c r="DST6"/>
      <c r="DSU6"/>
      <c r="DSV6"/>
      <c r="DSW6"/>
      <c r="DSX6"/>
      <c r="DSY6"/>
      <c r="DSZ6"/>
      <c r="DTA6"/>
      <c r="DTB6"/>
      <c r="DTC6"/>
      <c r="DTD6"/>
      <c r="DTE6"/>
      <c r="DTF6"/>
      <c r="DTG6"/>
      <c r="DTH6"/>
      <c r="DTI6"/>
      <c r="DTJ6"/>
      <c r="DTK6"/>
      <c r="DTL6"/>
      <c r="DTM6"/>
      <c r="DTN6"/>
      <c r="DTO6"/>
      <c r="DTP6"/>
      <c r="DTQ6"/>
      <c r="DTR6"/>
      <c r="DTS6"/>
      <c r="DTT6"/>
      <c r="DTU6"/>
      <c r="DTV6"/>
      <c r="DTW6"/>
      <c r="DTX6"/>
      <c r="DTY6"/>
      <c r="DTZ6"/>
      <c r="DUA6"/>
      <c r="DUB6"/>
      <c r="DUC6"/>
      <c r="DUD6"/>
      <c r="DUE6"/>
      <c r="DUF6"/>
      <c r="DUG6"/>
      <c r="DUH6"/>
      <c r="DUI6"/>
      <c r="DUJ6"/>
      <c r="DUK6"/>
      <c r="DUL6"/>
      <c r="DUM6"/>
      <c r="DUN6"/>
      <c r="DUO6"/>
      <c r="DUP6"/>
      <c r="DUQ6"/>
      <c r="DUR6"/>
      <c r="DUS6"/>
      <c r="DUT6"/>
      <c r="DUU6"/>
      <c r="DUV6"/>
      <c r="DUW6"/>
      <c r="DUX6"/>
      <c r="DUY6"/>
      <c r="DUZ6"/>
      <c r="DVA6"/>
      <c r="DVB6"/>
      <c r="DVC6"/>
      <c r="DVD6"/>
      <c r="DVE6"/>
      <c r="DVF6"/>
      <c r="DVG6"/>
      <c r="DVH6"/>
      <c r="DVI6"/>
      <c r="DVJ6"/>
      <c r="DVK6"/>
      <c r="DVL6"/>
      <c r="DVM6"/>
      <c r="DVN6"/>
      <c r="DVO6"/>
      <c r="DVP6"/>
      <c r="DVQ6"/>
      <c r="DVR6"/>
      <c r="DVS6"/>
      <c r="DVT6"/>
      <c r="DVU6"/>
      <c r="DVV6"/>
      <c r="DVW6"/>
      <c r="DVX6"/>
      <c r="DVY6"/>
      <c r="DVZ6"/>
      <c r="DWA6"/>
      <c r="DWB6"/>
      <c r="DWC6"/>
      <c r="DWD6"/>
      <c r="DWE6"/>
      <c r="DWF6"/>
      <c r="DWG6"/>
      <c r="DWH6"/>
      <c r="DWI6"/>
      <c r="DWJ6"/>
      <c r="DWK6"/>
      <c r="DWL6"/>
      <c r="DWM6"/>
      <c r="DWN6"/>
      <c r="DWO6"/>
      <c r="DWP6"/>
      <c r="DWQ6"/>
      <c r="DWR6"/>
      <c r="DWS6"/>
      <c r="DWT6"/>
      <c r="DWU6"/>
      <c r="DWV6"/>
      <c r="DWW6"/>
      <c r="DWX6"/>
      <c r="DWY6"/>
      <c r="DWZ6"/>
      <c r="DXA6"/>
      <c r="DXB6"/>
      <c r="DXC6"/>
      <c r="DXD6"/>
      <c r="DXE6"/>
      <c r="DXF6"/>
      <c r="DXG6"/>
      <c r="DXH6"/>
      <c r="DXI6"/>
      <c r="DXJ6"/>
      <c r="DXK6"/>
      <c r="DXL6"/>
      <c r="DXM6"/>
      <c r="DXN6"/>
      <c r="DXO6"/>
      <c r="DXP6"/>
      <c r="DXQ6"/>
      <c r="DXR6"/>
      <c r="DXS6"/>
      <c r="DXT6"/>
      <c r="DXU6"/>
      <c r="DXV6"/>
      <c r="DXW6"/>
      <c r="DXX6"/>
      <c r="DXY6"/>
      <c r="DXZ6"/>
      <c r="DYA6"/>
      <c r="DYB6"/>
      <c r="DYC6"/>
      <c r="DYD6"/>
      <c r="DYE6"/>
      <c r="DYF6"/>
      <c r="DYG6"/>
      <c r="DYH6"/>
      <c r="DYI6"/>
      <c r="DYJ6"/>
      <c r="DYK6"/>
      <c r="DYL6"/>
      <c r="DYM6"/>
      <c r="DYN6"/>
      <c r="DYO6"/>
      <c r="DYP6"/>
      <c r="DYQ6"/>
      <c r="DYR6"/>
      <c r="DYS6"/>
      <c r="DYT6"/>
      <c r="DYU6"/>
      <c r="DYV6"/>
      <c r="DYW6"/>
      <c r="DYX6"/>
      <c r="DYY6"/>
      <c r="DYZ6"/>
      <c r="DZA6"/>
      <c r="DZB6"/>
      <c r="DZC6"/>
      <c r="DZD6"/>
      <c r="DZE6"/>
      <c r="DZF6"/>
      <c r="DZG6"/>
      <c r="DZH6"/>
      <c r="DZI6"/>
      <c r="DZJ6"/>
      <c r="DZK6"/>
      <c r="DZL6"/>
      <c r="DZM6"/>
      <c r="DZN6"/>
      <c r="DZO6"/>
      <c r="DZP6"/>
      <c r="DZQ6"/>
      <c r="DZR6"/>
      <c r="DZS6"/>
      <c r="DZT6"/>
      <c r="DZU6"/>
      <c r="DZV6"/>
      <c r="DZW6"/>
      <c r="DZX6"/>
      <c r="DZY6"/>
      <c r="DZZ6"/>
      <c r="EAA6"/>
      <c r="EAB6"/>
      <c r="EAC6"/>
      <c r="EAD6"/>
      <c r="EAE6"/>
      <c r="EAF6"/>
      <c r="EAG6"/>
      <c r="EAH6"/>
      <c r="EAI6"/>
      <c r="EAJ6"/>
      <c r="EAK6"/>
      <c r="EAL6"/>
      <c r="EAM6"/>
      <c r="EAN6"/>
      <c r="EAO6"/>
      <c r="EAP6"/>
      <c r="EAQ6"/>
      <c r="EAR6"/>
      <c r="EAS6"/>
      <c r="EAT6"/>
      <c r="EAU6"/>
      <c r="EAV6"/>
      <c r="EAW6"/>
      <c r="EAX6"/>
      <c r="EAY6"/>
      <c r="EAZ6"/>
      <c r="EBA6"/>
      <c r="EBB6"/>
      <c r="EBC6"/>
      <c r="EBD6"/>
      <c r="EBE6"/>
      <c r="EBF6"/>
      <c r="EBG6"/>
      <c r="EBH6"/>
      <c r="EBI6"/>
      <c r="EBJ6"/>
      <c r="EBK6"/>
      <c r="EBL6"/>
      <c r="EBM6"/>
      <c r="EBN6"/>
      <c r="EBO6"/>
      <c r="EBP6"/>
      <c r="EBQ6"/>
      <c r="EBR6"/>
      <c r="EBS6"/>
      <c r="EBT6"/>
      <c r="EBU6"/>
      <c r="EBV6"/>
      <c r="EBW6"/>
      <c r="EBX6"/>
      <c r="EBY6"/>
      <c r="EBZ6"/>
      <c r="ECA6"/>
      <c r="ECB6"/>
      <c r="ECC6"/>
      <c r="ECD6"/>
      <c r="ECE6"/>
      <c r="ECF6"/>
      <c r="ECG6"/>
      <c r="ECH6"/>
      <c r="ECI6"/>
      <c r="ECJ6"/>
      <c r="ECK6"/>
      <c r="ECL6"/>
      <c r="ECM6"/>
      <c r="ECN6"/>
      <c r="ECO6"/>
      <c r="ECP6"/>
      <c r="ECQ6"/>
      <c r="ECR6"/>
      <c r="ECS6"/>
      <c r="ECT6"/>
      <c r="ECU6"/>
      <c r="ECV6"/>
      <c r="ECW6"/>
      <c r="ECX6"/>
      <c r="ECY6"/>
      <c r="ECZ6"/>
      <c r="EDA6"/>
      <c r="EDB6"/>
      <c r="EDC6"/>
      <c r="EDD6"/>
      <c r="EDE6"/>
      <c r="EDF6"/>
      <c r="EDG6"/>
      <c r="EDH6"/>
      <c r="EDI6"/>
      <c r="EDJ6"/>
      <c r="EDK6"/>
      <c r="EDL6"/>
      <c r="EDM6"/>
      <c r="EDN6"/>
      <c r="EDO6"/>
      <c r="EDP6"/>
      <c r="EDQ6"/>
      <c r="EDR6"/>
      <c r="EDS6"/>
      <c r="EDT6"/>
      <c r="EDU6"/>
      <c r="EDV6"/>
      <c r="EDW6"/>
      <c r="EDX6"/>
      <c r="EDY6"/>
      <c r="EDZ6"/>
      <c r="EEA6"/>
      <c r="EEB6"/>
      <c r="EEC6"/>
      <c r="EED6"/>
      <c r="EEE6"/>
      <c r="EEF6"/>
      <c r="EEG6"/>
      <c r="EEH6"/>
      <c r="EEI6"/>
      <c r="EEJ6"/>
      <c r="EEK6"/>
      <c r="EEL6"/>
      <c r="EEM6"/>
      <c r="EEN6"/>
      <c r="EEO6"/>
      <c r="EEP6"/>
      <c r="EEQ6"/>
      <c r="EER6"/>
      <c r="EES6"/>
      <c r="EET6"/>
      <c r="EEU6"/>
      <c r="EEV6"/>
      <c r="EEW6"/>
      <c r="EEX6"/>
      <c r="EEY6"/>
      <c r="EEZ6"/>
      <c r="EFA6"/>
      <c r="EFB6"/>
      <c r="EFC6"/>
      <c r="EFD6"/>
      <c r="EFE6"/>
      <c r="EFF6"/>
      <c r="EFG6"/>
      <c r="EFH6"/>
      <c r="EFI6"/>
      <c r="EFJ6"/>
      <c r="EFK6"/>
      <c r="EFL6"/>
      <c r="EFM6"/>
      <c r="EFN6"/>
      <c r="EFO6"/>
      <c r="EFP6"/>
      <c r="EFQ6"/>
      <c r="EFR6"/>
      <c r="EFS6"/>
      <c r="EFT6"/>
      <c r="EFU6"/>
      <c r="EFV6"/>
      <c r="EFW6"/>
      <c r="EFX6"/>
      <c r="EFY6"/>
      <c r="EFZ6"/>
      <c r="EGA6"/>
      <c r="EGB6"/>
      <c r="EGC6"/>
      <c r="EGD6"/>
      <c r="EGE6"/>
      <c r="EGF6"/>
      <c r="EGG6"/>
      <c r="EGH6"/>
      <c r="EGI6"/>
      <c r="EGJ6"/>
      <c r="EGK6"/>
      <c r="EGL6"/>
      <c r="EGM6"/>
      <c r="EGN6"/>
      <c r="EGO6"/>
      <c r="EGP6"/>
      <c r="EGQ6"/>
      <c r="EGR6"/>
      <c r="EGS6"/>
      <c r="EGT6"/>
      <c r="EGU6"/>
      <c r="EGV6"/>
      <c r="EGW6"/>
      <c r="EGX6"/>
      <c r="EGY6"/>
      <c r="EGZ6"/>
      <c r="EHA6"/>
      <c r="EHB6"/>
      <c r="EHC6"/>
      <c r="EHD6"/>
      <c r="EHE6"/>
      <c r="EHF6"/>
      <c r="EHG6"/>
      <c r="EHH6"/>
      <c r="EHI6"/>
      <c r="EHJ6"/>
      <c r="EHK6"/>
      <c r="EHL6"/>
      <c r="EHM6"/>
      <c r="EHN6"/>
      <c r="EHO6"/>
      <c r="EHP6"/>
      <c r="EHQ6"/>
      <c r="EHR6"/>
      <c r="EHS6"/>
      <c r="EHT6"/>
      <c r="EHU6"/>
      <c r="EHV6"/>
      <c r="EHW6"/>
      <c r="EHX6"/>
      <c r="EHY6"/>
      <c r="EHZ6"/>
      <c r="EIA6"/>
      <c r="EIB6"/>
      <c r="EIC6"/>
      <c r="EID6"/>
      <c r="EIE6"/>
      <c r="EIF6"/>
      <c r="EIG6"/>
      <c r="EIH6"/>
      <c r="EII6"/>
      <c r="EIJ6"/>
      <c r="EIK6"/>
      <c r="EIL6"/>
      <c r="EIM6"/>
      <c r="EIN6"/>
      <c r="EIO6"/>
      <c r="EIP6"/>
      <c r="EIQ6"/>
      <c r="EIR6"/>
      <c r="EIS6"/>
      <c r="EIT6"/>
      <c r="EIU6"/>
      <c r="EIV6"/>
      <c r="EIW6"/>
      <c r="EIX6"/>
      <c r="EIY6"/>
      <c r="EIZ6"/>
      <c r="EJA6"/>
      <c r="EJB6"/>
      <c r="EJC6"/>
      <c r="EJD6"/>
      <c r="EJE6"/>
      <c r="EJF6"/>
      <c r="EJG6"/>
      <c r="EJH6"/>
      <c r="EJI6"/>
      <c r="EJJ6"/>
      <c r="EJK6"/>
      <c r="EJL6"/>
      <c r="EJM6"/>
      <c r="EJN6"/>
      <c r="EJO6"/>
      <c r="EJP6"/>
      <c r="EJQ6"/>
      <c r="EJR6"/>
      <c r="EJS6"/>
      <c r="EJT6"/>
      <c r="EJU6"/>
      <c r="EJV6"/>
      <c r="EJW6"/>
      <c r="EJX6"/>
      <c r="EJY6"/>
      <c r="EJZ6"/>
      <c r="EKA6"/>
      <c r="EKB6"/>
      <c r="EKC6"/>
      <c r="EKD6"/>
      <c r="EKE6"/>
      <c r="EKF6"/>
      <c r="EKG6"/>
      <c r="EKH6"/>
      <c r="EKI6"/>
      <c r="EKJ6"/>
      <c r="EKK6"/>
      <c r="EKL6"/>
      <c r="EKM6"/>
      <c r="EKN6"/>
      <c r="EKO6"/>
      <c r="EKP6"/>
      <c r="EKQ6"/>
      <c r="EKR6"/>
      <c r="EKS6"/>
      <c r="EKT6"/>
      <c r="EKU6"/>
      <c r="EKV6"/>
      <c r="EKW6"/>
      <c r="EKX6"/>
      <c r="EKY6"/>
      <c r="EKZ6"/>
      <c r="ELA6"/>
      <c r="ELB6"/>
      <c r="ELC6"/>
      <c r="ELD6"/>
      <c r="ELE6"/>
      <c r="ELF6"/>
      <c r="ELG6"/>
      <c r="ELH6"/>
      <c r="ELI6"/>
      <c r="ELJ6"/>
      <c r="ELK6"/>
      <c r="ELL6"/>
      <c r="ELM6"/>
      <c r="ELN6"/>
      <c r="ELO6"/>
      <c r="ELP6"/>
      <c r="ELQ6"/>
      <c r="ELR6"/>
      <c r="ELS6"/>
      <c r="ELT6"/>
      <c r="ELU6"/>
      <c r="ELV6"/>
      <c r="ELW6"/>
      <c r="ELX6"/>
      <c r="ELY6"/>
      <c r="ELZ6"/>
      <c r="EMA6"/>
      <c r="EMB6"/>
      <c r="EMC6"/>
      <c r="EMD6"/>
      <c r="EME6"/>
      <c r="EMF6"/>
      <c r="EMG6"/>
      <c r="EMH6"/>
      <c r="EMI6"/>
      <c r="EMJ6"/>
      <c r="EMK6"/>
      <c r="EML6"/>
      <c r="EMM6"/>
      <c r="EMN6"/>
      <c r="EMO6"/>
      <c r="EMP6"/>
      <c r="EMQ6"/>
      <c r="EMR6"/>
      <c r="EMS6"/>
      <c r="EMT6"/>
      <c r="EMU6"/>
      <c r="EMV6"/>
      <c r="EMW6"/>
      <c r="EMX6"/>
      <c r="EMY6"/>
      <c r="EMZ6"/>
      <c r="ENA6"/>
      <c r="ENB6"/>
      <c r="ENC6"/>
      <c r="END6"/>
      <c r="ENE6"/>
      <c r="ENF6"/>
      <c r="ENG6"/>
      <c r="ENH6"/>
      <c r="ENI6"/>
      <c r="ENJ6"/>
      <c r="ENK6"/>
      <c r="ENL6"/>
      <c r="ENM6"/>
      <c r="ENN6"/>
      <c r="ENO6"/>
      <c r="ENP6"/>
      <c r="ENQ6"/>
      <c r="ENR6"/>
      <c r="ENS6"/>
      <c r="ENT6"/>
      <c r="ENU6"/>
      <c r="ENV6"/>
      <c r="ENW6"/>
      <c r="ENX6"/>
      <c r="ENY6"/>
      <c r="ENZ6"/>
      <c r="EOA6"/>
      <c r="EOB6"/>
      <c r="EOC6"/>
      <c r="EOD6"/>
      <c r="EOE6"/>
      <c r="EOF6"/>
      <c r="EOG6"/>
      <c r="EOH6"/>
      <c r="EOI6"/>
      <c r="EOJ6"/>
      <c r="EOK6"/>
      <c r="EOL6"/>
      <c r="EOM6"/>
      <c r="EON6"/>
      <c r="EOO6"/>
      <c r="EOP6"/>
      <c r="EOQ6"/>
      <c r="EOR6"/>
      <c r="EOS6"/>
      <c r="EOT6"/>
      <c r="EOU6"/>
      <c r="EOV6"/>
      <c r="EOW6"/>
      <c r="EOX6"/>
      <c r="EOY6"/>
      <c r="EOZ6"/>
      <c r="EPA6"/>
      <c r="EPB6"/>
      <c r="EPC6"/>
      <c r="EPD6"/>
      <c r="EPE6"/>
      <c r="EPF6"/>
      <c r="EPG6"/>
      <c r="EPH6"/>
      <c r="EPI6"/>
      <c r="EPJ6"/>
      <c r="EPK6"/>
      <c r="EPL6"/>
      <c r="EPM6"/>
      <c r="EPN6"/>
      <c r="EPO6"/>
      <c r="EPP6"/>
      <c r="EPQ6"/>
      <c r="EPR6"/>
      <c r="EPS6"/>
      <c r="EPT6"/>
      <c r="EPU6"/>
      <c r="EPV6"/>
      <c r="EPW6"/>
      <c r="EPX6"/>
      <c r="EPY6"/>
      <c r="EPZ6"/>
      <c r="EQA6"/>
      <c r="EQB6"/>
      <c r="EQC6"/>
      <c r="EQD6"/>
      <c r="EQE6"/>
      <c r="EQF6"/>
      <c r="EQG6"/>
      <c r="EQH6"/>
      <c r="EQI6"/>
      <c r="EQJ6"/>
      <c r="EQK6"/>
      <c r="EQL6"/>
      <c r="EQM6"/>
      <c r="EQN6"/>
      <c r="EQO6"/>
      <c r="EQP6"/>
      <c r="EQQ6"/>
      <c r="EQR6"/>
      <c r="EQS6"/>
      <c r="EQT6"/>
      <c r="EQU6"/>
      <c r="EQV6"/>
      <c r="EQW6"/>
      <c r="EQX6"/>
      <c r="EQY6"/>
      <c r="EQZ6"/>
      <c r="ERA6"/>
      <c r="ERB6"/>
      <c r="ERC6"/>
      <c r="ERD6"/>
      <c r="ERE6"/>
      <c r="ERF6"/>
      <c r="ERG6"/>
      <c r="ERH6"/>
      <c r="ERI6"/>
      <c r="ERJ6"/>
      <c r="ERK6"/>
      <c r="ERL6"/>
      <c r="ERM6"/>
      <c r="ERN6"/>
      <c r="ERO6"/>
      <c r="ERP6"/>
      <c r="ERQ6"/>
      <c r="ERR6"/>
      <c r="ERS6"/>
      <c r="ERT6"/>
      <c r="ERU6"/>
      <c r="ERV6"/>
      <c r="ERW6"/>
      <c r="ERX6"/>
      <c r="ERY6"/>
      <c r="ERZ6"/>
      <c r="ESA6"/>
      <c r="ESB6"/>
      <c r="ESC6"/>
      <c r="ESD6"/>
      <c r="ESE6"/>
      <c r="ESF6"/>
      <c r="ESG6"/>
      <c r="ESH6"/>
      <c r="ESI6"/>
      <c r="ESJ6"/>
      <c r="ESK6"/>
      <c r="ESL6"/>
      <c r="ESM6"/>
      <c r="ESN6"/>
      <c r="ESO6"/>
      <c r="ESP6"/>
      <c r="ESQ6"/>
      <c r="ESR6"/>
      <c r="ESS6"/>
      <c r="EST6"/>
      <c r="ESU6"/>
      <c r="ESV6"/>
      <c r="ESW6"/>
      <c r="ESX6"/>
      <c r="ESY6"/>
      <c r="ESZ6"/>
      <c r="ETA6"/>
      <c r="ETB6"/>
      <c r="ETC6"/>
      <c r="ETD6"/>
      <c r="ETE6"/>
      <c r="ETF6"/>
      <c r="ETG6"/>
      <c r="ETH6"/>
      <c r="ETI6"/>
      <c r="ETJ6"/>
      <c r="ETK6"/>
      <c r="ETL6"/>
      <c r="ETM6"/>
      <c r="ETN6"/>
      <c r="ETO6"/>
      <c r="ETP6"/>
      <c r="ETQ6"/>
      <c r="ETR6"/>
      <c r="ETS6"/>
      <c r="ETT6"/>
      <c r="ETU6"/>
      <c r="ETV6"/>
      <c r="ETW6"/>
      <c r="ETX6"/>
      <c r="ETY6"/>
      <c r="ETZ6"/>
      <c r="EUA6"/>
      <c r="EUB6"/>
      <c r="EUC6"/>
      <c r="EUD6"/>
      <c r="EUE6"/>
      <c r="EUF6"/>
      <c r="EUG6"/>
      <c r="EUH6"/>
      <c r="EUI6"/>
      <c r="EUJ6"/>
      <c r="EUK6"/>
      <c r="EUL6"/>
      <c r="EUM6"/>
      <c r="EUN6"/>
      <c r="EUO6"/>
      <c r="EUP6"/>
      <c r="EUQ6"/>
      <c r="EUR6"/>
      <c r="EUS6"/>
      <c r="EUT6"/>
      <c r="EUU6"/>
      <c r="EUV6"/>
      <c r="EUW6"/>
      <c r="EUX6"/>
      <c r="EUY6"/>
      <c r="EUZ6"/>
      <c r="EVA6"/>
      <c r="EVB6"/>
      <c r="EVC6"/>
      <c r="EVD6"/>
      <c r="EVE6"/>
      <c r="EVF6"/>
      <c r="EVG6"/>
      <c r="EVH6"/>
      <c r="EVI6"/>
      <c r="EVJ6"/>
      <c r="EVK6"/>
      <c r="EVL6"/>
      <c r="EVM6"/>
      <c r="EVN6"/>
      <c r="EVO6"/>
      <c r="EVP6"/>
      <c r="EVQ6"/>
      <c r="EVR6"/>
      <c r="EVS6"/>
      <c r="EVT6"/>
      <c r="EVU6"/>
      <c r="EVV6"/>
      <c r="EVW6"/>
      <c r="EVX6"/>
      <c r="EVY6"/>
      <c r="EVZ6"/>
      <c r="EWA6"/>
      <c r="EWB6"/>
      <c r="EWC6"/>
      <c r="EWD6"/>
      <c r="EWE6"/>
      <c r="EWF6"/>
      <c r="EWG6"/>
      <c r="EWH6"/>
      <c r="EWI6"/>
      <c r="EWJ6"/>
      <c r="EWK6"/>
      <c r="EWL6"/>
      <c r="EWM6"/>
      <c r="EWN6"/>
      <c r="EWO6"/>
      <c r="EWP6"/>
      <c r="EWQ6"/>
      <c r="EWR6"/>
      <c r="EWS6"/>
      <c r="EWT6"/>
      <c r="EWU6"/>
      <c r="EWV6"/>
      <c r="EWW6"/>
      <c r="EWX6"/>
      <c r="EWY6"/>
      <c r="EWZ6"/>
      <c r="EXA6"/>
      <c r="EXB6"/>
      <c r="EXC6"/>
      <c r="EXD6"/>
      <c r="EXE6"/>
      <c r="EXF6"/>
      <c r="EXG6"/>
      <c r="EXH6"/>
      <c r="EXI6"/>
      <c r="EXJ6"/>
      <c r="EXK6"/>
      <c r="EXL6"/>
      <c r="EXM6"/>
      <c r="EXN6"/>
      <c r="EXO6"/>
      <c r="EXP6"/>
      <c r="EXQ6"/>
      <c r="EXR6"/>
      <c r="EXS6"/>
      <c r="EXT6"/>
      <c r="EXU6"/>
      <c r="EXV6"/>
      <c r="EXW6"/>
      <c r="EXX6"/>
      <c r="EXY6"/>
      <c r="EXZ6"/>
      <c r="EYA6"/>
      <c r="EYB6"/>
      <c r="EYC6"/>
      <c r="EYD6"/>
      <c r="EYE6"/>
      <c r="EYF6"/>
      <c r="EYG6"/>
      <c r="EYH6"/>
      <c r="EYI6"/>
      <c r="EYJ6"/>
      <c r="EYK6"/>
      <c r="EYL6"/>
      <c r="EYM6"/>
      <c r="EYN6"/>
      <c r="EYO6"/>
      <c r="EYP6"/>
      <c r="EYQ6"/>
      <c r="EYR6"/>
      <c r="EYS6"/>
      <c r="EYT6"/>
      <c r="EYU6"/>
      <c r="EYV6"/>
      <c r="EYW6"/>
      <c r="EYX6"/>
      <c r="EYY6"/>
      <c r="EYZ6"/>
      <c r="EZA6"/>
      <c r="EZB6"/>
      <c r="EZC6"/>
      <c r="EZD6"/>
      <c r="EZE6"/>
      <c r="EZF6"/>
      <c r="EZG6"/>
      <c r="EZH6"/>
      <c r="EZI6"/>
      <c r="EZJ6"/>
      <c r="EZK6"/>
      <c r="EZL6"/>
      <c r="EZM6"/>
      <c r="EZN6"/>
      <c r="EZO6"/>
      <c r="EZP6"/>
      <c r="EZQ6"/>
      <c r="EZR6"/>
      <c r="EZS6"/>
      <c r="EZT6"/>
      <c r="EZU6"/>
      <c r="EZV6"/>
      <c r="EZW6"/>
      <c r="EZX6"/>
      <c r="EZY6"/>
      <c r="EZZ6"/>
      <c r="FAA6"/>
      <c r="FAB6"/>
      <c r="FAC6"/>
      <c r="FAD6"/>
      <c r="FAE6"/>
      <c r="FAF6"/>
      <c r="FAG6"/>
      <c r="FAH6"/>
      <c r="FAI6"/>
      <c r="FAJ6"/>
      <c r="FAK6"/>
      <c r="FAL6"/>
      <c r="FAM6"/>
      <c r="FAN6"/>
      <c r="FAO6"/>
      <c r="FAP6"/>
      <c r="FAQ6"/>
      <c r="FAR6"/>
      <c r="FAS6"/>
      <c r="FAT6"/>
      <c r="FAU6"/>
      <c r="FAV6"/>
      <c r="FAW6"/>
      <c r="FAX6"/>
      <c r="FAY6"/>
      <c r="FAZ6"/>
      <c r="FBA6"/>
      <c r="FBB6"/>
      <c r="FBC6"/>
      <c r="FBD6"/>
      <c r="FBE6"/>
      <c r="FBF6"/>
      <c r="FBG6"/>
      <c r="FBH6"/>
      <c r="FBI6"/>
      <c r="FBJ6"/>
      <c r="FBK6"/>
      <c r="FBL6"/>
      <c r="FBM6"/>
      <c r="FBN6"/>
      <c r="FBO6"/>
      <c r="FBP6"/>
      <c r="FBQ6"/>
      <c r="FBR6"/>
      <c r="FBS6"/>
      <c r="FBT6"/>
      <c r="FBU6"/>
      <c r="FBV6"/>
      <c r="FBW6"/>
      <c r="FBX6"/>
      <c r="FBY6"/>
      <c r="FBZ6"/>
      <c r="FCA6"/>
      <c r="FCB6"/>
      <c r="FCC6"/>
      <c r="FCD6"/>
      <c r="FCE6"/>
      <c r="FCF6"/>
      <c r="FCG6"/>
      <c r="FCH6"/>
      <c r="FCI6"/>
      <c r="FCJ6"/>
      <c r="FCK6"/>
      <c r="FCL6"/>
      <c r="FCM6"/>
      <c r="FCN6"/>
      <c r="FCO6"/>
      <c r="FCP6"/>
      <c r="FCQ6"/>
      <c r="FCR6"/>
      <c r="FCS6"/>
      <c r="FCT6"/>
      <c r="FCU6"/>
      <c r="FCV6"/>
      <c r="FCW6"/>
      <c r="FCX6"/>
      <c r="FCY6"/>
      <c r="FCZ6"/>
      <c r="FDA6"/>
      <c r="FDB6"/>
      <c r="FDC6"/>
      <c r="FDD6"/>
      <c r="FDE6"/>
      <c r="FDF6"/>
      <c r="FDG6"/>
      <c r="FDH6"/>
      <c r="FDI6"/>
      <c r="FDJ6"/>
      <c r="FDK6"/>
      <c r="FDL6"/>
      <c r="FDM6"/>
      <c r="FDN6"/>
      <c r="FDO6"/>
      <c r="FDP6"/>
      <c r="FDQ6"/>
      <c r="FDR6"/>
      <c r="FDS6"/>
      <c r="FDT6"/>
      <c r="FDU6"/>
      <c r="FDV6"/>
      <c r="FDW6"/>
      <c r="FDX6"/>
      <c r="FDY6"/>
      <c r="FDZ6"/>
      <c r="FEA6"/>
      <c r="FEB6"/>
      <c r="FEC6"/>
      <c r="FED6"/>
      <c r="FEE6"/>
      <c r="FEF6"/>
      <c r="FEG6"/>
      <c r="FEH6"/>
      <c r="FEI6"/>
      <c r="FEJ6"/>
      <c r="FEK6"/>
      <c r="FEL6"/>
      <c r="FEM6"/>
      <c r="FEN6"/>
      <c r="FEO6"/>
      <c r="FEP6"/>
      <c r="FEQ6"/>
      <c r="FER6"/>
      <c r="FES6"/>
      <c r="FET6"/>
      <c r="FEU6"/>
      <c r="FEV6"/>
      <c r="FEW6"/>
      <c r="FEX6"/>
      <c r="FEY6"/>
      <c r="FEZ6"/>
      <c r="FFA6"/>
      <c r="FFB6"/>
      <c r="FFC6"/>
      <c r="FFD6"/>
      <c r="FFE6"/>
      <c r="FFF6"/>
      <c r="FFG6"/>
      <c r="FFH6"/>
      <c r="FFI6"/>
      <c r="FFJ6"/>
      <c r="FFK6"/>
      <c r="FFL6"/>
      <c r="FFM6"/>
      <c r="FFN6"/>
      <c r="FFO6"/>
      <c r="FFP6"/>
      <c r="FFQ6"/>
      <c r="FFR6"/>
      <c r="FFS6"/>
      <c r="FFT6"/>
      <c r="FFU6"/>
      <c r="FFV6"/>
      <c r="FFW6"/>
      <c r="FFX6"/>
      <c r="FFY6"/>
      <c r="FFZ6"/>
      <c r="FGA6"/>
      <c r="FGB6"/>
      <c r="FGC6"/>
      <c r="FGD6"/>
      <c r="FGE6"/>
      <c r="FGF6"/>
      <c r="FGG6"/>
      <c r="FGH6"/>
      <c r="FGI6"/>
      <c r="FGJ6"/>
      <c r="FGK6"/>
      <c r="FGL6"/>
      <c r="FGM6"/>
      <c r="FGN6"/>
      <c r="FGO6"/>
      <c r="FGP6"/>
      <c r="FGQ6"/>
      <c r="FGR6"/>
      <c r="FGS6"/>
      <c r="FGT6"/>
      <c r="FGU6"/>
      <c r="FGV6"/>
      <c r="FGW6"/>
      <c r="FGX6"/>
      <c r="FGY6"/>
      <c r="FGZ6"/>
      <c r="FHA6"/>
      <c r="FHB6"/>
      <c r="FHC6"/>
      <c r="FHD6"/>
      <c r="FHE6"/>
      <c r="FHF6"/>
      <c r="FHG6"/>
      <c r="FHH6"/>
      <c r="FHI6"/>
      <c r="FHJ6"/>
      <c r="FHK6"/>
      <c r="FHL6"/>
      <c r="FHM6"/>
      <c r="FHN6"/>
      <c r="FHO6"/>
      <c r="FHP6"/>
      <c r="FHQ6"/>
      <c r="FHR6"/>
      <c r="FHS6"/>
      <c r="FHT6"/>
      <c r="FHU6"/>
      <c r="FHV6"/>
      <c r="FHW6"/>
      <c r="FHX6"/>
      <c r="FHY6"/>
      <c r="FHZ6"/>
      <c r="FIA6"/>
      <c r="FIB6"/>
      <c r="FIC6"/>
      <c r="FID6"/>
      <c r="FIE6"/>
      <c r="FIF6"/>
      <c r="FIG6"/>
      <c r="FIH6"/>
      <c r="FII6"/>
      <c r="FIJ6"/>
      <c r="FIK6"/>
      <c r="FIL6"/>
      <c r="FIM6"/>
      <c r="FIN6"/>
      <c r="FIO6"/>
      <c r="FIP6"/>
      <c r="FIQ6"/>
      <c r="FIR6"/>
      <c r="FIS6"/>
      <c r="FIT6"/>
      <c r="FIU6"/>
      <c r="FIV6"/>
      <c r="FIW6"/>
      <c r="FIX6"/>
      <c r="FIY6"/>
      <c r="FIZ6"/>
      <c r="FJA6"/>
      <c r="FJB6"/>
      <c r="FJC6"/>
      <c r="FJD6"/>
      <c r="FJE6"/>
      <c r="FJF6"/>
      <c r="FJG6"/>
      <c r="FJH6"/>
      <c r="FJI6"/>
      <c r="FJJ6"/>
      <c r="FJK6"/>
      <c r="FJL6"/>
      <c r="FJM6"/>
      <c r="FJN6"/>
      <c r="FJO6"/>
      <c r="FJP6"/>
      <c r="FJQ6"/>
      <c r="FJR6"/>
      <c r="FJS6"/>
      <c r="FJT6"/>
      <c r="FJU6"/>
      <c r="FJV6"/>
      <c r="FJW6"/>
      <c r="FJX6"/>
      <c r="FJY6"/>
      <c r="FJZ6"/>
      <c r="FKA6"/>
      <c r="FKB6"/>
      <c r="FKC6"/>
      <c r="FKD6"/>
      <c r="FKE6"/>
      <c r="FKF6"/>
      <c r="FKG6"/>
      <c r="FKH6"/>
      <c r="FKI6"/>
      <c r="FKJ6"/>
      <c r="FKK6"/>
      <c r="FKL6"/>
      <c r="FKM6"/>
      <c r="FKN6"/>
      <c r="FKO6"/>
      <c r="FKP6"/>
      <c r="FKQ6"/>
      <c r="FKR6"/>
      <c r="FKS6"/>
      <c r="FKT6"/>
      <c r="FKU6"/>
      <c r="FKV6"/>
      <c r="FKW6"/>
      <c r="FKX6"/>
      <c r="FKY6"/>
      <c r="FKZ6"/>
      <c r="FLA6"/>
      <c r="FLB6"/>
      <c r="FLC6"/>
      <c r="FLD6"/>
      <c r="FLE6"/>
      <c r="FLF6"/>
      <c r="FLG6"/>
      <c r="FLH6"/>
      <c r="FLI6"/>
      <c r="FLJ6"/>
      <c r="FLK6"/>
      <c r="FLL6"/>
      <c r="FLM6"/>
      <c r="FLN6"/>
      <c r="FLO6"/>
      <c r="FLP6"/>
      <c r="FLQ6"/>
      <c r="FLR6"/>
      <c r="FLS6"/>
      <c r="FLT6"/>
      <c r="FLU6"/>
      <c r="FLV6"/>
      <c r="FLW6"/>
      <c r="FLX6"/>
      <c r="FLY6"/>
      <c r="FLZ6"/>
      <c r="FMA6"/>
      <c r="FMB6"/>
      <c r="FMC6"/>
      <c r="FMD6"/>
      <c r="FME6"/>
      <c r="FMF6"/>
      <c r="FMG6"/>
      <c r="FMH6"/>
      <c r="FMI6"/>
      <c r="FMJ6"/>
      <c r="FMK6"/>
      <c r="FML6"/>
      <c r="FMM6"/>
      <c r="FMN6"/>
      <c r="FMO6"/>
      <c r="FMP6"/>
      <c r="FMQ6"/>
      <c r="FMR6"/>
      <c r="FMS6"/>
      <c r="FMT6"/>
      <c r="FMU6"/>
      <c r="FMV6"/>
      <c r="FMW6"/>
      <c r="FMX6"/>
      <c r="FMY6"/>
      <c r="FMZ6"/>
      <c r="FNA6"/>
      <c r="FNB6"/>
      <c r="FNC6"/>
      <c r="FND6"/>
      <c r="FNE6"/>
      <c r="FNF6"/>
      <c r="FNG6"/>
      <c r="FNH6"/>
      <c r="FNI6"/>
      <c r="FNJ6"/>
      <c r="FNK6"/>
      <c r="FNL6"/>
      <c r="FNM6"/>
      <c r="FNN6"/>
      <c r="FNO6"/>
      <c r="FNP6"/>
      <c r="FNQ6"/>
      <c r="FNR6"/>
      <c r="FNS6"/>
      <c r="FNT6"/>
      <c r="FNU6"/>
      <c r="FNV6"/>
      <c r="FNW6"/>
      <c r="FNX6"/>
      <c r="FNY6"/>
      <c r="FNZ6"/>
      <c r="FOA6"/>
      <c r="FOB6"/>
      <c r="FOC6"/>
      <c r="FOD6"/>
      <c r="FOE6"/>
      <c r="FOF6"/>
      <c r="FOG6"/>
      <c r="FOH6"/>
      <c r="FOI6"/>
      <c r="FOJ6"/>
      <c r="FOK6"/>
      <c r="FOL6"/>
      <c r="FOM6"/>
      <c r="FON6"/>
      <c r="FOO6"/>
      <c r="FOP6"/>
      <c r="FOQ6"/>
      <c r="FOR6"/>
      <c r="FOS6"/>
      <c r="FOT6"/>
      <c r="FOU6"/>
      <c r="FOV6"/>
      <c r="FOW6"/>
      <c r="FOX6"/>
      <c r="FOY6"/>
      <c r="FOZ6"/>
      <c r="FPA6"/>
      <c r="FPB6"/>
      <c r="FPC6"/>
      <c r="FPD6"/>
      <c r="FPE6"/>
      <c r="FPF6"/>
      <c r="FPG6"/>
      <c r="FPH6"/>
      <c r="FPI6"/>
      <c r="FPJ6"/>
      <c r="FPK6"/>
      <c r="FPL6"/>
      <c r="FPM6"/>
      <c r="FPN6"/>
      <c r="FPO6"/>
      <c r="FPP6"/>
      <c r="FPQ6"/>
      <c r="FPR6"/>
      <c r="FPS6"/>
      <c r="FPT6"/>
      <c r="FPU6"/>
      <c r="FPV6"/>
      <c r="FPW6"/>
      <c r="FPX6"/>
      <c r="FPY6"/>
      <c r="FPZ6"/>
      <c r="FQA6"/>
      <c r="FQB6"/>
      <c r="FQC6"/>
      <c r="FQD6"/>
      <c r="FQE6"/>
      <c r="FQF6"/>
      <c r="FQG6"/>
      <c r="FQH6"/>
      <c r="FQI6"/>
      <c r="FQJ6"/>
      <c r="FQK6"/>
      <c r="FQL6"/>
      <c r="FQM6"/>
      <c r="FQN6"/>
      <c r="FQO6"/>
      <c r="FQP6"/>
      <c r="FQQ6"/>
      <c r="FQR6"/>
      <c r="FQS6"/>
      <c r="FQT6"/>
      <c r="FQU6"/>
      <c r="FQV6"/>
      <c r="FQW6"/>
      <c r="FQX6"/>
      <c r="FQY6"/>
      <c r="FQZ6"/>
      <c r="FRA6"/>
      <c r="FRB6"/>
      <c r="FRC6"/>
      <c r="FRD6"/>
      <c r="FRE6"/>
      <c r="FRF6"/>
      <c r="FRG6"/>
      <c r="FRH6"/>
      <c r="FRI6"/>
      <c r="FRJ6"/>
      <c r="FRK6"/>
      <c r="FRL6"/>
      <c r="FRM6"/>
      <c r="FRN6"/>
      <c r="FRO6"/>
      <c r="FRP6"/>
      <c r="FRQ6"/>
      <c r="FRR6"/>
      <c r="FRS6"/>
      <c r="FRT6"/>
      <c r="FRU6"/>
      <c r="FRV6"/>
      <c r="FRW6"/>
      <c r="FRX6"/>
      <c r="FRY6"/>
      <c r="FRZ6"/>
      <c r="FSA6"/>
      <c r="FSB6"/>
      <c r="FSC6"/>
      <c r="FSD6"/>
      <c r="FSE6"/>
      <c r="FSF6"/>
      <c r="FSG6"/>
      <c r="FSH6"/>
      <c r="FSI6"/>
      <c r="FSJ6"/>
      <c r="FSK6"/>
      <c r="FSL6"/>
      <c r="FSM6"/>
      <c r="FSN6"/>
      <c r="FSO6"/>
      <c r="FSP6"/>
      <c r="FSQ6"/>
      <c r="FSR6"/>
      <c r="FSS6"/>
      <c r="FST6"/>
      <c r="FSU6"/>
      <c r="FSV6"/>
      <c r="FSW6"/>
      <c r="FSX6"/>
      <c r="FSY6"/>
      <c r="FSZ6"/>
      <c r="FTA6"/>
      <c r="FTB6"/>
      <c r="FTC6"/>
      <c r="FTD6"/>
      <c r="FTE6"/>
      <c r="FTF6"/>
      <c r="FTG6"/>
      <c r="FTH6"/>
      <c r="FTI6"/>
      <c r="FTJ6"/>
      <c r="FTK6"/>
      <c r="FTL6"/>
      <c r="FTM6"/>
      <c r="FTN6"/>
      <c r="FTO6"/>
      <c r="FTP6"/>
      <c r="FTQ6"/>
      <c r="FTR6"/>
      <c r="FTS6"/>
      <c r="FTT6"/>
      <c r="FTU6"/>
      <c r="FTV6"/>
      <c r="FTW6"/>
      <c r="FTX6"/>
      <c r="FTY6"/>
      <c r="FTZ6"/>
      <c r="FUA6"/>
      <c r="FUB6"/>
      <c r="FUC6"/>
      <c r="FUD6"/>
      <c r="FUE6"/>
      <c r="FUF6"/>
      <c r="FUG6"/>
      <c r="FUH6"/>
      <c r="FUI6"/>
      <c r="FUJ6"/>
      <c r="FUK6"/>
      <c r="FUL6"/>
      <c r="FUM6"/>
      <c r="FUN6"/>
      <c r="FUO6"/>
      <c r="FUP6"/>
      <c r="FUQ6"/>
      <c r="FUR6"/>
      <c r="FUS6"/>
      <c r="FUT6"/>
      <c r="FUU6"/>
      <c r="FUV6"/>
      <c r="FUW6"/>
      <c r="FUX6"/>
      <c r="FUY6"/>
      <c r="FUZ6"/>
      <c r="FVA6"/>
      <c r="FVB6"/>
      <c r="FVC6"/>
      <c r="FVD6"/>
      <c r="FVE6"/>
      <c r="FVF6"/>
      <c r="FVG6"/>
      <c r="FVH6"/>
      <c r="FVI6"/>
      <c r="FVJ6"/>
      <c r="FVK6"/>
      <c r="FVL6"/>
      <c r="FVM6"/>
      <c r="FVN6"/>
      <c r="FVO6"/>
      <c r="FVP6"/>
      <c r="FVQ6"/>
      <c r="FVR6"/>
      <c r="FVS6"/>
      <c r="FVT6"/>
      <c r="FVU6"/>
      <c r="FVV6"/>
      <c r="FVW6"/>
      <c r="FVX6"/>
      <c r="FVY6"/>
      <c r="FVZ6"/>
      <c r="FWA6"/>
      <c r="FWB6"/>
      <c r="FWC6"/>
      <c r="FWD6"/>
      <c r="FWE6"/>
      <c r="FWF6"/>
      <c r="FWG6"/>
      <c r="FWH6"/>
      <c r="FWI6"/>
      <c r="FWJ6"/>
      <c r="FWK6"/>
      <c r="FWL6"/>
      <c r="FWM6"/>
      <c r="FWN6"/>
      <c r="FWO6"/>
      <c r="FWP6"/>
      <c r="FWQ6"/>
      <c r="FWR6"/>
      <c r="FWS6"/>
      <c r="FWT6"/>
      <c r="FWU6"/>
      <c r="FWV6"/>
      <c r="FWW6"/>
      <c r="FWX6"/>
      <c r="FWY6"/>
      <c r="FWZ6"/>
      <c r="FXA6"/>
      <c r="FXB6"/>
      <c r="FXC6"/>
      <c r="FXD6"/>
      <c r="FXE6"/>
      <c r="FXF6"/>
      <c r="FXG6"/>
      <c r="FXH6"/>
      <c r="FXI6"/>
      <c r="FXJ6"/>
      <c r="FXK6"/>
      <c r="FXL6"/>
      <c r="FXM6"/>
      <c r="FXN6"/>
      <c r="FXO6"/>
      <c r="FXP6"/>
      <c r="FXQ6"/>
      <c r="FXR6"/>
      <c r="FXS6"/>
      <c r="FXT6"/>
      <c r="FXU6"/>
      <c r="FXV6"/>
      <c r="FXW6"/>
      <c r="FXX6"/>
      <c r="FXY6"/>
      <c r="FXZ6"/>
      <c r="FYA6"/>
      <c r="FYB6"/>
      <c r="FYC6"/>
      <c r="FYD6"/>
      <c r="FYE6"/>
      <c r="FYF6"/>
      <c r="FYG6"/>
      <c r="FYH6"/>
      <c r="FYI6"/>
      <c r="FYJ6"/>
      <c r="FYK6"/>
      <c r="FYL6"/>
      <c r="FYM6"/>
      <c r="FYN6"/>
      <c r="FYO6"/>
      <c r="FYP6"/>
      <c r="FYQ6"/>
      <c r="FYR6"/>
      <c r="FYS6"/>
      <c r="FYT6"/>
      <c r="FYU6"/>
      <c r="FYV6"/>
      <c r="FYW6"/>
      <c r="FYX6"/>
      <c r="FYY6"/>
      <c r="FYZ6"/>
      <c r="FZA6"/>
      <c r="FZB6"/>
      <c r="FZC6"/>
      <c r="FZD6"/>
      <c r="FZE6"/>
      <c r="FZF6"/>
      <c r="FZG6"/>
      <c r="FZH6"/>
      <c r="FZI6"/>
      <c r="FZJ6"/>
      <c r="FZK6"/>
      <c r="FZL6"/>
      <c r="FZM6"/>
      <c r="FZN6"/>
      <c r="FZO6"/>
      <c r="FZP6"/>
      <c r="FZQ6"/>
      <c r="FZR6"/>
      <c r="FZS6"/>
      <c r="FZT6"/>
      <c r="FZU6"/>
      <c r="FZV6"/>
      <c r="FZW6"/>
      <c r="FZX6"/>
      <c r="FZY6"/>
      <c r="FZZ6"/>
      <c r="GAA6"/>
      <c r="GAB6"/>
      <c r="GAC6"/>
      <c r="GAD6"/>
      <c r="GAE6"/>
      <c r="GAF6"/>
      <c r="GAG6"/>
      <c r="GAH6"/>
      <c r="GAI6"/>
      <c r="GAJ6"/>
      <c r="GAK6"/>
      <c r="GAL6"/>
      <c r="GAM6"/>
      <c r="GAN6"/>
      <c r="GAO6"/>
      <c r="GAP6"/>
      <c r="GAQ6"/>
      <c r="GAR6"/>
      <c r="GAS6"/>
      <c r="GAT6"/>
      <c r="GAU6"/>
      <c r="GAV6"/>
      <c r="GAW6"/>
      <c r="GAX6"/>
      <c r="GAY6"/>
      <c r="GAZ6"/>
      <c r="GBA6"/>
      <c r="GBB6"/>
      <c r="GBC6"/>
      <c r="GBD6"/>
      <c r="GBE6"/>
      <c r="GBF6"/>
      <c r="GBG6"/>
      <c r="GBH6"/>
      <c r="GBI6"/>
      <c r="GBJ6"/>
      <c r="GBK6"/>
      <c r="GBL6"/>
      <c r="GBM6"/>
      <c r="GBN6"/>
      <c r="GBO6"/>
      <c r="GBP6"/>
      <c r="GBQ6"/>
      <c r="GBR6"/>
      <c r="GBS6"/>
      <c r="GBT6"/>
      <c r="GBU6"/>
      <c r="GBV6"/>
      <c r="GBW6"/>
      <c r="GBX6"/>
      <c r="GBY6"/>
      <c r="GBZ6"/>
      <c r="GCA6"/>
      <c r="GCB6"/>
      <c r="GCC6"/>
      <c r="GCD6"/>
      <c r="GCE6"/>
      <c r="GCF6"/>
      <c r="GCG6"/>
      <c r="GCH6"/>
      <c r="GCI6"/>
      <c r="GCJ6"/>
      <c r="GCK6"/>
      <c r="GCL6"/>
      <c r="GCM6"/>
      <c r="GCN6"/>
      <c r="GCO6"/>
      <c r="GCP6"/>
      <c r="GCQ6"/>
      <c r="GCR6"/>
      <c r="GCS6"/>
      <c r="GCT6"/>
      <c r="GCU6"/>
      <c r="GCV6"/>
      <c r="GCW6"/>
      <c r="GCX6"/>
      <c r="GCY6"/>
      <c r="GCZ6"/>
      <c r="GDA6"/>
      <c r="GDB6"/>
      <c r="GDC6"/>
      <c r="GDD6"/>
      <c r="GDE6"/>
      <c r="GDF6"/>
      <c r="GDG6"/>
      <c r="GDH6"/>
      <c r="GDI6"/>
      <c r="GDJ6"/>
      <c r="GDK6"/>
      <c r="GDL6"/>
      <c r="GDM6"/>
      <c r="GDN6"/>
      <c r="GDO6"/>
      <c r="GDP6"/>
      <c r="GDQ6"/>
      <c r="GDR6"/>
      <c r="GDS6"/>
      <c r="GDT6"/>
      <c r="GDU6"/>
      <c r="GDV6"/>
      <c r="GDW6"/>
      <c r="GDX6"/>
      <c r="GDY6"/>
      <c r="GDZ6"/>
      <c r="GEA6"/>
      <c r="GEB6"/>
      <c r="GEC6"/>
      <c r="GED6"/>
      <c r="GEE6"/>
      <c r="GEF6"/>
      <c r="GEG6"/>
      <c r="GEH6"/>
      <c r="GEI6"/>
      <c r="GEJ6"/>
      <c r="GEK6"/>
      <c r="GEL6"/>
      <c r="GEM6"/>
      <c r="GEN6"/>
      <c r="GEO6"/>
      <c r="GEP6"/>
      <c r="GEQ6"/>
      <c r="GER6"/>
      <c r="GES6"/>
      <c r="GET6"/>
      <c r="GEU6"/>
      <c r="GEV6"/>
      <c r="GEW6"/>
      <c r="GEX6"/>
      <c r="GEY6"/>
      <c r="GEZ6"/>
      <c r="GFA6"/>
      <c r="GFB6"/>
      <c r="GFC6"/>
      <c r="GFD6"/>
      <c r="GFE6"/>
      <c r="GFF6"/>
      <c r="GFG6"/>
      <c r="GFH6"/>
      <c r="GFI6"/>
      <c r="GFJ6"/>
      <c r="GFK6"/>
      <c r="GFL6"/>
      <c r="GFM6"/>
      <c r="GFN6"/>
      <c r="GFO6"/>
      <c r="GFP6"/>
      <c r="GFQ6"/>
      <c r="GFR6"/>
      <c r="GFS6"/>
      <c r="GFT6"/>
      <c r="GFU6"/>
      <c r="GFV6"/>
      <c r="GFW6"/>
      <c r="GFX6"/>
      <c r="GFY6"/>
      <c r="GFZ6"/>
      <c r="GGA6"/>
      <c r="GGB6"/>
      <c r="GGC6"/>
      <c r="GGD6"/>
      <c r="GGE6"/>
      <c r="GGF6"/>
      <c r="GGG6"/>
      <c r="GGH6"/>
      <c r="GGI6"/>
      <c r="GGJ6"/>
      <c r="GGK6"/>
      <c r="GGL6"/>
      <c r="GGM6"/>
      <c r="GGN6"/>
      <c r="GGO6"/>
      <c r="GGP6"/>
      <c r="GGQ6"/>
      <c r="GGR6"/>
      <c r="GGS6"/>
      <c r="GGT6"/>
      <c r="GGU6"/>
      <c r="GGV6"/>
      <c r="GGW6"/>
      <c r="GGX6"/>
      <c r="GGY6"/>
      <c r="GGZ6"/>
      <c r="GHA6"/>
      <c r="GHB6"/>
      <c r="GHC6"/>
      <c r="GHD6"/>
      <c r="GHE6"/>
      <c r="GHF6"/>
      <c r="GHG6"/>
      <c r="GHH6"/>
      <c r="GHI6"/>
      <c r="GHJ6"/>
      <c r="GHK6"/>
      <c r="GHL6"/>
      <c r="GHM6"/>
      <c r="GHN6"/>
      <c r="GHO6"/>
      <c r="GHP6"/>
      <c r="GHQ6"/>
      <c r="GHR6"/>
      <c r="GHS6"/>
      <c r="GHT6"/>
      <c r="GHU6"/>
      <c r="GHV6"/>
      <c r="GHW6"/>
      <c r="GHX6"/>
      <c r="GHY6"/>
      <c r="GHZ6"/>
      <c r="GIA6"/>
      <c r="GIB6"/>
      <c r="GIC6"/>
      <c r="GID6"/>
      <c r="GIE6"/>
      <c r="GIF6"/>
      <c r="GIG6"/>
      <c r="GIH6"/>
      <c r="GII6"/>
      <c r="GIJ6"/>
      <c r="GIK6"/>
      <c r="GIL6"/>
      <c r="GIM6"/>
      <c r="GIN6"/>
      <c r="GIO6"/>
      <c r="GIP6"/>
      <c r="GIQ6"/>
      <c r="GIR6"/>
      <c r="GIS6"/>
      <c r="GIT6"/>
      <c r="GIU6"/>
      <c r="GIV6"/>
      <c r="GIW6"/>
      <c r="GIX6"/>
      <c r="GIY6"/>
      <c r="GIZ6"/>
      <c r="GJA6"/>
      <c r="GJB6"/>
      <c r="GJC6"/>
      <c r="GJD6"/>
      <c r="GJE6"/>
      <c r="GJF6"/>
      <c r="GJG6"/>
      <c r="GJH6"/>
      <c r="GJI6"/>
      <c r="GJJ6"/>
      <c r="GJK6"/>
      <c r="GJL6"/>
      <c r="GJM6"/>
      <c r="GJN6"/>
      <c r="GJO6"/>
      <c r="GJP6"/>
      <c r="GJQ6"/>
      <c r="GJR6"/>
      <c r="GJS6"/>
      <c r="GJT6"/>
      <c r="GJU6"/>
      <c r="GJV6"/>
      <c r="GJW6"/>
      <c r="GJX6"/>
      <c r="GJY6"/>
      <c r="GJZ6"/>
      <c r="GKA6"/>
      <c r="GKB6"/>
      <c r="GKC6"/>
      <c r="GKD6"/>
      <c r="GKE6"/>
      <c r="GKF6"/>
      <c r="GKG6"/>
      <c r="GKH6"/>
      <c r="GKI6"/>
      <c r="GKJ6"/>
      <c r="GKK6"/>
      <c r="GKL6"/>
      <c r="GKM6"/>
      <c r="GKN6"/>
      <c r="GKO6"/>
      <c r="GKP6"/>
      <c r="GKQ6"/>
      <c r="GKR6"/>
      <c r="GKS6"/>
      <c r="GKT6"/>
      <c r="GKU6"/>
      <c r="GKV6"/>
      <c r="GKW6"/>
      <c r="GKX6"/>
      <c r="GKY6"/>
      <c r="GKZ6"/>
      <c r="GLA6"/>
      <c r="GLB6"/>
      <c r="GLC6"/>
      <c r="GLD6"/>
      <c r="GLE6"/>
      <c r="GLF6"/>
      <c r="GLG6"/>
      <c r="GLH6"/>
      <c r="GLI6"/>
      <c r="GLJ6"/>
      <c r="GLK6"/>
      <c r="GLL6"/>
      <c r="GLM6"/>
      <c r="GLN6"/>
      <c r="GLO6"/>
      <c r="GLP6"/>
      <c r="GLQ6"/>
      <c r="GLR6"/>
      <c r="GLS6"/>
      <c r="GLT6"/>
      <c r="GLU6"/>
      <c r="GLV6"/>
      <c r="GLW6"/>
      <c r="GLX6"/>
      <c r="GLY6"/>
      <c r="GLZ6"/>
      <c r="GMA6"/>
      <c r="GMB6"/>
      <c r="GMC6"/>
      <c r="GMD6"/>
      <c r="GME6"/>
      <c r="GMF6"/>
      <c r="GMG6"/>
      <c r="GMH6"/>
      <c r="GMI6"/>
      <c r="GMJ6"/>
      <c r="GMK6"/>
      <c r="GML6"/>
      <c r="GMM6"/>
      <c r="GMN6"/>
      <c r="GMO6"/>
      <c r="GMP6"/>
      <c r="GMQ6"/>
      <c r="GMR6"/>
      <c r="GMS6"/>
      <c r="GMT6"/>
      <c r="GMU6"/>
      <c r="GMV6"/>
      <c r="GMW6"/>
      <c r="GMX6"/>
      <c r="GMY6"/>
      <c r="GMZ6"/>
      <c r="GNA6"/>
      <c r="GNB6"/>
      <c r="GNC6"/>
      <c r="GND6"/>
      <c r="GNE6"/>
      <c r="GNF6"/>
      <c r="GNG6"/>
      <c r="GNH6"/>
      <c r="GNI6"/>
      <c r="GNJ6"/>
      <c r="GNK6"/>
      <c r="GNL6"/>
      <c r="GNM6"/>
      <c r="GNN6"/>
      <c r="GNO6"/>
      <c r="GNP6"/>
      <c r="GNQ6"/>
      <c r="GNR6"/>
      <c r="GNS6"/>
      <c r="GNT6"/>
      <c r="GNU6"/>
      <c r="GNV6"/>
      <c r="GNW6"/>
      <c r="GNX6"/>
      <c r="GNY6"/>
      <c r="GNZ6"/>
      <c r="GOA6"/>
      <c r="GOB6"/>
      <c r="GOC6"/>
      <c r="GOD6"/>
      <c r="GOE6"/>
      <c r="GOF6"/>
      <c r="GOG6"/>
      <c r="GOH6"/>
      <c r="GOI6"/>
      <c r="GOJ6"/>
      <c r="GOK6"/>
      <c r="GOL6"/>
      <c r="GOM6"/>
      <c r="GON6"/>
      <c r="GOO6"/>
      <c r="GOP6"/>
      <c r="GOQ6"/>
      <c r="GOR6"/>
      <c r="GOS6"/>
      <c r="GOT6"/>
      <c r="GOU6"/>
      <c r="GOV6"/>
      <c r="GOW6"/>
      <c r="GOX6"/>
      <c r="GOY6"/>
      <c r="GOZ6"/>
      <c r="GPA6"/>
      <c r="GPB6"/>
      <c r="GPC6"/>
      <c r="GPD6"/>
      <c r="GPE6"/>
      <c r="GPF6"/>
      <c r="GPG6"/>
      <c r="GPH6"/>
      <c r="GPI6"/>
      <c r="GPJ6"/>
      <c r="GPK6"/>
      <c r="GPL6"/>
      <c r="GPM6"/>
      <c r="GPN6"/>
      <c r="GPO6"/>
      <c r="GPP6"/>
      <c r="GPQ6"/>
      <c r="GPR6"/>
      <c r="GPS6"/>
      <c r="GPT6"/>
      <c r="GPU6"/>
      <c r="GPV6"/>
      <c r="GPW6"/>
      <c r="GPX6"/>
      <c r="GPY6"/>
      <c r="GPZ6"/>
      <c r="GQA6"/>
      <c r="GQB6"/>
      <c r="GQC6"/>
      <c r="GQD6"/>
      <c r="GQE6"/>
      <c r="GQF6"/>
      <c r="GQG6"/>
      <c r="GQH6"/>
      <c r="GQI6"/>
      <c r="GQJ6"/>
      <c r="GQK6"/>
      <c r="GQL6"/>
      <c r="GQM6"/>
      <c r="GQN6"/>
      <c r="GQO6"/>
      <c r="GQP6"/>
      <c r="GQQ6"/>
      <c r="GQR6"/>
      <c r="GQS6"/>
      <c r="GQT6"/>
      <c r="GQU6"/>
      <c r="GQV6"/>
      <c r="GQW6"/>
      <c r="GQX6"/>
      <c r="GQY6"/>
      <c r="GQZ6"/>
      <c r="GRA6"/>
      <c r="GRB6"/>
      <c r="GRC6"/>
      <c r="GRD6"/>
      <c r="GRE6"/>
      <c r="GRF6"/>
      <c r="GRG6"/>
      <c r="GRH6"/>
      <c r="GRI6"/>
      <c r="GRJ6"/>
      <c r="GRK6"/>
      <c r="GRL6"/>
      <c r="GRM6"/>
      <c r="GRN6"/>
      <c r="GRO6"/>
      <c r="GRP6"/>
      <c r="GRQ6"/>
      <c r="GRR6"/>
      <c r="GRS6"/>
      <c r="GRT6"/>
      <c r="GRU6"/>
      <c r="GRV6"/>
      <c r="GRW6"/>
      <c r="GRX6"/>
      <c r="GRY6"/>
      <c r="GRZ6"/>
      <c r="GSA6"/>
      <c r="GSB6"/>
      <c r="GSC6"/>
      <c r="GSD6"/>
      <c r="GSE6"/>
      <c r="GSF6"/>
      <c r="GSG6"/>
      <c r="GSH6"/>
      <c r="GSI6"/>
      <c r="GSJ6"/>
      <c r="GSK6"/>
      <c r="GSL6"/>
      <c r="GSM6"/>
      <c r="GSN6"/>
      <c r="GSO6"/>
      <c r="GSP6"/>
      <c r="GSQ6"/>
      <c r="GSR6"/>
      <c r="GSS6"/>
      <c r="GST6"/>
      <c r="GSU6"/>
      <c r="GSV6"/>
      <c r="GSW6"/>
      <c r="GSX6"/>
      <c r="GSY6"/>
      <c r="GSZ6"/>
      <c r="GTA6"/>
      <c r="GTB6"/>
      <c r="GTC6"/>
      <c r="GTD6"/>
      <c r="GTE6"/>
      <c r="GTF6"/>
      <c r="GTG6"/>
      <c r="GTH6"/>
      <c r="GTI6"/>
      <c r="GTJ6"/>
      <c r="GTK6"/>
      <c r="GTL6"/>
      <c r="GTM6"/>
      <c r="GTN6"/>
      <c r="GTO6"/>
      <c r="GTP6"/>
      <c r="GTQ6"/>
      <c r="GTR6"/>
      <c r="GTS6"/>
      <c r="GTT6"/>
      <c r="GTU6"/>
      <c r="GTV6"/>
      <c r="GTW6"/>
      <c r="GTX6"/>
      <c r="GTY6"/>
      <c r="GTZ6"/>
      <c r="GUA6"/>
      <c r="GUB6"/>
      <c r="GUC6"/>
      <c r="GUD6"/>
      <c r="GUE6"/>
      <c r="GUF6"/>
      <c r="GUG6"/>
      <c r="GUH6"/>
      <c r="GUI6"/>
      <c r="GUJ6"/>
      <c r="GUK6"/>
      <c r="GUL6"/>
      <c r="GUM6"/>
      <c r="GUN6"/>
      <c r="GUO6"/>
      <c r="GUP6"/>
      <c r="GUQ6"/>
      <c r="GUR6"/>
      <c r="GUS6"/>
      <c r="GUT6"/>
      <c r="GUU6"/>
      <c r="GUV6"/>
      <c r="GUW6"/>
      <c r="GUX6"/>
      <c r="GUY6"/>
      <c r="GUZ6"/>
      <c r="GVA6"/>
      <c r="GVB6"/>
      <c r="GVC6"/>
      <c r="GVD6"/>
      <c r="GVE6"/>
      <c r="GVF6"/>
      <c r="GVG6"/>
      <c r="GVH6"/>
      <c r="GVI6"/>
      <c r="GVJ6"/>
      <c r="GVK6"/>
      <c r="GVL6"/>
      <c r="GVM6"/>
      <c r="GVN6"/>
      <c r="GVO6"/>
      <c r="GVP6"/>
      <c r="GVQ6"/>
      <c r="GVR6"/>
      <c r="GVS6"/>
      <c r="GVT6"/>
      <c r="GVU6"/>
      <c r="GVV6"/>
      <c r="GVW6"/>
      <c r="GVX6"/>
      <c r="GVY6"/>
      <c r="GVZ6"/>
      <c r="GWA6"/>
      <c r="GWB6"/>
      <c r="GWC6"/>
      <c r="GWD6"/>
      <c r="GWE6"/>
      <c r="GWF6"/>
      <c r="GWG6"/>
      <c r="GWH6"/>
      <c r="GWI6"/>
      <c r="GWJ6"/>
      <c r="GWK6"/>
      <c r="GWL6"/>
      <c r="GWM6"/>
      <c r="GWN6"/>
      <c r="GWO6"/>
      <c r="GWP6"/>
      <c r="GWQ6"/>
      <c r="GWR6"/>
      <c r="GWS6"/>
      <c r="GWT6"/>
      <c r="GWU6"/>
      <c r="GWV6"/>
      <c r="GWW6"/>
      <c r="GWX6"/>
      <c r="GWY6"/>
      <c r="GWZ6"/>
      <c r="GXA6"/>
      <c r="GXB6"/>
      <c r="GXC6"/>
      <c r="GXD6"/>
      <c r="GXE6"/>
      <c r="GXF6"/>
      <c r="GXG6"/>
      <c r="GXH6"/>
      <c r="GXI6"/>
      <c r="GXJ6"/>
      <c r="GXK6"/>
      <c r="GXL6"/>
      <c r="GXM6"/>
      <c r="GXN6"/>
      <c r="GXO6"/>
      <c r="GXP6"/>
      <c r="GXQ6"/>
      <c r="GXR6"/>
      <c r="GXS6"/>
      <c r="GXT6"/>
      <c r="GXU6"/>
      <c r="GXV6"/>
      <c r="GXW6"/>
      <c r="GXX6"/>
      <c r="GXY6"/>
      <c r="GXZ6"/>
      <c r="GYA6"/>
      <c r="GYB6"/>
      <c r="GYC6"/>
      <c r="GYD6"/>
      <c r="GYE6"/>
      <c r="GYF6"/>
      <c r="GYG6"/>
      <c r="GYH6"/>
      <c r="GYI6"/>
      <c r="GYJ6"/>
      <c r="GYK6"/>
      <c r="GYL6"/>
      <c r="GYM6"/>
      <c r="GYN6"/>
      <c r="GYO6"/>
      <c r="GYP6"/>
      <c r="GYQ6"/>
      <c r="GYR6"/>
      <c r="GYS6"/>
      <c r="GYT6"/>
      <c r="GYU6"/>
      <c r="GYV6"/>
      <c r="GYW6"/>
      <c r="GYX6"/>
      <c r="GYY6"/>
      <c r="GYZ6"/>
      <c r="GZA6"/>
      <c r="GZB6"/>
      <c r="GZC6"/>
      <c r="GZD6"/>
      <c r="GZE6"/>
      <c r="GZF6"/>
      <c r="GZG6"/>
      <c r="GZH6"/>
      <c r="GZI6"/>
      <c r="GZJ6"/>
      <c r="GZK6"/>
      <c r="GZL6"/>
      <c r="GZM6"/>
      <c r="GZN6"/>
      <c r="GZO6"/>
      <c r="GZP6"/>
      <c r="GZQ6"/>
      <c r="GZR6"/>
      <c r="GZS6"/>
      <c r="GZT6"/>
      <c r="GZU6"/>
      <c r="GZV6"/>
      <c r="GZW6"/>
      <c r="GZX6"/>
      <c r="GZY6"/>
      <c r="GZZ6"/>
      <c r="HAA6"/>
      <c r="HAB6"/>
      <c r="HAC6"/>
      <c r="HAD6"/>
      <c r="HAE6"/>
      <c r="HAF6"/>
      <c r="HAG6"/>
      <c r="HAH6"/>
      <c r="HAI6"/>
      <c r="HAJ6"/>
      <c r="HAK6"/>
      <c r="HAL6"/>
      <c r="HAM6"/>
      <c r="HAN6"/>
      <c r="HAO6"/>
      <c r="HAP6"/>
      <c r="HAQ6"/>
      <c r="HAR6"/>
      <c r="HAS6"/>
      <c r="HAT6"/>
      <c r="HAU6"/>
      <c r="HAV6"/>
      <c r="HAW6"/>
      <c r="HAX6"/>
      <c r="HAY6"/>
      <c r="HAZ6"/>
      <c r="HBA6"/>
      <c r="HBB6"/>
      <c r="HBC6"/>
      <c r="HBD6"/>
      <c r="HBE6"/>
      <c r="HBF6"/>
      <c r="HBG6"/>
      <c r="HBH6"/>
      <c r="HBI6"/>
      <c r="HBJ6"/>
      <c r="HBK6"/>
      <c r="HBL6"/>
      <c r="HBM6"/>
      <c r="HBN6"/>
      <c r="HBO6"/>
      <c r="HBP6"/>
      <c r="HBQ6"/>
      <c r="HBR6"/>
      <c r="HBS6"/>
      <c r="HBT6"/>
      <c r="HBU6"/>
      <c r="HBV6"/>
      <c r="HBW6"/>
      <c r="HBX6"/>
      <c r="HBY6"/>
      <c r="HBZ6"/>
      <c r="HCA6"/>
      <c r="HCB6"/>
      <c r="HCC6"/>
      <c r="HCD6"/>
      <c r="HCE6"/>
      <c r="HCF6"/>
      <c r="HCG6"/>
      <c r="HCH6"/>
      <c r="HCI6"/>
      <c r="HCJ6"/>
      <c r="HCK6"/>
      <c r="HCL6"/>
      <c r="HCM6"/>
      <c r="HCN6"/>
      <c r="HCO6"/>
      <c r="HCP6"/>
      <c r="HCQ6"/>
      <c r="HCR6"/>
      <c r="HCS6"/>
      <c r="HCT6"/>
      <c r="HCU6"/>
      <c r="HCV6"/>
      <c r="HCW6"/>
      <c r="HCX6"/>
      <c r="HCY6"/>
      <c r="HCZ6"/>
      <c r="HDA6"/>
      <c r="HDB6"/>
      <c r="HDC6"/>
      <c r="HDD6"/>
      <c r="HDE6"/>
      <c r="HDF6"/>
      <c r="HDG6"/>
      <c r="HDH6"/>
      <c r="HDI6"/>
      <c r="HDJ6"/>
      <c r="HDK6"/>
      <c r="HDL6"/>
      <c r="HDM6"/>
      <c r="HDN6"/>
      <c r="HDO6"/>
      <c r="HDP6"/>
      <c r="HDQ6"/>
      <c r="HDR6"/>
      <c r="HDS6"/>
      <c r="HDT6"/>
      <c r="HDU6"/>
      <c r="HDV6"/>
      <c r="HDW6"/>
      <c r="HDX6"/>
      <c r="HDY6"/>
      <c r="HDZ6"/>
      <c r="HEA6"/>
      <c r="HEB6"/>
      <c r="HEC6"/>
      <c r="HED6"/>
      <c r="HEE6"/>
      <c r="HEF6"/>
      <c r="HEG6"/>
      <c r="HEH6"/>
      <c r="HEI6"/>
      <c r="HEJ6"/>
      <c r="HEK6"/>
      <c r="HEL6"/>
      <c r="HEM6"/>
      <c r="HEN6"/>
      <c r="HEO6"/>
      <c r="HEP6"/>
      <c r="HEQ6"/>
      <c r="HER6"/>
      <c r="HES6"/>
      <c r="HET6"/>
      <c r="HEU6"/>
      <c r="HEV6"/>
      <c r="HEW6"/>
      <c r="HEX6"/>
      <c r="HEY6"/>
      <c r="HEZ6"/>
      <c r="HFA6"/>
      <c r="HFB6"/>
      <c r="HFC6"/>
      <c r="HFD6"/>
      <c r="HFE6"/>
      <c r="HFF6"/>
      <c r="HFG6"/>
      <c r="HFH6"/>
      <c r="HFI6"/>
      <c r="HFJ6"/>
      <c r="HFK6"/>
      <c r="HFL6"/>
      <c r="HFM6"/>
      <c r="HFN6"/>
      <c r="HFO6"/>
      <c r="HFP6"/>
      <c r="HFQ6"/>
      <c r="HFR6"/>
      <c r="HFS6"/>
      <c r="HFT6"/>
      <c r="HFU6"/>
      <c r="HFV6"/>
      <c r="HFW6"/>
      <c r="HFX6"/>
      <c r="HFY6"/>
      <c r="HFZ6"/>
      <c r="HGA6"/>
      <c r="HGB6"/>
      <c r="HGC6"/>
      <c r="HGD6"/>
      <c r="HGE6"/>
      <c r="HGF6"/>
      <c r="HGG6"/>
      <c r="HGH6"/>
      <c r="HGI6"/>
      <c r="HGJ6"/>
      <c r="HGK6"/>
      <c r="HGL6"/>
      <c r="HGM6"/>
      <c r="HGN6"/>
      <c r="HGO6"/>
      <c r="HGP6"/>
      <c r="HGQ6"/>
      <c r="HGR6"/>
      <c r="HGS6"/>
      <c r="HGT6"/>
      <c r="HGU6"/>
      <c r="HGV6"/>
      <c r="HGW6"/>
      <c r="HGX6"/>
      <c r="HGY6"/>
      <c r="HGZ6"/>
      <c r="HHA6"/>
      <c r="HHB6"/>
      <c r="HHC6"/>
      <c r="HHD6"/>
      <c r="HHE6"/>
      <c r="HHF6"/>
      <c r="HHG6"/>
      <c r="HHH6"/>
      <c r="HHI6"/>
      <c r="HHJ6"/>
      <c r="HHK6"/>
      <c r="HHL6"/>
      <c r="HHM6"/>
      <c r="HHN6"/>
      <c r="HHO6"/>
      <c r="HHP6"/>
      <c r="HHQ6"/>
      <c r="HHR6"/>
      <c r="HHS6"/>
      <c r="HHT6"/>
      <c r="HHU6"/>
      <c r="HHV6"/>
      <c r="HHW6"/>
      <c r="HHX6"/>
      <c r="HHY6"/>
      <c r="HHZ6"/>
      <c r="HIA6"/>
      <c r="HIB6"/>
      <c r="HIC6"/>
      <c r="HID6"/>
      <c r="HIE6"/>
      <c r="HIF6"/>
      <c r="HIG6"/>
      <c r="HIH6"/>
      <c r="HII6"/>
      <c r="HIJ6"/>
      <c r="HIK6"/>
      <c r="HIL6"/>
      <c r="HIM6"/>
      <c r="HIN6"/>
      <c r="HIO6"/>
      <c r="HIP6"/>
      <c r="HIQ6"/>
      <c r="HIR6"/>
      <c r="HIS6"/>
      <c r="HIT6"/>
      <c r="HIU6"/>
      <c r="HIV6"/>
      <c r="HIW6"/>
      <c r="HIX6"/>
      <c r="HIY6"/>
      <c r="HIZ6"/>
      <c r="HJA6"/>
      <c r="HJB6"/>
      <c r="HJC6"/>
      <c r="HJD6"/>
      <c r="HJE6"/>
      <c r="HJF6"/>
      <c r="HJG6"/>
      <c r="HJH6"/>
      <c r="HJI6"/>
      <c r="HJJ6"/>
      <c r="HJK6"/>
      <c r="HJL6"/>
      <c r="HJM6"/>
      <c r="HJN6"/>
      <c r="HJO6"/>
      <c r="HJP6"/>
      <c r="HJQ6"/>
      <c r="HJR6"/>
      <c r="HJS6"/>
      <c r="HJT6"/>
      <c r="HJU6"/>
      <c r="HJV6"/>
      <c r="HJW6"/>
      <c r="HJX6"/>
      <c r="HJY6"/>
      <c r="HJZ6"/>
      <c r="HKA6"/>
      <c r="HKB6"/>
      <c r="HKC6"/>
      <c r="HKD6"/>
      <c r="HKE6"/>
      <c r="HKF6"/>
      <c r="HKG6"/>
      <c r="HKH6"/>
      <c r="HKI6"/>
      <c r="HKJ6"/>
      <c r="HKK6"/>
      <c r="HKL6"/>
      <c r="HKM6"/>
      <c r="HKN6"/>
      <c r="HKO6"/>
      <c r="HKP6"/>
      <c r="HKQ6"/>
      <c r="HKR6"/>
      <c r="HKS6"/>
      <c r="HKT6"/>
      <c r="HKU6"/>
      <c r="HKV6"/>
      <c r="HKW6"/>
      <c r="HKX6"/>
      <c r="HKY6"/>
      <c r="HKZ6"/>
      <c r="HLA6"/>
      <c r="HLB6"/>
      <c r="HLC6"/>
      <c r="HLD6"/>
      <c r="HLE6"/>
      <c r="HLF6"/>
      <c r="HLG6"/>
      <c r="HLH6"/>
      <c r="HLI6"/>
      <c r="HLJ6"/>
      <c r="HLK6"/>
      <c r="HLL6"/>
      <c r="HLM6"/>
      <c r="HLN6"/>
      <c r="HLO6"/>
      <c r="HLP6"/>
      <c r="HLQ6"/>
      <c r="HLR6"/>
      <c r="HLS6"/>
      <c r="HLT6"/>
      <c r="HLU6"/>
      <c r="HLV6"/>
      <c r="HLW6"/>
      <c r="HLX6"/>
      <c r="HLY6"/>
      <c r="HLZ6"/>
      <c r="HMA6"/>
      <c r="HMB6"/>
      <c r="HMC6"/>
      <c r="HMD6"/>
      <c r="HME6"/>
      <c r="HMF6"/>
      <c r="HMG6"/>
      <c r="HMH6"/>
      <c r="HMI6"/>
      <c r="HMJ6"/>
      <c r="HMK6"/>
      <c r="HML6"/>
      <c r="HMM6"/>
      <c r="HMN6"/>
      <c r="HMO6"/>
      <c r="HMP6"/>
      <c r="HMQ6"/>
      <c r="HMR6"/>
      <c r="HMS6"/>
      <c r="HMT6"/>
      <c r="HMU6"/>
      <c r="HMV6"/>
      <c r="HMW6"/>
      <c r="HMX6"/>
      <c r="HMY6"/>
      <c r="HMZ6"/>
      <c r="HNA6"/>
      <c r="HNB6"/>
      <c r="HNC6"/>
      <c r="HND6"/>
      <c r="HNE6"/>
      <c r="HNF6"/>
      <c r="HNG6"/>
      <c r="HNH6"/>
      <c r="HNI6"/>
      <c r="HNJ6"/>
      <c r="HNK6"/>
      <c r="HNL6"/>
      <c r="HNM6"/>
      <c r="HNN6"/>
      <c r="HNO6"/>
      <c r="HNP6"/>
      <c r="HNQ6"/>
      <c r="HNR6"/>
      <c r="HNS6"/>
      <c r="HNT6"/>
      <c r="HNU6"/>
      <c r="HNV6"/>
      <c r="HNW6"/>
      <c r="HNX6"/>
      <c r="HNY6"/>
      <c r="HNZ6"/>
      <c r="HOA6"/>
      <c r="HOB6"/>
      <c r="HOC6"/>
      <c r="HOD6"/>
      <c r="HOE6"/>
      <c r="HOF6"/>
      <c r="HOG6"/>
      <c r="HOH6"/>
      <c r="HOI6"/>
      <c r="HOJ6"/>
      <c r="HOK6"/>
      <c r="HOL6"/>
      <c r="HOM6"/>
      <c r="HON6"/>
      <c r="HOO6"/>
      <c r="HOP6"/>
      <c r="HOQ6"/>
      <c r="HOR6"/>
      <c r="HOS6"/>
      <c r="HOT6"/>
      <c r="HOU6"/>
      <c r="HOV6"/>
      <c r="HOW6"/>
      <c r="HOX6"/>
      <c r="HOY6"/>
      <c r="HOZ6"/>
      <c r="HPA6"/>
      <c r="HPB6"/>
      <c r="HPC6"/>
      <c r="HPD6"/>
      <c r="HPE6"/>
      <c r="HPF6"/>
      <c r="HPG6"/>
      <c r="HPH6"/>
      <c r="HPI6"/>
      <c r="HPJ6"/>
      <c r="HPK6"/>
      <c r="HPL6"/>
      <c r="HPM6"/>
      <c r="HPN6"/>
      <c r="HPO6"/>
      <c r="HPP6"/>
      <c r="HPQ6"/>
      <c r="HPR6"/>
      <c r="HPS6"/>
      <c r="HPT6"/>
      <c r="HPU6"/>
      <c r="HPV6"/>
      <c r="HPW6"/>
      <c r="HPX6"/>
      <c r="HPY6"/>
      <c r="HPZ6"/>
      <c r="HQA6"/>
      <c r="HQB6"/>
      <c r="HQC6"/>
      <c r="HQD6"/>
      <c r="HQE6"/>
      <c r="HQF6"/>
      <c r="HQG6"/>
      <c r="HQH6"/>
      <c r="HQI6"/>
      <c r="HQJ6"/>
      <c r="HQK6"/>
      <c r="HQL6"/>
      <c r="HQM6"/>
      <c r="HQN6"/>
      <c r="HQO6"/>
      <c r="HQP6"/>
      <c r="HQQ6"/>
      <c r="HQR6"/>
      <c r="HQS6"/>
      <c r="HQT6"/>
      <c r="HQU6"/>
      <c r="HQV6"/>
      <c r="HQW6"/>
      <c r="HQX6"/>
      <c r="HQY6"/>
      <c r="HQZ6"/>
      <c r="HRA6"/>
      <c r="HRB6"/>
      <c r="HRC6"/>
      <c r="HRD6"/>
      <c r="HRE6"/>
      <c r="HRF6"/>
      <c r="HRG6"/>
      <c r="HRH6"/>
      <c r="HRI6"/>
      <c r="HRJ6"/>
      <c r="HRK6"/>
      <c r="HRL6"/>
      <c r="HRM6"/>
      <c r="HRN6"/>
      <c r="HRO6"/>
      <c r="HRP6"/>
      <c r="HRQ6"/>
      <c r="HRR6"/>
      <c r="HRS6"/>
      <c r="HRT6"/>
      <c r="HRU6"/>
      <c r="HRV6"/>
      <c r="HRW6"/>
      <c r="HRX6"/>
      <c r="HRY6"/>
      <c r="HRZ6"/>
      <c r="HSA6"/>
      <c r="HSB6"/>
      <c r="HSC6"/>
      <c r="HSD6"/>
      <c r="HSE6"/>
      <c r="HSF6"/>
      <c r="HSG6"/>
      <c r="HSH6"/>
      <c r="HSI6"/>
      <c r="HSJ6"/>
      <c r="HSK6"/>
      <c r="HSL6"/>
      <c r="HSM6"/>
      <c r="HSN6"/>
      <c r="HSO6"/>
      <c r="HSP6"/>
      <c r="HSQ6"/>
      <c r="HSR6"/>
      <c r="HSS6"/>
      <c r="HST6"/>
      <c r="HSU6"/>
      <c r="HSV6"/>
      <c r="HSW6"/>
      <c r="HSX6"/>
      <c r="HSY6"/>
      <c r="HSZ6"/>
      <c r="HTA6"/>
      <c r="HTB6"/>
      <c r="HTC6"/>
      <c r="HTD6"/>
      <c r="HTE6"/>
      <c r="HTF6"/>
      <c r="HTG6"/>
      <c r="HTH6"/>
      <c r="HTI6"/>
      <c r="HTJ6"/>
      <c r="HTK6"/>
      <c r="HTL6"/>
      <c r="HTM6"/>
      <c r="HTN6"/>
      <c r="HTO6"/>
      <c r="HTP6"/>
      <c r="HTQ6"/>
      <c r="HTR6"/>
      <c r="HTS6"/>
      <c r="HTT6"/>
      <c r="HTU6"/>
      <c r="HTV6"/>
      <c r="HTW6"/>
      <c r="HTX6"/>
      <c r="HTY6"/>
      <c r="HTZ6"/>
      <c r="HUA6"/>
      <c r="HUB6"/>
      <c r="HUC6"/>
      <c r="HUD6"/>
      <c r="HUE6"/>
      <c r="HUF6"/>
      <c r="HUG6"/>
      <c r="HUH6"/>
      <c r="HUI6"/>
      <c r="HUJ6"/>
      <c r="HUK6"/>
      <c r="HUL6"/>
      <c r="HUM6"/>
      <c r="HUN6"/>
      <c r="HUO6"/>
      <c r="HUP6"/>
      <c r="HUQ6"/>
      <c r="HUR6"/>
      <c r="HUS6"/>
      <c r="HUT6"/>
      <c r="HUU6"/>
      <c r="HUV6"/>
      <c r="HUW6"/>
      <c r="HUX6"/>
      <c r="HUY6"/>
      <c r="HUZ6"/>
      <c r="HVA6"/>
      <c r="HVB6"/>
      <c r="HVC6"/>
      <c r="HVD6"/>
      <c r="HVE6"/>
      <c r="HVF6"/>
      <c r="HVG6"/>
      <c r="HVH6"/>
      <c r="HVI6"/>
      <c r="HVJ6"/>
      <c r="HVK6"/>
      <c r="HVL6"/>
      <c r="HVM6"/>
      <c r="HVN6"/>
      <c r="HVO6"/>
      <c r="HVP6"/>
      <c r="HVQ6"/>
      <c r="HVR6"/>
      <c r="HVS6"/>
      <c r="HVT6"/>
      <c r="HVU6"/>
      <c r="HVV6"/>
      <c r="HVW6"/>
      <c r="HVX6"/>
      <c r="HVY6"/>
      <c r="HVZ6"/>
      <c r="HWA6"/>
      <c r="HWB6"/>
      <c r="HWC6"/>
      <c r="HWD6"/>
      <c r="HWE6"/>
      <c r="HWF6"/>
      <c r="HWG6"/>
      <c r="HWH6"/>
      <c r="HWI6"/>
      <c r="HWJ6"/>
      <c r="HWK6"/>
      <c r="HWL6"/>
      <c r="HWM6"/>
      <c r="HWN6"/>
      <c r="HWO6"/>
      <c r="HWP6"/>
      <c r="HWQ6"/>
      <c r="HWR6"/>
      <c r="HWS6"/>
      <c r="HWT6"/>
      <c r="HWU6"/>
      <c r="HWV6"/>
      <c r="HWW6"/>
      <c r="HWX6"/>
      <c r="HWY6"/>
      <c r="HWZ6"/>
      <c r="HXA6"/>
      <c r="HXB6"/>
      <c r="HXC6"/>
      <c r="HXD6"/>
      <c r="HXE6"/>
      <c r="HXF6"/>
      <c r="HXG6"/>
      <c r="HXH6"/>
      <c r="HXI6"/>
      <c r="HXJ6"/>
      <c r="HXK6"/>
      <c r="HXL6"/>
      <c r="HXM6"/>
      <c r="HXN6"/>
      <c r="HXO6"/>
      <c r="HXP6"/>
      <c r="HXQ6"/>
      <c r="HXR6"/>
      <c r="HXS6"/>
      <c r="HXT6"/>
      <c r="HXU6"/>
      <c r="HXV6"/>
      <c r="HXW6"/>
      <c r="HXX6"/>
      <c r="HXY6"/>
      <c r="HXZ6"/>
      <c r="HYA6"/>
      <c r="HYB6"/>
      <c r="HYC6"/>
      <c r="HYD6"/>
      <c r="HYE6"/>
      <c r="HYF6"/>
      <c r="HYG6"/>
      <c r="HYH6"/>
      <c r="HYI6"/>
      <c r="HYJ6"/>
      <c r="HYK6"/>
      <c r="HYL6"/>
      <c r="HYM6"/>
      <c r="HYN6"/>
      <c r="HYO6"/>
      <c r="HYP6"/>
      <c r="HYQ6"/>
      <c r="HYR6"/>
      <c r="HYS6"/>
      <c r="HYT6"/>
      <c r="HYU6"/>
      <c r="HYV6"/>
      <c r="HYW6"/>
      <c r="HYX6"/>
      <c r="HYY6"/>
      <c r="HYZ6"/>
      <c r="HZA6"/>
      <c r="HZB6"/>
      <c r="HZC6"/>
      <c r="HZD6"/>
      <c r="HZE6"/>
      <c r="HZF6"/>
      <c r="HZG6"/>
      <c r="HZH6"/>
      <c r="HZI6"/>
      <c r="HZJ6"/>
      <c r="HZK6"/>
      <c r="HZL6"/>
      <c r="HZM6"/>
      <c r="HZN6"/>
      <c r="HZO6"/>
      <c r="HZP6"/>
      <c r="HZQ6"/>
      <c r="HZR6"/>
      <c r="HZS6"/>
      <c r="HZT6"/>
      <c r="HZU6"/>
      <c r="HZV6"/>
      <c r="HZW6"/>
      <c r="HZX6"/>
      <c r="HZY6"/>
      <c r="HZZ6"/>
      <c r="IAA6"/>
      <c r="IAB6"/>
      <c r="IAC6"/>
      <c r="IAD6"/>
      <c r="IAE6"/>
      <c r="IAF6"/>
      <c r="IAG6"/>
      <c r="IAH6"/>
      <c r="IAI6"/>
      <c r="IAJ6"/>
      <c r="IAK6"/>
      <c r="IAL6"/>
      <c r="IAM6"/>
      <c r="IAN6"/>
      <c r="IAO6"/>
      <c r="IAP6"/>
      <c r="IAQ6"/>
      <c r="IAR6"/>
      <c r="IAS6"/>
      <c r="IAT6"/>
      <c r="IAU6"/>
      <c r="IAV6"/>
      <c r="IAW6"/>
      <c r="IAX6"/>
      <c r="IAY6"/>
      <c r="IAZ6"/>
      <c r="IBA6"/>
      <c r="IBB6"/>
      <c r="IBC6"/>
      <c r="IBD6"/>
      <c r="IBE6"/>
      <c r="IBF6"/>
      <c r="IBG6"/>
      <c r="IBH6"/>
      <c r="IBI6"/>
      <c r="IBJ6"/>
      <c r="IBK6"/>
      <c r="IBL6"/>
      <c r="IBM6"/>
      <c r="IBN6"/>
      <c r="IBO6"/>
      <c r="IBP6"/>
      <c r="IBQ6"/>
      <c r="IBR6"/>
      <c r="IBS6"/>
      <c r="IBT6"/>
      <c r="IBU6"/>
      <c r="IBV6"/>
      <c r="IBW6"/>
      <c r="IBX6"/>
      <c r="IBY6"/>
      <c r="IBZ6"/>
      <c r="ICA6"/>
      <c r="ICB6"/>
      <c r="ICC6"/>
      <c r="ICD6"/>
      <c r="ICE6"/>
      <c r="ICF6"/>
      <c r="ICG6"/>
      <c r="ICH6"/>
      <c r="ICI6"/>
      <c r="ICJ6"/>
      <c r="ICK6"/>
      <c r="ICL6"/>
      <c r="ICM6"/>
      <c r="ICN6"/>
      <c r="ICO6"/>
      <c r="ICP6"/>
      <c r="ICQ6"/>
      <c r="ICR6"/>
      <c r="ICS6"/>
      <c r="ICT6"/>
      <c r="ICU6"/>
      <c r="ICV6"/>
      <c r="ICW6"/>
      <c r="ICX6"/>
      <c r="ICY6"/>
      <c r="ICZ6"/>
      <c r="IDA6"/>
      <c r="IDB6"/>
      <c r="IDC6"/>
      <c r="IDD6"/>
      <c r="IDE6"/>
      <c r="IDF6"/>
      <c r="IDG6"/>
      <c r="IDH6"/>
      <c r="IDI6"/>
      <c r="IDJ6"/>
      <c r="IDK6"/>
      <c r="IDL6"/>
      <c r="IDM6"/>
      <c r="IDN6"/>
      <c r="IDO6"/>
      <c r="IDP6"/>
      <c r="IDQ6"/>
      <c r="IDR6"/>
      <c r="IDS6"/>
      <c r="IDT6"/>
      <c r="IDU6"/>
      <c r="IDV6"/>
      <c r="IDW6"/>
      <c r="IDX6"/>
      <c r="IDY6"/>
      <c r="IDZ6"/>
      <c r="IEA6"/>
      <c r="IEB6"/>
      <c r="IEC6"/>
      <c r="IED6"/>
      <c r="IEE6"/>
      <c r="IEF6"/>
      <c r="IEG6"/>
      <c r="IEH6"/>
      <c r="IEI6"/>
      <c r="IEJ6"/>
      <c r="IEK6"/>
      <c r="IEL6"/>
      <c r="IEM6"/>
      <c r="IEN6"/>
      <c r="IEO6"/>
      <c r="IEP6"/>
      <c r="IEQ6"/>
      <c r="IER6"/>
      <c r="IES6"/>
      <c r="IET6"/>
      <c r="IEU6"/>
      <c r="IEV6"/>
      <c r="IEW6"/>
      <c r="IEX6"/>
      <c r="IEY6"/>
      <c r="IEZ6"/>
      <c r="IFA6"/>
      <c r="IFB6"/>
      <c r="IFC6"/>
      <c r="IFD6"/>
      <c r="IFE6"/>
      <c r="IFF6"/>
      <c r="IFG6"/>
      <c r="IFH6"/>
      <c r="IFI6"/>
      <c r="IFJ6"/>
      <c r="IFK6"/>
      <c r="IFL6"/>
      <c r="IFM6"/>
      <c r="IFN6"/>
      <c r="IFO6"/>
      <c r="IFP6"/>
      <c r="IFQ6"/>
      <c r="IFR6"/>
      <c r="IFS6"/>
      <c r="IFT6"/>
      <c r="IFU6"/>
      <c r="IFV6"/>
      <c r="IFW6"/>
      <c r="IFX6"/>
      <c r="IFY6"/>
      <c r="IFZ6"/>
      <c r="IGA6"/>
      <c r="IGB6"/>
      <c r="IGC6"/>
      <c r="IGD6"/>
      <c r="IGE6"/>
      <c r="IGF6"/>
      <c r="IGG6"/>
      <c r="IGH6"/>
      <c r="IGI6"/>
      <c r="IGJ6"/>
      <c r="IGK6"/>
      <c r="IGL6"/>
      <c r="IGM6"/>
      <c r="IGN6"/>
      <c r="IGO6"/>
      <c r="IGP6"/>
      <c r="IGQ6"/>
      <c r="IGR6"/>
      <c r="IGS6"/>
      <c r="IGT6"/>
      <c r="IGU6"/>
      <c r="IGV6"/>
      <c r="IGW6"/>
      <c r="IGX6"/>
      <c r="IGY6"/>
      <c r="IGZ6"/>
      <c r="IHA6"/>
      <c r="IHB6"/>
      <c r="IHC6"/>
      <c r="IHD6"/>
      <c r="IHE6"/>
      <c r="IHF6"/>
      <c r="IHG6"/>
      <c r="IHH6"/>
      <c r="IHI6"/>
      <c r="IHJ6"/>
      <c r="IHK6"/>
      <c r="IHL6"/>
      <c r="IHM6"/>
      <c r="IHN6"/>
      <c r="IHO6"/>
      <c r="IHP6"/>
      <c r="IHQ6"/>
      <c r="IHR6"/>
      <c r="IHS6"/>
      <c r="IHT6"/>
      <c r="IHU6"/>
      <c r="IHV6"/>
      <c r="IHW6"/>
      <c r="IHX6"/>
      <c r="IHY6"/>
      <c r="IHZ6"/>
      <c r="IIA6"/>
      <c r="IIB6"/>
      <c r="IIC6"/>
      <c r="IID6"/>
      <c r="IIE6"/>
      <c r="IIF6"/>
      <c r="IIG6"/>
      <c r="IIH6"/>
      <c r="III6"/>
      <c r="IIJ6"/>
      <c r="IIK6"/>
      <c r="IIL6"/>
      <c r="IIM6"/>
      <c r="IIN6"/>
      <c r="IIO6"/>
      <c r="IIP6"/>
      <c r="IIQ6"/>
      <c r="IIR6"/>
      <c r="IIS6"/>
      <c r="IIT6"/>
      <c r="IIU6"/>
      <c r="IIV6"/>
      <c r="IIW6"/>
      <c r="IIX6"/>
      <c r="IIY6"/>
      <c r="IIZ6"/>
      <c r="IJA6"/>
      <c r="IJB6"/>
      <c r="IJC6"/>
      <c r="IJD6"/>
      <c r="IJE6"/>
      <c r="IJF6"/>
      <c r="IJG6"/>
      <c r="IJH6"/>
      <c r="IJI6"/>
      <c r="IJJ6"/>
      <c r="IJK6"/>
      <c r="IJL6"/>
      <c r="IJM6"/>
      <c r="IJN6"/>
      <c r="IJO6"/>
      <c r="IJP6"/>
      <c r="IJQ6"/>
      <c r="IJR6"/>
      <c r="IJS6"/>
      <c r="IJT6"/>
      <c r="IJU6"/>
      <c r="IJV6"/>
      <c r="IJW6"/>
      <c r="IJX6"/>
      <c r="IJY6"/>
      <c r="IJZ6"/>
      <c r="IKA6"/>
      <c r="IKB6"/>
      <c r="IKC6"/>
      <c r="IKD6"/>
      <c r="IKE6"/>
      <c r="IKF6"/>
      <c r="IKG6"/>
      <c r="IKH6"/>
      <c r="IKI6"/>
      <c r="IKJ6"/>
      <c r="IKK6"/>
      <c r="IKL6"/>
      <c r="IKM6"/>
      <c r="IKN6"/>
      <c r="IKO6"/>
      <c r="IKP6"/>
      <c r="IKQ6"/>
      <c r="IKR6"/>
      <c r="IKS6"/>
      <c r="IKT6"/>
      <c r="IKU6"/>
      <c r="IKV6"/>
      <c r="IKW6"/>
      <c r="IKX6"/>
      <c r="IKY6"/>
      <c r="IKZ6"/>
      <c r="ILA6"/>
      <c r="ILB6"/>
      <c r="ILC6"/>
      <c r="ILD6"/>
      <c r="ILE6"/>
      <c r="ILF6"/>
      <c r="ILG6"/>
      <c r="ILH6"/>
      <c r="ILI6"/>
      <c r="ILJ6"/>
      <c r="ILK6"/>
      <c r="ILL6"/>
      <c r="ILM6"/>
      <c r="ILN6"/>
      <c r="ILO6"/>
      <c r="ILP6"/>
      <c r="ILQ6"/>
      <c r="ILR6"/>
      <c r="ILS6"/>
      <c r="ILT6"/>
      <c r="ILU6"/>
      <c r="ILV6"/>
      <c r="ILW6"/>
      <c r="ILX6"/>
      <c r="ILY6"/>
      <c r="ILZ6"/>
      <c r="IMA6"/>
      <c r="IMB6"/>
      <c r="IMC6"/>
      <c r="IMD6"/>
      <c r="IME6"/>
      <c r="IMF6"/>
      <c r="IMG6"/>
      <c r="IMH6"/>
      <c r="IMI6"/>
      <c r="IMJ6"/>
      <c r="IMK6"/>
      <c r="IML6"/>
      <c r="IMM6"/>
      <c r="IMN6"/>
      <c r="IMO6"/>
      <c r="IMP6"/>
      <c r="IMQ6"/>
      <c r="IMR6"/>
      <c r="IMS6"/>
      <c r="IMT6"/>
      <c r="IMU6"/>
      <c r="IMV6"/>
      <c r="IMW6"/>
      <c r="IMX6"/>
      <c r="IMY6"/>
      <c r="IMZ6"/>
      <c r="INA6"/>
      <c r="INB6"/>
      <c r="INC6"/>
      <c r="IND6"/>
      <c r="INE6"/>
      <c r="INF6"/>
      <c r="ING6"/>
      <c r="INH6"/>
      <c r="INI6"/>
      <c r="INJ6"/>
      <c r="INK6"/>
      <c r="INL6"/>
      <c r="INM6"/>
      <c r="INN6"/>
      <c r="INO6"/>
      <c r="INP6"/>
      <c r="INQ6"/>
      <c r="INR6"/>
      <c r="INS6"/>
      <c r="INT6"/>
      <c r="INU6"/>
      <c r="INV6"/>
      <c r="INW6"/>
      <c r="INX6"/>
      <c r="INY6"/>
      <c r="INZ6"/>
      <c r="IOA6"/>
      <c r="IOB6"/>
      <c r="IOC6"/>
      <c r="IOD6"/>
      <c r="IOE6"/>
      <c r="IOF6"/>
      <c r="IOG6"/>
      <c r="IOH6"/>
      <c r="IOI6"/>
      <c r="IOJ6"/>
      <c r="IOK6"/>
      <c r="IOL6"/>
      <c r="IOM6"/>
      <c r="ION6"/>
      <c r="IOO6"/>
      <c r="IOP6"/>
      <c r="IOQ6"/>
      <c r="IOR6"/>
      <c r="IOS6"/>
      <c r="IOT6"/>
      <c r="IOU6"/>
      <c r="IOV6"/>
      <c r="IOW6"/>
      <c r="IOX6"/>
      <c r="IOY6"/>
      <c r="IOZ6"/>
      <c r="IPA6"/>
      <c r="IPB6"/>
      <c r="IPC6"/>
      <c r="IPD6"/>
      <c r="IPE6"/>
      <c r="IPF6"/>
      <c r="IPG6"/>
      <c r="IPH6"/>
      <c r="IPI6"/>
      <c r="IPJ6"/>
      <c r="IPK6"/>
      <c r="IPL6"/>
      <c r="IPM6"/>
      <c r="IPN6"/>
      <c r="IPO6"/>
      <c r="IPP6"/>
      <c r="IPQ6"/>
      <c r="IPR6"/>
      <c r="IPS6"/>
      <c r="IPT6"/>
      <c r="IPU6"/>
      <c r="IPV6"/>
      <c r="IPW6"/>
      <c r="IPX6"/>
      <c r="IPY6"/>
      <c r="IPZ6"/>
      <c r="IQA6"/>
      <c r="IQB6"/>
      <c r="IQC6"/>
      <c r="IQD6"/>
      <c r="IQE6"/>
      <c r="IQF6"/>
      <c r="IQG6"/>
      <c r="IQH6"/>
      <c r="IQI6"/>
      <c r="IQJ6"/>
      <c r="IQK6"/>
      <c r="IQL6"/>
      <c r="IQM6"/>
      <c r="IQN6"/>
      <c r="IQO6"/>
      <c r="IQP6"/>
      <c r="IQQ6"/>
      <c r="IQR6"/>
      <c r="IQS6"/>
      <c r="IQT6"/>
      <c r="IQU6"/>
      <c r="IQV6"/>
      <c r="IQW6"/>
      <c r="IQX6"/>
      <c r="IQY6"/>
      <c r="IQZ6"/>
      <c r="IRA6"/>
      <c r="IRB6"/>
      <c r="IRC6"/>
      <c r="IRD6"/>
      <c r="IRE6"/>
      <c r="IRF6"/>
      <c r="IRG6"/>
      <c r="IRH6"/>
      <c r="IRI6"/>
      <c r="IRJ6"/>
      <c r="IRK6"/>
      <c r="IRL6"/>
      <c r="IRM6"/>
      <c r="IRN6"/>
      <c r="IRO6"/>
      <c r="IRP6"/>
      <c r="IRQ6"/>
      <c r="IRR6"/>
      <c r="IRS6"/>
      <c r="IRT6"/>
      <c r="IRU6"/>
      <c r="IRV6"/>
      <c r="IRW6"/>
      <c r="IRX6"/>
      <c r="IRY6"/>
      <c r="IRZ6"/>
      <c r="ISA6"/>
      <c r="ISB6"/>
      <c r="ISC6"/>
      <c r="ISD6"/>
      <c r="ISE6"/>
      <c r="ISF6"/>
      <c r="ISG6"/>
      <c r="ISH6"/>
      <c r="ISI6"/>
      <c r="ISJ6"/>
      <c r="ISK6"/>
      <c r="ISL6"/>
      <c r="ISM6"/>
      <c r="ISN6"/>
      <c r="ISO6"/>
      <c r="ISP6"/>
      <c r="ISQ6"/>
      <c r="ISR6"/>
      <c r="ISS6"/>
      <c r="IST6"/>
      <c r="ISU6"/>
      <c r="ISV6"/>
      <c r="ISW6"/>
      <c r="ISX6"/>
      <c r="ISY6"/>
      <c r="ISZ6"/>
      <c r="ITA6"/>
      <c r="ITB6"/>
      <c r="ITC6"/>
      <c r="ITD6"/>
      <c r="ITE6"/>
      <c r="ITF6"/>
      <c r="ITG6"/>
      <c r="ITH6"/>
      <c r="ITI6"/>
      <c r="ITJ6"/>
      <c r="ITK6"/>
      <c r="ITL6"/>
      <c r="ITM6"/>
      <c r="ITN6"/>
      <c r="ITO6"/>
      <c r="ITP6"/>
      <c r="ITQ6"/>
      <c r="ITR6"/>
      <c r="ITS6"/>
      <c r="ITT6"/>
      <c r="ITU6"/>
      <c r="ITV6"/>
      <c r="ITW6"/>
      <c r="ITX6"/>
      <c r="ITY6"/>
      <c r="ITZ6"/>
      <c r="IUA6"/>
      <c r="IUB6"/>
      <c r="IUC6"/>
      <c r="IUD6"/>
      <c r="IUE6"/>
      <c r="IUF6"/>
      <c r="IUG6"/>
      <c r="IUH6"/>
      <c r="IUI6"/>
      <c r="IUJ6"/>
      <c r="IUK6"/>
      <c r="IUL6"/>
      <c r="IUM6"/>
      <c r="IUN6"/>
      <c r="IUO6"/>
      <c r="IUP6"/>
      <c r="IUQ6"/>
      <c r="IUR6"/>
      <c r="IUS6"/>
      <c r="IUT6"/>
      <c r="IUU6"/>
      <c r="IUV6"/>
      <c r="IUW6"/>
      <c r="IUX6"/>
      <c r="IUY6"/>
      <c r="IUZ6"/>
      <c r="IVA6"/>
      <c r="IVB6"/>
      <c r="IVC6"/>
      <c r="IVD6"/>
      <c r="IVE6"/>
      <c r="IVF6"/>
      <c r="IVG6"/>
      <c r="IVH6"/>
      <c r="IVI6"/>
      <c r="IVJ6"/>
      <c r="IVK6"/>
      <c r="IVL6"/>
      <c r="IVM6"/>
      <c r="IVN6"/>
      <c r="IVO6"/>
      <c r="IVP6"/>
      <c r="IVQ6"/>
      <c r="IVR6"/>
      <c r="IVS6"/>
      <c r="IVT6"/>
      <c r="IVU6"/>
      <c r="IVV6"/>
      <c r="IVW6"/>
      <c r="IVX6"/>
      <c r="IVY6"/>
      <c r="IVZ6"/>
      <c r="IWA6"/>
      <c r="IWB6"/>
      <c r="IWC6"/>
      <c r="IWD6"/>
      <c r="IWE6"/>
      <c r="IWF6"/>
      <c r="IWG6"/>
      <c r="IWH6"/>
      <c r="IWI6"/>
      <c r="IWJ6"/>
      <c r="IWK6"/>
      <c r="IWL6"/>
      <c r="IWM6"/>
      <c r="IWN6"/>
      <c r="IWO6"/>
      <c r="IWP6"/>
      <c r="IWQ6"/>
      <c r="IWR6"/>
      <c r="IWS6"/>
      <c r="IWT6"/>
      <c r="IWU6"/>
      <c r="IWV6"/>
      <c r="IWW6"/>
      <c r="IWX6"/>
      <c r="IWY6"/>
      <c r="IWZ6"/>
      <c r="IXA6"/>
      <c r="IXB6"/>
      <c r="IXC6"/>
      <c r="IXD6"/>
      <c r="IXE6"/>
      <c r="IXF6"/>
      <c r="IXG6"/>
      <c r="IXH6"/>
      <c r="IXI6"/>
      <c r="IXJ6"/>
      <c r="IXK6"/>
      <c r="IXL6"/>
      <c r="IXM6"/>
      <c r="IXN6"/>
      <c r="IXO6"/>
      <c r="IXP6"/>
      <c r="IXQ6"/>
      <c r="IXR6"/>
      <c r="IXS6"/>
      <c r="IXT6"/>
      <c r="IXU6"/>
      <c r="IXV6"/>
      <c r="IXW6"/>
      <c r="IXX6"/>
      <c r="IXY6"/>
      <c r="IXZ6"/>
      <c r="IYA6"/>
      <c r="IYB6"/>
      <c r="IYC6"/>
      <c r="IYD6"/>
      <c r="IYE6"/>
      <c r="IYF6"/>
      <c r="IYG6"/>
      <c r="IYH6"/>
      <c r="IYI6"/>
      <c r="IYJ6"/>
      <c r="IYK6"/>
      <c r="IYL6"/>
      <c r="IYM6"/>
      <c r="IYN6"/>
      <c r="IYO6"/>
      <c r="IYP6"/>
      <c r="IYQ6"/>
      <c r="IYR6"/>
      <c r="IYS6"/>
      <c r="IYT6"/>
      <c r="IYU6"/>
      <c r="IYV6"/>
      <c r="IYW6"/>
      <c r="IYX6"/>
      <c r="IYY6"/>
      <c r="IYZ6"/>
      <c r="IZA6"/>
      <c r="IZB6"/>
      <c r="IZC6"/>
      <c r="IZD6"/>
      <c r="IZE6"/>
      <c r="IZF6"/>
      <c r="IZG6"/>
      <c r="IZH6"/>
      <c r="IZI6"/>
      <c r="IZJ6"/>
      <c r="IZK6"/>
      <c r="IZL6"/>
      <c r="IZM6"/>
      <c r="IZN6"/>
      <c r="IZO6"/>
      <c r="IZP6"/>
      <c r="IZQ6"/>
      <c r="IZR6"/>
      <c r="IZS6"/>
      <c r="IZT6"/>
      <c r="IZU6"/>
      <c r="IZV6"/>
      <c r="IZW6"/>
      <c r="IZX6"/>
      <c r="IZY6"/>
      <c r="IZZ6"/>
      <c r="JAA6"/>
      <c r="JAB6"/>
      <c r="JAC6"/>
      <c r="JAD6"/>
      <c r="JAE6"/>
      <c r="JAF6"/>
      <c r="JAG6"/>
      <c r="JAH6"/>
      <c r="JAI6"/>
      <c r="JAJ6"/>
      <c r="JAK6"/>
      <c r="JAL6"/>
      <c r="JAM6"/>
      <c r="JAN6"/>
      <c r="JAO6"/>
      <c r="JAP6"/>
      <c r="JAQ6"/>
      <c r="JAR6"/>
      <c r="JAS6"/>
      <c r="JAT6"/>
      <c r="JAU6"/>
      <c r="JAV6"/>
      <c r="JAW6"/>
      <c r="JAX6"/>
      <c r="JAY6"/>
      <c r="JAZ6"/>
      <c r="JBA6"/>
      <c r="JBB6"/>
      <c r="JBC6"/>
      <c r="JBD6"/>
      <c r="JBE6"/>
      <c r="JBF6"/>
      <c r="JBG6"/>
      <c r="JBH6"/>
      <c r="JBI6"/>
      <c r="JBJ6"/>
      <c r="JBK6"/>
      <c r="JBL6"/>
      <c r="JBM6"/>
      <c r="JBN6"/>
      <c r="JBO6"/>
      <c r="JBP6"/>
      <c r="JBQ6"/>
      <c r="JBR6"/>
      <c r="JBS6"/>
      <c r="JBT6"/>
      <c r="JBU6"/>
      <c r="JBV6"/>
      <c r="JBW6"/>
      <c r="JBX6"/>
      <c r="JBY6"/>
      <c r="JBZ6"/>
      <c r="JCA6"/>
      <c r="JCB6"/>
      <c r="JCC6"/>
      <c r="JCD6"/>
      <c r="JCE6"/>
      <c r="JCF6"/>
      <c r="JCG6"/>
      <c r="JCH6"/>
      <c r="JCI6"/>
      <c r="JCJ6"/>
      <c r="JCK6"/>
      <c r="JCL6"/>
      <c r="JCM6"/>
      <c r="JCN6"/>
      <c r="JCO6"/>
      <c r="JCP6"/>
      <c r="JCQ6"/>
      <c r="JCR6"/>
      <c r="JCS6"/>
      <c r="JCT6"/>
      <c r="JCU6"/>
      <c r="JCV6"/>
      <c r="JCW6"/>
      <c r="JCX6"/>
      <c r="JCY6"/>
      <c r="JCZ6"/>
      <c r="JDA6"/>
      <c r="JDB6"/>
      <c r="JDC6"/>
      <c r="JDD6"/>
      <c r="JDE6"/>
      <c r="JDF6"/>
      <c r="JDG6"/>
      <c r="JDH6"/>
      <c r="JDI6"/>
      <c r="JDJ6"/>
      <c r="JDK6"/>
      <c r="JDL6"/>
      <c r="JDM6"/>
      <c r="JDN6"/>
      <c r="JDO6"/>
      <c r="JDP6"/>
      <c r="JDQ6"/>
      <c r="JDR6"/>
      <c r="JDS6"/>
      <c r="JDT6"/>
      <c r="JDU6"/>
      <c r="JDV6"/>
      <c r="JDW6"/>
      <c r="JDX6"/>
      <c r="JDY6"/>
      <c r="JDZ6"/>
      <c r="JEA6"/>
      <c r="JEB6"/>
      <c r="JEC6"/>
      <c r="JED6"/>
      <c r="JEE6"/>
      <c r="JEF6"/>
      <c r="JEG6"/>
      <c r="JEH6"/>
      <c r="JEI6"/>
      <c r="JEJ6"/>
      <c r="JEK6"/>
      <c r="JEL6"/>
      <c r="JEM6"/>
      <c r="JEN6"/>
      <c r="JEO6"/>
      <c r="JEP6"/>
      <c r="JEQ6"/>
      <c r="JER6"/>
      <c r="JES6"/>
      <c r="JET6"/>
      <c r="JEU6"/>
      <c r="JEV6"/>
      <c r="JEW6"/>
      <c r="JEX6"/>
      <c r="JEY6"/>
      <c r="JEZ6"/>
      <c r="JFA6"/>
      <c r="JFB6"/>
      <c r="JFC6"/>
      <c r="JFD6"/>
      <c r="JFE6"/>
      <c r="JFF6"/>
      <c r="JFG6"/>
      <c r="JFH6"/>
      <c r="JFI6"/>
      <c r="JFJ6"/>
      <c r="JFK6"/>
      <c r="JFL6"/>
      <c r="JFM6"/>
      <c r="JFN6"/>
      <c r="JFO6"/>
      <c r="JFP6"/>
      <c r="JFQ6"/>
      <c r="JFR6"/>
      <c r="JFS6"/>
      <c r="JFT6"/>
      <c r="JFU6"/>
      <c r="JFV6"/>
      <c r="JFW6"/>
      <c r="JFX6"/>
      <c r="JFY6"/>
      <c r="JFZ6"/>
      <c r="JGA6"/>
      <c r="JGB6"/>
      <c r="JGC6"/>
      <c r="JGD6"/>
      <c r="JGE6"/>
      <c r="JGF6"/>
      <c r="JGG6"/>
      <c r="JGH6"/>
      <c r="JGI6"/>
      <c r="JGJ6"/>
      <c r="JGK6"/>
      <c r="JGL6"/>
      <c r="JGM6"/>
      <c r="JGN6"/>
      <c r="JGO6"/>
      <c r="JGP6"/>
      <c r="JGQ6"/>
      <c r="JGR6"/>
      <c r="JGS6"/>
      <c r="JGT6"/>
      <c r="JGU6"/>
      <c r="JGV6"/>
      <c r="JGW6"/>
      <c r="JGX6"/>
      <c r="JGY6"/>
      <c r="JGZ6"/>
      <c r="JHA6"/>
      <c r="JHB6"/>
      <c r="JHC6"/>
      <c r="JHD6"/>
      <c r="JHE6"/>
      <c r="JHF6"/>
      <c r="JHG6"/>
      <c r="JHH6"/>
      <c r="JHI6"/>
      <c r="JHJ6"/>
      <c r="JHK6"/>
      <c r="JHL6"/>
      <c r="JHM6"/>
      <c r="JHN6"/>
      <c r="JHO6"/>
      <c r="JHP6"/>
      <c r="JHQ6"/>
      <c r="JHR6"/>
      <c r="JHS6"/>
      <c r="JHT6"/>
      <c r="JHU6"/>
      <c r="JHV6"/>
      <c r="JHW6"/>
      <c r="JHX6"/>
      <c r="JHY6"/>
      <c r="JHZ6"/>
      <c r="JIA6"/>
      <c r="JIB6"/>
      <c r="JIC6"/>
      <c r="JID6"/>
      <c r="JIE6"/>
      <c r="JIF6"/>
      <c r="JIG6"/>
      <c r="JIH6"/>
      <c r="JII6"/>
      <c r="JIJ6"/>
      <c r="JIK6"/>
      <c r="JIL6"/>
      <c r="JIM6"/>
      <c r="JIN6"/>
      <c r="JIO6"/>
      <c r="JIP6"/>
      <c r="JIQ6"/>
      <c r="JIR6"/>
      <c r="JIS6"/>
      <c r="JIT6"/>
      <c r="JIU6"/>
      <c r="JIV6"/>
      <c r="JIW6"/>
      <c r="JIX6"/>
      <c r="JIY6"/>
      <c r="JIZ6"/>
      <c r="JJA6"/>
      <c r="JJB6"/>
      <c r="JJC6"/>
      <c r="JJD6"/>
      <c r="JJE6"/>
      <c r="JJF6"/>
      <c r="JJG6"/>
      <c r="JJH6"/>
      <c r="JJI6"/>
      <c r="JJJ6"/>
      <c r="JJK6"/>
      <c r="JJL6"/>
      <c r="JJM6"/>
      <c r="JJN6"/>
      <c r="JJO6"/>
      <c r="JJP6"/>
      <c r="JJQ6"/>
      <c r="JJR6"/>
      <c r="JJS6"/>
      <c r="JJT6"/>
      <c r="JJU6"/>
      <c r="JJV6"/>
      <c r="JJW6"/>
      <c r="JJX6"/>
      <c r="JJY6"/>
      <c r="JJZ6"/>
      <c r="JKA6"/>
      <c r="JKB6"/>
      <c r="JKC6"/>
      <c r="JKD6"/>
      <c r="JKE6"/>
      <c r="JKF6"/>
      <c r="JKG6"/>
      <c r="JKH6"/>
      <c r="JKI6"/>
      <c r="JKJ6"/>
      <c r="JKK6"/>
      <c r="JKL6"/>
      <c r="JKM6"/>
      <c r="JKN6"/>
      <c r="JKO6"/>
      <c r="JKP6"/>
      <c r="JKQ6"/>
      <c r="JKR6"/>
      <c r="JKS6"/>
      <c r="JKT6"/>
      <c r="JKU6"/>
      <c r="JKV6"/>
      <c r="JKW6"/>
      <c r="JKX6"/>
      <c r="JKY6"/>
      <c r="JKZ6"/>
      <c r="JLA6"/>
      <c r="JLB6"/>
      <c r="JLC6"/>
      <c r="JLD6"/>
      <c r="JLE6"/>
      <c r="JLF6"/>
      <c r="JLG6"/>
      <c r="JLH6"/>
      <c r="JLI6"/>
      <c r="JLJ6"/>
      <c r="JLK6"/>
      <c r="JLL6"/>
      <c r="JLM6"/>
      <c r="JLN6"/>
      <c r="JLO6"/>
      <c r="JLP6"/>
      <c r="JLQ6"/>
      <c r="JLR6"/>
      <c r="JLS6"/>
      <c r="JLT6"/>
      <c r="JLU6"/>
      <c r="JLV6"/>
      <c r="JLW6"/>
      <c r="JLX6"/>
      <c r="JLY6"/>
      <c r="JLZ6"/>
      <c r="JMA6"/>
      <c r="JMB6"/>
      <c r="JMC6"/>
      <c r="JMD6"/>
      <c r="JME6"/>
      <c r="JMF6"/>
      <c r="JMG6"/>
      <c r="JMH6"/>
      <c r="JMI6"/>
      <c r="JMJ6"/>
      <c r="JMK6"/>
      <c r="JML6"/>
      <c r="JMM6"/>
      <c r="JMN6"/>
      <c r="JMO6"/>
      <c r="JMP6"/>
      <c r="JMQ6"/>
      <c r="JMR6"/>
      <c r="JMS6"/>
      <c r="JMT6"/>
      <c r="JMU6"/>
      <c r="JMV6"/>
      <c r="JMW6"/>
      <c r="JMX6"/>
      <c r="JMY6"/>
      <c r="JMZ6"/>
      <c r="JNA6"/>
      <c r="JNB6"/>
      <c r="JNC6"/>
      <c r="JND6"/>
      <c r="JNE6"/>
      <c r="JNF6"/>
      <c r="JNG6"/>
      <c r="JNH6"/>
      <c r="JNI6"/>
      <c r="JNJ6"/>
      <c r="JNK6"/>
      <c r="JNL6"/>
      <c r="JNM6"/>
      <c r="JNN6"/>
      <c r="JNO6"/>
      <c r="JNP6"/>
      <c r="JNQ6"/>
      <c r="JNR6"/>
      <c r="JNS6"/>
      <c r="JNT6"/>
      <c r="JNU6"/>
      <c r="JNV6"/>
      <c r="JNW6"/>
      <c r="JNX6"/>
      <c r="JNY6"/>
      <c r="JNZ6"/>
      <c r="JOA6"/>
      <c r="JOB6"/>
      <c r="JOC6"/>
      <c r="JOD6"/>
      <c r="JOE6"/>
      <c r="JOF6"/>
      <c r="JOG6"/>
      <c r="JOH6"/>
      <c r="JOI6"/>
      <c r="JOJ6"/>
      <c r="JOK6"/>
      <c r="JOL6"/>
      <c r="JOM6"/>
      <c r="JON6"/>
      <c r="JOO6"/>
      <c r="JOP6"/>
      <c r="JOQ6"/>
      <c r="JOR6"/>
      <c r="JOS6"/>
      <c r="JOT6"/>
      <c r="JOU6"/>
      <c r="JOV6"/>
      <c r="JOW6"/>
      <c r="JOX6"/>
      <c r="JOY6"/>
      <c r="JOZ6"/>
      <c r="JPA6"/>
      <c r="JPB6"/>
      <c r="JPC6"/>
      <c r="JPD6"/>
      <c r="JPE6"/>
      <c r="JPF6"/>
      <c r="JPG6"/>
      <c r="JPH6"/>
      <c r="JPI6"/>
      <c r="JPJ6"/>
      <c r="JPK6"/>
      <c r="JPL6"/>
      <c r="JPM6"/>
      <c r="JPN6"/>
      <c r="JPO6"/>
      <c r="JPP6"/>
      <c r="JPQ6"/>
      <c r="JPR6"/>
      <c r="JPS6"/>
      <c r="JPT6"/>
      <c r="JPU6"/>
      <c r="JPV6"/>
      <c r="JPW6"/>
      <c r="JPX6"/>
      <c r="JPY6"/>
      <c r="JPZ6"/>
      <c r="JQA6"/>
      <c r="JQB6"/>
      <c r="JQC6"/>
      <c r="JQD6"/>
      <c r="JQE6"/>
      <c r="JQF6"/>
      <c r="JQG6"/>
      <c r="JQH6"/>
      <c r="JQI6"/>
      <c r="JQJ6"/>
      <c r="JQK6"/>
      <c r="JQL6"/>
      <c r="JQM6"/>
      <c r="JQN6"/>
      <c r="JQO6"/>
      <c r="JQP6"/>
      <c r="JQQ6"/>
      <c r="JQR6"/>
      <c r="JQS6"/>
      <c r="JQT6"/>
      <c r="JQU6"/>
      <c r="JQV6"/>
      <c r="JQW6"/>
      <c r="JQX6"/>
      <c r="JQY6"/>
      <c r="JQZ6"/>
      <c r="JRA6"/>
      <c r="JRB6"/>
      <c r="JRC6"/>
      <c r="JRD6"/>
      <c r="JRE6"/>
      <c r="JRF6"/>
      <c r="JRG6"/>
      <c r="JRH6"/>
      <c r="JRI6"/>
      <c r="JRJ6"/>
      <c r="JRK6"/>
      <c r="JRL6"/>
      <c r="JRM6"/>
      <c r="JRN6"/>
      <c r="JRO6"/>
      <c r="JRP6"/>
      <c r="JRQ6"/>
      <c r="JRR6"/>
      <c r="JRS6"/>
      <c r="JRT6"/>
      <c r="JRU6"/>
      <c r="JRV6"/>
      <c r="JRW6"/>
      <c r="JRX6"/>
      <c r="JRY6"/>
      <c r="JRZ6"/>
      <c r="JSA6"/>
      <c r="JSB6"/>
      <c r="JSC6"/>
      <c r="JSD6"/>
      <c r="JSE6"/>
      <c r="JSF6"/>
      <c r="JSG6"/>
      <c r="JSH6"/>
      <c r="JSI6"/>
      <c r="JSJ6"/>
      <c r="JSK6"/>
      <c r="JSL6"/>
      <c r="JSM6"/>
      <c r="JSN6"/>
      <c r="JSO6"/>
      <c r="JSP6"/>
      <c r="JSQ6"/>
      <c r="JSR6"/>
      <c r="JSS6"/>
      <c r="JST6"/>
      <c r="JSU6"/>
      <c r="JSV6"/>
      <c r="JSW6"/>
      <c r="JSX6"/>
      <c r="JSY6"/>
      <c r="JSZ6"/>
      <c r="JTA6"/>
      <c r="JTB6"/>
      <c r="JTC6"/>
      <c r="JTD6"/>
      <c r="JTE6"/>
      <c r="JTF6"/>
      <c r="JTG6"/>
      <c r="JTH6"/>
      <c r="JTI6"/>
      <c r="JTJ6"/>
      <c r="JTK6"/>
      <c r="JTL6"/>
      <c r="JTM6"/>
      <c r="JTN6"/>
      <c r="JTO6"/>
      <c r="JTP6"/>
      <c r="JTQ6"/>
      <c r="JTR6"/>
      <c r="JTS6"/>
      <c r="JTT6"/>
      <c r="JTU6"/>
      <c r="JTV6"/>
      <c r="JTW6"/>
      <c r="JTX6"/>
      <c r="JTY6"/>
      <c r="JTZ6"/>
      <c r="JUA6"/>
      <c r="JUB6"/>
      <c r="JUC6"/>
      <c r="JUD6"/>
      <c r="JUE6"/>
      <c r="JUF6"/>
      <c r="JUG6"/>
      <c r="JUH6"/>
      <c r="JUI6"/>
      <c r="JUJ6"/>
      <c r="JUK6"/>
      <c r="JUL6"/>
      <c r="JUM6"/>
      <c r="JUN6"/>
      <c r="JUO6"/>
      <c r="JUP6"/>
      <c r="JUQ6"/>
      <c r="JUR6"/>
      <c r="JUS6"/>
      <c r="JUT6"/>
      <c r="JUU6"/>
      <c r="JUV6"/>
      <c r="JUW6"/>
      <c r="JUX6"/>
      <c r="JUY6"/>
      <c r="JUZ6"/>
      <c r="JVA6"/>
      <c r="JVB6"/>
      <c r="JVC6"/>
      <c r="JVD6"/>
      <c r="JVE6"/>
      <c r="JVF6"/>
      <c r="JVG6"/>
      <c r="JVH6"/>
      <c r="JVI6"/>
      <c r="JVJ6"/>
      <c r="JVK6"/>
      <c r="JVL6"/>
      <c r="JVM6"/>
      <c r="JVN6"/>
      <c r="JVO6"/>
      <c r="JVP6"/>
      <c r="JVQ6"/>
      <c r="JVR6"/>
      <c r="JVS6"/>
      <c r="JVT6"/>
      <c r="JVU6"/>
      <c r="JVV6"/>
      <c r="JVW6"/>
      <c r="JVX6"/>
      <c r="JVY6"/>
      <c r="JVZ6"/>
      <c r="JWA6"/>
      <c r="JWB6"/>
      <c r="JWC6"/>
      <c r="JWD6"/>
      <c r="JWE6"/>
      <c r="JWF6"/>
      <c r="JWG6"/>
      <c r="JWH6"/>
      <c r="JWI6"/>
      <c r="JWJ6"/>
      <c r="JWK6"/>
      <c r="JWL6"/>
      <c r="JWM6"/>
      <c r="JWN6"/>
      <c r="JWO6"/>
      <c r="JWP6"/>
      <c r="JWQ6"/>
      <c r="JWR6"/>
      <c r="JWS6"/>
      <c r="JWT6"/>
      <c r="JWU6"/>
      <c r="JWV6"/>
      <c r="JWW6"/>
      <c r="JWX6"/>
      <c r="JWY6"/>
      <c r="JWZ6"/>
      <c r="JXA6"/>
      <c r="JXB6"/>
      <c r="JXC6"/>
      <c r="JXD6"/>
      <c r="JXE6"/>
      <c r="JXF6"/>
      <c r="JXG6"/>
      <c r="JXH6"/>
      <c r="JXI6"/>
      <c r="JXJ6"/>
      <c r="JXK6"/>
      <c r="JXL6"/>
      <c r="JXM6"/>
      <c r="JXN6"/>
      <c r="JXO6"/>
      <c r="JXP6"/>
      <c r="JXQ6"/>
      <c r="JXR6"/>
      <c r="JXS6"/>
      <c r="JXT6"/>
      <c r="JXU6"/>
      <c r="JXV6"/>
      <c r="JXW6"/>
      <c r="JXX6"/>
      <c r="JXY6"/>
      <c r="JXZ6"/>
      <c r="JYA6"/>
      <c r="JYB6"/>
      <c r="JYC6"/>
      <c r="JYD6"/>
      <c r="JYE6"/>
      <c r="JYF6"/>
      <c r="JYG6"/>
      <c r="JYH6"/>
      <c r="JYI6"/>
      <c r="JYJ6"/>
      <c r="JYK6"/>
      <c r="JYL6"/>
      <c r="JYM6"/>
      <c r="JYN6"/>
      <c r="JYO6"/>
      <c r="JYP6"/>
      <c r="JYQ6"/>
      <c r="JYR6"/>
      <c r="JYS6"/>
      <c r="JYT6"/>
      <c r="JYU6"/>
      <c r="JYV6"/>
      <c r="JYW6"/>
      <c r="JYX6"/>
      <c r="JYY6"/>
      <c r="JYZ6"/>
      <c r="JZA6"/>
      <c r="JZB6"/>
      <c r="JZC6"/>
      <c r="JZD6"/>
      <c r="JZE6"/>
      <c r="JZF6"/>
      <c r="JZG6"/>
      <c r="JZH6"/>
      <c r="JZI6"/>
      <c r="JZJ6"/>
      <c r="JZK6"/>
      <c r="JZL6"/>
      <c r="JZM6"/>
      <c r="JZN6"/>
      <c r="JZO6"/>
      <c r="JZP6"/>
      <c r="JZQ6"/>
      <c r="JZR6"/>
      <c r="JZS6"/>
      <c r="JZT6"/>
      <c r="JZU6"/>
      <c r="JZV6"/>
      <c r="JZW6"/>
      <c r="JZX6"/>
      <c r="JZY6"/>
      <c r="JZZ6"/>
      <c r="KAA6"/>
      <c r="KAB6"/>
      <c r="KAC6"/>
      <c r="KAD6"/>
      <c r="KAE6"/>
      <c r="KAF6"/>
      <c r="KAG6"/>
      <c r="KAH6"/>
      <c r="KAI6"/>
      <c r="KAJ6"/>
      <c r="KAK6"/>
      <c r="KAL6"/>
      <c r="KAM6"/>
      <c r="KAN6"/>
      <c r="KAO6"/>
      <c r="KAP6"/>
      <c r="KAQ6"/>
      <c r="KAR6"/>
      <c r="KAS6"/>
      <c r="KAT6"/>
      <c r="KAU6"/>
      <c r="KAV6"/>
      <c r="KAW6"/>
      <c r="KAX6"/>
      <c r="KAY6"/>
      <c r="KAZ6"/>
      <c r="KBA6"/>
      <c r="KBB6"/>
      <c r="KBC6"/>
      <c r="KBD6"/>
      <c r="KBE6"/>
      <c r="KBF6"/>
      <c r="KBG6"/>
      <c r="KBH6"/>
      <c r="KBI6"/>
      <c r="KBJ6"/>
      <c r="KBK6"/>
      <c r="KBL6"/>
      <c r="KBM6"/>
      <c r="KBN6"/>
      <c r="KBO6"/>
      <c r="KBP6"/>
      <c r="KBQ6"/>
      <c r="KBR6"/>
      <c r="KBS6"/>
      <c r="KBT6"/>
      <c r="KBU6"/>
      <c r="KBV6"/>
      <c r="KBW6"/>
      <c r="KBX6"/>
      <c r="KBY6"/>
      <c r="KBZ6"/>
      <c r="KCA6"/>
      <c r="KCB6"/>
      <c r="KCC6"/>
      <c r="KCD6"/>
      <c r="KCE6"/>
      <c r="KCF6"/>
      <c r="KCG6"/>
      <c r="KCH6"/>
      <c r="KCI6"/>
      <c r="KCJ6"/>
      <c r="KCK6"/>
      <c r="KCL6"/>
      <c r="KCM6"/>
      <c r="KCN6"/>
      <c r="KCO6"/>
      <c r="KCP6"/>
      <c r="KCQ6"/>
      <c r="KCR6"/>
      <c r="KCS6"/>
      <c r="KCT6"/>
      <c r="KCU6"/>
      <c r="KCV6"/>
      <c r="KCW6"/>
      <c r="KCX6"/>
      <c r="KCY6"/>
      <c r="KCZ6"/>
      <c r="KDA6"/>
      <c r="KDB6"/>
      <c r="KDC6"/>
      <c r="KDD6"/>
      <c r="KDE6"/>
      <c r="KDF6"/>
      <c r="KDG6"/>
      <c r="KDH6"/>
      <c r="KDI6"/>
      <c r="KDJ6"/>
      <c r="KDK6"/>
      <c r="KDL6"/>
      <c r="KDM6"/>
      <c r="KDN6"/>
      <c r="KDO6"/>
      <c r="KDP6"/>
      <c r="KDQ6"/>
      <c r="KDR6"/>
      <c r="KDS6"/>
      <c r="KDT6"/>
      <c r="KDU6"/>
      <c r="KDV6"/>
      <c r="KDW6"/>
      <c r="KDX6"/>
      <c r="KDY6"/>
      <c r="KDZ6"/>
      <c r="KEA6"/>
      <c r="KEB6"/>
      <c r="KEC6"/>
      <c r="KED6"/>
      <c r="KEE6"/>
      <c r="KEF6"/>
      <c r="KEG6"/>
      <c r="KEH6"/>
      <c r="KEI6"/>
      <c r="KEJ6"/>
      <c r="KEK6"/>
      <c r="KEL6"/>
      <c r="KEM6"/>
      <c r="KEN6"/>
      <c r="KEO6"/>
      <c r="KEP6"/>
      <c r="KEQ6"/>
      <c r="KER6"/>
      <c r="KES6"/>
      <c r="KET6"/>
      <c r="KEU6"/>
      <c r="KEV6"/>
      <c r="KEW6"/>
      <c r="KEX6"/>
      <c r="KEY6"/>
      <c r="KEZ6"/>
      <c r="KFA6"/>
      <c r="KFB6"/>
      <c r="KFC6"/>
      <c r="KFD6"/>
      <c r="KFE6"/>
      <c r="KFF6"/>
      <c r="KFG6"/>
      <c r="KFH6"/>
      <c r="KFI6"/>
      <c r="KFJ6"/>
      <c r="KFK6"/>
      <c r="KFL6"/>
      <c r="KFM6"/>
      <c r="KFN6"/>
      <c r="KFO6"/>
      <c r="KFP6"/>
      <c r="KFQ6"/>
      <c r="KFR6"/>
      <c r="KFS6"/>
      <c r="KFT6"/>
      <c r="KFU6"/>
      <c r="KFV6"/>
      <c r="KFW6"/>
      <c r="KFX6"/>
      <c r="KFY6"/>
      <c r="KFZ6"/>
      <c r="KGA6"/>
      <c r="KGB6"/>
      <c r="KGC6"/>
      <c r="KGD6"/>
      <c r="KGE6"/>
      <c r="KGF6"/>
      <c r="KGG6"/>
      <c r="KGH6"/>
      <c r="KGI6"/>
      <c r="KGJ6"/>
      <c r="KGK6"/>
      <c r="KGL6"/>
      <c r="KGM6"/>
      <c r="KGN6"/>
      <c r="KGO6"/>
      <c r="KGP6"/>
      <c r="KGQ6"/>
      <c r="KGR6"/>
      <c r="KGS6"/>
      <c r="KGT6"/>
      <c r="KGU6"/>
      <c r="KGV6"/>
      <c r="KGW6"/>
      <c r="KGX6"/>
      <c r="KGY6"/>
      <c r="KGZ6"/>
      <c r="KHA6"/>
      <c r="KHB6"/>
      <c r="KHC6"/>
      <c r="KHD6"/>
      <c r="KHE6"/>
      <c r="KHF6"/>
      <c r="KHG6"/>
      <c r="KHH6"/>
      <c r="KHI6"/>
      <c r="KHJ6"/>
      <c r="KHK6"/>
      <c r="KHL6"/>
      <c r="KHM6"/>
      <c r="KHN6"/>
      <c r="KHO6"/>
      <c r="KHP6"/>
      <c r="KHQ6"/>
      <c r="KHR6"/>
      <c r="KHS6"/>
      <c r="KHT6"/>
      <c r="KHU6"/>
      <c r="KHV6"/>
      <c r="KHW6"/>
      <c r="KHX6"/>
      <c r="KHY6"/>
      <c r="KHZ6"/>
      <c r="KIA6"/>
      <c r="KIB6"/>
      <c r="KIC6"/>
      <c r="KID6"/>
      <c r="KIE6"/>
      <c r="KIF6"/>
      <c r="KIG6"/>
      <c r="KIH6"/>
      <c r="KII6"/>
      <c r="KIJ6"/>
      <c r="KIK6"/>
      <c r="KIL6"/>
      <c r="KIM6"/>
      <c r="KIN6"/>
      <c r="KIO6"/>
      <c r="KIP6"/>
      <c r="KIQ6"/>
      <c r="KIR6"/>
      <c r="KIS6"/>
      <c r="KIT6"/>
      <c r="KIU6"/>
      <c r="KIV6"/>
      <c r="KIW6"/>
      <c r="KIX6"/>
      <c r="KIY6"/>
      <c r="KIZ6"/>
      <c r="KJA6"/>
      <c r="KJB6"/>
      <c r="KJC6"/>
      <c r="KJD6"/>
      <c r="KJE6"/>
      <c r="KJF6"/>
      <c r="KJG6"/>
      <c r="KJH6"/>
      <c r="KJI6"/>
      <c r="KJJ6"/>
      <c r="KJK6"/>
      <c r="KJL6"/>
      <c r="KJM6"/>
      <c r="KJN6"/>
      <c r="KJO6"/>
      <c r="KJP6"/>
      <c r="KJQ6"/>
      <c r="KJR6"/>
      <c r="KJS6"/>
      <c r="KJT6"/>
      <c r="KJU6"/>
      <c r="KJV6"/>
      <c r="KJW6"/>
      <c r="KJX6"/>
      <c r="KJY6"/>
      <c r="KJZ6"/>
      <c r="KKA6"/>
      <c r="KKB6"/>
      <c r="KKC6"/>
      <c r="KKD6"/>
      <c r="KKE6"/>
      <c r="KKF6"/>
      <c r="KKG6"/>
      <c r="KKH6"/>
      <c r="KKI6"/>
      <c r="KKJ6"/>
      <c r="KKK6"/>
      <c r="KKL6"/>
      <c r="KKM6"/>
      <c r="KKN6"/>
      <c r="KKO6"/>
      <c r="KKP6"/>
      <c r="KKQ6"/>
      <c r="KKR6"/>
      <c r="KKS6"/>
      <c r="KKT6"/>
      <c r="KKU6"/>
      <c r="KKV6"/>
      <c r="KKW6"/>
      <c r="KKX6"/>
      <c r="KKY6"/>
      <c r="KKZ6"/>
      <c r="KLA6"/>
      <c r="KLB6"/>
      <c r="KLC6"/>
      <c r="KLD6"/>
      <c r="KLE6"/>
      <c r="KLF6"/>
      <c r="KLG6"/>
      <c r="KLH6"/>
      <c r="KLI6"/>
      <c r="KLJ6"/>
      <c r="KLK6"/>
      <c r="KLL6"/>
      <c r="KLM6"/>
      <c r="KLN6"/>
      <c r="KLO6"/>
      <c r="KLP6"/>
      <c r="KLQ6"/>
      <c r="KLR6"/>
      <c r="KLS6"/>
      <c r="KLT6"/>
      <c r="KLU6"/>
      <c r="KLV6"/>
      <c r="KLW6"/>
      <c r="KLX6"/>
      <c r="KLY6"/>
      <c r="KLZ6"/>
      <c r="KMA6"/>
      <c r="KMB6"/>
      <c r="KMC6"/>
      <c r="KMD6"/>
      <c r="KME6"/>
      <c r="KMF6"/>
      <c r="KMG6"/>
      <c r="KMH6"/>
      <c r="KMI6"/>
      <c r="KMJ6"/>
      <c r="KMK6"/>
      <c r="KML6"/>
      <c r="KMM6"/>
      <c r="KMN6"/>
      <c r="KMO6"/>
      <c r="KMP6"/>
      <c r="KMQ6"/>
      <c r="KMR6"/>
      <c r="KMS6"/>
      <c r="KMT6"/>
      <c r="KMU6"/>
      <c r="KMV6"/>
      <c r="KMW6"/>
      <c r="KMX6"/>
      <c r="KMY6"/>
      <c r="KMZ6"/>
      <c r="KNA6"/>
      <c r="KNB6"/>
      <c r="KNC6"/>
      <c r="KND6"/>
      <c r="KNE6"/>
      <c r="KNF6"/>
      <c r="KNG6"/>
      <c r="KNH6"/>
      <c r="KNI6"/>
      <c r="KNJ6"/>
      <c r="KNK6"/>
      <c r="KNL6"/>
      <c r="KNM6"/>
      <c r="KNN6"/>
      <c r="KNO6"/>
      <c r="KNP6"/>
      <c r="KNQ6"/>
      <c r="KNR6"/>
      <c r="KNS6"/>
      <c r="KNT6"/>
      <c r="KNU6"/>
      <c r="KNV6"/>
      <c r="KNW6"/>
      <c r="KNX6"/>
      <c r="KNY6"/>
      <c r="KNZ6"/>
      <c r="KOA6"/>
      <c r="KOB6"/>
      <c r="KOC6"/>
      <c r="KOD6"/>
      <c r="KOE6"/>
      <c r="KOF6"/>
      <c r="KOG6"/>
      <c r="KOH6"/>
      <c r="KOI6"/>
      <c r="KOJ6"/>
      <c r="KOK6"/>
      <c r="KOL6"/>
      <c r="KOM6"/>
      <c r="KON6"/>
      <c r="KOO6"/>
      <c r="KOP6"/>
      <c r="KOQ6"/>
      <c r="KOR6"/>
      <c r="KOS6"/>
      <c r="KOT6"/>
      <c r="KOU6"/>
      <c r="KOV6"/>
      <c r="KOW6"/>
      <c r="KOX6"/>
      <c r="KOY6"/>
      <c r="KOZ6"/>
      <c r="KPA6"/>
      <c r="KPB6"/>
      <c r="KPC6"/>
      <c r="KPD6"/>
      <c r="KPE6"/>
      <c r="KPF6"/>
      <c r="KPG6"/>
      <c r="KPH6"/>
      <c r="KPI6"/>
      <c r="KPJ6"/>
      <c r="KPK6"/>
      <c r="KPL6"/>
      <c r="KPM6"/>
      <c r="KPN6"/>
      <c r="KPO6"/>
      <c r="KPP6"/>
      <c r="KPQ6"/>
      <c r="KPR6"/>
      <c r="KPS6"/>
      <c r="KPT6"/>
      <c r="KPU6"/>
      <c r="KPV6"/>
      <c r="KPW6"/>
      <c r="KPX6"/>
      <c r="KPY6"/>
      <c r="KPZ6"/>
      <c r="KQA6"/>
      <c r="KQB6"/>
      <c r="KQC6"/>
      <c r="KQD6"/>
      <c r="KQE6"/>
      <c r="KQF6"/>
      <c r="KQG6"/>
      <c r="KQH6"/>
      <c r="KQI6"/>
      <c r="KQJ6"/>
      <c r="KQK6"/>
      <c r="KQL6"/>
      <c r="KQM6"/>
      <c r="KQN6"/>
      <c r="KQO6"/>
      <c r="KQP6"/>
      <c r="KQQ6"/>
      <c r="KQR6"/>
      <c r="KQS6"/>
      <c r="KQT6"/>
      <c r="KQU6"/>
      <c r="KQV6"/>
      <c r="KQW6"/>
      <c r="KQX6"/>
      <c r="KQY6"/>
      <c r="KQZ6"/>
      <c r="KRA6"/>
      <c r="KRB6"/>
      <c r="KRC6"/>
      <c r="KRD6"/>
      <c r="KRE6"/>
      <c r="KRF6"/>
      <c r="KRG6"/>
      <c r="KRH6"/>
      <c r="KRI6"/>
      <c r="KRJ6"/>
      <c r="KRK6"/>
      <c r="KRL6"/>
      <c r="KRM6"/>
      <c r="KRN6"/>
      <c r="KRO6"/>
      <c r="KRP6"/>
      <c r="KRQ6"/>
      <c r="KRR6"/>
      <c r="KRS6"/>
      <c r="KRT6"/>
      <c r="KRU6"/>
      <c r="KRV6"/>
      <c r="KRW6"/>
      <c r="KRX6"/>
      <c r="KRY6"/>
      <c r="KRZ6"/>
      <c r="KSA6"/>
      <c r="KSB6"/>
      <c r="KSC6"/>
      <c r="KSD6"/>
      <c r="KSE6"/>
      <c r="KSF6"/>
      <c r="KSG6"/>
      <c r="KSH6"/>
      <c r="KSI6"/>
      <c r="KSJ6"/>
      <c r="KSK6"/>
      <c r="KSL6"/>
      <c r="KSM6"/>
      <c r="KSN6"/>
      <c r="KSO6"/>
      <c r="KSP6"/>
      <c r="KSQ6"/>
      <c r="KSR6"/>
      <c r="KSS6"/>
      <c r="KST6"/>
      <c r="KSU6"/>
      <c r="KSV6"/>
      <c r="KSW6"/>
      <c r="KSX6"/>
      <c r="KSY6"/>
      <c r="KSZ6"/>
      <c r="KTA6"/>
      <c r="KTB6"/>
      <c r="KTC6"/>
      <c r="KTD6"/>
      <c r="KTE6"/>
      <c r="KTF6"/>
      <c r="KTG6"/>
      <c r="KTH6"/>
      <c r="KTI6"/>
      <c r="KTJ6"/>
      <c r="KTK6"/>
      <c r="KTL6"/>
      <c r="KTM6"/>
      <c r="KTN6"/>
      <c r="KTO6"/>
      <c r="KTP6"/>
      <c r="KTQ6"/>
      <c r="KTR6"/>
      <c r="KTS6"/>
      <c r="KTT6"/>
      <c r="KTU6"/>
      <c r="KTV6"/>
      <c r="KTW6"/>
      <c r="KTX6"/>
      <c r="KTY6"/>
      <c r="KTZ6"/>
      <c r="KUA6"/>
      <c r="KUB6"/>
      <c r="KUC6"/>
      <c r="KUD6"/>
      <c r="KUE6"/>
      <c r="KUF6"/>
      <c r="KUG6"/>
      <c r="KUH6"/>
      <c r="KUI6"/>
      <c r="KUJ6"/>
      <c r="KUK6"/>
      <c r="KUL6"/>
      <c r="KUM6"/>
      <c r="KUN6"/>
      <c r="KUO6"/>
      <c r="KUP6"/>
      <c r="KUQ6"/>
      <c r="KUR6"/>
      <c r="KUS6"/>
      <c r="KUT6"/>
      <c r="KUU6"/>
      <c r="KUV6"/>
      <c r="KUW6"/>
      <c r="KUX6"/>
      <c r="KUY6"/>
      <c r="KUZ6"/>
      <c r="KVA6"/>
      <c r="KVB6"/>
      <c r="KVC6"/>
      <c r="KVD6"/>
      <c r="KVE6"/>
      <c r="KVF6"/>
      <c r="KVG6"/>
      <c r="KVH6"/>
      <c r="KVI6"/>
      <c r="KVJ6"/>
      <c r="KVK6"/>
      <c r="KVL6"/>
      <c r="KVM6"/>
      <c r="KVN6"/>
      <c r="KVO6"/>
      <c r="KVP6"/>
      <c r="KVQ6"/>
      <c r="KVR6"/>
      <c r="KVS6"/>
      <c r="KVT6"/>
      <c r="KVU6"/>
      <c r="KVV6"/>
      <c r="KVW6"/>
      <c r="KVX6"/>
      <c r="KVY6"/>
      <c r="KVZ6"/>
      <c r="KWA6"/>
      <c r="KWB6"/>
      <c r="KWC6"/>
      <c r="KWD6"/>
      <c r="KWE6"/>
      <c r="KWF6"/>
      <c r="KWG6"/>
      <c r="KWH6"/>
      <c r="KWI6"/>
      <c r="KWJ6"/>
      <c r="KWK6"/>
      <c r="KWL6"/>
      <c r="KWM6"/>
      <c r="KWN6"/>
      <c r="KWO6"/>
      <c r="KWP6"/>
      <c r="KWQ6"/>
      <c r="KWR6"/>
      <c r="KWS6"/>
      <c r="KWT6"/>
      <c r="KWU6"/>
      <c r="KWV6"/>
      <c r="KWW6"/>
      <c r="KWX6"/>
      <c r="KWY6"/>
      <c r="KWZ6"/>
      <c r="KXA6"/>
      <c r="KXB6"/>
      <c r="KXC6"/>
      <c r="KXD6"/>
      <c r="KXE6"/>
      <c r="KXF6"/>
      <c r="KXG6"/>
      <c r="KXH6"/>
      <c r="KXI6"/>
      <c r="KXJ6"/>
      <c r="KXK6"/>
      <c r="KXL6"/>
      <c r="KXM6"/>
      <c r="KXN6"/>
      <c r="KXO6"/>
      <c r="KXP6"/>
      <c r="KXQ6"/>
      <c r="KXR6"/>
      <c r="KXS6"/>
      <c r="KXT6"/>
      <c r="KXU6"/>
      <c r="KXV6"/>
      <c r="KXW6"/>
      <c r="KXX6"/>
      <c r="KXY6"/>
      <c r="KXZ6"/>
      <c r="KYA6"/>
      <c r="KYB6"/>
      <c r="KYC6"/>
      <c r="KYD6"/>
      <c r="KYE6"/>
      <c r="KYF6"/>
      <c r="KYG6"/>
      <c r="KYH6"/>
      <c r="KYI6"/>
      <c r="KYJ6"/>
      <c r="KYK6"/>
      <c r="KYL6"/>
      <c r="KYM6"/>
      <c r="KYN6"/>
      <c r="KYO6"/>
      <c r="KYP6"/>
      <c r="KYQ6"/>
      <c r="KYR6"/>
      <c r="KYS6"/>
      <c r="KYT6"/>
      <c r="KYU6"/>
      <c r="KYV6"/>
      <c r="KYW6"/>
      <c r="KYX6"/>
      <c r="KYY6"/>
      <c r="KYZ6"/>
      <c r="KZA6"/>
      <c r="KZB6"/>
      <c r="KZC6"/>
      <c r="KZD6"/>
      <c r="KZE6"/>
      <c r="KZF6"/>
      <c r="KZG6"/>
      <c r="KZH6"/>
      <c r="KZI6"/>
      <c r="KZJ6"/>
      <c r="KZK6"/>
      <c r="KZL6"/>
      <c r="KZM6"/>
      <c r="KZN6"/>
      <c r="KZO6"/>
      <c r="KZP6"/>
      <c r="KZQ6"/>
      <c r="KZR6"/>
      <c r="KZS6"/>
      <c r="KZT6"/>
      <c r="KZU6"/>
      <c r="KZV6"/>
      <c r="KZW6"/>
      <c r="KZX6"/>
      <c r="KZY6"/>
      <c r="KZZ6"/>
      <c r="LAA6"/>
      <c r="LAB6"/>
      <c r="LAC6"/>
      <c r="LAD6"/>
      <c r="LAE6"/>
      <c r="LAF6"/>
      <c r="LAG6"/>
      <c r="LAH6"/>
      <c r="LAI6"/>
      <c r="LAJ6"/>
      <c r="LAK6"/>
      <c r="LAL6"/>
      <c r="LAM6"/>
      <c r="LAN6"/>
      <c r="LAO6"/>
      <c r="LAP6"/>
      <c r="LAQ6"/>
      <c r="LAR6"/>
      <c r="LAS6"/>
      <c r="LAT6"/>
      <c r="LAU6"/>
      <c r="LAV6"/>
      <c r="LAW6"/>
      <c r="LAX6"/>
      <c r="LAY6"/>
      <c r="LAZ6"/>
      <c r="LBA6"/>
      <c r="LBB6"/>
      <c r="LBC6"/>
      <c r="LBD6"/>
      <c r="LBE6"/>
      <c r="LBF6"/>
      <c r="LBG6"/>
      <c r="LBH6"/>
      <c r="LBI6"/>
      <c r="LBJ6"/>
      <c r="LBK6"/>
      <c r="LBL6"/>
      <c r="LBM6"/>
      <c r="LBN6"/>
      <c r="LBO6"/>
      <c r="LBP6"/>
      <c r="LBQ6"/>
      <c r="LBR6"/>
      <c r="LBS6"/>
      <c r="LBT6"/>
      <c r="LBU6"/>
      <c r="LBV6"/>
      <c r="LBW6"/>
      <c r="LBX6"/>
      <c r="LBY6"/>
      <c r="LBZ6"/>
      <c r="LCA6"/>
      <c r="LCB6"/>
      <c r="LCC6"/>
      <c r="LCD6"/>
      <c r="LCE6"/>
      <c r="LCF6"/>
      <c r="LCG6"/>
      <c r="LCH6"/>
      <c r="LCI6"/>
      <c r="LCJ6"/>
      <c r="LCK6"/>
      <c r="LCL6"/>
      <c r="LCM6"/>
      <c r="LCN6"/>
      <c r="LCO6"/>
      <c r="LCP6"/>
      <c r="LCQ6"/>
      <c r="LCR6"/>
      <c r="LCS6"/>
      <c r="LCT6"/>
      <c r="LCU6"/>
      <c r="LCV6"/>
      <c r="LCW6"/>
      <c r="LCX6"/>
      <c r="LCY6"/>
      <c r="LCZ6"/>
      <c r="LDA6"/>
      <c r="LDB6"/>
      <c r="LDC6"/>
      <c r="LDD6"/>
      <c r="LDE6"/>
      <c r="LDF6"/>
      <c r="LDG6"/>
      <c r="LDH6"/>
      <c r="LDI6"/>
      <c r="LDJ6"/>
      <c r="LDK6"/>
      <c r="LDL6"/>
      <c r="LDM6"/>
      <c r="LDN6"/>
      <c r="LDO6"/>
      <c r="LDP6"/>
      <c r="LDQ6"/>
      <c r="LDR6"/>
      <c r="LDS6"/>
      <c r="LDT6"/>
      <c r="LDU6"/>
      <c r="LDV6"/>
      <c r="LDW6"/>
      <c r="LDX6"/>
      <c r="LDY6"/>
      <c r="LDZ6"/>
      <c r="LEA6"/>
      <c r="LEB6"/>
      <c r="LEC6"/>
      <c r="LED6"/>
      <c r="LEE6"/>
      <c r="LEF6"/>
      <c r="LEG6"/>
      <c r="LEH6"/>
      <c r="LEI6"/>
      <c r="LEJ6"/>
      <c r="LEK6"/>
      <c r="LEL6"/>
      <c r="LEM6"/>
      <c r="LEN6"/>
      <c r="LEO6"/>
      <c r="LEP6"/>
      <c r="LEQ6"/>
      <c r="LER6"/>
      <c r="LES6"/>
      <c r="LET6"/>
      <c r="LEU6"/>
      <c r="LEV6"/>
      <c r="LEW6"/>
      <c r="LEX6"/>
      <c r="LEY6"/>
      <c r="LEZ6"/>
      <c r="LFA6"/>
      <c r="LFB6"/>
      <c r="LFC6"/>
      <c r="LFD6"/>
      <c r="LFE6"/>
      <c r="LFF6"/>
      <c r="LFG6"/>
      <c r="LFH6"/>
      <c r="LFI6"/>
      <c r="LFJ6"/>
      <c r="LFK6"/>
      <c r="LFL6"/>
      <c r="LFM6"/>
      <c r="LFN6"/>
      <c r="LFO6"/>
      <c r="LFP6"/>
      <c r="LFQ6"/>
      <c r="LFR6"/>
      <c r="LFS6"/>
      <c r="LFT6"/>
      <c r="LFU6"/>
      <c r="LFV6"/>
      <c r="LFW6"/>
      <c r="LFX6"/>
      <c r="LFY6"/>
      <c r="LFZ6"/>
      <c r="LGA6"/>
      <c r="LGB6"/>
      <c r="LGC6"/>
      <c r="LGD6"/>
      <c r="LGE6"/>
      <c r="LGF6"/>
      <c r="LGG6"/>
      <c r="LGH6"/>
      <c r="LGI6"/>
      <c r="LGJ6"/>
      <c r="LGK6"/>
      <c r="LGL6"/>
      <c r="LGM6"/>
      <c r="LGN6"/>
      <c r="LGO6"/>
      <c r="LGP6"/>
      <c r="LGQ6"/>
      <c r="LGR6"/>
      <c r="LGS6"/>
      <c r="LGT6"/>
      <c r="LGU6"/>
      <c r="LGV6"/>
      <c r="LGW6"/>
      <c r="LGX6"/>
      <c r="LGY6"/>
      <c r="LGZ6"/>
      <c r="LHA6"/>
      <c r="LHB6"/>
      <c r="LHC6"/>
      <c r="LHD6"/>
      <c r="LHE6"/>
      <c r="LHF6"/>
      <c r="LHG6"/>
      <c r="LHH6"/>
      <c r="LHI6"/>
      <c r="LHJ6"/>
      <c r="LHK6"/>
      <c r="LHL6"/>
      <c r="LHM6"/>
      <c r="LHN6"/>
      <c r="LHO6"/>
      <c r="LHP6"/>
      <c r="LHQ6"/>
      <c r="LHR6"/>
      <c r="LHS6"/>
      <c r="LHT6"/>
      <c r="LHU6"/>
      <c r="LHV6"/>
      <c r="LHW6"/>
      <c r="LHX6"/>
      <c r="LHY6"/>
      <c r="LHZ6"/>
      <c r="LIA6"/>
      <c r="LIB6"/>
      <c r="LIC6"/>
      <c r="LID6"/>
      <c r="LIE6"/>
      <c r="LIF6"/>
      <c r="LIG6"/>
      <c r="LIH6"/>
      <c r="LII6"/>
      <c r="LIJ6"/>
      <c r="LIK6"/>
      <c r="LIL6"/>
      <c r="LIM6"/>
      <c r="LIN6"/>
      <c r="LIO6"/>
      <c r="LIP6"/>
      <c r="LIQ6"/>
      <c r="LIR6"/>
      <c r="LIS6"/>
      <c r="LIT6"/>
      <c r="LIU6"/>
      <c r="LIV6"/>
      <c r="LIW6"/>
      <c r="LIX6"/>
      <c r="LIY6"/>
      <c r="LIZ6"/>
      <c r="LJA6"/>
      <c r="LJB6"/>
      <c r="LJC6"/>
      <c r="LJD6"/>
      <c r="LJE6"/>
      <c r="LJF6"/>
      <c r="LJG6"/>
      <c r="LJH6"/>
      <c r="LJI6"/>
      <c r="LJJ6"/>
      <c r="LJK6"/>
      <c r="LJL6"/>
      <c r="LJM6"/>
      <c r="LJN6"/>
      <c r="LJO6"/>
      <c r="LJP6"/>
      <c r="LJQ6"/>
      <c r="LJR6"/>
      <c r="LJS6"/>
      <c r="LJT6"/>
      <c r="LJU6"/>
      <c r="LJV6"/>
      <c r="LJW6"/>
      <c r="LJX6"/>
      <c r="LJY6"/>
      <c r="LJZ6"/>
      <c r="LKA6"/>
      <c r="LKB6"/>
      <c r="LKC6"/>
      <c r="LKD6"/>
      <c r="LKE6"/>
      <c r="LKF6"/>
      <c r="LKG6"/>
      <c r="LKH6"/>
      <c r="LKI6"/>
      <c r="LKJ6"/>
      <c r="LKK6"/>
      <c r="LKL6"/>
      <c r="LKM6"/>
      <c r="LKN6"/>
      <c r="LKO6"/>
      <c r="LKP6"/>
      <c r="LKQ6"/>
      <c r="LKR6"/>
      <c r="LKS6"/>
      <c r="LKT6"/>
      <c r="LKU6"/>
      <c r="LKV6"/>
      <c r="LKW6"/>
      <c r="LKX6"/>
      <c r="LKY6"/>
      <c r="LKZ6"/>
      <c r="LLA6"/>
      <c r="LLB6"/>
      <c r="LLC6"/>
      <c r="LLD6"/>
      <c r="LLE6"/>
      <c r="LLF6"/>
      <c r="LLG6"/>
      <c r="LLH6"/>
      <c r="LLI6"/>
      <c r="LLJ6"/>
      <c r="LLK6"/>
      <c r="LLL6"/>
      <c r="LLM6"/>
      <c r="LLN6"/>
      <c r="LLO6"/>
      <c r="LLP6"/>
      <c r="LLQ6"/>
      <c r="LLR6"/>
      <c r="LLS6"/>
      <c r="LLT6"/>
      <c r="LLU6"/>
      <c r="LLV6"/>
      <c r="LLW6"/>
      <c r="LLX6"/>
      <c r="LLY6"/>
      <c r="LLZ6"/>
      <c r="LMA6"/>
      <c r="LMB6"/>
      <c r="LMC6"/>
      <c r="LMD6"/>
      <c r="LME6"/>
      <c r="LMF6"/>
      <c r="LMG6"/>
      <c r="LMH6"/>
      <c r="LMI6"/>
      <c r="LMJ6"/>
      <c r="LMK6"/>
      <c r="LML6"/>
      <c r="LMM6"/>
      <c r="LMN6"/>
      <c r="LMO6"/>
      <c r="LMP6"/>
      <c r="LMQ6"/>
      <c r="LMR6"/>
      <c r="LMS6"/>
      <c r="LMT6"/>
      <c r="LMU6"/>
      <c r="LMV6"/>
      <c r="LMW6"/>
      <c r="LMX6"/>
      <c r="LMY6"/>
      <c r="LMZ6"/>
      <c r="LNA6"/>
      <c r="LNB6"/>
      <c r="LNC6"/>
      <c r="LND6"/>
      <c r="LNE6"/>
      <c r="LNF6"/>
      <c r="LNG6"/>
      <c r="LNH6"/>
      <c r="LNI6"/>
      <c r="LNJ6"/>
      <c r="LNK6"/>
      <c r="LNL6"/>
      <c r="LNM6"/>
      <c r="LNN6"/>
      <c r="LNO6"/>
      <c r="LNP6"/>
      <c r="LNQ6"/>
      <c r="LNR6"/>
      <c r="LNS6"/>
      <c r="LNT6"/>
      <c r="LNU6"/>
      <c r="LNV6"/>
      <c r="LNW6"/>
      <c r="LNX6"/>
      <c r="LNY6"/>
      <c r="LNZ6"/>
      <c r="LOA6"/>
      <c r="LOB6"/>
      <c r="LOC6"/>
      <c r="LOD6"/>
      <c r="LOE6"/>
      <c r="LOF6"/>
      <c r="LOG6"/>
      <c r="LOH6"/>
      <c r="LOI6"/>
      <c r="LOJ6"/>
      <c r="LOK6"/>
      <c r="LOL6"/>
      <c r="LOM6"/>
      <c r="LON6"/>
      <c r="LOO6"/>
      <c r="LOP6"/>
      <c r="LOQ6"/>
      <c r="LOR6"/>
      <c r="LOS6"/>
      <c r="LOT6"/>
      <c r="LOU6"/>
      <c r="LOV6"/>
      <c r="LOW6"/>
      <c r="LOX6"/>
      <c r="LOY6"/>
      <c r="LOZ6"/>
      <c r="LPA6"/>
      <c r="LPB6"/>
      <c r="LPC6"/>
      <c r="LPD6"/>
      <c r="LPE6"/>
      <c r="LPF6"/>
      <c r="LPG6"/>
      <c r="LPH6"/>
      <c r="LPI6"/>
      <c r="LPJ6"/>
      <c r="LPK6"/>
      <c r="LPL6"/>
      <c r="LPM6"/>
      <c r="LPN6"/>
      <c r="LPO6"/>
      <c r="LPP6"/>
      <c r="LPQ6"/>
      <c r="LPR6"/>
      <c r="LPS6"/>
      <c r="LPT6"/>
      <c r="LPU6"/>
      <c r="LPV6"/>
      <c r="LPW6"/>
      <c r="LPX6"/>
      <c r="LPY6"/>
      <c r="LPZ6"/>
      <c r="LQA6"/>
      <c r="LQB6"/>
      <c r="LQC6"/>
      <c r="LQD6"/>
      <c r="LQE6"/>
      <c r="LQF6"/>
      <c r="LQG6"/>
      <c r="LQH6"/>
      <c r="LQI6"/>
      <c r="LQJ6"/>
      <c r="LQK6"/>
      <c r="LQL6"/>
      <c r="LQM6"/>
      <c r="LQN6"/>
      <c r="LQO6"/>
      <c r="LQP6"/>
      <c r="LQQ6"/>
      <c r="LQR6"/>
      <c r="LQS6"/>
      <c r="LQT6"/>
      <c r="LQU6"/>
      <c r="LQV6"/>
      <c r="LQW6"/>
      <c r="LQX6"/>
      <c r="LQY6"/>
      <c r="LQZ6"/>
      <c r="LRA6"/>
      <c r="LRB6"/>
      <c r="LRC6"/>
      <c r="LRD6"/>
      <c r="LRE6"/>
      <c r="LRF6"/>
      <c r="LRG6"/>
      <c r="LRH6"/>
      <c r="LRI6"/>
      <c r="LRJ6"/>
      <c r="LRK6"/>
      <c r="LRL6"/>
      <c r="LRM6"/>
      <c r="LRN6"/>
      <c r="LRO6"/>
      <c r="LRP6"/>
      <c r="LRQ6"/>
      <c r="LRR6"/>
      <c r="LRS6"/>
      <c r="LRT6"/>
      <c r="LRU6"/>
      <c r="LRV6"/>
      <c r="LRW6"/>
      <c r="LRX6"/>
      <c r="LRY6"/>
      <c r="LRZ6"/>
      <c r="LSA6"/>
      <c r="LSB6"/>
      <c r="LSC6"/>
      <c r="LSD6"/>
      <c r="LSE6"/>
      <c r="LSF6"/>
      <c r="LSG6"/>
      <c r="LSH6"/>
      <c r="LSI6"/>
      <c r="LSJ6"/>
      <c r="LSK6"/>
      <c r="LSL6"/>
      <c r="LSM6"/>
      <c r="LSN6"/>
      <c r="LSO6"/>
      <c r="LSP6"/>
      <c r="LSQ6"/>
      <c r="LSR6"/>
      <c r="LSS6"/>
      <c r="LST6"/>
      <c r="LSU6"/>
      <c r="LSV6"/>
      <c r="LSW6"/>
      <c r="LSX6"/>
      <c r="LSY6"/>
      <c r="LSZ6"/>
      <c r="LTA6"/>
      <c r="LTB6"/>
      <c r="LTC6"/>
      <c r="LTD6"/>
      <c r="LTE6"/>
      <c r="LTF6"/>
      <c r="LTG6"/>
      <c r="LTH6"/>
      <c r="LTI6"/>
      <c r="LTJ6"/>
      <c r="LTK6"/>
      <c r="LTL6"/>
      <c r="LTM6"/>
      <c r="LTN6"/>
      <c r="LTO6"/>
      <c r="LTP6"/>
      <c r="LTQ6"/>
      <c r="LTR6"/>
      <c r="LTS6"/>
      <c r="LTT6"/>
      <c r="LTU6"/>
      <c r="LTV6"/>
      <c r="LTW6"/>
      <c r="LTX6"/>
      <c r="LTY6"/>
      <c r="LTZ6"/>
      <c r="LUA6"/>
      <c r="LUB6"/>
      <c r="LUC6"/>
      <c r="LUD6"/>
      <c r="LUE6"/>
      <c r="LUF6"/>
      <c r="LUG6"/>
      <c r="LUH6"/>
      <c r="LUI6"/>
      <c r="LUJ6"/>
      <c r="LUK6"/>
      <c r="LUL6"/>
      <c r="LUM6"/>
      <c r="LUN6"/>
      <c r="LUO6"/>
      <c r="LUP6"/>
      <c r="LUQ6"/>
      <c r="LUR6"/>
      <c r="LUS6"/>
      <c r="LUT6"/>
      <c r="LUU6"/>
      <c r="LUV6"/>
      <c r="LUW6"/>
      <c r="LUX6"/>
      <c r="LUY6"/>
      <c r="LUZ6"/>
      <c r="LVA6"/>
      <c r="LVB6"/>
      <c r="LVC6"/>
      <c r="LVD6"/>
      <c r="LVE6"/>
      <c r="LVF6"/>
      <c r="LVG6"/>
      <c r="LVH6"/>
      <c r="LVI6"/>
      <c r="LVJ6"/>
      <c r="LVK6"/>
      <c r="LVL6"/>
      <c r="LVM6"/>
      <c r="LVN6"/>
      <c r="LVO6"/>
      <c r="LVP6"/>
      <c r="LVQ6"/>
      <c r="LVR6"/>
      <c r="LVS6"/>
      <c r="LVT6"/>
      <c r="LVU6"/>
      <c r="LVV6"/>
      <c r="LVW6"/>
      <c r="LVX6"/>
      <c r="LVY6"/>
      <c r="LVZ6"/>
      <c r="LWA6"/>
      <c r="LWB6"/>
      <c r="LWC6"/>
      <c r="LWD6"/>
      <c r="LWE6"/>
      <c r="LWF6"/>
      <c r="LWG6"/>
      <c r="LWH6"/>
      <c r="LWI6"/>
      <c r="LWJ6"/>
      <c r="LWK6"/>
      <c r="LWL6"/>
      <c r="LWM6"/>
      <c r="LWN6"/>
      <c r="LWO6"/>
      <c r="LWP6"/>
      <c r="LWQ6"/>
      <c r="LWR6"/>
      <c r="LWS6"/>
      <c r="LWT6"/>
      <c r="LWU6"/>
      <c r="LWV6"/>
      <c r="LWW6"/>
      <c r="LWX6"/>
      <c r="LWY6"/>
      <c r="LWZ6"/>
      <c r="LXA6"/>
      <c r="LXB6"/>
      <c r="LXC6"/>
      <c r="LXD6"/>
      <c r="LXE6"/>
      <c r="LXF6"/>
      <c r="LXG6"/>
      <c r="LXH6"/>
      <c r="LXI6"/>
      <c r="LXJ6"/>
      <c r="LXK6"/>
      <c r="LXL6"/>
      <c r="LXM6"/>
      <c r="LXN6"/>
      <c r="LXO6"/>
      <c r="LXP6"/>
      <c r="LXQ6"/>
      <c r="LXR6"/>
      <c r="LXS6"/>
      <c r="LXT6"/>
      <c r="LXU6"/>
      <c r="LXV6"/>
      <c r="LXW6"/>
      <c r="LXX6"/>
      <c r="LXY6"/>
      <c r="LXZ6"/>
      <c r="LYA6"/>
      <c r="LYB6"/>
      <c r="LYC6"/>
      <c r="LYD6"/>
      <c r="LYE6"/>
      <c r="LYF6"/>
      <c r="LYG6"/>
      <c r="LYH6"/>
      <c r="LYI6"/>
      <c r="LYJ6"/>
      <c r="LYK6"/>
      <c r="LYL6"/>
      <c r="LYM6"/>
      <c r="LYN6"/>
      <c r="LYO6"/>
      <c r="LYP6"/>
      <c r="LYQ6"/>
      <c r="LYR6"/>
      <c r="LYS6"/>
      <c r="LYT6"/>
      <c r="LYU6"/>
      <c r="LYV6"/>
      <c r="LYW6"/>
      <c r="LYX6"/>
      <c r="LYY6"/>
      <c r="LYZ6"/>
      <c r="LZA6"/>
      <c r="LZB6"/>
      <c r="LZC6"/>
      <c r="LZD6"/>
      <c r="LZE6"/>
      <c r="LZF6"/>
      <c r="LZG6"/>
      <c r="LZH6"/>
      <c r="LZI6"/>
      <c r="LZJ6"/>
      <c r="LZK6"/>
      <c r="LZL6"/>
      <c r="LZM6"/>
      <c r="LZN6"/>
      <c r="LZO6"/>
      <c r="LZP6"/>
      <c r="LZQ6"/>
      <c r="LZR6"/>
      <c r="LZS6"/>
      <c r="LZT6"/>
      <c r="LZU6"/>
      <c r="LZV6"/>
      <c r="LZW6"/>
      <c r="LZX6"/>
      <c r="LZY6"/>
      <c r="LZZ6"/>
      <c r="MAA6"/>
      <c r="MAB6"/>
      <c r="MAC6"/>
      <c r="MAD6"/>
      <c r="MAE6"/>
      <c r="MAF6"/>
      <c r="MAG6"/>
      <c r="MAH6"/>
      <c r="MAI6"/>
      <c r="MAJ6"/>
      <c r="MAK6"/>
      <c r="MAL6"/>
      <c r="MAM6"/>
      <c r="MAN6"/>
      <c r="MAO6"/>
      <c r="MAP6"/>
      <c r="MAQ6"/>
      <c r="MAR6"/>
      <c r="MAS6"/>
      <c r="MAT6"/>
      <c r="MAU6"/>
      <c r="MAV6"/>
      <c r="MAW6"/>
      <c r="MAX6"/>
      <c r="MAY6"/>
      <c r="MAZ6"/>
      <c r="MBA6"/>
      <c r="MBB6"/>
      <c r="MBC6"/>
      <c r="MBD6"/>
      <c r="MBE6"/>
      <c r="MBF6"/>
      <c r="MBG6"/>
      <c r="MBH6"/>
      <c r="MBI6"/>
      <c r="MBJ6"/>
      <c r="MBK6"/>
      <c r="MBL6"/>
      <c r="MBM6"/>
      <c r="MBN6"/>
      <c r="MBO6"/>
      <c r="MBP6"/>
      <c r="MBQ6"/>
      <c r="MBR6"/>
      <c r="MBS6"/>
      <c r="MBT6"/>
      <c r="MBU6"/>
      <c r="MBV6"/>
      <c r="MBW6"/>
      <c r="MBX6"/>
      <c r="MBY6"/>
      <c r="MBZ6"/>
      <c r="MCA6"/>
      <c r="MCB6"/>
      <c r="MCC6"/>
      <c r="MCD6"/>
      <c r="MCE6"/>
      <c r="MCF6"/>
      <c r="MCG6"/>
      <c r="MCH6"/>
      <c r="MCI6"/>
      <c r="MCJ6"/>
      <c r="MCK6"/>
      <c r="MCL6"/>
      <c r="MCM6"/>
      <c r="MCN6"/>
      <c r="MCO6"/>
      <c r="MCP6"/>
      <c r="MCQ6"/>
      <c r="MCR6"/>
      <c r="MCS6"/>
      <c r="MCT6"/>
      <c r="MCU6"/>
      <c r="MCV6"/>
      <c r="MCW6"/>
      <c r="MCX6"/>
      <c r="MCY6"/>
      <c r="MCZ6"/>
      <c r="MDA6"/>
      <c r="MDB6"/>
      <c r="MDC6"/>
      <c r="MDD6"/>
      <c r="MDE6"/>
      <c r="MDF6"/>
      <c r="MDG6"/>
      <c r="MDH6"/>
      <c r="MDI6"/>
      <c r="MDJ6"/>
      <c r="MDK6"/>
      <c r="MDL6"/>
      <c r="MDM6"/>
      <c r="MDN6"/>
      <c r="MDO6"/>
      <c r="MDP6"/>
      <c r="MDQ6"/>
      <c r="MDR6"/>
      <c r="MDS6"/>
      <c r="MDT6"/>
      <c r="MDU6"/>
      <c r="MDV6"/>
      <c r="MDW6"/>
      <c r="MDX6"/>
      <c r="MDY6"/>
      <c r="MDZ6"/>
      <c r="MEA6"/>
      <c r="MEB6"/>
      <c r="MEC6"/>
      <c r="MED6"/>
      <c r="MEE6"/>
      <c r="MEF6"/>
      <c r="MEG6"/>
      <c r="MEH6"/>
      <c r="MEI6"/>
      <c r="MEJ6"/>
      <c r="MEK6"/>
      <c r="MEL6"/>
      <c r="MEM6"/>
      <c r="MEN6"/>
      <c r="MEO6"/>
      <c r="MEP6"/>
      <c r="MEQ6"/>
      <c r="MER6"/>
      <c r="MES6"/>
      <c r="MET6"/>
      <c r="MEU6"/>
      <c r="MEV6"/>
      <c r="MEW6"/>
      <c r="MEX6"/>
      <c r="MEY6"/>
      <c r="MEZ6"/>
      <c r="MFA6"/>
      <c r="MFB6"/>
      <c r="MFC6"/>
      <c r="MFD6"/>
      <c r="MFE6"/>
      <c r="MFF6"/>
      <c r="MFG6"/>
      <c r="MFH6"/>
      <c r="MFI6"/>
      <c r="MFJ6"/>
      <c r="MFK6"/>
      <c r="MFL6"/>
      <c r="MFM6"/>
      <c r="MFN6"/>
      <c r="MFO6"/>
      <c r="MFP6"/>
      <c r="MFQ6"/>
      <c r="MFR6"/>
      <c r="MFS6"/>
      <c r="MFT6"/>
      <c r="MFU6"/>
      <c r="MFV6"/>
      <c r="MFW6"/>
      <c r="MFX6"/>
      <c r="MFY6"/>
      <c r="MFZ6"/>
      <c r="MGA6"/>
      <c r="MGB6"/>
      <c r="MGC6"/>
      <c r="MGD6"/>
      <c r="MGE6"/>
      <c r="MGF6"/>
      <c r="MGG6"/>
      <c r="MGH6"/>
      <c r="MGI6"/>
      <c r="MGJ6"/>
      <c r="MGK6"/>
      <c r="MGL6"/>
      <c r="MGM6"/>
      <c r="MGN6"/>
      <c r="MGO6"/>
      <c r="MGP6"/>
      <c r="MGQ6"/>
      <c r="MGR6"/>
      <c r="MGS6"/>
      <c r="MGT6"/>
      <c r="MGU6"/>
      <c r="MGV6"/>
      <c r="MGW6"/>
      <c r="MGX6"/>
      <c r="MGY6"/>
      <c r="MGZ6"/>
      <c r="MHA6"/>
      <c r="MHB6"/>
      <c r="MHC6"/>
      <c r="MHD6"/>
      <c r="MHE6"/>
      <c r="MHF6"/>
      <c r="MHG6"/>
      <c r="MHH6"/>
      <c r="MHI6"/>
      <c r="MHJ6"/>
      <c r="MHK6"/>
      <c r="MHL6"/>
      <c r="MHM6"/>
      <c r="MHN6"/>
      <c r="MHO6"/>
      <c r="MHP6"/>
      <c r="MHQ6"/>
      <c r="MHR6"/>
      <c r="MHS6"/>
      <c r="MHT6"/>
      <c r="MHU6"/>
      <c r="MHV6"/>
      <c r="MHW6"/>
      <c r="MHX6"/>
      <c r="MHY6"/>
      <c r="MHZ6"/>
      <c r="MIA6"/>
      <c r="MIB6"/>
      <c r="MIC6"/>
      <c r="MID6"/>
      <c r="MIE6"/>
      <c r="MIF6"/>
      <c r="MIG6"/>
      <c r="MIH6"/>
      <c r="MII6"/>
      <c r="MIJ6"/>
      <c r="MIK6"/>
      <c r="MIL6"/>
      <c r="MIM6"/>
      <c r="MIN6"/>
      <c r="MIO6"/>
      <c r="MIP6"/>
      <c r="MIQ6"/>
      <c r="MIR6"/>
      <c r="MIS6"/>
      <c r="MIT6"/>
      <c r="MIU6"/>
      <c r="MIV6"/>
      <c r="MIW6"/>
      <c r="MIX6"/>
      <c r="MIY6"/>
      <c r="MIZ6"/>
      <c r="MJA6"/>
      <c r="MJB6"/>
      <c r="MJC6"/>
      <c r="MJD6"/>
      <c r="MJE6"/>
      <c r="MJF6"/>
      <c r="MJG6"/>
      <c r="MJH6"/>
      <c r="MJI6"/>
      <c r="MJJ6"/>
      <c r="MJK6"/>
      <c r="MJL6"/>
      <c r="MJM6"/>
      <c r="MJN6"/>
      <c r="MJO6"/>
      <c r="MJP6"/>
      <c r="MJQ6"/>
      <c r="MJR6"/>
      <c r="MJS6"/>
      <c r="MJT6"/>
      <c r="MJU6"/>
      <c r="MJV6"/>
      <c r="MJW6"/>
      <c r="MJX6"/>
      <c r="MJY6"/>
      <c r="MJZ6"/>
      <c r="MKA6"/>
      <c r="MKB6"/>
      <c r="MKC6"/>
      <c r="MKD6"/>
      <c r="MKE6"/>
      <c r="MKF6"/>
      <c r="MKG6"/>
      <c r="MKH6"/>
      <c r="MKI6"/>
      <c r="MKJ6"/>
      <c r="MKK6"/>
      <c r="MKL6"/>
      <c r="MKM6"/>
      <c r="MKN6"/>
      <c r="MKO6"/>
      <c r="MKP6"/>
      <c r="MKQ6"/>
      <c r="MKR6"/>
      <c r="MKS6"/>
      <c r="MKT6"/>
      <c r="MKU6"/>
      <c r="MKV6"/>
      <c r="MKW6"/>
      <c r="MKX6"/>
      <c r="MKY6"/>
      <c r="MKZ6"/>
      <c r="MLA6"/>
      <c r="MLB6"/>
      <c r="MLC6"/>
      <c r="MLD6"/>
      <c r="MLE6"/>
      <c r="MLF6"/>
      <c r="MLG6"/>
      <c r="MLH6"/>
      <c r="MLI6"/>
      <c r="MLJ6"/>
      <c r="MLK6"/>
      <c r="MLL6"/>
      <c r="MLM6"/>
      <c r="MLN6"/>
      <c r="MLO6"/>
      <c r="MLP6"/>
      <c r="MLQ6"/>
      <c r="MLR6"/>
      <c r="MLS6"/>
      <c r="MLT6"/>
      <c r="MLU6"/>
      <c r="MLV6"/>
      <c r="MLW6"/>
      <c r="MLX6"/>
      <c r="MLY6"/>
      <c r="MLZ6"/>
      <c r="MMA6"/>
      <c r="MMB6"/>
      <c r="MMC6"/>
      <c r="MMD6"/>
      <c r="MME6"/>
      <c r="MMF6"/>
      <c r="MMG6"/>
      <c r="MMH6"/>
      <c r="MMI6"/>
      <c r="MMJ6"/>
      <c r="MMK6"/>
      <c r="MML6"/>
      <c r="MMM6"/>
      <c r="MMN6"/>
      <c r="MMO6"/>
      <c r="MMP6"/>
      <c r="MMQ6"/>
      <c r="MMR6"/>
      <c r="MMS6"/>
      <c r="MMT6"/>
      <c r="MMU6"/>
      <c r="MMV6"/>
      <c r="MMW6"/>
      <c r="MMX6"/>
      <c r="MMY6"/>
      <c r="MMZ6"/>
      <c r="MNA6"/>
      <c r="MNB6"/>
      <c r="MNC6"/>
      <c r="MND6"/>
      <c r="MNE6"/>
      <c r="MNF6"/>
      <c r="MNG6"/>
      <c r="MNH6"/>
      <c r="MNI6"/>
      <c r="MNJ6"/>
      <c r="MNK6"/>
      <c r="MNL6"/>
      <c r="MNM6"/>
      <c r="MNN6"/>
      <c r="MNO6"/>
      <c r="MNP6"/>
      <c r="MNQ6"/>
      <c r="MNR6"/>
      <c r="MNS6"/>
      <c r="MNT6"/>
      <c r="MNU6"/>
      <c r="MNV6"/>
      <c r="MNW6"/>
      <c r="MNX6"/>
      <c r="MNY6"/>
      <c r="MNZ6"/>
      <c r="MOA6"/>
      <c r="MOB6"/>
      <c r="MOC6"/>
      <c r="MOD6"/>
      <c r="MOE6"/>
      <c r="MOF6"/>
      <c r="MOG6"/>
      <c r="MOH6"/>
      <c r="MOI6"/>
      <c r="MOJ6"/>
      <c r="MOK6"/>
      <c r="MOL6"/>
      <c r="MOM6"/>
      <c r="MON6"/>
      <c r="MOO6"/>
      <c r="MOP6"/>
      <c r="MOQ6"/>
      <c r="MOR6"/>
      <c r="MOS6"/>
      <c r="MOT6"/>
      <c r="MOU6"/>
      <c r="MOV6"/>
      <c r="MOW6"/>
      <c r="MOX6"/>
      <c r="MOY6"/>
      <c r="MOZ6"/>
      <c r="MPA6"/>
      <c r="MPB6"/>
      <c r="MPC6"/>
      <c r="MPD6"/>
      <c r="MPE6"/>
      <c r="MPF6"/>
      <c r="MPG6"/>
      <c r="MPH6"/>
      <c r="MPI6"/>
      <c r="MPJ6"/>
      <c r="MPK6"/>
      <c r="MPL6"/>
      <c r="MPM6"/>
      <c r="MPN6"/>
      <c r="MPO6"/>
      <c r="MPP6"/>
      <c r="MPQ6"/>
      <c r="MPR6"/>
      <c r="MPS6"/>
      <c r="MPT6"/>
      <c r="MPU6"/>
      <c r="MPV6"/>
      <c r="MPW6"/>
      <c r="MPX6"/>
      <c r="MPY6"/>
      <c r="MPZ6"/>
      <c r="MQA6"/>
      <c r="MQB6"/>
      <c r="MQC6"/>
      <c r="MQD6"/>
      <c r="MQE6"/>
      <c r="MQF6"/>
      <c r="MQG6"/>
      <c r="MQH6"/>
      <c r="MQI6"/>
      <c r="MQJ6"/>
      <c r="MQK6"/>
      <c r="MQL6"/>
      <c r="MQM6"/>
      <c r="MQN6"/>
      <c r="MQO6"/>
      <c r="MQP6"/>
      <c r="MQQ6"/>
      <c r="MQR6"/>
      <c r="MQS6"/>
      <c r="MQT6"/>
      <c r="MQU6"/>
      <c r="MQV6"/>
      <c r="MQW6"/>
      <c r="MQX6"/>
      <c r="MQY6"/>
      <c r="MQZ6"/>
      <c r="MRA6"/>
      <c r="MRB6"/>
      <c r="MRC6"/>
      <c r="MRD6"/>
      <c r="MRE6"/>
      <c r="MRF6"/>
      <c r="MRG6"/>
      <c r="MRH6"/>
      <c r="MRI6"/>
      <c r="MRJ6"/>
      <c r="MRK6"/>
      <c r="MRL6"/>
      <c r="MRM6"/>
      <c r="MRN6"/>
      <c r="MRO6"/>
      <c r="MRP6"/>
      <c r="MRQ6"/>
      <c r="MRR6"/>
      <c r="MRS6"/>
      <c r="MRT6"/>
      <c r="MRU6"/>
      <c r="MRV6"/>
      <c r="MRW6"/>
      <c r="MRX6"/>
      <c r="MRY6"/>
      <c r="MRZ6"/>
      <c r="MSA6"/>
      <c r="MSB6"/>
      <c r="MSC6"/>
      <c r="MSD6"/>
      <c r="MSE6"/>
      <c r="MSF6"/>
      <c r="MSG6"/>
      <c r="MSH6"/>
      <c r="MSI6"/>
      <c r="MSJ6"/>
      <c r="MSK6"/>
      <c r="MSL6"/>
      <c r="MSM6"/>
      <c r="MSN6"/>
      <c r="MSO6"/>
      <c r="MSP6"/>
      <c r="MSQ6"/>
      <c r="MSR6"/>
      <c r="MSS6"/>
      <c r="MST6"/>
      <c r="MSU6"/>
      <c r="MSV6"/>
      <c r="MSW6"/>
      <c r="MSX6"/>
      <c r="MSY6"/>
      <c r="MSZ6"/>
      <c r="MTA6"/>
      <c r="MTB6"/>
      <c r="MTC6"/>
      <c r="MTD6"/>
      <c r="MTE6"/>
      <c r="MTF6"/>
      <c r="MTG6"/>
      <c r="MTH6"/>
      <c r="MTI6"/>
      <c r="MTJ6"/>
      <c r="MTK6"/>
      <c r="MTL6"/>
      <c r="MTM6"/>
      <c r="MTN6"/>
      <c r="MTO6"/>
      <c r="MTP6"/>
      <c r="MTQ6"/>
      <c r="MTR6"/>
      <c r="MTS6"/>
      <c r="MTT6"/>
      <c r="MTU6"/>
      <c r="MTV6"/>
      <c r="MTW6"/>
      <c r="MTX6"/>
      <c r="MTY6"/>
      <c r="MTZ6"/>
      <c r="MUA6"/>
      <c r="MUB6"/>
      <c r="MUC6"/>
      <c r="MUD6"/>
      <c r="MUE6"/>
      <c r="MUF6"/>
      <c r="MUG6"/>
      <c r="MUH6"/>
      <c r="MUI6"/>
      <c r="MUJ6"/>
      <c r="MUK6"/>
      <c r="MUL6"/>
      <c r="MUM6"/>
      <c r="MUN6"/>
      <c r="MUO6"/>
      <c r="MUP6"/>
      <c r="MUQ6"/>
      <c r="MUR6"/>
      <c r="MUS6"/>
      <c r="MUT6"/>
      <c r="MUU6"/>
      <c r="MUV6"/>
      <c r="MUW6"/>
      <c r="MUX6"/>
      <c r="MUY6"/>
      <c r="MUZ6"/>
      <c r="MVA6"/>
      <c r="MVB6"/>
      <c r="MVC6"/>
      <c r="MVD6"/>
      <c r="MVE6"/>
      <c r="MVF6"/>
      <c r="MVG6"/>
      <c r="MVH6"/>
      <c r="MVI6"/>
      <c r="MVJ6"/>
      <c r="MVK6"/>
      <c r="MVL6"/>
      <c r="MVM6"/>
      <c r="MVN6"/>
      <c r="MVO6"/>
      <c r="MVP6"/>
      <c r="MVQ6"/>
      <c r="MVR6"/>
      <c r="MVS6"/>
      <c r="MVT6"/>
      <c r="MVU6"/>
      <c r="MVV6"/>
      <c r="MVW6"/>
      <c r="MVX6"/>
      <c r="MVY6"/>
      <c r="MVZ6"/>
      <c r="MWA6"/>
      <c r="MWB6"/>
      <c r="MWC6"/>
      <c r="MWD6"/>
      <c r="MWE6"/>
      <c r="MWF6"/>
      <c r="MWG6"/>
      <c r="MWH6"/>
      <c r="MWI6"/>
      <c r="MWJ6"/>
      <c r="MWK6"/>
      <c r="MWL6"/>
      <c r="MWM6"/>
      <c r="MWN6"/>
      <c r="MWO6"/>
      <c r="MWP6"/>
      <c r="MWQ6"/>
      <c r="MWR6"/>
      <c r="MWS6"/>
      <c r="MWT6"/>
      <c r="MWU6"/>
      <c r="MWV6"/>
      <c r="MWW6"/>
      <c r="MWX6"/>
      <c r="MWY6"/>
      <c r="MWZ6"/>
      <c r="MXA6"/>
      <c r="MXB6"/>
      <c r="MXC6"/>
      <c r="MXD6"/>
      <c r="MXE6"/>
      <c r="MXF6"/>
      <c r="MXG6"/>
      <c r="MXH6"/>
      <c r="MXI6"/>
      <c r="MXJ6"/>
      <c r="MXK6"/>
      <c r="MXL6"/>
      <c r="MXM6"/>
      <c r="MXN6"/>
      <c r="MXO6"/>
      <c r="MXP6"/>
      <c r="MXQ6"/>
      <c r="MXR6"/>
      <c r="MXS6"/>
      <c r="MXT6"/>
      <c r="MXU6"/>
      <c r="MXV6"/>
      <c r="MXW6"/>
      <c r="MXX6"/>
      <c r="MXY6"/>
      <c r="MXZ6"/>
      <c r="MYA6"/>
      <c r="MYB6"/>
      <c r="MYC6"/>
      <c r="MYD6"/>
      <c r="MYE6"/>
      <c r="MYF6"/>
      <c r="MYG6"/>
      <c r="MYH6"/>
      <c r="MYI6"/>
      <c r="MYJ6"/>
      <c r="MYK6"/>
      <c r="MYL6"/>
      <c r="MYM6"/>
      <c r="MYN6"/>
      <c r="MYO6"/>
      <c r="MYP6"/>
      <c r="MYQ6"/>
      <c r="MYR6"/>
      <c r="MYS6"/>
      <c r="MYT6"/>
      <c r="MYU6"/>
      <c r="MYV6"/>
      <c r="MYW6"/>
      <c r="MYX6"/>
      <c r="MYY6"/>
      <c r="MYZ6"/>
      <c r="MZA6"/>
      <c r="MZB6"/>
      <c r="MZC6"/>
      <c r="MZD6"/>
      <c r="MZE6"/>
      <c r="MZF6"/>
      <c r="MZG6"/>
      <c r="MZH6"/>
      <c r="MZI6"/>
      <c r="MZJ6"/>
      <c r="MZK6"/>
      <c r="MZL6"/>
      <c r="MZM6"/>
      <c r="MZN6"/>
      <c r="MZO6"/>
      <c r="MZP6"/>
      <c r="MZQ6"/>
      <c r="MZR6"/>
      <c r="MZS6"/>
      <c r="MZT6"/>
      <c r="MZU6"/>
      <c r="MZV6"/>
      <c r="MZW6"/>
      <c r="MZX6"/>
      <c r="MZY6"/>
      <c r="MZZ6"/>
      <c r="NAA6"/>
      <c r="NAB6"/>
      <c r="NAC6"/>
      <c r="NAD6"/>
      <c r="NAE6"/>
      <c r="NAF6"/>
      <c r="NAG6"/>
      <c r="NAH6"/>
      <c r="NAI6"/>
      <c r="NAJ6"/>
      <c r="NAK6"/>
      <c r="NAL6"/>
      <c r="NAM6"/>
      <c r="NAN6"/>
      <c r="NAO6"/>
      <c r="NAP6"/>
      <c r="NAQ6"/>
      <c r="NAR6"/>
      <c r="NAS6"/>
      <c r="NAT6"/>
      <c r="NAU6"/>
      <c r="NAV6"/>
      <c r="NAW6"/>
      <c r="NAX6"/>
      <c r="NAY6"/>
      <c r="NAZ6"/>
      <c r="NBA6"/>
      <c r="NBB6"/>
      <c r="NBC6"/>
      <c r="NBD6"/>
      <c r="NBE6"/>
      <c r="NBF6"/>
      <c r="NBG6"/>
      <c r="NBH6"/>
      <c r="NBI6"/>
      <c r="NBJ6"/>
      <c r="NBK6"/>
      <c r="NBL6"/>
      <c r="NBM6"/>
      <c r="NBN6"/>
      <c r="NBO6"/>
      <c r="NBP6"/>
      <c r="NBQ6"/>
      <c r="NBR6"/>
      <c r="NBS6"/>
      <c r="NBT6"/>
      <c r="NBU6"/>
      <c r="NBV6"/>
      <c r="NBW6"/>
      <c r="NBX6"/>
      <c r="NBY6"/>
      <c r="NBZ6"/>
      <c r="NCA6"/>
      <c r="NCB6"/>
      <c r="NCC6"/>
      <c r="NCD6"/>
      <c r="NCE6"/>
      <c r="NCF6"/>
      <c r="NCG6"/>
      <c r="NCH6"/>
      <c r="NCI6"/>
      <c r="NCJ6"/>
      <c r="NCK6"/>
      <c r="NCL6"/>
      <c r="NCM6"/>
      <c r="NCN6"/>
      <c r="NCO6"/>
      <c r="NCP6"/>
      <c r="NCQ6"/>
      <c r="NCR6"/>
      <c r="NCS6"/>
      <c r="NCT6"/>
      <c r="NCU6"/>
      <c r="NCV6"/>
      <c r="NCW6"/>
      <c r="NCX6"/>
      <c r="NCY6"/>
      <c r="NCZ6"/>
      <c r="NDA6"/>
      <c r="NDB6"/>
      <c r="NDC6"/>
      <c r="NDD6"/>
      <c r="NDE6"/>
      <c r="NDF6"/>
      <c r="NDG6"/>
      <c r="NDH6"/>
      <c r="NDI6"/>
      <c r="NDJ6"/>
      <c r="NDK6"/>
      <c r="NDL6"/>
      <c r="NDM6"/>
      <c r="NDN6"/>
      <c r="NDO6"/>
      <c r="NDP6"/>
      <c r="NDQ6"/>
      <c r="NDR6"/>
      <c r="NDS6"/>
      <c r="NDT6"/>
      <c r="NDU6"/>
      <c r="NDV6"/>
      <c r="NDW6"/>
      <c r="NDX6"/>
      <c r="NDY6"/>
      <c r="NDZ6"/>
      <c r="NEA6"/>
      <c r="NEB6"/>
      <c r="NEC6"/>
      <c r="NED6"/>
      <c r="NEE6"/>
      <c r="NEF6"/>
      <c r="NEG6"/>
      <c r="NEH6"/>
      <c r="NEI6"/>
      <c r="NEJ6"/>
      <c r="NEK6"/>
      <c r="NEL6"/>
      <c r="NEM6"/>
      <c r="NEN6"/>
      <c r="NEO6"/>
      <c r="NEP6"/>
      <c r="NEQ6"/>
      <c r="NER6"/>
      <c r="NES6"/>
      <c r="NET6"/>
      <c r="NEU6"/>
      <c r="NEV6"/>
      <c r="NEW6"/>
      <c r="NEX6"/>
      <c r="NEY6"/>
      <c r="NEZ6"/>
      <c r="NFA6"/>
      <c r="NFB6"/>
      <c r="NFC6"/>
      <c r="NFD6"/>
      <c r="NFE6"/>
      <c r="NFF6"/>
      <c r="NFG6"/>
      <c r="NFH6"/>
      <c r="NFI6"/>
      <c r="NFJ6"/>
      <c r="NFK6"/>
      <c r="NFL6"/>
      <c r="NFM6"/>
      <c r="NFN6"/>
      <c r="NFO6"/>
      <c r="NFP6"/>
      <c r="NFQ6"/>
      <c r="NFR6"/>
      <c r="NFS6"/>
      <c r="NFT6"/>
      <c r="NFU6"/>
      <c r="NFV6"/>
      <c r="NFW6"/>
      <c r="NFX6"/>
      <c r="NFY6"/>
      <c r="NFZ6"/>
      <c r="NGA6"/>
      <c r="NGB6"/>
      <c r="NGC6"/>
      <c r="NGD6"/>
      <c r="NGE6"/>
      <c r="NGF6"/>
      <c r="NGG6"/>
      <c r="NGH6"/>
      <c r="NGI6"/>
      <c r="NGJ6"/>
      <c r="NGK6"/>
      <c r="NGL6"/>
      <c r="NGM6"/>
      <c r="NGN6"/>
      <c r="NGO6"/>
      <c r="NGP6"/>
      <c r="NGQ6"/>
      <c r="NGR6"/>
      <c r="NGS6"/>
      <c r="NGT6"/>
      <c r="NGU6"/>
      <c r="NGV6"/>
      <c r="NGW6"/>
      <c r="NGX6"/>
      <c r="NGY6"/>
      <c r="NGZ6"/>
      <c r="NHA6"/>
      <c r="NHB6"/>
      <c r="NHC6"/>
      <c r="NHD6"/>
      <c r="NHE6"/>
      <c r="NHF6"/>
      <c r="NHG6"/>
      <c r="NHH6"/>
      <c r="NHI6"/>
      <c r="NHJ6"/>
      <c r="NHK6"/>
      <c r="NHL6"/>
      <c r="NHM6"/>
      <c r="NHN6"/>
      <c r="NHO6"/>
      <c r="NHP6"/>
      <c r="NHQ6"/>
      <c r="NHR6"/>
      <c r="NHS6"/>
      <c r="NHT6"/>
      <c r="NHU6"/>
      <c r="NHV6"/>
      <c r="NHW6"/>
      <c r="NHX6"/>
      <c r="NHY6"/>
      <c r="NHZ6"/>
      <c r="NIA6"/>
      <c r="NIB6"/>
      <c r="NIC6"/>
      <c r="NID6"/>
      <c r="NIE6"/>
      <c r="NIF6"/>
      <c r="NIG6"/>
      <c r="NIH6"/>
      <c r="NII6"/>
      <c r="NIJ6"/>
      <c r="NIK6"/>
      <c r="NIL6"/>
      <c r="NIM6"/>
      <c r="NIN6"/>
      <c r="NIO6"/>
      <c r="NIP6"/>
      <c r="NIQ6"/>
      <c r="NIR6"/>
      <c r="NIS6"/>
      <c r="NIT6"/>
      <c r="NIU6"/>
      <c r="NIV6"/>
      <c r="NIW6"/>
      <c r="NIX6"/>
      <c r="NIY6"/>
      <c r="NIZ6"/>
      <c r="NJA6"/>
      <c r="NJB6"/>
      <c r="NJC6"/>
      <c r="NJD6"/>
      <c r="NJE6"/>
      <c r="NJF6"/>
      <c r="NJG6"/>
      <c r="NJH6"/>
      <c r="NJI6"/>
      <c r="NJJ6"/>
      <c r="NJK6"/>
      <c r="NJL6"/>
      <c r="NJM6"/>
      <c r="NJN6"/>
      <c r="NJO6"/>
      <c r="NJP6"/>
      <c r="NJQ6"/>
      <c r="NJR6"/>
      <c r="NJS6"/>
      <c r="NJT6"/>
      <c r="NJU6"/>
      <c r="NJV6"/>
      <c r="NJW6"/>
      <c r="NJX6"/>
      <c r="NJY6"/>
      <c r="NJZ6"/>
      <c r="NKA6"/>
      <c r="NKB6"/>
      <c r="NKC6"/>
      <c r="NKD6"/>
      <c r="NKE6"/>
      <c r="NKF6"/>
      <c r="NKG6"/>
      <c r="NKH6"/>
      <c r="NKI6"/>
      <c r="NKJ6"/>
      <c r="NKK6"/>
      <c r="NKL6"/>
      <c r="NKM6"/>
      <c r="NKN6"/>
      <c r="NKO6"/>
      <c r="NKP6"/>
      <c r="NKQ6"/>
      <c r="NKR6"/>
      <c r="NKS6"/>
      <c r="NKT6"/>
      <c r="NKU6"/>
      <c r="NKV6"/>
      <c r="NKW6"/>
      <c r="NKX6"/>
      <c r="NKY6"/>
      <c r="NKZ6"/>
      <c r="NLA6"/>
      <c r="NLB6"/>
      <c r="NLC6"/>
      <c r="NLD6"/>
      <c r="NLE6"/>
      <c r="NLF6"/>
      <c r="NLG6"/>
      <c r="NLH6"/>
      <c r="NLI6"/>
      <c r="NLJ6"/>
      <c r="NLK6"/>
      <c r="NLL6"/>
      <c r="NLM6"/>
      <c r="NLN6"/>
      <c r="NLO6"/>
      <c r="NLP6"/>
      <c r="NLQ6"/>
      <c r="NLR6"/>
      <c r="NLS6"/>
      <c r="NLT6"/>
      <c r="NLU6"/>
      <c r="NLV6"/>
      <c r="NLW6"/>
      <c r="NLX6"/>
      <c r="NLY6"/>
      <c r="NLZ6"/>
      <c r="NMA6"/>
      <c r="NMB6"/>
      <c r="NMC6"/>
      <c r="NMD6"/>
      <c r="NME6"/>
      <c r="NMF6"/>
      <c r="NMG6"/>
      <c r="NMH6"/>
      <c r="NMI6"/>
      <c r="NMJ6"/>
      <c r="NMK6"/>
      <c r="NML6"/>
      <c r="NMM6"/>
      <c r="NMN6"/>
      <c r="NMO6"/>
      <c r="NMP6"/>
      <c r="NMQ6"/>
      <c r="NMR6"/>
      <c r="NMS6"/>
      <c r="NMT6"/>
      <c r="NMU6"/>
      <c r="NMV6"/>
      <c r="NMW6"/>
      <c r="NMX6"/>
      <c r="NMY6"/>
      <c r="NMZ6"/>
      <c r="NNA6"/>
      <c r="NNB6"/>
      <c r="NNC6"/>
      <c r="NND6"/>
      <c r="NNE6"/>
      <c r="NNF6"/>
      <c r="NNG6"/>
      <c r="NNH6"/>
      <c r="NNI6"/>
      <c r="NNJ6"/>
      <c r="NNK6"/>
      <c r="NNL6"/>
      <c r="NNM6"/>
      <c r="NNN6"/>
      <c r="NNO6"/>
      <c r="NNP6"/>
      <c r="NNQ6"/>
      <c r="NNR6"/>
      <c r="NNS6"/>
      <c r="NNT6"/>
      <c r="NNU6"/>
      <c r="NNV6"/>
      <c r="NNW6"/>
      <c r="NNX6"/>
      <c r="NNY6"/>
      <c r="NNZ6"/>
      <c r="NOA6"/>
      <c r="NOB6"/>
      <c r="NOC6"/>
      <c r="NOD6"/>
      <c r="NOE6"/>
      <c r="NOF6"/>
      <c r="NOG6"/>
      <c r="NOH6"/>
      <c r="NOI6"/>
      <c r="NOJ6"/>
      <c r="NOK6"/>
      <c r="NOL6"/>
      <c r="NOM6"/>
      <c r="NON6"/>
      <c r="NOO6"/>
      <c r="NOP6"/>
      <c r="NOQ6"/>
      <c r="NOR6"/>
      <c r="NOS6"/>
      <c r="NOT6"/>
      <c r="NOU6"/>
      <c r="NOV6"/>
      <c r="NOW6"/>
      <c r="NOX6"/>
      <c r="NOY6"/>
      <c r="NOZ6"/>
      <c r="NPA6"/>
      <c r="NPB6"/>
      <c r="NPC6"/>
      <c r="NPD6"/>
      <c r="NPE6"/>
      <c r="NPF6"/>
      <c r="NPG6"/>
      <c r="NPH6"/>
      <c r="NPI6"/>
      <c r="NPJ6"/>
      <c r="NPK6"/>
      <c r="NPL6"/>
      <c r="NPM6"/>
      <c r="NPN6"/>
      <c r="NPO6"/>
      <c r="NPP6"/>
      <c r="NPQ6"/>
      <c r="NPR6"/>
      <c r="NPS6"/>
      <c r="NPT6"/>
      <c r="NPU6"/>
      <c r="NPV6"/>
      <c r="NPW6"/>
      <c r="NPX6"/>
      <c r="NPY6"/>
      <c r="NPZ6"/>
      <c r="NQA6"/>
      <c r="NQB6"/>
      <c r="NQC6"/>
      <c r="NQD6"/>
      <c r="NQE6"/>
      <c r="NQF6"/>
      <c r="NQG6"/>
      <c r="NQH6"/>
      <c r="NQI6"/>
      <c r="NQJ6"/>
      <c r="NQK6"/>
      <c r="NQL6"/>
      <c r="NQM6"/>
      <c r="NQN6"/>
      <c r="NQO6"/>
      <c r="NQP6"/>
      <c r="NQQ6"/>
      <c r="NQR6"/>
      <c r="NQS6"/>
      <c r="NQT6"/>
      <c r="NQU6"/>
      <c r="NQV6"/>
      <c r="NQW6"/>
      <c r="NQX6"/>
      <c r="NQY6"/>
      <c r="NQZ6"/>
      <c r="NRA6"/>
      <c r="NRB6"/>
      <c r="NRC6"/>
      <c r="NRD6"/>
      <c r="NRE6"/>
      <c r="NRF6"/>
      <c r="NRG6"/>
      <c r="NRH6"/>
      <c r="NRI6"/>
      <c r="NRJ6"/>
      <c r="NRK6"/>
      <c r="NRL6"/>
      <c r="NRM6"/>
      <c r="NRN6"/>
      <c r="NRO6"/>
      <c r="NRP6"/>
      <c r="NRQ6"/>
      <c r="NRR6"/>
      <c r="NRS6"/>
      <c r="NRT6"/>
      <c r="NRU6"/>
      <c r="NRV6"/>
      <c r="NRW6"/>
      <c r="NRX6"/>
      <c r="NRY6"/>
      <c r="NRZ6"/>
      <c r="NSA6"/>
      <c r="NSB6"/>
      <c r="NSC6"/>
      <c r="NSD6"/>
      <c r="NSE6"/>
      <c r="NSF6"/>
      <c r="NSG6"/>
      <c r="NSH6"/>
      <c r="NSI6"/>
      <c r="NSJ6"/>
      <c r="NSK6"/>
      <c r="NSL6"/>
      <c r="NSM6"/>
      <c r="NSN6"/>
      <c r="NSO6"/>
      <c r="NSP6"/>
      <c r="NSQ6"/>
      <c r="NSR6"/>
      <c r="NSS6"/>
      <c r="NST6"/>
      <c r="NSU6"/>
      <c r="NSV6"/>
      <c r="NSW6"/>
      <c r="NSX6"/>
      <c r="NSY6"/>
      <c r="NSZ6"/>
      <c r="NTA6"/>
      <c r="NTB6"/>
      <c r="NTC6"/>
      <c r="NTD6"/>
      <c r="NTE6"/>
      <c r="NTF6"/>
      <c r="NTG6"/>
      <c r="NTH6"/>
      <c r="NTI6"/>
      <c r="NTJ6"/>
      <c r="NTK6"/>
      <c r="NTL6"/>
      <c r="NTM6"/>
      <c r="NTN6"/>
      <c r="NTO6"/>
      <c r="NTP6"/>
      <c r="NTQ6"/>
      <c r="NTR6"/>
      <c r="NTS6"/>
      <c r="NTT6"/>
      <c r="NTU6"/>
      <c r="NTV6"/>
      <c r="NTW6"/>
      <c r="NTX6"/>
      <c r="NTY6"/>
      <c r="NTZ6"/>
      <c r="NUA6"/>
      <c r="NUB6"/>
      <c r="NUC6"/>
      <c r="NUD6"/>
      <c r="NUE6"/>
      <c r="NUF6"/>
      <c r="NUG6"/>
      <c r="NUH6"/>
      <c r="NUI6"/>
      <c r="NUJ6"/>
      <c r="NUK6"/>
      <c r="NUL6"/>
      <c r="NUM6"/>
      <c r="NUN6"/>
      <c r="NUO6"/>
      <c r="NUP6"/>
      <c r="NUQ6"/>
      <c r="NUR6"/>
      <c r="NUS6"/>
      <c r="NUT6"/>
      <c r="NUU6"/>
      <c r="NUV6"/>
      <c r="NUW6"/>
      <c r="NUX6"/>
      <c r="NUY6"/>
      <c r="NUZ6"/>
      <c r="NVA6"/>
      <c r="NVB6"/>
      <c r="NVC6"/>
      <c r="NVD6"/>
      <c r="NVE6"/>
      <c r="NVF6"/>
      <c r="NVG6"/>
      <c r="NVH6"/>
      <c r="NVI6"/>
      <c r="NVJ6"/>
      <c r="NVK6"/>
      <c r="NVL6"/>
      <c r="NVM6"/>
      <c r="NVN6"/>
      <c r="NVO6"/>
      <c r="NVP6"/>
      <c r="NVQ6"/>
      <c r="NVR6"/>
      <c r="NVS6"/>
      <c r="NVT6"/>
      <c r="NVU6"/>
      <c r="NVV6"/>
      <c r="NVW6"/>
      <c r="NVX6"/>
      <c r="NVY6"/>
      <c r="NVZ6"/>
      <c r="NWA6"/>
      <c r="NWB6"/>
      <c r="NWC6"/>
      <c r="NWD6"/>
      <c r="NWE6"/>
      <c r="NWF6"/>
      <c r="NWG6"/>
      <c r="NWH6"/>
      <c r="NWI6"/>
      <c r="NWJ6"/>
      <c r="NWK6"/>
      <c r="NWL6"/>
      <c r="NWM6"/>
      <c r="NWN6"/>
      <c r="NWO6"/>
      <c r="NWP6"/>
      <c r="NWQ6"/>
      <c r="NWR6"/>
      <c r="NWS6"/>
      <c r="NWT6"/>
      <c r="NWU6"/>
      <c r="NWV6"/>
      <c r="NWW6"/>
      <c r="NWX6"/>
      <c r="NWY6"/>
      <c r="NWZ6"/>
      <c r="NXA6"/>
      <c r="NXB6"/>
      <c r="NXC6"/>
      <c r="NXD6"/>
      <c r="NXE6"/>
      <c r="NXF6"/>
      <c r="NXG6"/>
      <c r="NXH6"/>
      <c r="NXI6"/>
      <c r="NXJ6"/>
      <c r="NXK6"/>
      <c r="NXL6"/>
      <c r="NXM6"/>
      <c r="NXN6"/>
      <c r="NXO6"/>
      <c r="NXP6"/>
      <c r="NXQ6"/>
      <c r="NXR6"/>
      <c r="NXS6"/>
      <c r="NXT6"/>
      <c r="NXU6"/>
      <c r="NXV6"/>
      <c r="NXW6"/>
      <c r="NXX6"/>
      <c r="NXY6"/>
      <c r="NXZ6"/>
      <c r="NYA6"/>
      <c r="NYB6"/>
      <c r="NYC6"/>
      <c r="NYD6"/>
      <c r="NYE6"/>
      <c r="NYF6"/>
      <c r="NYG6"/>
      <c r="NYH6"/>
      <c r="NYI6"/>
      <c r="NYJ6"/>
      <c r="NYK6"/>
      <c r="NYL6"/>
      <c r="NYM6"/>
      <c r="NYN6"/>
      <c r="NYO6"/>
      <c r="NYP6"/>
      <c r="NYQ6"/>
      <c r="NYR6"/>
      <c r="NYS6"/>
      <c r="NYT6"/>
      <c r="NYU6"/>
      <c r="NYV6"/>
      <c r="NYW6"/>
      <c r="NYX6"/>
      <c r="NYY6"/>
      <c r="NYZ6"/>
      <c r="NZA6"/>
      <c r="NZB6"/>
      <c r="NZC6"/>
      <c r="NZD6"/>
      <c r="NZE6"/>
      <c r="NZF6"/>
      <c r="NZG6"/>
      <c r="NZH6"/>
      <c r="NZI6"/>
      <c r="NZJ6"/>
      <c r="NZK6"/>
      <c r="NZL6"/>
      <c r="NZM6"/>
      <c r="NZN6"/>
      <c r="NZO6"/>
      <c r="NZP6"/>
      <c r="NZQ6"/>
      <c r="NZR6"/>
      <c r="NZS6"/>
      <c r="NZT6"/>
      <c r="NZU6"/>
      <c r="NZV6"/>
      <c r="NZW6"/>
      <c r="NZX6"/>
      <c r="NZY6"/>
      <c r="NZZ6"/>
      <c r="OAA6"/>
      <c r="OAB6"/>
      <c r="OAC6"/>
      <c r="OAD6"/>
      <c r="OAE6"/>
      <c r="OAF6"/>
      <c r="OAG6"/>
      <c r="OAH6"/>
      <c r="OAI6"/>
      <c r="OAJ6"/>
      <c r="OAK6"/>
      <c r="OAL6"/>
      <c r="OAM6"/>
      <c r="OAN6"/>
      <c r="OAO6"/>
      <c r="OAP6"/>
      <c r="OAQ6"/>
      <c r="OAR6"/>
      <c r="OAS6"/>
      <c r="OAT6"/>
      <c r="OAU6"/>
      <c r="OAV6"/>
      <c r="OAW6"/>
      <c r="OAX6"/>
      <c r="OAY6"/>
      <c r="OAZ6"/>
      <c r="OBA6"/>
      <c r="OBB6"/>
      <c r="OBC6"/>
      <c r="OBD6"/>
      <c r="OBE6"/>
      <c r="OBF6"/>
      <c r="OBG6"/>
      <c r="OBH6"/>
      <c r="OBI6"/>
      <c r="OBJ6"/>
      <c r="OBK6"/>
      <c r="OBL6"/>
      <c r="OBM6"/>
      <c r="OBN6"/>
      <c r="OBO6"/>
      <c r="OBP6"/>
      <c r="OBQ6"/>
      <c r="OBR6"/>
      <c r="OBS6"/>
      <c r="OBT6"/>
      <c r="OBU6"/>
      <c r="OBV6"/>
      <c r="OBW6"/>
      <c r="OBX6"/>
      <c r="OBY6"/>
      <c r="OBZ6"/>
      <c r="OCA6"/>
      <c r="OCB6"/>
      <c r="OCC6"/>
      <c r="OCD6"/>
      <c r="OCE6"/>
      <c r="OCF6"/>
      <c r="OCG6"/>
      <c r="OCH6"/>
      <c r="OCI6"/>
      <c r="OCJ6"/>
      <c r="OCK6"/>
      <c r="OCL6"/>
      <c r="OCM6"/>
      <c r="OCN6"/>
      <c r="OCO6"/>
      <c r="OCP6"/>
      <c r="OCQ6"/>
      <c r="OCR6"/>
      <c r="OCS6"/>
      <c r="OCT6"/>
      <c r="OCU6"/>
      <c r="OCV6"/>
      <c r="OCW6"/>
      <c r="OCX6"/>
      <c r="OCY6"/>
      <c r="OCZ6"/>
      <c r="ODA6"/>
      <c r="ODB6"/>
      <c r="ODC6"/>
      <c r="ODD6"/>
      <c r="ODE6"/>
      <c r="ODF6"/>
      <c r="ODG6"/>
      <c r="ODH6"/>
      <c r="ODI6"/>
      <c r="ODJ6"/>
      <c r="ODK6"/>
      <c r="ODL6"/>
      <c r="ODM6"/>
      <c r="ODN6"/>
      <c r="ODO6"/>
      <c r="ODP6"/>
      <c r="ODQ6"/>
      <c r="ODR6"/>
      <c r="ODS6"/>
      <c r="ODT6"/>
      <c r="ODU6"/>
      <c r="ODV6"/>
      <c r="ODW6"/>
      <c r="ODX6"/>
      <c r="ODY6"/>
      <c r="ODZ6"/>
      <c r="OEA6"/>
      <c r="OEB6"/>
      <c r="OEC6"/>
      <c r="OED6"/>
      <c r="OEE6"/>
      <c r="OEF6"/>
      <c r="OEG6"/>
      <c r="OEH6"/>
      <c r="OEI6"/>
      <c r="OEJ6"/>
      <c r="OEK6"/>
      <c r="OEL6"/>
      <c r="OEM6"/>
      <c r="OEN6"/>
      <c r="OEO6"/>
      <c r="OEP6"/>
      <c r="OEQ6"/>
      <c r="OER6"/>
      <c r="OES6"/>
      <c r="OET6"/>
      <c r="OEU6"/>
      <c r="OEV6"/>
      <c r="OEW6"/>
      <c r="OEX6"/>
      <c r="OEY6"/>
      <c r="OEZ6"/>
      <c r="OFA6"/>
      <c r="OFB6"/>
      <c r="OFC6"/>
      <c r="OFD6"/>
      <c r="OFE6"/>
      <c r="OFF6"/>
      <c r="OFG6"/>
      <c r="OFH6"/>
      <c r="OFI6"/>
      <c r="OFJ6"/>
      <c r="OFK6"/>
      <c r="OFL6"/>
      <c r="OFM6"/>
      <c r="OFN6"/>
      <c r="OFO6"/>
      <c r="OFP6"/>
      <c r="OFQ6"/>
      <c r="OFR6"/>
      <c r="OFS6"/>
      <c r="OFT6"/>
      <c r="OFU6"/>
      <c r="OFV6"/>
      <c r="OFW6"/>
      <c r="OFX6"/>
      <c r="OFY6"/>
      <c r="OFZ6"/>
      <c r="OGA6"/>
      <c r="OGB6"/>
      <c r="OGC6"/>
      <c r="OGD6"/>
      <c r="OGE6"/>
      <c r="OGF6"/>
      <c r="OGG6"/>
      <c r="OGH6"/>
      <c r="OGI6"/>
      <c r="OGJ6"/>
      <c r="OGK6"/>
      <c r="OGL6"/>
      <c r="OGM6"/>
      <c r="OGN6"/>
      <c r="OGO6"/>
      <c r="OGP6"/>
      <c r="OGQ6"/>
      <c r="OGR6"/>
      <c r="OGS6"/>
      <c r="OGT6"/>
      <c r="OGU6"/>
      <c r="OGV6"/>
      <c r="OGW6"/>
      <c r="OGX6"/>
      <c r="OGY6"/>
      <c r="OGZ6"/>
      <c r="OHA6"/>
      <c r="OHB6"/>
      <c r="OHC6"/>
      <c r="OHD6"/>
      <c r="OHE6"/>
      <c r="OHF6"/>
      <c r="OHG6"/>
      <c r="OHH6"/>
      <c r="OHI6"/>
      <c r="OHJ6"/>
      <c r="OHK6"/>
      <c r="OHL6"/>
      <c r="OHM6"/>
      <c r="OHN6"/>
      <c r="OHO6"/>
      <c r="OHP6"/>
      <c r="OHQ6"/>
      <c r="OHR6"/>
      <c r="OHS6"/>
      <c r="OHT6"/>
      <c r="OHU6"/>
      <c r="OHV6"/>
      <c r="OHW6"/>
      <c r="OHX6"/>
      <c r="OHY6"/>
      <c r="OHZ6"/>
      <c r="OIA6"/>
      <c r="OIB6"/>
      <c r="OIC6"/>
      <c r="OID6"/>
      <c r="OIE6"/>
      <c r="OIF6"/>
      <c r="OIG6"/>
      <c r="OIH6"/>
      <c r="OII6"/>
      <c r="OIJ6"/>
      <c r="OIK6"/>
      <c r="OIL6"/>
      <c r="OIM6"/>
      <c r="OIN6"/>
      <c r="OIO6"/>
      <c r="OIP6"/>
      <c r="OIQ6"/>
      <c r="OIR6"/>
      <c r="OIS6"/>
      <c r="OIT6"/>
      <c r="OIU6"/>
      <c r="OIV6"/>
      <c r="OIW6"/>
      <c r="OIX6"/>
      <c r="OIY6"/>
      <c r="OIZ6"/>
      <c r="OJA6"/>
      <c r="OJB6"/>
      <c r="OJC6"/>
      <c r="OJD6"/>
      <c r="OJE6"/>
      <c r="OJF6"/>
      <c r="OJG6"/>
      <c r="OJH6"/>
      <c r="OJI6"/>
      <c r="OJJ6"/>
      <c r="OJK6"/>
      <c r="OJL6"/>
      <c r="OJM6"/>
      <c r="OJN6"/>
      <c r="OJO6"/>
      <c r="OJP6"/>
      <c r="OJQ6"/>
      <c r="OJR6"/>
      <c r="OJS6"/>
      <c r="OJT6"/>
      <c r="OJU6"/>
      <c r="OJV6"/>
      <c r="OJW6"/>
      <c r="OJX6"/>
      <c r="OJY6"/>
      <c r="OJZ6"/>
      <c r="OKA6"/>
      <c r="OKB6"/>
      <c r="OKC6"/>
      <c r="OKD6"/>
      <c r="OKE6"/>
      <c r="OKF6"/>
      <c r="OKG6"/>
      <c r="OKH6"/>
      <c r="OKI6"/>
      <c r="OKJ6"/>
      <c r="OKK6"/>
      <c r="OKL6"/>
      <c r="OKM6"/>
      <c r="OKN6"/>
      <c r="OKO6"/>
      <c r="OKP6"/>
      <c r="OKQ6"/>
      <c r="OKR6"/>
      <c r="OKS6"/>
      <c r="OKT6"/>
      <c r="OKU6"/>
      <c r="OKV6"/>
      <c r="OKW6"/>
      <c r="OKX6"/>
      <c r="OKY6"/>
      <c r="OKZ6"/>
      <c r="OLA6"/>
      <c r="OLB6"/>
      <c r="OLC6"/>
      <c r="OLD6"/>
      <c r="OLE6"/>
      <c r="OLF6"/>
      <c r="OLG6"/>
      <c r="OLH6"/>
      <c r="OLI6"/>
      <c r="OLJ6"/>
      <c r="OLK6"/>
      <c r="OLL6"/>
      <c r="OLM6"/>
      <c r="OLN6"/>
      <c r="OLO6"/>
      <c r="OLP6"/>
      <c r="OLQ6"/>
      <c r="OLR6"/>
      <c r="OLS6"/>
      <c r="OLT6"/>
      <c r="OLU6"/>
      <c r="OLV6"/>
      <c r="OLW6"/>
      <c r="OLX6"/>
      <c r="OLY6"/>
      <c r="OLZ6"/>
      <c r="OMA6"/>
      <c r="OMB6"/>
      <c r="OMC6"/>
      <c r="OMD6"/>
      <c r="OME6"/>
      <c r="OMF6"/>
      <c r="OMG6"/>
      <c r="OMH6"/>
      <c r="OMI6"/>
      <c r="OMJ6"/>
      <c r="OMK6"/>
      <c r="OML6"/>
      <c r="OMM6"/>
      <c r="OMN6"/>
      <c r="OMO6"/>
      <c r="OMP6"/>
      <c r="OMQ6"/>
      <c r="OMR6"/>
      <c r="OMS6"/>
      <c r="OMT6"/>
      <c r="OMU6"/>
      <c r="OMV6"/>
      <c r="OMW6"/>
      <c r="OMX6"/>
      <c r="OMY6"/>
      <c r="OMZ6"/>
      <c r="ONA6"/>
      <c r="ONB6"/>
      <c r="ONC6"/>
      <c r="OND6"/>
      <c r="ONE6"/>
      <c r="ONF6"/>
      <c r="ONG6"/>
      <c r="ONH6"/>
      <c r="ONI6"/>
      <c r="ONJ6"/>
      <c r="ONK6"/>
      <c r="ONL6"/>
      <c r="ONM6"/>
      <c r="ONN6"/>
      <c r="ONO6"/>
      <c r="ONP6"/>
      <c r="ONQ6"/>
      <c r="ONR6"/>
      <c r="ONS6"/>
      <c r="ONT6"/>
      <c r="ONU6"/>
      <c r="ONV6"/>
      <c r="ONW6"/>
      <c r="ONX6"/>
      <c r="ONY6"/>
      <c r="ONZ6"/>
      <c r="OOA6"/>
      <c r="OOB6"/>
      <c r="OOC6"/>
      <c r="OOD6"/>
      <c r="OOE6"/>
      <c r="OOF6"/>
      <c r="OOG6"/>
      <c r="OOH6"/>
      <c r="OOI6"/>
      <c r="OOJ6"/>
      <c r="OOK6"/>
      <c r="OOL6"/>
      <c r="OOM6"/>
      <c r="OON6"/>
      <c r="OOO6"/>
      <c r="OOP6"/>
      <c r="OOQ6"/>
      <c r="OOR6"/>
      <c r="OOS6"/>
      <c r="OOT6"/>
      <c r="OOU6"/>
      <c r="OOV6"/>
      <c r="OOW6"/>
      <c r="OOX6"/>
      <c r="OOY6"/>
      <c r="OOZ6"/>
      <c r="OPA6"/>
      <c r="OPB6"/>
      <c r="OPC6"/>
      <c r="OPD6"/>
      <c r="OPE6"/>
      <c r="OPF6"/>
      <c r="OPG6"/>
      <c r="OPH6"/>
      <c r="OPI6"/>
      <c r="OPJ6"/>
      <c r="OPK6"/>
      <c r="OPL6"/>
      <c r="OPM6"/>
      <c r="OPN6"/>
      <c r="OPO6"/>
      <c r="OPP6"/>
      <c r="OPQ6"/>
      <c r="OPR6"/>
      <c r="OPS6"/>
      <c r="OPT6"/>
      <c r="OPU6"/>
      <c r="OPV6"/>
      <c r="OPW6"/>
      <c r="OPX6"/>
      <c r="OPY6"/>
      <c r="OPZ6"/>
      <c r="OQA6"/>
      <c r="OQB6"/>
      <c r="OQC6"/>
      <c r="OQD6"/>
      <c r="OQE6"/>
      <c r="OQF6"/>
      <c r="OQG6"/>
      <c r="OQH6"/>
      <c r="OQI6"/>
      <c r="OQJ6"/>
      <c r="OQK6"/>
      <c r="OQL6"/>
      <c r="OQM6"/>
      <c r="OQN6"/>
      <c r="OQO6"/>
      <c r="OQP6"/>
      <c r="OQQ6"/>
      <c r="OQR6"/>
      <c r="OQS6"/>
      <c r="OQT6"/>
      <c r="OQU6"/>
      <c r="OQV6"/>
      <c r="OQW6"/>
      <c r="OQX6"/>
      <c r="OQY6"/>
      <c r="OQZ6"/>
      <c r="ORA6"/>
      <c r="ORB6"/>
      <c r="ORC6"/>
      <c r="ORD6"/>
      <c r="ORE6"/>
      <c r="ORF6"/>
      <c r="ORG6"/>
      <c r="ORH6"/>
      <c r="ORI6"/>
      <c r="ORJ6"/>
      <c r="ORK6"/>
      <c r="ORL6"/>
      <c r="ORM6"/>
      <c r="ORN6"/>
      <c r="ORO6"/>
      <c r="ORP6"/>
      <c r="ORQ6"/>
      <c r="ORR6"/>
      <c r="ORS6"/>
      <c r="ORT6"/>
      <c r="ORU6"/>
      <c r="ORV6"/>
      <c r="ORW6"/>
      <c r="ORX6"/>
      <c r="ORY6"/>
      <c r="ORZ6"/>
      <c r="OSA6"/>
      <c r="OSB6"/>
      <c r="OSC6"/>
      <c r="OSD6"/>
      <c r="OSE6"/>
      <c r="OSF6"/>
      <c r="OSG6"/>
      <c r="OSH6"/>
      <c r="OSI6"/>
      <c r="OSJ6"/>
      <c r="OSK6"/>
      <c r="OSL6"/>
      <c r="OSM6"/>
      <c r="OSN6"/>
      <c r="OSO6"/>
      <c r="OSP6"/>
      <c r="OSQ6"/>
      <c r="OSR6"/>
      <c r="OSS6"/>
      <c r="OST6"/>
      <c r="OSU6"/>
      <c r="OSV6"/>
      <c r="OSW6"/>
      <c r="OSX6"/>
      <c r="OSY6"/>
      <c r="OSZ6"/>
      <c r="OTA6"/>
      <c r="OTB6"/>
      <c r="OTC6"/>
      <c r="OTD6"/>
      <c r="OTE6"/>
      <c r="OTF6"/>
      <c r="OTG6"/>
      <c r="OTH6"/>
      <c r="OTI6"/>
      <c r="OTJ6"/>
      <c r="OTK6"/>
      <c r="OTL6"/>
      <c r="OTM6"/>
      <c r="OTN6"/>
      <c r="OTO6"/>
      <c r="OTP6"/>
      <c r="OTQ6"/>
      <c r="OTR6"/>
      <c r="OTS6"/>
      <c r="OTT6"/>
      <c r="OTU6"/>
      <c r="OTV6"/>
      <c r="OTW6"/>
      <c r="OTX6"/>
      <c r="OTY6"/>
      <c r="OTZ6"/>
      <c r="OUA6"/>
      <c r="OUB6"/>
      <c r="OUC6"/>
      <c r="OUD6"/>
      <c r="OUE6"/>
      <c r="OUF6"/>
      <c r="OUG6"/>
      <c r="OUH6"/>
      <c r="OUI6"/>
      <c r="OUJ6"/>
      <c r="OUK6"/>
      <c r="OUL6"/>
      <c r="OUM6"/>
      <c r="OUN6"/>
      <c r="OUO6"/>
      <c r="OUP6"/>
      <c r="OUQ6"/>
      <c r="OUR6"/>
      <c r="OUS6"/>
      <c r="OUT6"/>
      <c r="OUU6"/>
      <c r="OUV6"/>
      <c r="OUW6"/>
      <c r="OUX6"/>
      <c r="OUY6"/>
      <c r="OUZ6"/>
      <c r="OVA6"/>
      <c r="OVB6"/>
      <c r="OVC6"/>
      <c r="OVD6"/>
      <c r="OVE6"/>
      <c r="OVF6"/>
      <c r="OVG6"/>
      <c r="OVH6"/>
      <c r="OVI6"/>
      <c r="OVJ6"/>
      <c r="OVK6"/>
      <c r="OVL6"/>
      <c r="OVM6"/>
      <c r="OVN6"/>
      <c r="OVO6"/>
      <c r="OVP6"/>
      <c r="OVQ6"/>
      <c r="OVR6"/>
      <c r="OVS6"/>
      <c r="OVT6"/>
      <c r="OVU6"/>
      <c r="OVV6"/>
      <c r="OVW6"/>
      <c r="OVX6"/>
      <c r="OVY6"/>
      <c r="OVZ6"/>
      <c r="OWA6"/>
      <c r="OWB6"/>
      <c r="OWC6"/>
      <c r="OWD6"/>
      <c r="OWE6"/>
      <c r="OWF6"/>
      <c r="OWG6"/>
      <c r="OWH6"/>
      <c r="OWI6"/>
      <c r="OWJ6"/>
      <c r="OWK6"/>
      <c r="OWL6"/>
      <c r="OWM6"/>
      <c r="OWN6"/>
      <c r="OWO6"/>
      <c r="OWP6"/>
      <c r="OWQ6"/>
      <c r="OWR6"/>
      <c r="OWS6"/>
      <c r="OWT6"/>
      <c r="OWU6"/>
      <c r="OWV6"/>
      <c r="OWW6"/>
      <c r="OWX6"/>
      <c r="OWY6"/>
      <c r="OWZ6"/>
      <c r="OXA6"/>
      <c r="OXB6"/>
      <c r="OXC6"/>
      <c r="OXD6"/>
      <c r="OXE6"/>
      <c r="OXF6"/>
      <c r="OXG6"/>
      <c r="OXH6"/>
      <c r="OXI6"/>
      <c r="OXJ6"/>
      <c r="OXK6"/>
      <c r="OXL6"/>
      <c r="OXM6"/>
      <c r="OXN6"/>
      <c r="OXO6"/>
      <c r="OXP6"/>
      <c r="OXQ6"/>
      <c r="OXR6"/>
      <c r="OXS6"/>
      <c r="OXT6"/>
      <c r="OXU6"/>
      <c r="OXV6"/>
      <c r="OXW6"/>
      <c r="OXX6"/>
      <c r="OXY6"/>
      <c r="OXZ6"/>
      <c r="OYA6"/>
      <c r="OYB6"/>
      <c r="OYC6"/>
      <c r="OYD6"/>
      <c r="OYE6"/>
      <c r="OYF6"/>
      <c r="OYG6"/>
      <c r="OYH6"/>
      <c r="OYI6"/>
      <c r="OYJ6"/>
      <c r="OYK6"/>
      <c r="OYL6"/>
      <c r="OYM6"/>
      <c r="OYN6"/>
      <c r="OYO6"/>
      <c r="OYP6"/>
      <c r="OYQ6"/>
      <c r="OYR6"/>
      <c r="OYS6"/>
      <c r="OYT6"/>
      <c r="OYU6"/>
      <c r="OYV6"/>
      <c r="OYW6"/>
      <c r="OYX6"/>
      <c r="OYY6"/>
      <c r="OYZ6"/>
      <c r="OZA6"/>
      <c r="OZB6"/>
      <c r="OZC6"/>
      <c r="OZD6"/>
      <c r="OZE6"/>
      <c r="OZF6"/>
      <c r="OZG6"/>
      <c r="OZH6"/>
      <c r="OZI6"/>
      <c r="OZJ6"/>
      <c r="OZK6"/>
      <c r="OZL6"/>
      <c r="OZM6"/>
      <c r="OZN6"/>
      <c r="OZO6"/>
      <c r="OZP6"/>
      <c r="OZQ6"/>
      <c r="OZR6"/>
      <c r="OZS6"/>
      <c r="OZT6"/>
      <c r="OZU6"/>
      <c r="OZV6"/>
      <c r="OZW6"/>
      <c r="OZX6"/>
      <c r="OZY6"/>
      <c r="OZZ6"/>
      <c r="PAA6"/>
      <c r="PAB6"/>
      <c r="PAC6"/>
      <c r="PAD6"/>
      <c r="PAE6"/>
      <c r="PAF6"/>
      <c r="PAG6"/>
      <c r="PAH6"/>
      <c r="PAI6"/>
      <c r="PAJ6"/>
      <c r="PAK6"/>
      <c r="PAL6"/>
      <c r="PAM6"/>
      <c r="PAN6"/>
      <c r="PAO6"/>
      <c r="PAP6"/>
      <c r="PAQ6"/>
      <c r="PAR6"/>
      <c r="PAS6"/>
      <c r="PAT6"/>
      <c r="PAU6"/>
      <c r="PAV6"/>
      <c r="PAW6"/>
      <c r="PAX6"/>
      <c r="PAY6"/>
      <c r="PAZ6"/>
      <c r="PBA6"/>
      <c r="PBB6"/>
      <c r="PBC6"/>
      <c r="PBD6"/>
      <c r="PBE6"/>
      <c r="PBF6"/>
      <c r="PBG6"/>
      <c r="PBH6"/>
      <c r="PBI6"/>
      <c r="PBJ6"/>
      <c r="PBK6"/>
      <c r="PBL6"/>
      <c r="PBM6"/>
      <c r="PBN6"/>
      <c r="PBO6"/>
      <c r="PBP6"/>
      <c r="PBQ6"/>
      <c r="PBR6"/>
      <c r="PBS6"/>
      <c r="PBT6"/>
      <c r="PBU6"/>
      <c r="PBV6"/>
      <c r="PBW6"/>
      <c r="PBX6"/>
      <c r="PBY6"/>
      <c r="PBZ6"/>
      <c r="PCA6"/>
      <c r="PCB6"/>
      <c r="PCC6"/>
      <c r="PCD6"/>
      <c r="PCE6"/>
      <c r="PCF6"/>
      <c r="PCG6"/>
      <c r="PCH6"/>
      <c r="PCI6"/>
      <c r="PCJ6"/>
      <c r="PCK6"/>
      <c r="PCL6"/>
      <c r="PCM6"/>
      <c r="PCN6"/>
      <c r="PCO6"/>
      <c r="PCP6"/>
      <c r="PCQ6"/>
      <c r="PCR6"/>
      <c r="PCS6"/>
      <c r="PCT6"/>
      <c r="PCU6"/>
      <c r="PCV6"/>
      <c r="PCW6"/>
      <c r="PCX6"/>
      <c r="PCY6"/>
      <c r="PCZ6"/>
      <c r="PDA6"/>
      <c r="PDB6"/>
      <c r="PDC6"/>
      <c r="PDD6"/>
      <c r="PDE6"/>
      <c r="PDF6"/>
      <c r="PDG6"/>
      <c r="PDH6"/>
      <c r="PDI6"/>
      <c r="PDJ6"/>
      <c r="PDK6"/>
      <c r="PDL6"/>
      <c r="PDM6"/>
      <c r="PDN6"/>
      <c r="PDO6"/>
      <c r="PDP6"/>
      <c r="PDQ6"/>
      <c r="PDR6"/>
      <c r="PDS6"/>
      <c r="PDT6"/>
      <c r="PDU6"/>
      <c r="PDV6"/>
      <c r="PDW6"/>
      <c r="PDX6"/>
      <c r="PDY6"/>
      <c r="PDZ6"/>
      <c r="PEA6"/>
      <c r="PEB6"/>
      <c r="PEC6"/>
      <c r="PED6"/>
      <c r="PEE6"/>
      <c r="PEF6"/>
      <c r="PEG6"/>
      <c r="PEH6"/>
      <c r="PEI6"/>
      <c r="PEJ6"/>
      <c r="PEK6"/>
      <c r="PEL6"/>
      <c r="PEM6"/>
      <c r="PEN6"/>
      <c r="PEO6"/>
      <c r="PEP6"/>
      <c r="PEQ6"/>
      <c r="PER6"/>
      <c r="PES6"/>
      <c r="PET6"/>
      <c r="PEU6"/>
      <c r="PEV6"/>
      <c r="PEW6"/>
      <c r="PEX6"/>
      <c r="PEY6"/>
      <c r="PEZ6"/>
      <c r="PFA6"/>
      <c r="PFB6"/>
      <c r="PFC6"/>
      <c r="PFD6"/>
      <c r="PFE6"/>
      <c r="PFF6"/>
      <c r="PFG6"/>
      <c r="PFH6"/>
      <c r="PFI6"/>
      <c r="PFJ6"/>
      <c r="PFK6"/>
      <c r="PFL6"/>
      <c r="PFM6"/>
      <c r="PFN6"/>
      <c r="PFO6"/>
      <c r="PFP6"/>
      <c r="PFQ6"/>
      <c r="PFR6"/>
      <c r="PFS6"/>
      <c r="PFT6"/>
      <c r="PFU6"/>
      <c r="PFV6"/>
      <c r="PFW6"/>
      <c r="PFX6"/>
      <c r="PFY6"/>
      <c r="PFZ6"/>
      <c r="PGA6"/>
      <c r="PGB6"/>
      <c r="PGC6"/>
      <c r="PGD6"/>
      <c r="PGE6"/>
      <c r="PGF6"/>
      <c r="PGG6"/>
      <c r="PGH6"/>
      <c r="PGI6"/>
      <c r="PGJ6"/>
      <c r="PGK6"/>
      <c r="PGL6"/>
      <c r="PGM6"/>
      <c r="PGN6"/>
      <c r="PGO6"/>
      <c r="PGP6"/>
      <c r="PGQ6"/>
      <c r="PGR6"/>
      <c r="PGS6"/>
      <c r="PGT6"/>
      <c r="PGU6"/>
      <c r="PGV6"/>
      <c r="PGW6"/>
      <c r="PGX6"/>
      <c r="PGY6"/>
      <c r="PGZ6"/>
      <c r="PHA6"/>
      <c r="PHB6"/>
      <c r="PHC6"/>
      <c r="PHD6"/>
      <c r="PHE6"/>
      <c r="PHF6"/>
      <c r="PHG6"/>
      <c r="PHH6"/>
      <c r="PHI6"/>
      <c r="PHJ6"/>
      <c r="PHK6"/>
      <c r="PHL6"/>
      <c r="PHM6"/>
      <c r="PHN6"/>
      <c r="PHO6"/>
      <c r="PHP6"/>
      <c r="PHQ6"/>
      <c r="PHR6"/>
      <c r="PHS6"/>
      <c r="PHT6"/>
      <c r="PHU6"/>
      <c r="PHV6"/>
      <c r="PHW6"/>
      <c r="PHX6"/>
      <c r="PHY6"/>
      <c r="PHZ6"/>
      <c r="PIA6"/>
      <c r="PIB6"/>
      <c r="PIC6"/>
      <c r="PID6"/>
      <c r="PIE6"/>
      <c r="PIF6"/>
      <c r="PIG6"/>
      <c r="PIH6"/>
      <c r="PII6"/>
      <c r="PIJ6"/>
      <c r="PIK6"/>
      <c r="PIL6"/>
      <c r="PIM6"/>
      <c r="PIN6"/>
      <c r="PIO6"/>
      <c r="PIP6"/>
      <c r="PIQ6"/>
      <c r="PIR6"/>
      <c r="PIS6"/>
      <c r="PIT6"/>
      <c r="PIU6"/>
      <c r="PIV6"/>
      <c r="PIW6"/>
      <c r="PIX6"/>
      <c r="PIY6"/>
      <c r="PIZ6"/>
      <c r="PJA6"/>
      <c r="PJB6"/>
      <c r="PJC6"/>
      <c r="PJD6"/>
      <c r="PJE6"/>
      <c r="PJF6"/>
      <c r="PJG6"/>
      <c r="PJH6"/>
      <c r="PJI6"/>
      <c r="PJJ6"/>
      <c r="PJK6"/>
      <c r="PJL6"/>
      <c r="PJM6"/>
      <c r="PJN6"/>
      <c r="PJO6"/>
      <c r="PJP6"/>
      <c r="PJQ6"/>
      <c r="PJR6"/>
      <c r="PJS6"/>
      <c r="PJT6"/>
      <c r="PJU6"/>
      <c r="PJV6"/>
      <c r="PJW6"/>
      <c r="PJX6"/>
      <c r="PJY6"/>
      <c r="PJZ6"/>
      <c r="PKA6"/>
      <c r="PKB6"/>
      <c r="PKC6"/>
      <c r="PKD6"/>
      <c r="PKE6"/>
      <c r="PKF6"/>
      <c r="PKG6"/>
      <c r="PKH6"/>
      <c r="PKI6"/>
      <c r="PKJ6"/>
      <c r="PKK6"/>
      <c r="PKL6"/>
      <c r="PKM6"/>
      <c r="PKN6"/>
      <c r="PKO6"/>
      <c r="PKP6"/>
      <c r="PKQ6"/>
      <c r="PKR6"/>
      <c r="PKS6"/>
      <c r="PKT6"/>
      <c r="PKU6"/>
      <c r="PKV6"/>
      <c r="PKW6"/>
      <c r="PKX6"/>
      <c r="PKY6"/>
      <c r="PKZ6"/>
      <c r="PLA6"/>
      <c r="PLB6"/>
      <c r="PLC6"/>
      <c r="PLD6"/>
      <c r="PLE6"/>
      <c r="PLF6"/>
      <c r="PLG6"/>
      <c r="PLH6"/>
      <c r="PLI6"/>
      <c r="PLJ6"/>
      <c r="PLK6"/>
      <c r="PLL6"/>
      <c r="PLM6"/>
      <c r="PLN6"/>
      <c r="PLO6"/>
      <c r="PLP6"/>
      <c r="PLQ6"/>
      <c r="PLR6"/>
      <c r="PLS6"/>
      <c r="PLT6"/>
      <c r="PLU6"/>
      <c r="PLV6"/>
      <c r="PLW6"/>
      <c r="PLX6"/>
      <c r="PLY6"/>
      <c r="PLZ6"/>
      <c r="PMA6"/>
      <c r="PMB6"/>
      <c r="PMC6"/>
      <c r="PMD6"/>
      <c r="PME6"/>
      <c r="PMF6"/>
      <c r="PMG6"/>
      <c r="PMH6"/>
      <c r="PMI6"/>
      <c r="PMJ6"/>
      <c r="PMK6"/>
      <c r="PML6"/>
      <c r="PMM6"/>
      <c r="PMN6"/>
      <c r="PMO6"/>
      <c r="PMP6"/>
      <c r="PMQ6"/>
      <c r="PMR6"/>
      <c r="PMS6"/>
      <c r="PMT6"/>
      <c r="PMU6"/>
      <c r="PMV6"/>
      <c r="PMW6"/>
      <c r="PMX6"/>
      <c r="PMY6"/>
      <c r="PMZ6"/>
      <c r="PNA6"/>
      <c r="PNB6"/>
      <c r="PNC6"/>
      <c r="PND6"/>
      <c r="PNE6"/>
      <c r="PNF6"/>
      <c r="PNG6"/>
      <c r="PNH6"/>
      <c r="PNI6"/>
      <c r="PNJ6"/>
      <c r="PNK6"/>
      <c r="PNL6"/>
      <c r="PNM6"/>
      <c r="PNN6"/>
      <c r="PNO6"/>
      <c r="PNP6"/>
      <c r="PNQ6"/>
      <c r="PNR6"/>
      <c r="PNS6"/>
      <c r="PNT6"/>
      <c r="PNU6"/>
      <c r="PNV6"/>
      <c r="PNW6"/>
      <c r="PNX6"/>
      <c r="PNY6"/>
      <c r="PNZ6"/>
      <c r="POA6"/>
      <c r="POB6"/>
      <c r="POC6"/>
      <c r="POD6"/>
      <c r="POE6"/>
      <c r="POF6"/>
      <c r="POG6"/>
      <c r="POH6"/>
      <c r="POI6"/>
      <c r="POJ6"/>
      <c r="POK6"/>
      <c r="POL6"/>
      <c r="POM6"/>
      <c r="PON6"/>
      <c r="POO6"/>
      <c r="POP6"/>
      <c r="POQ6"/>
      <c r="POR6"/>
      <c r="POS6"/>
      <c r="POT6"/>
      <c r="POU6"/>
      <c r="POV6"/>
      <c r="POW6"/>
      <c r="POX6"/>
      <c r="POY6"/>
      <c r="POZ6"/>
      <c r="PPA6"/>
      <c r="PPB6"/>
      <c r="PPC6"/>
      <c r="PPD6"/>
      <c r="PPE6"/>
      <c r="PPF6"/>
      <c r="PPG6"/>
      <c r="PPH6"/>
      <c r="PPI6"/>
      <c r="PPJ6"/>
      <c r="PPK6"/>
      <c r="PPL6"/>
      <c r="PPM6"/>
      <c r="PPN6"/>
      <c r="PPO6"/>
      <c r="PPP6"/>
      <c r="PPQ6"/>
      <c r="PPR6"/>
      <c r="PPS6"/>
      <c r="PPT6"/>
      <c r="PPU6"/>
      <c r="PPV6"/>
      <c r="PPW6"/>
      <c r="PPX6"/>
      <c r="PPY6"/>
      <c r="PPZ6"/>
      <c r="PQA6"/>
      <c r="PQB6"/>
      <c r="PQC6"/>
      <c r="PQD6"/>
      <c r="PQE6"/>
      <c r="PQF6"/>
      <c r="PQG6"/>
      <c r="PQH6"/>
      <c r="PQI6"/>
      <c r="PQJ6"/>
      <c r="PQK6"/>
      <c r="PQL6"/>
      <c r="PQM6"/>
      <c r="PQN6"/>
      <c r="PQO6"/>
      <c r="PQP6"/>
      <c r="PQQ6"/>
      <c r="PQR6"/>
      <c r="PQS6"/>
      <c r="PQT6"/>
      <c r="PQU6"/>
      <c r="PQV6"/>
      <c r="PQW6"/>
      <c r="PQX6"/>
      <c r="PQY6"/>
      <c r="PQZ6"/>
      <c r="PRA6"/>
      <c r="PRB6"/>
      <c r="PRC6"/>
      <c r="PRD6"/>
      <c r="PRE6"/>
      <c r="PRF6"/>
      <c r="PRG6"/>
      <c r="PRH6"/>
      <c r="PRI6"/>
      <c r="PRJ6"/>
      <c r="PRK6"/>
      <c r="PRL6"/>
      <c r="PRM6"/>
      <c r="PRN6"/>
      <c r="PRO6"/>
      <c r="PRP6"/>
      <c r="PRQ6"/>
      <c r="PRR6"/>
      <c r="PRS6"/>
      <c r="PRT6"/>
      <c r="PRU6"/>
      <c r="PRV6"/>
      <c r="PRW6"/>
      <c r="PRX6"/>
      <c r="PRY6"/>
      <c r="PRZ6"/>
      <c r="PSA6"/>
      <c r="PSB6"/>
      <c r="PSC6"/>
      <c r="PSD6"/>
      <c r="PSE6"/>
      <c r="PSF6"/>
      <c r="PSG6"/>
      <c r="PSH6"/>
      <c r="PSI6"/>
      <c r="PSJ6"/>
      <c r="PSK6"/>
      <c r="PSL6"/>
      <c r="PSM6"/>
      <c r="PSN6"/>
      <c r="PSO6"/>
      <c r="PSP6"/>
      <c r="PSQ6"/>
      <c r="PSR6"/>
      <c r="PSS6"/>
      <c r="PST6"/>
      <c r="PSU6"/>
      <c r="PSV6"/>
      <c r="PSW6"/>
      <c r="PSX6"/>
      <c r="PSY6"/>
      <c r="PSZ6"/>
      <c r="PTA6"/>
      <c r="PTB6"/>
      <c r="PTC6"/>
      <c r="PTD6"/>
      <c r="PTE6"/>
      <c r="PTF6"/>
      <c r="PTG6"/>
      <c r="PTH6"/>
      <c r="PTI6"/>
      <c r="PTJ6"/>
      <c r="PTK6"/>
      <c r="PTL6"/>
      <c r="PTM6"/>
      <c r="PTN6"/>
      <c r="PTO6"/>
      <c r="PTP6"/>
      <c r="PTQ6"/>
      <c r="PTR6"/>
      <c r="PTS6"/>
      <c r="PTT6"/>
      <c r="PTU6"/>
      <c r="PTV6"/>
      <c r="PTW6"/>
      <c r="PTX6"/>
      <c r="PTY6"/>
      <c r="PTZ6"/>
      <c r="PUA6"/>
      <c r="PUB6"/>
      <c r="PUC6"/>
      <c r="PUD6"/>
      <c r="PUE6"/>
      <c r="PUF6"/>
      <c r="PUG6"/>
      <c r="PUH6"/>
      <c r="PUI6"/>
      <c r="PUJ6"/>
      <c r="PUK6"/>
      <c r="PUL6"/>
      <c r="PUM6"/>
      <c r="PUN6"/>
      <c r="PUO6"/>
      <c r="PUP6"/>
      <c r="PUQ6"/>
      <c r="PUR6"/>
      <c r="PUS6"/>
      <c r="PUT6"/>
      <c r="PUU6"/>
      <c r="PUV6"/>
      <c r="PUW6"/>
      <c r="PUX6"/>
      <c r="PUY6"/>
      <c r="PUZ6"/>
      <c r="PVA6"/>
      <c r="PVB6"/>
      <c r="PVC6"/>
      <c r="PVD6"/>
      <c r="PVE6"/>
      <c r="PVF6"/>
      <c r="PVG6"/>
      <c r="PVH6"/>
      <c r="PVI6"/>
      <c r="PVJ6"/>
      <c r="PVK6"/>
      <c r="PVL6"/>
      <c r="PVM6"/>
      <c r="PVN6"/>
      <c r="PVO6"/>
      <c r="PVP6"/>
      <c r="PVQ6"/>
      <c r="PVR6"/>
      <c r="PVS6"/>
      <c r="PVT6"/>
      <c r="PVU6"/>
      <c r="PVV6"/>
      <c r="PVW6"/>
      <c r="PVX6"/>
      <c r="PVY6"/>
      <c r="PVZ6"/>
      <c r="PWA6"/>
      <c r="PWB6"/>
      <c r="PWC6"/>
      <c r="PWD6"/>
      <c r="PWE6"/>
      <c r="PWF6"/>
      <c r="PWG6"/>
      <c r="PWH6"/>
      <c r="PWI6"/>
      <c r="PWJ6"/>
      <c r="PWK6"/>
      <c r="PWL6"/>
      <c r="PWM6"/>
      <c r="PWN6"/>
      <c r="PWO6"/>
      <c r="PWP6"/>
      <c r="PWQ6"/>
      <c r="PWR6"/>
      <c r="PWS6"/>
      <c r="PWT6"/>
      <c r="PWU6"/>
      <c r="PWV6"/>
      <c r="PWW6"/>
      <c r="PWX6"/>
      <c r="PWY6"/>
      <c r="PWZ6"/>
      <c r="PXA6"/>
      <c r="PXB6"/>
      <c r="PXC6"/>
      <c r="PXD6"/>
      <c r="PXE6"/>
      <c r="PXF6"/>
      <c r="PXG6"/>
      <c r="PXH6"/>
      <c r="PXI6"/>
      <c r="PXJ6"/>
      <c r="PXK6"/>
      <c r="PXL6"/>
      <c r="PXM6"/>
      <c r="PXN6"/>
      <c r="PXO6"/>
      <c r="PXP6"/>
      <c r="PXQ6"/>
      <c r="PXR6"/>
      <c r="PXS6"/>
      <c r="PXT6"/>
      <c r="PXU6"/>
      <c r="PXV6"/>
      <c r="PXW6"/>
      <c r="PXX6"/>
      <c r="PXY6"/>
      <c r="PXZ6"/>
      <c r="PYA6"/>
      <c r="PYB6"/>
      <c r="PYC6"/>
      <c r="PYD6"/>
      <c r="PYE6"/>
      <c r="PYF6"/>
      <c r="PYG6"/>
      <c r="PYH6"/>
      <c r="PYI6"/>
      <c r="PYJ6"/>
      <c r="PYK6"/>
      <c r="PYL6"/>
      <c r="PYM6"/>
      <c r="PYN6"/>
      <c r="PYO6"/>
      <c r="PYP6"/>
      <c r="PYQ6"/>
      <c r="PYR6"/>
      <c r="PYS6"/>
      <c r="PYT6"/>
      <c r="PYU6"/>
      <c r="PYV6"/>
      <c r="PYW6"/>
      <c r="PYX6"/>
      <c r="PYY6"/>
      <c r="PYZ6"/>
      <c r="PZA6"/>
      <c r="PZB6"/>
      <c r="PZC6"/>
      <c r="PZD6"/>
      <c r="PZE6"/>
      <c r="PZF6"/>
      <c r="PZG6"/>
      <c r="PZH6"/>
      <c r="PZI6"/>
      <c r="PZJ6"/>
      <c r="PZK6"/>
      <c r="PZL6"/>
      <c r="PZM6"/>
      <c r="PZN6"/>
      <c r="PZO6"/>
      <c r="PZP6"/>
      <c r="PZQ6"/>
      <c r="PZR6"/>
      <c r="PZS6"/>
      <c r="PZT6"/>
      <c r="PZU6"/>
      <c r="PZV6"/>
      <c r="PZW6"/>
      <c r="PZX6"/>
      <c r="PZY6"/>
      <c r="PZZ6"/>
      <c r="QAA6"/>
      <c r="QAB6"/>
      <c r="QAC6"/>
      <c r="QAD6"/>
      <c r="QAE6"/>
      <c r="QAF6"/>
      <c r="QAG6"/>
      <c r="QAH6"/>
      <c r="QAI6"/>
      <c r="QAJ6"/>
      <c r="QAK6"/>
      <c r="QAL6"/>
      <c r="QAM6"/>
      <c r="QAN6"/>
      <c r="QAO6"/>
      <c r="QAP6"/>
      <c r="QAQ6"/>
      <c r="QAR6"/>
      <c r="QAS6"/>
      <c r="QAT6"/>
      <c r="QAU6"/>
      <c r="QAV6"/>
      <c r="QAW6"/>
      <c r="QAX6"/>
      <c r="QAY6"/>
      <c r="QAZ6"/>
      <c r="QBA6"/>
      <c r="QBB6"/>
      <c r="QBC6"/>
      <c r="QBD6"/>
      <c r="QBE6"/>
      <c r="QBF6"/>
      <c r="QBG6"/>
      <c r="QBH6"/>
      <c r="QBI6"/>
      <c r="QBJ6"/>
      <c r="QBK6"/>
      <c r="QBL6"/>
      <c r="QBM6"/>
      <c r="QBN6"/>
      <c r="QBO6"/>
      <c r="QBP6"/>
      <c r="QBQ6"/>
      <c r="QBR6"/>
      <c r="QBS6"/>
      <c r="QBT6"/>
      <c r="QBU6"/>
      <c r="QBV6"/>
      <c r="QBW6"/>
      <c r="QBX6"/>
      <c r="QBY6"/>
      <c r="QBZ6"/>
      <c r="QCA6"/>
      <c r="QCB6"/>
      <c r="QCC6"/>
      <c r="QCD6"/>
      <c r="QCE6"/>
      <c r="QCF6"/>
      <c r="QCG6"/>
      <c r="QCH6"/>
      <c r="QCI6"/>
      <c r="QCJ6"/>
      <c r="QCK6"/>
      <c r="QCL6"/>
      <c r="QCM6"/>
      <c r="QCN6"/>
      <c r="QCO6"/>
      <c r="QCP6"/>
      <c r="QCQ6"/>
      <c r="QCR6"/>
      <c r="QCS6"/>
      <c r="QCT6"/>
      <c r="QCU6"/>
      <c r="QCV6"/>
      <c r="QCW6"/>
      <c r="QCX6"/>
      <c r="QCY6"/>
      <c r="QCZ6"/>
      <c r="QDA6"/>
      <c r="QDB6"/>
      <c r="QDC6"/>
      <c r="QDD6"/>
      <c r="QDE6"/>
      <c r="QDF6"/>
      <c r="QDG6"/>
      <c r="QDH6"/>
      <c r="QDI6"/>
      <c r="QDJ6"/>
      <c r="QDK6"/>
      <c r="QDL6"/>
      <c r="QDM6"/>
      <c r="QDN6"/>
      <c r="QDO6"/>
      <c r="QDP6"/>
      <c r="QDQ6"/>
      <c r="QDR6"/>
      <c r="QDS6"/>
      <c r="QDT6"/>
      <c r="QDU6"/>
      <c r="QDV6"/>
      <c r="QDW6"/>
      <c r="QDX6"/>
      <c r="QDY6"/>
      <c r="QDZ6"/>
      <c r="QEA6"/>
      <c r="QEB6"/>
      <c r="QEC6"/>
      <c r="QED6"/>
      <c r="QEE6"/>
      <c r="QEF6"/>
      <c r="QEG6"/>
      <c r="QEH6"/>
      <c r="QEI6"/>
      <c r="QEJ6"/>
      <c r="QEK6"/>
      <c r="QEL6"/>
      <c r="QEM6"/>
      <c r="QEN6"/>
      <c r="QEO6"/>
      <c r="QEP6"/>
      <c r="QEQ6"/>
      <c r="QER6"/>
      <c r="QES6"/>
      <c r="QET6"/>
      <c r="QEU6"/>
      <c r="QEV6"/>
      <c r="QEW6"/>
      <c r="QEX6"/>
      <c r="QEY6"/>
      <c r="QEZ6"/>
      <c r="QFA6"/>
      <c r="QFB6"/>
      <c r="QFC6"/>
      <c r="QFD6"/>
      <c r="QFE6"/>
      <c r="QFF6"/>
      <c r="QFG6"/>
      <c r="QFH6"/>
      <c r="QFI6"/>
      <c r="QFJ6"/>
      <c r="QFK6"/>
      <c r="QFL6"/>
      <c r="QFM6"/>
      <c r="QFN6"/>
      <c r="QFO6"/>
      <c r="QFP6"/>
      <c r="QFQ6"/>
      <c r="QFR6"/>
      <c r="QFS6"/>
      <c r="QFT6"/>
      <c r="QFU6"/>
      <c r="QFV6"/>
      <c r="QFW6"/>
      <c r="QFX6"/>
      <c r="QFY6"/>
      <c r="QFZ6"/>
      <c r="QGA6"/>
      <c r="QGB6"/>
      <c r="QGC6"/>
      <c r="QGD6"/>
      <c r="QGE6"/>
      <c r="QGF6"/>
      <c r="QGG6"/>
      <c r="QGH6"/>
      <c r="QGI6"/>
      <c r="QGJ6"/>
      <c r="QGK6"/>
      <c r="QGL6"/>
      <c r="QGM6"/>
      <c r="QGN6"/>
      <c r="QGO6"/>
      <c r="QGP6"/>
      <c r="QGQ6"/>
      <c r="QGR6"/>
      <c r="QGS6"/>
      <c r="QGT6"/>
      <c r="QGU6"/>
      <c r="QGV6"/>
      <c r="QGW6"/>
      <c r="QGX6"/>
      <c r="QGY6"/>
      <c r="QGZ6"/>
      <c r="QHA6"/>
      <c r="QHB6"/>
      <c r="QHC6"/>
      <c r="QHD6"/>
      <c r="QHE6"/>
      <c r="QHF6"/>
      <c r="QHG6"/>
      <c r="QHH6"/>
      <c r="QHI6"/>
      <c r="QHJ6"/>
      <c r="QHK6"/>
      <c r="QHL6"/>
      <c r="QHM6"/>
      <c r="QHN6"/>
      <c r="QHO6"/>
      <c r="QHP6"/>
      <c r="QHQ6"/>
      <c r="QHR6"/>
      <c r="QHS6"/>
      <c r="QHT6"/>
      <c r="QHU6"/>
      <c r="QHV6"/>
      <c r="QHW6"/>
      <c r="QHX6"/>
      <c r="QHY6"/>
      <c r="QHZ6"/>
      <c r="QIA6"/>
      <c r="QIB6"/>
      <c r="QIC6"/>
      <c r="QID6"/>
      <c r="QIE6"/>
      <c r="QIF6"/>
      <c r="QIG6"/>
      <c r="QIH6"/>
      <c r="QII6"/>
      <c r="QIJ6"/>
      <c r="QIK6"/>
      <c r="QIL6"/>
      <c r="QIM6"/>
      <c r="QIN6"/>
      <c r="QIO6"/>
      <c r="QIP6"/>
      <c r="QIQ6"/>
      <c r="QIR6"/>
      <c r="QIS6"/>
      <c r="QIT6"/>
      <c r="QIU6"/>
      <c r="QIV6"/>
      <c r="QIW6"/>
      <c r="QIX6"/>
      <c r="QIY6"/>
      <c r="QIZ6"/>
      <c r="QJA6"/>
      <c r="QJB6"/>
      <c r="QJC6"/>
      <c r="QJD6"/>
      <c r="QJE6"/>
      <c r="QJF6"/>
      <c r="QJG6"/>
      <c r="QJH6"/>
      <c r="QJI6"/>
      <c r="QJJ6"/>
      <c r="QJK6"/>
      <c r="QJL6"/>
      <c r="QJM6"/>
      <c r="QJN6"/>
      <c r="QJO6"/>
      <c r="QJP6"/>
      <c r="QJQ6"/>
      <c r="QJR6"/>
      <c r="QJS6"/>
      <c r="QJT6"/>
      <c r="QJU6"/>
      <c r="QJV6"/>
      <c r="QJW6"/>
      <c r="QJX6"/>
      <c r="QJY6"/>
      <c r="QJZ6"/>
      <c r="QKA6"/>
      <c r="QKB6"/>
      <c r="QKC6"/>
      <c r="QKD6"/>
      <c r="QKE6"/>
      <c r="QKF6"/>
      <c r="QKG6"/>
      <c r="QKH6"/>
      <c r="QKI6"/>
      <c r="QKJ6"/>
      <c r="QKK6"/>
      <c r="QKL6"/>
      <c r="QKM6"/>
      <c r="QKN6"/>
      <c r="QKO6"/>
      <c r="QKP6"/>
      <c r="QKQ6"/>
      <c r="QKR6"/>
      <c r="QKS6"/>
      <c r="QKT6"/>
      <c r="QKU6"/>
      <c r="QKV6"/>
      <c r="QKW6"/>
      <c r="QKX6"/>
      <c r="QKY6"/>
      <c r="QKZ6"/>
      <c r="QLA6"/>
      <c r="QLB6"/>
      <c r="QLC6"/>
      <c r="QLD6"/>
      <c r="QLE6"/>
      <c r="QLF6"/>
      <c r="QLG6"/>
      <c r="QLH6"/>
      <c r="QLI6"/>
      <c r="QLJ6"/>
      <c r="QLK6"/>
      <c r="QLL6"/>
      <c r="QLM6"/>
      <c r="QLN6"/>
      <c r="QLO6"/>
      <c r="QLP6"/>
      <c r="QLQ6"/>
      <c r="QLR6"/>
      <c r="QLS6"/>
      <c r="QLT6"/>
      <c r="QLU6"/>
      <c r="QLV6"/>
      <c r="QLW6"/>
      <c r="QLX6"/>
      <c r="QLY6"/>
      <c r="QLZ6"/>
      <c r="QMA6"/>
      <c r="QMB6"/>
      <c r="QMC6"/>
      <c r="QMD6"/>
      <c r="QME6"/>
      <c r="QMF6"/>
      <c r="QMG6"/>
      <c r="QMH6"/>
      <c r="QMI6"/>
      <c r="QMJ6"/>
      <c r="QMK6"/>
      <c r="QML6"/>
      <c r="QMM6"/>
      <c r="QMN6"/>
      <c r="QMO6"/>
      <c r="QMP6"/>
      <c r="QMQ6"/>
      <c r="QMR6"/>
      <c r="QMS6"/>
      <c r="QMT6"/>
      <c r="QMU6"/>
      <c r="QMV6"/>
      <c r="QMW6"/>
      <c r="QMX6"/>
      <c r="QMY6"/>
      <c r="QMZ6"/>
      <c r="QNA6"/>
      <c r="QNB6"/>
      <c r="QNC6"/>
      <c r="QND6"/>
      <c r="QNE6"/>
      <c r="QNF6"/>
      <c r="QNG6"/>
      <c r="QNH6"/>
      <c r="QNI6"/>
      <c r="QNJ6"/>
      <c r="QNK6"/>
      <c r="QNL6"/>
      <c r="QNM6"/>
      <c r="QNN6"/>
      <c r="QNO6"/>
      <c r="QNP6"/>
      <c r="QNQ6"/>
      <c r="QNR6"/>
      <c r="QNS6"/>
      <c r="QNT6"/>
      <c r="QNU6"/>
      <c r="QNV6"/>
      <c r="QNW6"/>
      <c r="QNX6"/>
      <c r="QNY6"/>
      <c r="QNZ6"/>
      <c r="QOA6"/>
      <c r="QOB6"/>
      <c r="QOC6"/>
      <c r="QOD6"/>
      <c r="QOE6"/>
      <c r="QOF6"/>
      <c r="QOG6"/>
      <c r="QOH6"/>
      <c r="QOI6"/>
      <c r="QOJ6"/>
      <c r="QOK6"/>
      <c r="QOL6"/>
      <c r="QOM6"/>
      <c r="QON6"/>
      <c r="QOO6"/>
      <c r="QOP6"/>
      <c r="QOQ6"/>
      <c r="QOR6"/>
      <c r="QOS6"/>
      <c r="QOT6"/>
      <c r="QOU6"/>
      <c r="QOV6"/>
      <c r="QOW6"/>
      <c r="QOX6"/>
      <c r="QOY6"/>
      <c r="QOZ6"/>
      <c r="QPA6"/>
      <c r="QPB6"/>
      <c r="QPC6"/>
      <c r="QPD6"/>
      <c r="QPE6"/>
      <c r="QPF6"/>
      <c r="QPG6"/>
      <c r="QPH6"/>
      <c r="QPI6"/>
      <c r="QPJ6"/>
      <c r="QPK6"/>
      <c r="QPL6"/>
      <c r="QPM6"/>
      <c r="QPN6"/>
      <c r="QPO6"/>
      <c r="QPP6"/>
      <c r="QPQ6"/>
      <c r="QPR6"/>
      <c r="QPS6"/>
      <c r="QPT6"/>
      <c r="QPU6"/>
      <c r="QPV6"/>
      <c r="QPW6"/>
      <c r="QPX6"/>
      <c r="QPY6"/>
      <c r="QPZ6"/>
      <c r="QQA6"/>
      <c r="QQB6"/>
      <c r="QQC6"/>
      <c r="QQD6"/>
      <c r="QQE6"/>
      <c r="QQF6"/>
      <c r="QQG6"/>
      <c r="QQH6"/>
      <c r="QQI6"/>
      <c r="QQJ6"/>
      <c r="QQK6"/>
      <c r="QQL6"/>
      <c r="QQM6"/>
      <c r="QQN6"/>
      <c r="QQO6"/>
      <c r="QQP6"/>
      <c r="QQQ6"/>
      <c r="QQR6"/>
      <c r="QQS6"/>
      <c r="QQT6"/>
      <c r="QQU6"/>
      <c r="QQV6"/>
      <c r="QQW6"/>
      <c r="QQX6"/>
      <c r="QQY6"/>
      <c r="QQZ6"/>
      <c r="QRA6"/>
      <c r="QRB6"/>
      <c r="QRC6"/>
      <c r="QRD6"/>
      <c r="QRE6"/>
      <c r="QRF6"/>
      <c r="QRG6"/>
      <c r="QRH6"/>
      <c r="QRI6"/>
      <c r="QRJ6"/>
      <c r="QRK6"/>
      <c r="QRL6"/>
      <c r="QRM6"/>
      <c r="QRN6"/>
      <c r="QRO6"/>
      <c r="QRP6"/>
      <c r="QRQ6"/>
      <c r="QRR6"/>
      <c r="QRS6"/>
      <c r="QRT6"/>
      <c r="QRU6"/>
      <c r="QRV6"/>
      <c r="QRW6"/>
      <c r="QRX6"/>
      <c r="QRY6"/>
      <c r="QRZ6"/>
      <c r="QSA6"/>
      <c r="QSB6"/>
      <c r="QSC6"/>
      <c r="QSD6"/>
      <c r="QSE6"/>
      <c r="QSF6"/>
      <c r="QSG6"/>
      <c r="QSH6"/>
      <c r="QSI6"/>
      <c r="QSJ6"/>
      <c r="QSK6"/>
      <c r="QSL6"/>
      <c r="QSM6"/>
      <c r="QSN6"/>
      <c r="QSO6"/>
      <c r="QSP6"/>
      <c r="QSQ6"/>
      <c r="QSR6"/>
      <c r="QSS6"/>
      <c r="QST6"/>
      <c r="QSU6"/>
      <c r="QSV6"/>
      <c r="QSW6"/>
      <c r="QSX6"/>
      <c r="QSY6"/>
      <c r="QSZ6"/>
      <c r="QTA6"/>
      <c r="QTB6"/>
      <c r="QTC6"/>
      <c r="QTD6"/>
      <c r="QTE6"/>
      <c r="QTF6"/>
      <c r="QTG6"/>
      <c r="QTH6"/>
      <c r="QTI6"/>
      <c r="QTJ6"/>
      <c r="QTK6"/>
      <c r="QTL6"/>
      <c r="QTM6"/>
      <c r="QTN6"/>
      <c r="QTO6"/>
      <c r="QTP6"/>
      <c r="QTQ6"/>
      <c r="QTR6"/>
      <c r="QTS6"/>
      <c r="QTT6"/>
      <c r="QTU6"/>
      <c r="QTV6"/>
      <c r="QTW6"/>
      <c r="QTX6"/>
      <c r="QTY6"/>
      <c r="QTZ6"/>
      <c r="QUA6"/>
      <c r="QUB6"/>
      <c r="QUC6"/>
      <c r="QUD6"/>
      <c r="QUE6"/>
      <c r="QUF6"/>
      <c r="QUG6"/>
      <c r="QUH6"/>
      <c r="QUI6"/>
      <c r="QUJ6"/>
      <c r="QUK6"/>
      <c r="QUL6"/>
      <c r="QUM6"/>
      <c r="QUN6"/>
      <c r="QUO6"/>
      <c r="QUP6"/>
      <c r="QUQ6"/>
      <c r="QUR6"/>
      <c r="QUS6"/>
      <c r="QUT6"/>
      <c r="QUU6"/>
      <c r="QUV6"/>
      <c r="QUW6"/>
      <c r="QUX6"/>
      <c r="QUY6"/>
      <c r="QUZ6"/>
      <c r="QVA6"/>
      <c r="QVB6"/>
      <c r="QVC6"/>
      <c r="QVD6"/>
      <c r="QVE6"/>
      <c r="QVF6"/>
      <c r="QVG6"/>
      <c r="QVH6"/>
      <c r="QVI6"/>
      <c r="QVJ6"/>
      <c r="QVK6"/>
      <c r="QVL6"/>
      <c r="QVM6"/>
      <c r="QVN6"/>
      <c r="QVO6"/>
      <c r="QVP6"/>
      <c r="QVQ6"/>
      <c r="QVR6"/>
      <c r="QVS6"/>
      <c r="QVT6"/>
      <c r="QVU6"/>
      <c r="QVV6"/>
      <c r="QVW6"/>
      <c r="QVX6"/>
      <c r="QVY6"/>
      <c r="QVZ6"/>
      <c r="QWA6"/>
      <c r="QWB6"/>
      <c r="QWC6"/>
      <c r="QWD6"/>
      <c r="QWE6"/>
      <c r="QWF6"/>
      <c r="QWG6"/>
      <c r="QWH6"/>
      <c r="QWI6"/>
      <c r="QWJ6"/>
      <c r="QWK6"/>
      <c r="QWL6"/>
      <c r="QWM6"/>
      <c r="QWN6"/>
      <c r="QWO6"/>
      <c r="QWP6"/>
      <c r="QWQ6"/>
      <c r="QWR6"/>
      <c r="QWS6"/>
      <c r="QWT6"/>
      <c r="QWU6"/>
      <c r="QWV6"/>
      <c r="QWW6"/>
      <c r="QWX6"/>
      <c r="QWY6"/>
      <c r="QWZ6"/>
      <c r="QXA6"/>
      <c r="QXB6"/>
      <c r="QXC6"/>
      <c r="QXD6"/>
      <c r="QXE6"/>
      <c r="QXF6"/>
      <c r="QXG6"/>
      <c r="QXH6"/>
      <c r="QXI6"/>
      <c r="QXJ6"/>
      <c r="QXK6"/>
      <c r="QXL6"/>
      <c r="QXM6"/>
      <c r="QXN6"/>
      <c r="QXO6"/>
      <c r="QXP6"/>
      <c r="QXQ6"/>
      <c r="QXR6"/>
      <c r="QXS6"/>
      <c r="QXT6"/>
      <c r="QXU6"/>
      <c r="QXV6"/>
      <c r="QXW6"/>
      <c r="QXX6"/>
      <c r="QXY6"/>
      <c r="QXZ6"/>
      <c r="QYA6"/>
      <c r="QYB6"/>
      <c r="QYC6"/>
      <c r="QYD6"/>
      <c r="QYE6"/>
      <c r="QYF6"/>
      <c r="QYG6"/>
      <c r="QYH6"/>
      <c r="QYI6"/>
      <c r="QYJ6"/>
      <c r="QYK6"/>
      <c r="QYL6"/>
      <c r="QYM6"/>
      <c r="QYN6"/>
      <c r="QYO6"/>
      <c r="QYP6"/>
      <c r="QYQ6"/>
      <c r="QYR6"/>
      <c r="QYS6"/>
      <c r="QYT6"/>
      <c r="QYU6"/>
      <c r="QYV6"/>
      <c r="QYW6"/>
      <c r="QYX6"/>
      <c r="QYY6"/>
      <c r="QYZ6"/>
      <c r="QZA6"/>
      <c r="QZB6"/>
      <c r="QZC6"/>
      <c r="QZD6"/>
      <c r="QZE6"/>
      <c r="QZF6"/>
      <c r="QZG6"/>
      <c r="QZH6"/>
      <c r="QZI6"/>
      <c r="QZJ6"/>
      <c r="QZK6"/>
      <c r="QZL6"/>
      <c r="QZM6"/>
      <c r="QZN6"/>
      <c r="QZO6"/>
      <c r="QZP6"/>
      <c r="QZQ6"/>
      <c r="QZR6"/>
      <c r="QZS6"/>
      <c r="QZT6"/>
      <c r="QZU6"/>
      <c r="QZV6"/>
      <c r="QZW6"/>
      <c r="QZX6"/>
      <c r="QZY6"/>
      <c r="QZZ6"/>
      <c r="RAA6"/>
      <c r="RAB6"/>
      <c r="RAC6"/>
      <c r="RAD6"/>
      <c r="RAE6"/>
      <c r="RAF6"/>
      <c r="RAG6"/>
      <c r="RAH6"/>
      <c r="RAI6"/>
      <c r="RAJ6"/>
      <c r="RAK6"/>
      <c r="RAL6"/>
      <c r="RAM6"/>
      <c r="RAN6"/>
      <c r="RAO6"/>
      <c r="RAP6"/>
      <c r="RAQ6"/>
      <c r="RAR6"/>
      <c r="RAS6"/>
      <c r="RAT6"/>
      <c r="RAU6"/>
      <c r="RAV6"/>
      <c r="RAW6"/>
      <c r="RAX6"/>
      <c r="RAY6"/>
      <c r="RAZ6"/>
      <c r="RBA6"/>
      <c r="RBB6"/>
      <c r="RBC6"/>
      <c r="RBD6"/>
      <c r="RBE6"/>
      <c r="RBF6"/>
      <c r="RBG6"/>
      <c r="RBH6"/>
      <c r="RBI6"/>
      <c r="RBJ6"/>
      <c r="RBK6"/>
      <c r="RBL6"/>
      <c r="RBM6"/>
      <c r="RBN6"/>
      <c r="RBO6"/>
      <c r="RBP6"/>
      <c r="RBQ6"/>
      <c r="RBR6"/>
      <c r="RBS6"/>
      <c r="RBT6"/>
      <c r="RBU6"/>
      <c r="RBV6"/>
      <c r="RBW6"/>
      <c r="RBX6"/>
      <c r="RBY6"/>
      <c r="RBZ6"/>
      <c r="RCA6"/>
      <c r="RCB6"/>
      <c r="RCC6"/>
      <c r="RCD6"/>
      <c r="RCE6"/>
      <c r="RCF6"/>
      <c r="RCG6"/>
      <c r="RCH6"/>
      <c r="RCI6"/>
      <c r="RCJ6"/>
      <c r="RCK6"/>
      <c r="RCL6"/>
      <c r="RCM6"/>
      <c r="RCN6"/>
      <c r="RCO6"/>
      <c r="RCP6"/>
      <c r="RCQ6"/>
      <c r="RCR6"/>
      <c r="RCS6"/>
      <c r="RCT6"/>
      <c r="RCU6"/>
      <c r="RCV6"/>
      <c r="RCW6"/>
      <c r="RCX6"/>
      <c r="RCY6"/>
      <c r="RCZ6"/>
      <c r="RDA6"/>
      <c r="RDB6"/>
      <c r="RDC6"/>
      <c r="RDD6"/>
      <c r="RDE6"/>
      <c r="RDF6"/>
      <c r="RDG6"/>
      <c r="RDH6"/>
      <c r="RDI6"/>
      <c r="RDJ6"/>
      <c r="RDK6"/>
      <c r="RDL6"/>
      <c r="RDM6"/>
      <c r="RDN6"/>
      <c r="RDO6"/>
      <c r="RDP6"/>
      <c r="RDQ6"/>
      <c r="RDR6"/>
      <c r="RDS6"/>
      <c r="RDT6"/>
      <c r="RDU6"/>
      <c r="RDV6"/>
      <c r="RDW6"/>
      <c r="RDX6"/>
      <c r="RDY6"/>
      <c r="RDZ6"/>
      <c r="REA6"/>
      <c r="REB6"/>
      <c r="REC6"/>
      <c r="RED6"/>
      <c r="REE6"/>
      <c r="REF6"/>
      <c r="REG6"/>
      <c r="REH6"/>
      <c r="REI6"/>
      <c r="REJ6"/>
      <c r="REK6"/>
      <c r="REL6"/>
      <c r="REM6"/>
      <c r="REN6"/>
      <c r="REO6"/>
      <c r="REP6"/>
      <c r="REQ6"/>
      <c r="RER6"/>
      <c r="RES6"/>
      <c r="RET6"/>
      <c r="REU6"/>
      <c r="REV6"/>
      <c r="REW6"/>
      <c r="REX6"/>
      <c r="REY6"/>
      <c r="REZ6"/>
      <c r="RFA6"/>
      <c r="RFB6"/>
      <c r="RFC6"/>
      <c r="RFD6"/>
      <c r="RFE6"/>
      <c r="RFF6"/>
      <c r="RFG6"/>
      <c r="RFH6"/>
      <c r="RFI6"/>
      <c r="RFJ6"/>
      <c r="RFK6"/>
      <c r="RFL6"/>
      <c r="RFM6"/>
      <c r="RFN6"/>
      <c r="RFO6"/>
      <c r="RFP6"/>
      <c r="RFQ6"/>
      <c r="RFR6"/>
      <c r="RFS6"/>
      <c r="RFT6"/>
      <c r="RFU6"/>
      <c r="RFV6"/>
      <c r="RFW6"/>
      <c r="RFX6"/>
      <c r="RFY6"/>
      <c r="RFZ6"/>
      <c r="RGA6"/>
      <c r="RGB6"/>
      <c r="RGC6"/>
      <c r="RGD6"/>
      <c r="RGE6"/>
      <c r="RGF6"/>
      <c r="RGG6"/>
      <c r="RGH6"/>
      <c r="RGI6"/>
      <c r="RGJ6"/>
      <c r="RGK6"/>
      <c r="RGL6"/>
      <c r="RGM6"/>
      <c r="RGN6"/>
      <c r="RGO6"/>
      <c r="RGP6"/>
      <c r="RGQ6"/>
      <c r="RGR6"/>
      <c r="RGS6"/>
      <c r="RGT6"/>
      <c r="RGU6"/>
      <c r="RGV6"/>
      <c r="RGW6"/>
      <c r="RGX6"/>
      <c r="RGY6"/>
      <c r="RGZ6"/>
      <c r="RHA6"/>
      <c r="RHB6"/>
      <c r="RHC6"/>
      <c r="RHD6"/>
      <c r="RHE6"/>
      <c r="RHF6"/>
      <c r="RHG6"/>
      <c r="RHH6"/>
      <c r="RHI6"/>
      <c r="RHJ6"/>
      <c r="RHK6"/>
      <c r="RHL6"/>
      <c r="RHM6"/>
      <c r="RHN6"/>
      <c r="RHO6"/>
      <c r="RHP6"/>
      <c r="RHQ6"/>
      <c r="RHR6"/>
      <c r="RHS6"/>
      <c r="RHT6"/>
      <c r="RHU6"/>
      <c r="RHV6"/>
      <c r="RHW6"/>
      <c r="RHX6"/>
      <c r="RHY6"/>
      <c r="RHZ6"/>
      <c r="RIA6"/>
      <c r="RIB6"/>
      <c r="RIC6"/>
      <c r="RID6"/>
      <c r="RIE6"/>
      <c r="RIF6"/>
      <c r="RIG6"/>
      <c r="RIH6"/>
      <c r="RII6"/>
      <c r="RIJ6"/>
      <c r="RIK6"/>
      <c r="RIL6"/>
      <c r="RIM6"/>
      <c r="RIN6"/>
      <c r="RIO6"/>
      <c r="RIP6"/>
      <c r="RIQ6"/>
      <c r="RIR6"/>
      <c r="RIS6"/>
      <c r="RIT6"/>
      <c r="RIU6"/>
      <c r="RIV6"/>
      <c r="RIW6"/>
      <c r="RIX6"/>
      <c r="RIY6"/>
      <c r="RIZ6"/>
      <c r="RJA6"/>
      <c r="RJB6"/>
      <c r="RJC6"/>
      <c r="RJD6"/>
      <c r="RJE6"/>
      <c r="RJF6"/>
      <c r="RJG6"/>
      <c r="RJH6"/>
      <c r="RJI6"/>
      <c r="RJJ6"/>
      <c r="RJK6"/>
      <c r="RJL6"/>
      <c r="RJM6"/>
      <c r="RJN6"/>
      <c r="RJO6"/>
      <c r="RJP6"/>
      <c r="RJQ6"/>
      <c r="RJR6"/>
      <c r="RJS6"/>
      <c r="RJT6"/>
      <c r="RJU6"/>
      <c r="RJV6"/>
      <c r="RJW6"/>
      <c r="RJX6"/>
      <c r="RJY6"/>
      <c r="RJZ6"/>
      <c r="RKA6"/>
      <c r="RKB6"/>
      <c r="RKC6"/>
      <c r="RKD6"/>
      <c r="RKE6"/>
      <c r="RKF6"/>
      <c r="RKG6"/>
      <c r="RKH6"/>
      <c r="RKI6"/>
      <c r="RKJ6"/>
      <c r="RKK6"/>
      <c r="RKL6"/>
      <c r="RKM6"/>
      <c r="RKN6"/>
      <c r="RKO6"/>
      <c r="RKP6"/>
      <c r="RKQ6"/>
      <c r="RKR6"/>
      <c r="RKS6"/>
      <c r="RKT6"/>
      <c r="RKU6"/>
      <c r="RKV6"/>
      <c r="RKW6"/>
      <c r="RKX6"/>
      <c r="RKY6"/>
      <c r="RKZ6"/>
      <c r="RLA6"/>
      <c r="RLB6"/>
      <c r="RLC6"/>
      <c r="RLD6"/>
      <c r="RLE6"/>
      <c r="RLF6"/>
      <c r="RLG6"/>
      <c r="RLH6"/>
      <c r="RLI6"/>
      <c r="RLJ6"/>
      <c r="RLK6"/>
      <c r="RLL6"/>
      <c r="RLM6"/>
      <c r="RLN6"/>
      <c r="RLO6"/>
      <c r="RLP6"/>
      <c r="RLQ6"/>
      <c r="RLR6"/>
      <c r="RLS6"/>
      <c r="RLT6"/>
      <c r="RLU6"/>
      <c r="RLV6"/>
      <c r="RLW6"/>
      <c r="RLX6"/>
      <c r="RLY6"/>
      <c r="RLZ6"/>
      <c r="RMA6"/>
      <c r="RMB6"/>
      <c r="RMC6"/>
      <c r="RMD6"/>
      <c r="RME6"/>
      <c r="RMF6"/>
      <c r="RMG6"/>
      <c r="RMH6"/>
      <c r="RMI6"/>
      <c r="RMJ6"/>
      <c r="RMK6"/>
      <c r="RML6"/>
      <c r="RMM6"/>
      <c r="RMN6"/>
      <c r="RMO6"/>
      <c r="RMP6"/>
      <c r="RMQ6"/>
      <c r="RMR6"/>
      <c r="RMS6"/>
      <c r="RMT6"/>
      <c r="RMU6"/>
      <c r="RMV6"/>
      <c r="RMW6"/>
      <c r="RMX6"/>
      <c r="RMY6"/>
      <c r="RMZ6"/>
      <c r="RNA6"/>
      <c r="RNB6"/>
      <c r="RNC6"/>
      <c r="RND6"/>
      <c r="RNE6"/>
      <c r="RNF6"/>
      <c r="RNG6"/>
      <c r="RNH6"/>
      <c r="RNI6"/>
      <c r="RNJ6"/>
      <c r="RNK6"/>
      <c r="RNL6"/>
      <c r="RNM6"/>
      <c r="RNN6"/>
      <c r="RNO6"/>
      <c r="RNP6"/>
      <c r="RNQ6"/>
      <c r="RNR6"/>
      <c r="RNS6"/>
      <c r="RNT6"/>
      <c r="RNU6"/>
      <c r="RNV6"/>
      <c r="RNW6"/>
      <c r="RNX6"/>
      <c r="RNY6"/>
      <c r="RNZ6"/>
      <c r="ROA6"/>
      <c r="ROB6"/>
      <c r="ROC6"/>
      <c r="ROD6"/>
      <c r="ROE6"/>
      <c r="ROF6"/>
      <c r="ROG6"/>
      <c r="ROH6"/>
      <c r="ROI6"/>
      <c r="ROJ6"/>
      <c r="ROK6"/>
      <c r="ROL6"/>
      <c r="ROM6"/>
      <c r="RON6"/>
      <c r="ROO6"/>
      <c r="ROP6"/>
      <c r="ROQ6"/>
      <c r="ROR6"/>
      <c r="ROS6"/>
      <c r="ROT6"/>
      <c r="ROU6"/>
      <c r="ROV6"/>
      <c r="ROW6"/>
      <c r="ROX6"/>
      <c r="ROY6"/>
      <c r="ROZ6"/>
      <c r="RPA6"/>
      <c r="RPB6"/>
      <c r="RPC6"/>
      <c r="RPD6"/>
      <c r="RPE6"/>
      <c r="RPF6"/>
      <c r="RPG6"/>
      <c r="RPH6"/>
      <c r="RPI6"/>
      <c r="RPJ6"/>
      <c r="RPK6"/>
      <c r="RPL6"/>
      <c r="RPM6"/>
      <c r="RPN6"/>
      <c r="RPO6"/>
      <c r="RPP6"/>
      <c r="RPQ6"/>
      <c r="RPR6"/>
      <c r="RPS6"/>
      <c r="RPT6"/>
      <c r="RPU6"/>
      <c r="RPV6"/>
      <c r="RPW6"/>
      <c r="RPX6"/>
      <c r="RPY6"/>
      <c r="RPZ6"/>
      <c r="RQA6"/>
      <c r="RQB6"/>
      <c r="RQC6"/>
      <c r="RQD6"/>
      <c r="RQE6"/>
      <c r="RQF6"/>
      <c r="RQG6"/>
      <c r="RQH6"/>
      <c r="RQI6"/>
      <c r="RQJ6"/>
      <c r="RQK6"/>
      <c r="RQL6"/>
      <c r="RQM6"/>
      <c r="RQN6"/>
      <c r="RQO6"/>
      <c r="RQP6"/>
      <c r="RQQ6"/>
      <c r="RQR6"/>
      <c r="RQS6"/>
      <c r="RQT6"/>
      <c r="RQU6"/>
      <c r="RQV6"/>
      <c r="RQW6"/>
      <c r="RQX6"/>
      <c r="RQY6"/>
      <c r="RQZ6"/>
      <c r="RRA6"/>
      <c r="RRB6"/>
      <c r="RRC6"/>
      <c r="RRD6"/>
      <c r="RRE6"/>
      <c r="RRF6"/>
      <c r="RRG6"/>
      <c r="RRH6"/>
      <c r="RRI6"/>
      <c r="RRJ6"/>
      <c r="RRK6"/>
      <c r="RRL6"/>
      <c r="RRM6"/>
      <c r="RRN6"/>
      <c r="RRO6"/>
      <c r="RRP6"/>
      <c r="RRQ6"/>
      <c r="RRR6"/>
      <c r="RRS6"/>
      <c r="RRT6"/>
      <c r="RRU6"/>
      <c r="RRV6"/>
      <c r="RRW6"/>
      <c r="RRX6"/>
      <c r="RRY6"/>
      <c r="RRZ6"/>
      <c r="RSA6"/>
      <c r="RSB6"/>
      <c r="RSC6"/>
      <c r="RSD6"/>
      <c r="RSE6"/>
      <c r="RSF6"/>
      <c r="RSG6"/>
      <c r="RSH6"/>
      <c r="RSI6"/>
      <c r="RSJ6"/>
      <c r="RSK6"/>
      <c r="RSL6"/>
      <c r="RSM6"/>
      <c r="RSN6"/>
      <c r="RSO6"/>
      <c r="RSP6"/>
      <c r="RSQ6"/>
      <c r="RSR6"/>
      <c r="RSS6"/>
      <c r="RST6"/>
      <c r="RSU6"/>
      <c r="RSV6"/>
      <c r="RSW6"/>
      <c r="RSX6"/>
      <c r="RSY6"/>
      <c r="RSZ6"/>
      <c r="RTA6"/>
      <c r="RTB6"/>
      <c r="RTC6"/>
      <c r="RTD6"/>
      <c r="RTE6"/>
      <c r="RTF6"/>
      <c r="RTG6"/>
      <c r="RTH6"/>
      <c r="RTI6"/>
      <c r="RTJ6"/>
      <c r="RTK6"/>
      <c r="RTL6"/>
      <c r="RTM6"/>
      <c r="RTN6"/>
      <c r="RTO6"/>
      <c r="RTP6"/>
      <c r="RTQ6"/>
      <c r="RTR6"/>
      <c r="RTS6"/>
      <c r="RTT6"/>
      <c r="RTU6"/>
      <c r="RTV6"/>
      <c r="RTW6"/>
      <c r="RTX6"/>
      <c r="RTY6"/>
      <c r="RTZ6"/>
      <c r="RUA6"/>
      <c r="RUB6"/>
      <c r="RUC6"/>
      <c r="RUD6"/>
      <c r="RUE6"/>
      <c r="RUF6"/>
      <c r="RUG6"/>
      <c r="RUH6"/>
      <c r="RUI6"/>
      <c r="RUJ6"/>
      <c r="RUK6"/>
      <c r="RUL6"/>
      <c r="RUM6"/>
      <c r="RUN6"/>
      <c r="RUO6"/>
      <c r="RUP6"/>
      <c r="RUQ6"/>
      <c r="RUR6"/>
      <c r="RUS6"/>
      <c r="RUT6"/>
      <c r="RUU6"/>
      <c r="RUV6"/>
      <c r="RUW6"/>
      <c r="RUX6"/>
      <c r="RUY6"/>
      <c r="RUZ6"/>
      <c r="RVA6"/>
      <c r="RVB6"/>
      <c r="RVC6"/>
      <c r="RVD6"/>
      <c r="RVE6"/>
      <c r="RVF6"/>
      <c r="RVG6"/>
      <c r="RVH6"/>
      <c r="RVI6"/>
      <c r="RVJ6"/>
      <c r="RVK6"/>
      <c r="RVL6"/>
      <c r="RVM6"/>
      <c r="RVN6"/>
      <c r="RVO6"/>
      <c r="RVP6"/>
      <c r="RVQ6"/>
      <c r="RVR6"/>
      <c r="RVS6"/>
      <c r="RVT6"/>
      <c r="RVU6"/>
      <c r="RVV6"/>
      <c r="RVW6"/>
      <c r="RVX6"/>
      <c r="RVY6"/>
      <c r="RVZ6"/>
      <c r="RWA6"/>
      <c r="RWB6"/>
      <c r="RWC6"/>
      <c r="RWD6"/>
      <c r="RWE6"/>
      <c r="RWF6"/>
      <c r="RWG6"/>
      <c r="RWH6"/>
      <c r="RWI6"/>
      <c r="RWJ6"/>
      <c r="RWK6"/>
      <c r="RWL6"/>
      <c r="RWM6"/>
      <c r="RWN6"/>
      <c r="RWO6"/>
      <c r="RWP6"/>
      <c r="RWQ6"/>
      <c r="RWR6"/>
      <c r="RWS6"/>
      <c r="RWT6"/>
      <c r="RWU6"/>
      <c r="RWV6"/>
      <c r="RWW6"/>
      <c r="RWX6"/>
      <c r="RWY6"/>
      <c r="RWZ6"/>
      <c r="RXA6"/>
      <c r="RXB6"/>
      <c r="RXC6"/>
      <c r="RXD6"/>
      <c r="RXE6"/>
      <c r="RXF6"/>
      <c r="RXG6"/>
      <c r="RXH6"/>
      <c r="RXI6"/>
      <c r="RXJ6"/>
      <c r="RXK6"/>
      <c r="RXL6"/>
      <c r="RXM6"/>
      <c r="RXN6"/>
      <c r="RXO6"/>
      <c r="RXP6"/>
      <c r="RXQ6"/>
      <c r="RXR6"/>
      <c r="RXS6"/>
      <c r="RXT6"/>
      <c r="RXU6"/>
      <c r="RXV6"/>
      <c r="RXW6"/>
      <c r="RXX6"/>
      <c r="RXY6"/>
      <c r="RXZ6"/>
      <c r="RYA6"/>
      <c r="RYB6"/>
      <c r="RYC6"/>
      <c r="RYD6"/>
      <c r="RYE6"/>
      <c r="RYF6"/>
      <c r="RYG6"/>
      <c r="RYH6"/>
      <c r="RYI6"/>
      <c r="RYJ6"/>
      <c r="RYK6"/>
      <c r="RYL6"/>
      <c r="RYM6"/>
      <c r="RYN6"/>
      <c r="RYO6"/>
      <c r="RYP6"/>
      <c r="RYQ6"/>
      <c r="RYR6"/>
      <c r="RYS6"/>
      <c r="RYT6"/>
      <c r="RYU6"/>
      <c r="RYV6"/>
      <c r="RYW6"/>
      <c r="RYX6"/>
      <c r="RYY6"/>
      <c r="RYZ6"/>
      <c r="RZA6"/>
      <c r="RZB6"/>
      <c r="RZC6"/>
      <c r="RZD6"/>
      <c r="RZE6"/>
      <c r="RZF6"/>
      <c r="RZG6"/>
      <c r="RZH6"/>
      <c r="RZI6"/>
      <c r="RZJ6"/>
      <c r="RZK6"/>
      <c r="RZL6"/>
      <c r="RZM6"/>
      <c r="RZN6"/>
      <c r="RZO6"/>
      <c r="RZP6"/>
      <c r="RZQ6"/>
      <c r="RZR6"/>
      <c r="RZS6"/>
      <c r="RZT6"/>
      <c r="RZU6"/>
      <c r="RZV6"/>
      <c r="RZW6"/>
      <c r="RZX6"/>
      <c r="RZY6"/>
      <c r="RZZ6"/>
      <c r="SAA6"/>
      <c r="SAB6"/>
      <c r="SAC6"/>
      <c r="SAD6"/>
      <c r="SAE6"/>
      <c r="SAF6"/>
      <c r="SAG6"/>
      <c r="SAH6"/>
      <c r="SAI6"/>
      <c r="SAJ6"/>
      <c r="SAK6"/>
      <c r="SAL6"/>
      <c r="SAM6"/>
      <c r="SAN6"/>
      <c r="SAO6"/>
      <c r="SAP6"/>
      <c r="SAQ6"/>
      <c r="SAR6"/>
      <c r="SAS6"/>
      <c r="SAT6"/>
      <c r="SAU6"/>
      <c r="SAV6"/>
      <c r="SAW6"/>
      <c r="SAX6"/>
      <c r="SAY6"/>
      <c r="SAZ6"/>
      <c r="SBA6"/>
      <c r="SBB6"/>
      <c r="SBC6"/>
      <c r="SBD6"/>
      <c r="SBE6"/>
      <c r="SBF6"/>
      <c r="SBG6"/>
      <c r="SBH6"/>
      <c r="SBI6"/>
      <c r="SBJ6"/>
      <c r="SBK6"/>
      <c r="SBL6"/>
      <c r="SBM6"/>
      <c r="SBN6"/>
      <c r="SBO6"/>
      <c r="SBP6"/>
      <c r="SBQ6"/>
      <c r="SBR6"/>
      <c r="SBS6"/>
      <c r="SBT6"/>
      <c r="SBU6"/>
      <c r="SBV6"/>
      <c r="SBW6"/>
      <c r="SBX6"/>
      <c r="SBY6"/>
      <c r="SBZ6"/>
      <c r="SCA6"/>
      <c r="SCB6"/>
      <c r="SCC6"/>
      <c r="SCD6"/>
      <c r="SCE6"/>
      <c r="SCF6"/>
      <c r="SCG6"/>
      <c r="SCH6"/>
      <c r="SCI6"/>
      <c r="SCJ6"/>
      <c r="SCK6"/>
      <c r="SCL6"/>
      <c r="SCM6"/>
      <c r="SCN6"/>
      <c r="SCO6"/>
      <c r="SCP6"/>
      <c r="SCQ6"/>
      <c r="SCR6"/>
      <c r="SCS6"/>
      <c r="SCT6"/>
      <c r="SCU6"/>
      <c r="SCV6"/>
      <c r="SCW6"/>
      <c r="SCX6"/>
      <c r="SCY6"/>
      <c r="SCZ6"/>
      <c r="SDA6"/>
      <c r="SDB6"/>
      <c r="SDC6"/>
      <c r="SDD6"/>
      <c r="SDE6"/>
      <c r="SDF6"/>
      <c r="SDG6"/>
      <c r="SDH6"/>
      <c r="SDI6"/>
      <c r="SDJ6"/>
      <c r="SDK6"/>
      <c r="SDL6"/>
      <c r="SDM6"/>
      <c r="SDN6"/>
      <c r="SDO6"/>
      <c r="SDP6"/>
      <c r="SDQ6"/>
      <c r="SDR6"/>
      <c r="SDS6"/>
      <c r="SDT6"/>
      <c r="SDU6"/>
      <c r="SDV6"/>
      <c r="SDW6"/>
      <c r="SDX6"/>
      <c r="SDY6"/>
      <c r="SDZ6"/>
      <c r="SEA6"/>
      <c r="SEB6"/>
      <c r="SEC6"/>
      <c r="SED6"/>
      <c r="SEE6"/>
      <c r="SEF6"/>
      <c r="SEG6"/>
      <c r="SEH6"/>
      <c r="SEI6"/>
      <c r="SEJ6"/>
      <c r="SEK6"/>
      <c r="SEL6"/>
      <c r="SEM6"/>
      <c r="SEN6"/>
      <c r="SEO6"/>
      <c r="SEP6"/>
      <c r="SEQ6"/>
      <c r="SER6"/>
      <c r="SES6"/>
      <c r="SET6"/>
      <c r="SEU6"/>
      <c r="SEV6"/>
      <c r="SEW6"/>
      <c r="SEX6"/>
      <c r="SEY6"/>
      <c r="SEZ6"/>
      <c r="SFA6"/>
      <c r="SFB6"/>
      <c r="SFC6"/>
      <c r="SFD6"/>
      <c r="SFE6"/>
      <c r="SFF6"/>
      <c r="SFG6"/>
      <c r="SFH6"/>
      <c r="SFI6"/>
      <c r="SFJ6"/>
      <c r="SFK6"/>
      <c r="SFL6"/>
      <c r="SFM6"/>
      <c r="SFN6"/>
      <c r="SFO6"/>
      <c r="SFP6"/>
      <c r="SFQ6"/>
      <c r="SFR6"/>
      <c r="SFS6"/>
      <c r="SFT6"/>
      <c r="SFU6"/>
      <c r="SFV6"/>
      <c r="SFW6"/>
      <c r="SFX6"/>
      <c r="SFY6"/>
      <c r="SFZ6"/>
      <c r="SGA6"/>
      <c r="SGB6"/>
      <c r="SGC6"/>
      <c r="SGD6"/>
      <c r="SGE6"/>
      <c r="SGF6"/>
      <c r="SGG6"/>
      <c r="SGH6"/>
      <c r="SGI6"/>
      <c r="SGJ6"/>
      <c r="SGK6"/>
      <c r="SGL6"/>
      <c r="SGM6"/>
      <c r="SGN6"/>
      <c r="SGO6"/>
      <c r="SGP6"/>
      <c r="SGQ6"/>
      <c r="SGR6"/>
      <c r="SGS6"/>
      <c r="SGT6"/>
      <c r="SGU6"/>
      <c r="SGV6"/>
      <c r="SGW6"/>
      <c r="SGX6"/>
      <c r="SGY6"/>
      <c r="SGZ6"/>
      <c r="SHA6"/>
      <c r="SHB6"/>
      <c r="SHC6"/>
      <c r="SHD6"/>
      <c r="SHE6"/>
      <c r="SHF6"/>
      <c r="SHG6"/>
      <c r="SHH6"/>
      <c r="SHI6"/>
      <c r="SHJ6"/>
      <c r="SHK6"/>
      <c r="SHL6"/>
      <c r="SHM6"/>
      <c r="SHN6"/>
      <c r="SHO6"/>
      <c r="SHP6"/>
      <c r="SHQ6"/>
      <c r="SHR6"/>
      <c r="SHS6"/>
      <c r="SHT6"/>
      <c r="SHU6"/>
      <c r="SHV6"/>
      <c r="SHW6"/>
      <c r="SHX6"/>
      <c r="SHY6"/>
      <c r="SHZ6"/>
      <c r="SIA6"/>
      <c r="SIB6"/>
      <c r="SIC6"/>
      <c r="SID6"/>
      <c r="SIE6"/>
      <c r="SIF6"/>
      <c r="SIG6"/>
      <c r="SIH6"/>
      <c r="SII6"/>
      <c r="SIJ6"/>
      <c r="SIK6"/>
      <c r="SIL6"/>
      <c r="SIM6"/>
      <c r="SIN6"/>
      <c r="SIO6"/>
      <c r="SIP6"/>
      <c r="SIQ6"/>
      <c r="SIR6"/>
      <c r="SIS6"/>
      <c r="SIT6"/>
      <c r="SIU6"/>
      <c r="SIV6"/>
      <c r="SIW6"/>
      <c r="SIX6"/>
      <c r="SIY6"/>
      <c r="SIZ6"/>
      <c r="SJA6"/>
      <c r="SJB6"/>
      <c r="SJC6"/>
      <c r="SJD6"/>
      <c r="SJE6"/>
      <c r="SJF6"/>
      <c r="SJG6"/>
      <c r="SJH6"/>
      <c r="SJI6"/>
      <c r="SJJ6"/>
      <c r="SJK6"/>
      <c r="SJL6"/>
      <c r="SJM6"/>
      <c r="SJN6"/>
      <c r="SJO6"/>
      <c r="SJP6"/>
      <c r="SJQ6"/>
      <c r="SJR6"/>
      <c r="SJS6"/>
      <c r="SJT6"/>
      <c r="SJU6"/>
      <c r="SJV6"/>
      <c r="SJW6"/>
      <c r="SJX6"/>
      <c r="SJY6"/>
      <c r="SJZ6"/>
      <c r="SKA6"/>
      <c r="SKB6"/>
      <c r="SKC6"/>
      <c r="SKD6"/>
      <c r="SKE6"/>
      <c r="SKF6"/>
      <c r="SKG6"/>
      <c r="SKH6"/>
      <c r="SKI6"/>
      <c r="SKJ6"/>
      <c r="SKK6"/>
      <c r="SKL6"/>
      <c r="SKM6"/>
      <c r="SKN6"/>
      <c r="SKO6"/>
      <c r="SKP6"/>
      <c r="SKQ6"/>
      <c r="SKR6"/>
      <c r="SKS6"/>
      <c r="SKT6"/>
      <c r="SKU6"/>
      <c r="SKV6"/>
      <c r="SKW6"/>
      <c r="SKX6"/>
      <c r="SKY6"/>
      <c r="SKZ6"/>
      <c r="SLA6"/>
      <c r="SLB6"/>
      <c r="SLC6"/>
      <c r="SLD6"/>
      <c r="SLE6"/>
      <c r="SLF6"/>
      <c r="SLG6"/>
      <c r="SLH6"/>
      <c r="SLI6"/>
      <c r="SLJ6"/>
      <c r="SLK6"/>
      <c r="SLL6"/>
      <c r="SLM6"/>
      <c r="SLN6"/>
      <c r="SLO6"/>
      <c r="SLP6"/>
      <c r="SLQ6"/>
      <c r="SLR6"/>
      <c r="SLS6"/>
      <c r="SLT6"/>
      <c r="SLU6"/>
      <c r="SLV6"/>
      <c r="SLW6"/>
      <c r="SLX6"/>
      <c r="SLY6"/>
      <c r="SLZ6"/>
      <c r="SMA6"/>
      <c r="SMB6"/>
      <c r="SMC6"/>
      <c r="SMD6"/>
      <c r="SME6"/>
      <c r="SMF6"/>
      <c r="SMG6"/>
      <c r="SMH6"/>
      <c r="SMI6"/>
      <c r="SMJ6"/>
      <c r="SMK6"/>
      <c r="SML6"/>
      <c r="SMM6"/>
      <c r="SMN6"/>
      <c r="SMO6"/>
      <c r="SMP6"/>
      <c r="SMQ6"/>
      <c r="SMR6"/>
      <c r="SMS6"/>
      <c r="SMT6"/>
      <c r="SMU6"/>
      <c r="SMV6"/>
      <c r="SMW6"/>
      <c r="SMX6"/>
      <c r="SMY6"/>
      <c r="SMZ6"/>
      <c r="SNA6"/>
      <c r="SNB6"/>
      <c r="SNC6"/>
      <c r="SND6"/>
      <c r="SNE6"/>
      <c r="SNF6"/>
      <c r="SNG6"/>
      <c r="SNH6"/>
      <c r="SNI6"/>
      <c r="SNJ6"/>
      <c r="SNK6"/>
      <c r="SNL6"/>
      <c r="SNM6"/>
      <c r="SNN6"/>
      <c r="SNO6"/>
      <c r="SNP6"/>
      <c r="SNQ6"/>
      <c r="SNR6"/>
      <c r="SNS6"/>
      <c r="SNT6"/>
      <c r="SNU6"/>
      <c r="SNV6"/>
      <c r="SNW6"/>
      <c r="SNX6"/>
      <c r="SNY6"/>
      <c r="SNZ6"/>
      <c r="SOA6"/>
      <c r="SOB6"/>
      <c r="SOC6"/>
      <c r="SOD6"/>
      <c r="SOE6"/>
      <c r="SOF6"/>
      <c r="SOG6"/>
      <c r="SOH6"/>
      <c r="SOI6"/>
      <c r="SOJ6"/>
      <c r="SOK6"/>
      <c r="SOL6"/>
      <c r="SOM6"/>
      <c r="SON6"/>
      <c r="SOO6"/>
      <c r="SOP6"/>
      <c r="SOQ6"/>
      <c r="SOR6"/>
      <c r="SOS6"/>
      <c r="SOT6"/>
      <c r="SOU6"/>
      <c r="SOV6"/>
      <c r="SOW6"/>
      <c r="SOX6"/>
      <c r="SOY6"/>
      <c r="SOZ6"/>
      <c r="SPA6"/>
      <c r="SPB6"/>
      <c r="SPC6"/>
      <c r="SPD6"/>
      <c r="SPE6"/>
      <c r="SPF6"/>
      <c r="SPG6"/>
      <c r="SPH6"/>
      <c r="SPI6"/>
      <c r="SPJ6"/>
      <c r="SPK6"/>
      <c r="SPL6"/>
      <c r="SPM6"/>
      <c r="SPN6"/>
      <c r="SPO6"/>
      <c r="SPP6"/>
      <c r="SPQ6"/>
      <c r="SPR6"/>
      <c r="SPS6"/>
      <c r="SPT6"/>
      <c r="SPU6"/>
      <c r="SPV6"/>
      <c r="SPW6"/>
      <c r="SPX6"/>
      <c r="SPY6"/>
      <c r="SPZ6"/>
      <c r="SQA6"/>
      <c r="SQB6"/>
      <c r="SQC6"/>
      <c r="SQD6"/>
      <c r="SQE6"/>
      <c r="SQF6"/>
      <c r="SQG6"/>
      <c r="SQH6"/>
      <c r="SQI6"/>
      <c r="SQJ6"/>
      <c r="SQK6"/>
      <c r="SQL6"/>
      <c r="SQM6"/>
      <c r="SQN6"/>
      <c r="SQO6"/>
      <c r="SQP6"/>
      <c r="SQQ6"/>
      <c r="SQR6"/>
      <c r="SQS6"/>
      <c r="SQT6"/>
      <c r="SQU6"/>
      <c r="SQV6"/>
      <c r="SQW6"/>
      <c r="SQX6"/>
      <c r="SQY6"/>
      <c r="SQZ6"/>
      <c r="SRA6"/>
      <c r="SRB6"/>
      <c r="SRC6"/>
      <c r="SRD6"/>
      <c r="SRE6"/>
      <c r="SRF6"/>
      <c r="SRG6"/>
      <c r="SRH6"/>
      <c r="SRI6"/>
      <c r="SRJ6"/>
      <c r="SRK6"/>
      <c r="SRL6"/>
      <c r="SRM6"/>
      <c r="SRN6"/>
      <c r="SRO6"/>
      <c r="SRP6"/>
      <c r="SRQ6"/>
      <c r="SRR6"/>
      <c r="SRS6"/>
      <c r="SRT6"/>
      <c r="SRU6"/>
      <c r="SRV6"/>
      <c r="SRW6"/>
      <c r="SRX6"/>
      <c r="SRY6"/>
      <c r="SRZ6"/>
      <c r="SSA6"/>
      <c r="SSB6"/>
      <c r="SSC6"/>
      <c r="SSD6"/>
      <c r="SSE6"/>
      <c r="SSF6"/>
      <c r="SSG6"/>
      <c r="SSH6"/>
      <c r="SSI6"/>
      <c r="SSJ6"/>
      <c r="SSK6"/>
      <c r="SSL6"/>
      <c r="SSM6"/>
      <c r="SSN6"/>
      <c r="SSO6"/>
      <c r="SSP6"/>
      <c r="SSQ6"/>
      <c r="SSR6"/>
      <c r="SSS6"/>
      <c r="SST6"/>
      <c r="SSU6"/>
      <c r="SSV6"/>
      <c r="SSW6"/>
      <c r="SSX6"/>
      <c r="SSY6"/>
      <c r="SSZ6"/>
      <c r="STA6"/>
      <c r="STB6"/>
      <c r="STC6"/>
      <c r="STD6"/>
      <c r="STE6"/>
      <c r="STF6"/>
      <c r="STG6"/>
      <c r="STH6"/>
      <c r="STI6"/>
      <c r="STJ6"/>
      <c r="STK6"/>
      <c r="STL6"/>
      <c r="STM6"/>
      <c r="STN6"/>
      <c r="STO6"/>
      <c r="STP6"/>
      <c r="STQ6"/>
      <c r="STR6"/>
      <c r="STS6"/>
      <c r="STT6"/>
      <c r="STU6"/>
      <c r="STV6"/>
      <c r="STW6"/>
      <c r="STX6"/>
      <c r="STY6"/>
      <c r="STZ6"/>
      <c r="SUA6"/>
      <c r="SUB6"/>
      <c r="SUC6"/>
      <c r="SUD6"/>
      <c r="SUE6"/>
      <c r="SUF6"/>
      <c r="SUG6"/>
      <c r="SUH6"/>
      <c r="SUI6"/>
      <c r="SUJ6"/>
      <c r="SUK6"/>
      <c r="SUL6"/>
      <c r="SUM6"/>
      <c r="SUN6"/>
      <c r="SUO6"/>
      <c r="SUP6"/>
      <c r="SUQ6"/>
      <c r="SUR6"/>
      <c r="SUS6"/>
      <c r="SUT6"/>
      <c r="SUU6"/>
      <c r="SUV6"/>
      <c r="SUW6"/>
      <c r="SUX6"/>
      <c r="SUY6"/>
      <c r="SUZ6"/>
      <c r="SVA6"/>
      <c r="SVB6"/>
      <c r="SVC6"/>
      <c r="SVD6"/>
      <c r="SVE6"/>
      <c r="SVF6"/>
      <c r="SVG6"/>
      <c r="SVH6"/>
      <c r="SVI6"/>
      <c r="SVJ6"/>
      <c r="SVK6"/>
      <c r="SVL6"/>
      <c r="SVM6"/>
      <c r="SVN6"/>
      <c r="SVO6"/>
      <c r="SVP6"/>
      <c r="SVQ6"/>
      <c r="SVR6"/>
      <c r="SVS6"/>
      <c r="SVT6"/>
      <c r="SVU6"/>
      <c r="SVV6"/>
      <c r="SVW6"/>
      <c r="SVX6"/>
      <c r="SVY6"/>
      <c r="SVZ6"/>
      <c r="SWA6"/>
      <c r="SWB6"/>
      <c r="SWC6"/>
      <c r="SWD6"/>
      <c r="SWE6"/>
      <c r="SWF6"/>
      <c r="SWG6"/>
      <c r="SWH6"/>
      <c r="SWI6"/>
      <c r="SWJ6"/>
      <c r="SWK6"/>
      <c r="SWL6"/>
      <c r="SWM6"/>
      <c r="SWN6"/>
      <c r="SWO6"/>
      <c r="SWP6"/>
      <c r="SWQ6"/>
      <c r="SWR6"/>
      <c r="SWS6"/>
      <c r="SWT6"/>
      <c r="SWU6"/>
      <c r="SWV6"/>
      <c r="SWW6"/>
      <c r="SWX6"/>
      <c r="SWY6"/>
      <c r="SWZ6"/>
      <c r="SXA6"/>
      <c r="SXB6"/>
      <c r="SXC6"/>
      <c r="SXD6"/>
      <c r="SXE6"/>
      <c r="SXF6"/>
      <c r="SXG6"/>
      <c r="SXH6"/>
      <c r="SXI6"/>
      <c r="SXJ6"/>
      <c r="SXK6"/>
      <c r="SXL6"/>
      <c r="SXM6"/>
      <c r="SXN6"/>
      <c r="SXO6"/>
      <c r="SXP6"/>
      <c r="SXQ6"/>
      <c r="SXR6"/>
      <c r="SXS6"/>
      <c r="SXT6"/>
      <c r="SXU6"/>
      <c r="SXV6"/>
      <c r="SXW6"/>
      <c r="SXX6"/>
      <c r="SXY6"/>
      <c r="SXZ6"/>
      <c r="SYA6"/>
      <c r="SYB6"/>
      <c r="SYC6"/>
      <c r="SYD6"/>
      <c r="SYE6"/>
      <c r="SYF6"/>
      <c r="SYG6"/>
      <c r="SYH6"/>
      <c r="SYI6"/>
      <c r="SYJ6"/>
      <c r="SYK6"/>
      <c r="SYL6"/>
      <c r="SYM6"/>
      <c r="SYN6"/>
      <c r="SYO6"/>
      <c r="SYP6"/>
      <c r="SYQ6"/>
      <c r="SYR6"/>
      <c r="SYS6"/>
      <c r="SYT6"/>
      <c r="SYU6"/>
      <c r="SYV6"/>
      <c r="SYW6"/>
      <c r="SYX6"/>
      <c r="SYY6"/>
      <c r="SYZ6"/>
      <c r="SZA6"/>
      <c r="SZB6"/>
      <c r="SZC6"/>
      <c r="SZD6"/>
      <c r="SZE6"/>
      <c r="SZF6"/>
      <c r="SZG6"/>
      <c r="SZH6"/>
      <c r="SZI6"/>
      <c r="SZJ6"/>
      <c r="SZK6"/>
      <c r="SZL6"/>
      <c r="SZM6"/>
      <c r="SZN6"/>
      <c r="SZO6"/>
      <c r="SZP6"/>
      <c r="SZQ6"/>
      <c r="SZR6"/>
      <c r="SZS6"/>
      <c r="SZT6"/>
      <c r="SZU6"/>
      <c r="SZV6"/>
      <c r="SZW6"/>
      <c r="SZX6"/>
      <c r="SZY6"/>
      <c r="SZZ6"/>
      <c r="TAA6"/>
      <c r="TAB6"/>
      <c r="TAC6"/>
      <c r="TAD6"/>
      <c r="TAE6"/>
      <c r="TAF6"/>
      <c r="TAG6"/>
      <c r="TAH6"/>
      <c r="TAI6"/>
      <c r="TAJ6"/>
      <c r="TAK6"/>
      <c r="TAL6"/>
      <c r="TAM6"/>
      <c r="TAN6"/>
      <c r="TAO6"/>
      <c r="TAP6"/>
      <c r="TAQ6"/>
      <c r="TAR6"/>
      <c r="TAS6"/>
      <c r="TAT6"/>
      <c r="TAU6"/>
      <c r="TAV6"/>
      <c r="TAW6"/>
      <c r="TAX6"/>
      <c r="TAY6"/>
      <c r="TAZ6"/>
      <c r="TBA6"/>
      <c r="TBB6"/>
      <c r="TBC6"/>
      <c r="TBD6"/>
      <c r="TBE6"/>
      <c r="TBF6"/>
      <c r="TBG6"/>
      <c r="TBH6"/>
      <c r="TBI6"/>
      <c r="TBJ6"/>
      <c r="TBK6"/>
      <c r="TBL6"/>
      <c r="TBM6"/>
      <c r="TBN6"/>
      <c r="TBO6"/>
      <c r="TBP6"/>
      <c r="TBQ6"/>
      <c r="TBR6"/>
      <c r="TBS6"/>
      <c r="TBT6"/>
      <c r="TBU6"/>
      <c r="TBV6"/>
      <c r="TBW6"/>
      <c r="TBX6"/>
      <c r="TBY6"/>
      <c r="TBZ6"/>
      <c r="TCA6"/>
      <c r="TCB6"/>
      <c r="TCC6"/>
      <c r="TCD6"/>
      <c r="TCE6"/>
      <c r="TCF6"/>
      <c r="TCG6"/>
      <c r="TCH6"/>
      <c r="TCI6"/>
      <c r="TCJ6"/>
      <c r="TCK6"/>
      <c r="TCL6"/>
      <c r="TCM6"/>
      <c r="TCN6"/>
      <c r="TCO6"/>
      <c r="TCP6"/>
      <c r="TCQ6"/>
      <c r="TCR6"/>
      <c r="TCS6"/>
      <c r="TCT6"/>
      <c r="TCU6"/>
      <c r="TCV6"/>
      <c r="TCW6"/>
      <c r="TCX6"/>
      <c r="TCY6"/>
      <c r="TCZ6"/>
      <c r="TDA6"/>
      <c r="TDB6"/>
      <c r="TDC6"/>
      <c r="TDD6"/>
      <c r="TDE6"/>
      <c r="TDF6"/>
      <c r="TDG6"/>
      <c r="TDH6"/>
      <c r="TDI6"/>
      <c r="TDJ6"/>
      <c r="TDK6"/>
      <c r="TDL6"/>
      <c r="TDM6"/>
      <c r="TDN6"/>
      <c r="TDO6"/>
      <c r="TDP6"/>
      <c r="TDQ6"/>
      <c r="TDR6"/>
      <c r="TDS6"/>
      <c r="TDT6"/>
      <c r="TDU6"/>
      <c r="TDV6"/>
      <c r="TDW6"/>
      <c r="TDX6"/>
      <c r="TDY6"/>
      <c r="TDZ6"/>
      <c r="TEA6"/>
      <c r="TEB6"/>
      <c r="TEC6"/>
      <c r="TED6"/>
      <c r="TEE6"/>
      <c r="TEF6"/>
      <c r="TEG6"/>
      <c r="TEH6"/>
      <c r="TEI6"/>
      <c r="TEJ6"/>
      <c r="TEK6"/>
      <c r="TEL6"/>
      <c r="TEM6"/>
      <c r="TEN6"/>
      <c r="TEO6"/>
      <c r="TEP6"/>
      <c r="TEQ6"/>
      <c r="TER6"/>
      <c r="TES6"/>
      <c r="TET6"/>
      <c r="TEU6"/>
      <c r="TEV6"/>
      <c r="TEW6"/>
      <c r="TEX6"/>
      <c r="TEY6"/>
      <c r="TEZ6"/>
      <c r="TFA6"/>
      <c r="TFB6"/>
      <c r="TFC6"/>
      <c r="TFD6"/>
      <c r="TFE6"/>
      <c r="TFF6"/>
      <c r="TFG6"/>
      <c r="TFH6"/>
      <c r="TFI6"/>
      <c r="TFJ6"/>
      <c r="TFK6"/>
      <c r="TFL6"/>
      <c r="TFM6"/>
      <c r="TFN6"/>
      <c r="TFO6"/>
      <c r="TFP6"/>
      <c r="TFQ6"/>
      <c r="TFR6"/>
      <c r="TFS6"/>
      <c r="TFT6"/>
      <c r="TFU6"/>
      <c r="TFV6"/>
      <c r="TFW6"/>
      <c r="TFX6"/>
      <c r="TFY6"/>
      <c r="TFZ6"/>
      <c r="TGA6"/>
      <c r="TGB6"/>
      <c r="TGC6"/>
      <c r="TGD6"/>
      <c r="TGE6"/>
      <c r="TGF6"/>
      <c r="TGG6"/>
      <c r="TGH6"/>
      <c r="TGI6"/>
      <c r="TGJ6"/>
      <c r="TGK6"/>
      <c r="TGL6"/>
      <c r="TGM6"/>
      <c r="TGN6"/>
      <c r="TGO6"/>
      <c r="TGP6"/>
      <c r="TGQ6"/>
      <c r="TGR6"/>
      <c r="TGS6"/>
      <c r="TGT6"/>
      <c r="TGU6"/>
      <c r="TGV6"/>
      <c r="TGW6"/>
      <c r="TGX6"/>
      <c r="TGY6"/>
      <c r="TGZ6"/>
      <c r="THA6"/>
      <c r="THB6"/>
      <c r="THC6"/>
      <c r="THD6"/>
      <c r="THE6"/>
      <c r="THF6"/>
      <c r="THG6"/>
      <c r="THH6"/>
      <c r="THI6"/>
      <c r="THJ6"/>
      <c r="THK6"/>
      <c r="THL6"/>
      <c r="THM6"/>
      <c r="THN6"/>
      <c r="THO6"/>
      <c r="THP6"/>
      <c r="THQ6"/>
      <c r="THR6"/>
      <c r="THS6"/>
      <c r="THT6"/>
      <c r="THU6"/>
      <c r="THV6"/>
      <c r="THW6"/>
      <c r="THX6"/>
      <c r="THY6"/>
      <c r="THZ6"/>
      <c r="TIA6"/>
      <c r="TIB6"/>
      <c r="TIC6"/>
      <c r="TID6"/>
      <c r="TIE6"/>
      <c r="TIF6"/>
      <c r="TIG6"/>
      <c r="TIH6"/>
      <c r="TII6"/>
      <c r="TIJ6"/>
      <c r="TIK6"/>
      <c r="TIL6"/>
      <c r="TIM6"/>
      <c r="TIN6"/>
      <c r="TIO6"/>
      <c r="TIP6"/>
      <c r="TIQ6"/>
      <c r="TIR6"/>
      <c r="TIS6"/>
      <c r="TIT6"/>
      <c r="TIU6"/>
      <c r="TIV6"/>
      <c r="TIW6"/>
      <c r="TIX6"/>
      <c r="TIY6"/>
      <c r="TIZ6"/>
      <c r="TJA6"/>
      <c r="TJB6"/>
      <c r="TJC6"/>
      <c r="TJD6"/>
      <c r="TJE6"/>
      <c r="TJF6"/>
      <c r="TJG6"/>
      <c r="TJH6"/>
      <c r="TJI6"/>
      <c r="TJJ6"/>
      <c r="TJK6"/>
      <c r="TJL6"/>
      <c r="TJM6"/>
      <c r="TJN6"/>
      <c r="TJO6"/>
      <c r="TJP6"/>
      <c r="TJQ6"/>
      <c r="TJR6"/>
      <c r="TJS6"/>
      <c r="TJT6"/>
      <c r="TJU6"/>
      <c r="TJV6"/>
      <c r="TJW6"/>
      <c r="TJX6"/>
      <c r="TJY6"/>
      <c r="TJZ6"/>
      <c r="TKA6"/>
      <c r="TKB6"/>
      <c r="TKC6"/>
      <c r="TKD6"/>
      <c r="TKE6"/>
      <c r="TKF6"/>
      <c r="TKG6"/>
      <c r="TKH6"/>
      <c r="TKI6"/>
      <c r="TKJ6"/>
      <c r="TKK6"/>
      <c r="TKL6"/>
      <c r="TKM6"/>
      <c r="TKN6"/>
      <c r="TKO6"/>
      <c r="TKP6"/>
      <c r="TKQ6"/>
      <c r="TKR6"/>
      <c r="TKS6"/>
      <c r="TKT6"/>
      <c r="TKU6"/>
      <c r="TKV6"/>
      <c r="TKW6"/>
      <c r="TKX6"/>
      <c r="TKY6"/>
      <c r="TKZ6"/>
      <c r="TLA6"/>
      <c r="TLB6"/>
      <c r="TLC6"/>
      <c r="TLD6"/>
      <c r="TLE6"/>
      <c r="TLF6"/>
      <c r="TLG6"/>
      <c r="TLH6"/>
      <c r="TLI6"/>
      <c r="TLJ6"/>
      <c r="TLK6"/>
      <c r="TLL6"/>
      <c r="TLM6"/>
      <c r="TLN6"/>
      <c r="TLO6"/>
      <c r="TLP6"/>
      <c r="TLQ6"/>
      <c r="TLR6"/>
      <c r="TLS6"/>
      <c r="TLT6"/>
      <c r="TLU6"/>
      <c r="TLV6"/>
      <c r="TLW6"/>
      <c r="TLX6"/>
      <c r="TLY6"/>
      <c r="TLZ6"/>
      <c r="TMA6"/>
      <c r="TMB6"/>
      <c r="TMC6"/>
      <c r="TMD6"/>
      <c r="TME6"/>
      <c r="TMF6"/>
      <c r="TMG6"/>
      <c r="TMH6"/>
      <c r="TMI6"/>
      <c r="TMJ6"/>
      <c r="TMK6"/>
      <c r="TML6"/>
      <c r="TMM6"/>
      <c r="TMN6"/>
      <c r="TMO6"/>
      <c r="TMP6"/>
      <c r="TMQ6"/>
      <c r="TMR6"/>
      <c r="TMS6"/>
      <c r="TMT6"/>
      <c r="TMU6"/>
      <c r="TMV6"/>
      <c r="TMW6"/>
      <c r="TMX6"/>
      <c r="TMY6"/>
      <c r="TMZ6"/>
      <c r="TNA6"/>
      <c r="TNB6"/>
      <c r="TNC6"/>
      <c r="TND6"/>
      <c r="TNE6"/>
      <c r="TNF6"/>
      <c r="TNG6"/>
      <c r="TNH6"/>
      <c r="TNI6"/>
      <c r="TNJ6"/>
      <c r="TNK6"/>
      <c r="TNL6"/>
      <c r="TNM6"/>
      <c r="TNN6"/>
      <c r="TNO6"/>
      <c r="TNP6"/>
      <c r="TNQ6"/>
      <c r="TNR6"/>
      <c r="TNS6"/>
      <c r="TNT6"/>
      <c r="TNU6"/>
      <c r="TNV6"/>
      <c r="TNW6"/>
      <c r="TNX6"/>
      <c r="TNY6"/>
      <c r="TNZ6"/>
      <c r="TOA6"/>
      <c r="TOB6"/>
      <c r="TOC6"/>
      <c r="TOD6"/>
      <c r="TOE6"/>
      <c r="TOF6"/>
      <c r="TOG6"/>
      <c r="TOH6"/>
      <c r="TOI6"/>
      <c r="TOJ6"/>
      <c r="TOK6"/>
      <c r="TOL6"/>
      <c r="TOM6"/>
      <c r="TON6"/>
      <c r="TOO6"/>
      <c r="TOP6"/>
      <c r="TOQ6"/>
      <c r="TOR6"/>
      <c r="TOS6"/>
      <c r="TOT6"/>
      <c r="TOU6"/>
      <c r="TOV6"/>
      <c r="TOW6"/>
      <c r="TOX6"/>
      <c r="TOY6"/>
      <c r="TOZ6"/>
      <c r="TPA6"/>
      <c r="TPB6"/>
      <c r="TPC6"/>
      <c r="TPD6"/>
      <c r="TPE6"/>
      <c r="TPF6"/>
      <c r="TPG6"/>
      <c r="TPH6"/>
      <c r="TPI6"/>
      <c r="TPJ6"/>
      <c r="TPK6"/>
      <c r="TPL6"/>
      <c r="TPM6"/>
      <c r="TPN6"/>
      <c r="TPO6"/>
      <c r="TPP6"/>
      <c r="TPQ6"/>
      <c r="TPR6"/>
      <c r="TPS6"/>
      <c r="TPT6"/>
      <c r="TPU6"/>
      <c r="TPV6"/>
      <c r="TPW6"/>
      <c r="TPX6"/>
      <c r="TPY6"/>
      <c r="TPZ6"/>
      <c r="TQA6"/>
      <c r="TQB6"/>
      <c r="TQC6"/>
      <c r="TQD6"/>
      <c r="TQE6"/>
      <c r="TQF6"/>
      <c r="TQG6"/>
      <c r="TQH6"/>
      <c r="TQI6"/>
      <c r="TQJ6"/>
      <c r="TQK6"/>
      <c r="TQL6"/>
      <c r="TQM6"/>
      <c r="TQN6"/>
      <c r="TQO6"/>
      <c r="TQP6"/>
      <c r="TQQ6"/>
      <c r="TQR6"/>
      <c r="TQS6"/>
      <c r="TQT6"/>
      <c r="TQU6"/>
      <c r="TQV6"/>
      <c r="TQW6"/>
      <c r="TQX6"/>
      <c r="TQY6"/>
      <c r="TQZ6"/>
      <c r="TRA6"/>
      <c r="TRB6"/>
      <c r="TRC6"/>
      <c r="TRD6"/>
      <c r="TRE6"/>
      <c r="TRF6"/>
      <c r="TRG6"/>
      <c r="TRH6"/>
      <c r="TRI6"/>
      <c r="TRJ6"/>
      <c r="TRK6"/>
      <c r="TRL6"/>
      <c r="TRM6"/>
      <c r="TRN6"/>
      <c r="TRO6"/>
      <c r="TRP6"/>
      <c r="TRQ6"/>
      <c r="TRR6"/>
      <c r="TRS6"/>
      <c r="TRT6"/>
      <c r="TRU6"/>
      <c r="TRV6"/>
      <c r="TRW6"/>
      <c r="TRX6"/>
      <c r="TRY6"/>
      <c r="TRZ6"/>
      <c r="TSA6"/>
      <c r="TSB6"/>
      <c r="TSC6"/>
      <c r="TSD6"/>
      <c r="TSE6"/>
      <c r="TSF6"/>
      <c r="TSG6"/>
      <c r="TSH6"/>
      <c r="TSI6"/>
      <c r="TSJ6"/>
      <c r="TSK6"/>
      <c r="TSL6"/>
      <c r="TSM6"/>
      <c r="TSN6"/>
      <c r="TSO6"/>
      <c r="TSP6"/>
      <c r="TSQ6"/>
      <c r="TSR6"/>
      <c r="TSS6"/>
      <c r="TST6"/>
      <c r="TSU6"/>
      <c r="TSV6"/>
      <c r="TSW6"/>
      <c r="TSX6"/>
      <c r="TSY6"/>
      <c r="TSZ6"/>
      <c r="TTA6"/>
      <c r="TTB6"/>
      <c r="TTC6"/>
      <c r="TTD6"/>
      <c r="TTE6"/>
      <c r="TTF6"/>
      <c r="TTG6"/>
      <c r="TTH6"/>
      <c r="TTI6"/>
      <c r="TTJ6"/>
      <c r="TTK6"/>
      <c r="TTL6"/>
      <c r="TTM6"/>
      <c r="TTN6"/>
      <c r="TTO6"/>
      <c r="TTP6"/>
      <c r="TTQ6"/>
      <c r="TTR6"/>
      <c r="TTS6"/>
      <c r="TTT6"/>
      <c r="TTU6"/>
      <c r="TTV6"/>
      <c r="TTW6"/>
      <c r="TTX6"/>
      <c r="TTY6"/>
      <c r="TTZ6"/>
      <c r="TUA6"/>
      <c r="TUB6"/>
      <c r="TUC6"/>
      <c r="TUD6"/>
      <c r="TUE6"/>
      <c r="TUF6"/>
      <c r="TUG6"/>
      <c r="TUH6"/>
      <c r="TUI6"/>
      <c r="TUJ6"/>
      <c r="TUK6"/>
      <c r="TUL6"/>
      <c r="TUM6"/>
      <c r="TUN6"/>
      <c r="TUO6"/>
      <c r="TUP6"/>
      <c r="TUQ6"/>
      <c r="TUR6"/>
      <c r="TUS6"/>
      <c r="TUT6"/>
      <c r="TUU6"/>
      <c r="TUV6"/>
      <c r="TUW6"/>
      <c r="TUX6"/>
      <c r="TUY6"/>
      <c r="TUZ6"/>
      <c r="TVA6"/>
      <c r="TVB6"/>
      <c r="TVC6"/>
      <c r="TVD6"/>
      <c r="TVE6"/>
      <c r="TVF6"/>
      <c r="TVG6"/>
      <c r="TVH6"/>
      <c r="TVI6"/>
      <c r="TVJ6"/>
      <c r="TVK6"/>
      <c r="TVL6"/>
      <c r="TVM6"/>
      <c r="TVN6"/>
      <c r="TVO6"/>
      <c r="TVP6"/>
      <c r="TVQ6"/>
      <c r="TVR6"/>
      <c r="TVS6"/>
      <c r="TVT6"/>
      <c r="TVU6"/>
      <c r="TVV6"/>
      <c r="TVW6"/>
      <c r="TVX6"/>
      <c r="TVY6"/>
      <c r="TVZ6"/>
      <c r="TWA6"/>
      <c r="TWB6"/>
      <c r="TWC6"/>
      <c r="TWD6"/>
      <c r="TWE6"/>
      <c r="TWF6"/>
      <c r="TWG6"/>
      <c r="TWH6"/>
      <c r="TWI6"/>
      <c r="TWJ6"/>
      <c r="TWK6"/>
      <c r="TWL6"/>
      <c r="TWM6"/>
      <c r="TWN6"/>
      <c r="TWO6"/>
      <c r="TWP6"/>
      <c r="TWQ6"/>
      <c r="TWR6"/>
      <c r="TWS6"/>
      <c r="TWT6"/>
      <c r="TWU6"/>
      <c r="TWV6"/>
      <c r="TWW6"/>
      <c r="TWX6"/>
      <c r="TWY6"/>
      <c r="TWZ6"/>
      <c r="TXA6"/>
      <c r="TXB6"/>
      <c r="TXC6"/>
      <c r="TXD6"/>
      <c r="TXE6"/>
      <c r="TXF6"/>
      <c r="TXG6"/>
      <c r="TXH6"/>
      <c r="TXI6"/>
      <c r="TXJ6"/>
      <c r="TXK6"/>
      <c r="TXL6"/>
      <c r="TXM6"/>
      <c r="TXN6"/>
      <c r="TXO6"/>
      <c r="TXP6"/>
      <c r="TXQ6"/>
      <c r="TXR6"/>
      <c r="TXS6"/>
      <c r="TXT6"/>
      <c r="TXU6"/>
      <c r="TXV6"/>
      <c r="TXW6"/>
      <c r="TXX6"/>
      <c r="TXY6"/>
      <c r="TXZ6"/>
      <c r="TYA6"/>
      <c r="TYB6"/>
      <c r="TYC6"/>
      <c r="TYD6"/>
      <c r="TYE6"/>
      <c r="TYF6"/>
      <c r="TYG6"/>
      <c r="TYH6"/>
      <c r="TYI6"/>
      <c r="TYJ6"/>
      <c r="TYK6"/>
      <c r="TYL6"/>
      <c r="TYM6"/>
      <c r="TYN6"/>
      <c r="TYO6"/>
      <c r="TYP6"/>
      <c r="TYQ6"/>
      <c r="TYR6"/>
      <c r="TYS6"/>
      <c r="TYT6"/>
      <c r="TYU6"/>
      <c r="TYV6"/>
      <c r="TYW6"/>
      <c r="TYX6"/>
      <c r="TYY6"/>
      <c r="TYZ6"/>
      <c r="TZA6"/>
      <c r="TZB6"/>
      <c r="TZC6"/>
      <c r="TZD6"/>
      <c r="TZE6"/>
      <c r="TZF6"/>
      <c r="TZG6"/>
      <c r="TZH6"/>
      <c r="TZI6"/>
      <c r="TZJ6"/>
      <c r="TZK6"/>
      <c r="TZL6"/>
      <c r="TZM6"/>
      <c r="TZN6"/>
      <c r="TZO6"/>
      <c r="TZP6"/>
      <c r="TZQ6"/>
      <c r="TZR6"/>
      <c r="TZS6"/>
      <c r="TZT6"/>
      <c r="TZU6"/>
      <c r="TZV6"/>
      <c r="TZW6"/>
      <c r="TZX6"/>
      <c r="TZY6"/>
      <c r="TZZ6"/>
      <c r="UAA6"/>
      <c r="UAB6"/>
      <c r="UAC6"/>
      <c r="UAD6"/>
      <c r="UAE6"/>
      <c r="UAF6"/>
      <c r="UAG6"/>
      <c r="UAH6"/>
      <c r="UAI6"/>
      <c r="UAJ6"/>
      <c r="UAK6"/>
      <c r="UAL6"/>
      <c r="UAM6"/>
      <c r="UAN6"/>
      <c r="UAO6"/>
      <c r="UAP6"/>
      <c r="UAQ6"/>
      <c r="UAR6"/>
      <c r="UAS6"/>
      <c r="UAT6"/>
      <c r="UAU6"/>
      <c r="UAV6"/>
      <c r="UAW6"/>
      <c r="UAX6"/>
      <c r="UAY6"/>
      <c r="UAZ6"/>
      <c r="UBA6"/>
      <c r="UBB6"/>
      <c r="UBC6"/>
      <c r="UBD6"/>
      <c r="UBE6"/>
      <c r="UBF6"/>
      <c r="UBG6"/>
      <c r="UBH6"/>
      <c r="UBI6"/>
      <c r="UBJ6"/>
      <c r="UBK6"/>
      <c r="UBL6"/>
      <c r="UBM6"/>
      <c r="UBN6"/>
      <c r="UBO6"/>
      <c r="UBP6"/>
      <c r="UBQ6"/>
      <c r="UBR6"/>
      <c r="UBS6"/>
      <c r="UBT6"/>
      <c r="UBU6"/>
      <c r="UBV6"/>
      <c r="UBW6"/>
      <c r="UBX6"/>
      <c r="UBY6"/>
      <c r="UBZ6"/>
      <c r="UCA6"/>
      <c r="UCB6"/>
      <c r="UCC6"/>
      <c r="UCD6"/>
      <c r="UCE6"/>
      <c r="UCF6"/>
      <c r="UCG6"/>
      <c r="UCH6"/>
      <c r="UCI6"/>
      <c r="UCJ6"/>
      <c r="UCK6"/>
      <c r="UCL6"/>
      <c r="UCM6"/>
      <c r="UCN6"/>
      <c r="UCO6"/>
      <c r="UCP6"/>
      <c r="UCQ6"/>
      <c r="UCR6"/>
      <c r="UCS6"/>
      <c r="UCT6"/>
      <c r="UCU6"/>
      <c r="UCV6"/>
      <c r="UCW6"/>
      <c r="UCX6"/>
      <c r="UCY6"/>
      <c r="UCZ6"/>
      <c r="UDA6"/>
      <c r="UDB6"/>
      <c r="UDC6"/>
      <c r="UDD6"/>
      <c r="UDE6"/>
      <c r="UDF6"/>
      <c r="UDG6"/>
      <c r="UDH6"/>
      <c r="UDI6"/>
      <c r="UDJ6"/>
      <c r="UDK6"/>
      <c r="UDL6"/>
      <c r="UDM6"/>
      <c r="UDN6"/>
      <c r="UDO6"/>
      <c r="UDP6"/>
      <c r="UDQ6"/>
      <c r="UDR6"/>
      <c r="UDS6"/>
      <c r="UDT6"/>
      <c r="UDU6"/>
      <c r="UDV6"/>
      <c r="UDW6"/>
      <c r="UDX6"/>
      <c r="UDY6"/>
      <c r="UDZ6"/>
      <c r="UEA6"/>
      <c r="UEB6"/>
      <c r="UEC6"/>
      <c r="UED6"/>
      <c r="UEE6"/>
      <c r="UEF6"/>
      <c r="UEG6"/>
      <c r="UEH6"/>
      <c r="UEI6"/>
      <c r="UEJ6"/>
      <c r="UEK6"/>
      <c r="UEL6"/>
      <c r="UEM6"/>
      <c r="UEN6"/>
      <c r="UEO6"/>
      <c r="UEP6"/>
      <c r="UEQ6"/>
      <c r="UER6"/>
      <c r="UES6"/>
      <c r="UET6"/>
      <c r="UEU6"/>
      <c r="UEV6"/>
      <c r="UEW6"/>
      <c r="UEX6"/>
      <c r="UEY6"/>
      <c r="UEZ6"/>
      <c r="UFA6"/>
      <c r="UFB6"/>
      <c r="UFC6"/>
      <c r="UFD6"/>
      <c r="UFE6"/>
      <c r="UFF6"/>
      <c r="UFG6"/>
      <c r="UFH6"/>
      <c r="UFI6"/>
      <c r="UFJ6"/>
      <c r="UFK6"/>
      <c r="UFL6"/>
      <c r="UFM6"/>
      <c r="UFN6"/>
      <c r="UFO6"/>
      <c r="UFP6"/>
      <c r="UFQ6"/>
      <c r="UFR6"/>
      <c r="UFS6"/>
      <c r="UFT6"/>
      <c r="UFU6"/>
      <c r="UFV6"/>
      <c r="UFW6"/>
      <c r="UFX6"/>
      <c r="UFY6"/>
      <c r="UFZ6"/>
      <c r="UGA6"/>
      <c r="UGB6"/>
      <c r="UGC6"/>
      <c r="UGD6"/>
      <c r="UGE6"/>
      <c r="UGF6"/>
      <c r="UGG6"/>
      <c r="UGH6"/>
      <c r="UGI6"/>
      <c r="UGJ6"/>
      <c r="UGK6"/>
      <c r="UGL6"/>
      <c r="UGM6"/>
      <c r="UGN6"/>
      <c r="UGO6"/>
      <c r="UGP6"/>
      <c r="UGQ6"/>
      <c r="UGR6"/>
      <c r="UGS6"/>
      <c r="UGT6"/>
      <c r="UGU6"/>
      <c r="UGV6"/>
      <c r="UGW6"/>
      <c r="UGX6"/>
      <c r="UGY6"/>
      <c r="UGZ6"/>
      <c r="UHA6"/>
      <c r="UHB6"/>
      <c r="UHC6"/>
      <c r="UHD6"/>
      <c r="UHE6"/>
      <c r="UHF6"/>
      <c r="UHG6"/>
      <c r="UHH6"/>
      <c r="UHI6"/>
      <c r="UHJ6"/>
      <c r="UHK6"/>
      <c r="UHL6"/>
      <c r="UHM6"/>
      <c r="UHN6"/>
      <c r="UHO6"/>
      <c r="UHP6"/>
      <c r="UHQ6"/>
      <c r="UHR6"/>
      <c r="UHS6"/>
      <c r="UHT6"/>
      <c r="UHU6"/>
      <c r="UHV6"/>
      <c r="UHW6"/>
      <c r="UHX6"/>
      <c r="UHY6"/>
      <c r="UHZ6"/>
      <c r="UIA6"/>
      <c r="UIB6"/>
      <c r="UIC6"/>
      <c r="UID6"/>
      <c r="UIE6"/>
      <c r="UIF6"/>
      <c r="UIG6"/>
      <c r="UIH6"/>
      <c r="UII6"/>
      <c r="UIJ6"/>
      <c r="UIK6"/>
      <c r="UIL6"/>
      <c r="UIM6"/>
      <c r="UIN6"/>
      <c r="UIO6"/>
      <c r="UIP6"/>
      <c r="UIQ6"/>
      <c r="UIR6"/>
      <c r="UIS6"/>
      <c r="UIT6"/>
      <c r="UIU6"/>
      <c r="UIV6"/>
      <c r="UIW6"/>
      <c r="UIX6"/>
      <c r="UIY6"/>
      <c r="UIZ6"/>
      <c r="UJA6"/>
      <c r="UJB6"/>
      <c r="UJC6"/>
      <c r="UJD6"/>
      <c r="UJE6"/>
      <c r="UJF6"/>
      <c r="UJG6"/>
      <c r="UJH6"/>
      <c r="UJI6"/>
      <c r="UJJ6"/>
      <c r="UJK6"/>
      <c r="UJL6"/>
      <c r="UJM6"/>
      <c r="UJN6"/>
      <c r="UJO6"/>
      <c r="UJP6"/>
      <c r="UJQ6"/>
      <c r="UJR6"/>
      <c r="UJS6"/>
      <c r="UJT6"/>
      <c r="UJU6"/>
      <c r="UJV6"/>
      <c r="UJW6"/>
      <c r="UJX6"/>
      <c r="UJY6"/>
      <c r="UJZ6"/>
      <c r="UKA6"/>
      <c r="UKB6"/>
      <c r="UKC6"/>
      <c r="UKD6"/>
      <c r="UKE6"/>
      <c r="UKF6"/>
      <c r="UKG6"/>
      <c r="UKH6"/>
      <c r="UKI6"/>
      <c r="UKJ6"/>
      <c r="UKK6"/>
      <c r="UKL6"/>
      <c r="UKM6"/>
      <c r="UKN6"/>
      <c r="UKO6"/>
      <c r="UKP6"/>
      <c r="UKQ6"/>
      <c r="UKR6"/>
      <c r="UKS6"/>
      <c r="UKT6"/>
      <c r="UKU6"/>
      <c r="UKV6"/>
      <c r="UKW6"/>
      <c r="UKX6"/>
      <c r="UKY6"/>
      <c r="UKZ6"/>
      <c r="ULA6"/>
      <c r="ULB6"/>
      <c r="ULC6"/>
      <c r="ULD6"/>
      <c r="ULE6"/>
      <c r="ULF6"/>
      <c r="ULG6"/>
      <c r="ULH6"/>
      <c r="ULI6"/>
      <c r="ULJ6"/>
      <c r="ULK6"/>
      <c r="ULL6"/>
      <c r="ULM6"/>
      <c r="ULN6"/>
      <c r="ULO6"/>
      <c r="ULP6"/>
      <c r="ULQ6"/>
      <c r="ULR6"/>
      <c r="ULS6"/>
      <c r="ULT6"/>
      <c r="ULU6"/>
      <c r="ULV6"/>
      <c r="ULW6"/>
      <c r="ULX6"/>
      <c r="ULY6"/>
      <c r="ULZ6"/>
      <c r="UMA6"/>
      <c r="UMB6"/>
      <c r="UMC6"/>
      <c r="UMD6"/>
      <c r="UME6"/>
      <c r="UMF6"/>
      <c r="UMG6"/>
      <c r="UMH6"/>
      <c r="UMI6"/>
      <c r="UMJ6"/>
      <c r="UMK6"/>
      <c r="UML6"/>
      <c r="UMM6"/>
      <c r="UMN6"/>
      <c r="UMO6"/>
      <c r="UMP6"/>
      <c r="UMQ6"/>
      <c r="UMR6"/>
      <c r="UMS6"/>
      <c r="UMT6"/>
      <c r="UMU6"/>
      <c r="UMV6"/>
      <c r="UMW6"/>
      <c r="UMX6"/>
      <c r="UMY6"/>
      <c r="UMZ6"/>
      <c r="UNA6"/>
      <c r="UNB6"/>
      <c r="UNC6"/>
      <c r="UND6"/>
      <c r="UNE6"/>
      <c r="UNF6"/>
      <c r="UNG6"/>
      <c r="UNH6"/>
      <c r="UNI6"/>
      <c r="UNJ6"/>
      <c r="UNK6"/>
      <c r="UNL6"/>
      <c r="UNM6"/>
      <c r="UNN6"/>
      <c r="UNO6"/>
      <c r="UNP6"/>
      <c r="UNQ6"/>
      <c r="UNR6"/>
      <c r="UNS6"/>
      <c r="UNT6"/>
      <c r="UNU6"/>
      <c r="UNV6"/>
      <c r="UNW6"/>
      <c r="UNX6"/>
      <c r="UNY6"/>
      <c r="UNZ6"/>
      <c r="UOA6"/>
      <c r="UOB6"/>
      <c r="UOC6"/>
      <c r="UOD6"/>
      <c r="UOE6"/>
      <c r="UOF6"/>
      <c r="UOG6"/>
      <c r="UOH6"/>
      <c r="UOI6"/>
      <c r="UOJ6"/>
      <c r="UOK6"/>
      <c r="UOL6"/>
      <c r="UOM6"/>
      <c r="UON6"/>
      <c r="UOO6"/>
      <c r="UOP6"/>
      <c r="UOQ6"/>
      <c r="UOR6"/>
      <c r="UOS6"/>
      <c r="UOT6"/>
      <c r="UOU6"/>
      <c r="UOV6"/>
      <c r="UOW6"/>
      <c r="UOX6"/>
      <c r="UOY6"/>
      <c r="UOZ6"/>
      <c r="UPA6"/>
      <c r="UPB6"/>
      <c r="UPC6"/>
      <c r="UPD6"/>
      <c r="UPE6"/>
      <c r="UPF6"/>
      <c r="UPG6"/>
      <c r="UPH6"/>
      <c r="UPI6"/>
      <c r="UPJ6"/>
      <c r="UPK6"/>
      <c r="UPL6"/>
      <c r="UPM6"/>
      <c r="UPN6"/>
      <c r="UPO6"/>
      <c r="UPP6"/>
      <c r="UPQ6"/>
      <c r="UPR6"/>
      <c r="UPS6"/>
      <c r="UPT6"/>
      <c r="UPU6"/>
      <c r="UPV6"/>
      <c r="UPW6"/>
      <c r="UPX6"/>
      <c r="UPY6"/>
      <c r="UPZ6"/>
      <c r="UQA6"/>
      <c r="UQB6"/>
      <c r="UQC6"/>
      <c r="UQD6"/>
      <c r="UQE6"/>
      <c r="UQF6"/>
      <c r="UQG6"/>
      <c r="UQH6"/>
      <c r="UQI6"/>
      <c r="UQJ6"/>
      <c r="UQK6"/>
      <c r="UQL6"/>
      <c r="UQM6"/>
      <c r="UQN6"/>
      <c r="UQO6"/>
      <c r="UQP6"/>
      <c r="UQQ6"/>
      <c r="UQR6"/>
      <c r="UQS6"/>
      <c r="UQT6"/>
      <c r="UQU6"/>
      <c r="UQV6"/>
      <c r="UQW6"/>
      <c r="UQX6"/>
      <c r="UQY6"/>
      <c r="UQZ6"/>
      <c r="URA6"/>
      <c r="URB6"/>
      <c r="URC6"/>
      <c r="URD6"/>
      <c r="URE6"/>
      <c r="URF6"/>
      <c r="URG6"/>
      <c r="URH6"/>
      <c r="URI6"/>
      <c r="URJ6"/>
      <c r="URK6"/>
      <c r="URL6"/>
      <c r="URM6"/>
      <c r="URN6"/>
      <c r="URO6"/>
      <c r="URP6"/>
      <c r="URQ6"/>
      <c r="URR6"/>
      <c r="URS6"/>
      <c r="URT6"/>
      <c r="URU6"/>
      <c r="URV6"/>
      <c r="URW6"/>
      <c r="URX6"/>
      <c r="URY6"/>
      <c r="URZ6"/>
      <c r="USA6"/>
      <c r="USB6"/>
      <c r="USC6"/>
      <c r="USD6"/>
      <c r="USE6"/>
      <c r="USF6"/>
      <c r="USG6"/>
      <c r="USH6"/>
      <c r="USI6"/>
      <c r="USJ6"/>
      <c r="USK6"/>
      <c r="USL6"/>
      <c r="USM6"/>
      <c r="USN6"/>
      <c r="USO6"/>
      <c r="USP6"/>
      <c r="USQ6"/>
      <c r="USR6"/>
      <c r="USS6"/>
      <c r="UST6"/>
      <c r="USU6"/>
      <c r="USV6"/>
      <c r="USW6"/>
      <c r="USX6"/>
      <c r="USY6"/>
      <c r="USZ6"/>
      <c r="UTA6"/>
      <c r="UTB6"/>
      <c r="UTC6"/>
      <c r="UTD6"/>
      <c r="UTE6"/>
      <c r="UTF6"/>
      <c r="UTG6"/>
      <c r="UTH6"/>
      <c r="UTI6"/>
      <c r="UTJ6"/>
      <c r="UTK6"/>
      <c r="UTL6"/>
      <c r="UTM6"/>
      <c r="UTN6"/>
      <c r="UTO6"/>
      <c r="UTP6"/>
      <c r="UTQ6"/>
      <c r="UTR6"/>
      <c r="UTS6"/>
      <c r="UTT6"/>
      <c r="UTU6"/>
      <c r="UTV6"/>
      <c r="UTW6"/>
      <c r="UTX6"/>
      <c r="UTY6"/>
      <c r="UTZ6"/>
      <c r="UUA6"/>
      <c r="UUB6"/>
      <c r="UUC6"/>
      <c r="UUD6"/>
      <c r="UUE6"/>
      <c r="UUF6"/>
      <c r="UUG6"/>
      <c r="UUH6"/>
      <c r="UUI6"/>
      <c r="UUJ6"/>
      <c r="UUK6"/>
      <c r="UUL6"/>
      <c r="UUM6"/>
      <c r="UUN6"/>
      <c r="UUO6"/>
      <c r="UUP6"/>
      <c r="UUQ6"/>
      <c r="UUR6"/>
      <c r="UUS6"/>
      <c r="UUT6"/>
      <c r="UUU6"/>
      <c r="UUV6"/>
      <c r="UUW6"/>
      <c r="UUX6"/>
      <c r="UUY6"/>
      <c r="UUZ6"/>
      <c r="UVA6"/>
      <c r="UVB6"/>
      <c r="UVC6"/>
      <c r="UVD6"/>
      <c r="UVE6"/>
      <c r="UVF6"/>
      <c r="UVG6"/>
      <c r="UVH6"/>
      <c r="UVI6"/>
      <c r="UVJ6"/>
      <c r="UVK6"/>
      <c r="UVL6"/>
      <c r="UVM6"/>
      <c r="UVN6"/>
      <c r="UVO6"/>
      <c r="UVP6"/>
      <c r="UVQ6"/>
      <c r="UVR6"/>
      <c r="UVS6"/>
      <c r="UVT6"/>
      <c r="UVU6"/>
      <c r="UVV6"/>
      <c r="UVW6"/>
      <c r="UVX6"/>
      <c r="UVY6"/>
      <c r="UVZ6"/>
      <c r="UWA6"/>
      <c r="UWB6"/>
      <c r="UWC6"/>
      <c r="UWD6"/>
      <c r="UWE6"/>
      <c r="UWF6"/>
      <c r="UWG6"/>
      <c r="UWH6"/>
      <c r="UWI6"/>
      <c r="UWJ6"/>
      <c r="UWK6"/>
      <c r="UWL6"/>
      <c r="UWM6"/>
      <c r="UWN6"/>
      <c r="UWO6"/>
      <c r="UWP6"/>
      <c r="UWQ6"/>
      <c r="UWR6"/>
      <c r="UWS6"/>
      <c r="UWT6"/>
      <c r="UWU6"/>
      <c r="UWV6"/>
      <c r="UWW6"/>
      <c r="UWX6"/>
      <c r="UWY6"/>
      <c r="UWZ6"/>
      <c r="UXA6"/>
      <c r="UXB6"/>
      <c r="UXC6"/>
      <c r="UXD6"/>
      <c r="UXE6"/>
      <c r="UXF6"/>
      <c r="UXG6"/>
      <c r="UXH6"/>
      <c r="UXI6"/>
      <c r="UXJ6"/>
      <c r="UXK6"/>
      <c r="UXL6"/>
      <c r="UXM6"/>
      <c r="UXN6"/>
      <c r="UXO6"/>
      <c r="UXP6"/>
      <c r="UXQ6"/>
      <c r="UXR6"/>
      <c r="UXS6"/>
      <c r="UXT6"/>
      <c r="UXU6"/>
      <c r="UXV6"/>
      <c r="UXW6"/>
      <c r="UXX6"/>
      <c r="UXY6"/>
      <c r="UXZ6"/>
      <c r="UYA6"/>
      <c r="UYB6"/>
      <c r="UYC6"/>
      <c r="UYD6"/>
      <c r="UYE6"/>
      <c r="UYF6"/>
      <c r="UYG6"/>
      <c r="UYH6"/>
      <c r="UYI6"/>
      <c r="UYJ6"/>
      <c r="UYK6"/>
      <c r="UYL6"/>
      <c r="UYM6"/>
      <c r="UYN6"/>
      <c r="UYO6"/>
      <c r="UYP6"/>
      <c r="UYQ6"/>
      <c r="UYR6"/>
      <c r="UYS6"/>
      <c r="UYT6"/>
      <c r="UYU6"/>
      <c r="UYV6"/>
      <c r="UYW6"/>
      <c r="UYX6"/>
      <c r="UYY6"/>
      <c r="UYZ6"/>
      <c r="UZA6"/>
      <c r="UZB6"/>
      <c r="UZC6"/>
      <c r="UZD6"/>
      <c r="UZE6"/>
      <c r="UZF6"/>
      <c r="UZG6"/>
      <c r="UZH6"/>
      <c r="UZI6"/>
      <c r="UZJ6"/>
      <c r="UZK6"/>
      <c r="UZL6"/>
      <c r="UZM6"/>
      <c r="UZN6"/>
      <c r="UZO6"/>
      <c r="UZP6"/>
      <c r="UZQ6"/>
      <c r="UZR6"/>
      <c r="UZS6"/>
      <c r="UZT6"/>
      <c r="UZU6"/>
      <c r="UZV6"/>
      <c r="UZW6"/>
      <c r="UZX6"/>
      <c r="UZY6"/>
      <c r="UZZ6"/>
      <c r="VAA6"/>
      <c r="VAB6"/>
      <c r="VAC6"/>
      <c r="VAD6"/>
      <c r="VAE6"/>
      <c r="VAF6"/>
      <c r="VAG6"/>
      <c r="VAH6"/>
      <c r="VAI6"/>
      <c r="VAJ6"/>
      <c r="VAK6"/>
      <c r="VAL6"/>
      <c r="VAM6"/>
      <c r="VAN6"/>
      <c r="VAO6"/>
      <c r="VAP6"/>
      <c r="VAQ6"/>
      <c r="VAR6"/>
      <c r="VAS6"/>
      <c r="VAT6"/>
      <c r="VAU6"/>
      <c r="VAV6"/>
      <c r="VAW6"/>
      <c r="VAX6"/>
      <c r="VAY6"/>
      <c r="VAZ6"/>
      <c r="VBA6"/>
      <c r="VBB6"/>
      <c r="VBC6"/>
      <c r="VBD6"/>
      <c r="VBE6"/>
      <c r="VBF6"/>
      <c r="VBG6"/>
      <c r="VBH6"/>
      <c r="VBI6"/>
      <c r="VBJ6"/>
      <c r="VBK6"/>
      <c r="VBL6"/>
      <c r="VBM6"/>
      <c r="VBN6"/>
      <c r="VBO6"/>
      <c r="VBP6"/>
      <c r="VBQ6"/>
      <c r="VBR6"/>
      <c r="VBS6"/>
      <c r="VBT6"/>
      <c r="VBU6"/>
      <c r="VBV6"/>
      <c r="VBW6"/>
      <c r="VBX6"/>
      <c r="VBY6"/>
      <c r="VBZ6"/>
      <c r="VCA6"/>
      <c r="VCB6"/>
      <c r="VCC6"/>
      <c r="VCD6"/>
      <c r="VCE6"/>
      <c r="VCF6"/>
      <c r="VCG6"/>
      <c r="VCH6"/>
      <c r="VCI6"/>
      <c r="VCJ6"/>
      <c r="VCK6"/>
      <c r="VCL6"/>
      <c r="VCM6"/>
      <c r="VCN6"/>
      <c r="VCO6"/>
      <c r="VCP6"/>
      <c r="VCQ6"/>
      <c r="VCR6"/>
      <c r="VCS6"/>
      <c r="VCT6"/>
      <c r="VCU6"/>
      <c r="VCV6"/>
      <c r="VCW6"/>
      <c r="VCX6"/>
      <c r="VCY6"/>
      <c r="VCZ6"/>
      <c r="VDA6"/>
      <c r="VDB6"/>
      <c r="VDC6"/>
      <c r="VDD6"/>
      <c r="VDE6"/>
      <c r="VDF6"/>
      <c r="VDG6"/>
      <c r="VDH6"/>
      <c r="VDI6"/>
      <c r="VDJ6"/>
      <c r="VDK6"/>
      <c r="VDL6"/>
      <c r="VDM6"/>
      <c r="VDN6"/>
      <c r="VDO6"/>
      <c r="VDP6"/>
      <c r="VDQ6"/>
      <c r="VDR6"/>
      <c r="VDS6"/>
      <c r="VDT6"/>
      <c r="VDU6"/>
      <c r="VDV6"/>
      <c r="VDW6"/>
      <c r="VDX6"/>
      <c r="VDY6"/>
      <c r="VDZ6"/>
      <c r="VEA6"/>
      <c r="VEB6"/>
      <c r="VEC6"/>
      <c r="VED6"/>
      <c r="VEE6"/>
      <c r="VEF6"/>
      <c r="VEG6"/>
      <c r="VEH6"/>
      <c r="VEI6"/>
      <c r="VEJ6"/>
      <c r="VEK6"/>
      <c r="VEL6"/>
      <c r="VEM6"/>
      <c r="VEN6"/>
      <c r="VEO6"/>
      <c r="VEP6"/>
      <c r="VEQ6"/>
      <c r="VER6"/>
      <c r="VES6"/>
      <c r="VET6"/>
      <c r="VEU6"/>
      <c r="VEV6"/>
      <c r="VEW6"/>
      <c r="VEX6"/>
      <c r="VEY6"/>
      <c r="VEZ6"/>
      <c r="VFA6"/>
      <c r="VFB6"/>
      <c r="VFC6"/>
      <c r="VFD6"/>
      <c r="VFE6"/>
      <c r="VFF6"/>
      <c r="VFG6"/>
      <c r="VFH6"/>
      <c r="VFI6"/>
      <c r="VFJ6"/>
      <c r="VFK6"/>
      <c r="VFL6"/>
      <c r="VFM6"/>
      <c r="VFN6"/>
      <c r="VFO6"/>
      <c r="VFP6"/>
      <c r="VFQ6"/>
      <c r="VFR6"/>
      <c r="VFS6"/>
      <c r="VFT6"/>
      <c r="VFU6"/>
      <c r="VFV6"/>
      <c r="VFW6"/>
      <c r="VFX6"/>
      <c r="VFY6"/>
      <c r="VFZ6"/>
      <c r="VGA6"/>
      <c r="VGB6"/>
      <c r="VGC6"/>
      <c r="VGD6"/>
      <c r="VGE6"/>
      <c r="VGF6"/>
      <c r="VGG6"/>
      <c r="VGH6"/>
      <c r="VGI6"/>
      <c r="VGJ6"/>
      <c r="VGK6"/>
      <c r="VGL6"/>
      <c r="VGM6"/>
      <c r="VGN6"/>
      <c r="VGO6"/>
      <c r="VGP6"/>
      <c r="VGQ6"/>
      <c r="VGR6"/>
      <c r="VGS6"/>
      <c r="VGT6"/>
      <c r="VGU6"/>
      <c r="VGV6"/>
      <c r="VGW6"/>
      <c r="VGX6"/>
      <c r="VGY6"/>
      <c r="VGZ6"/>
      <c r="VHA6"/>
      <c r="VHB6"/>
      <c r="VHC6"/>
      <c r="VHD6"/>
      <c r="VHE6"/>
      <c r="VHF6"/>
      <c r="VHG6"/>
      <c r="VHH6"/>
      <c r="VHI6"/>
      <c r="VHJ6"/>
      <c r="VHK6"/>
      <c r="VHL6"/>
      <c r="VHM6"/>
      <c r="VHN6"/>
      <c r="VHO6"/>
      <c r="VHP6"/>
      <c r="VHQ6"/>
      <c r="VHR6"/>
      <c r="VHS6"/>
      <c r="VHT6"/>
      <c r="VHU6"/>
      <c r="VHV6"/>
      <c r="VHW6"/>
      <c r="VHX6"/>
      <c r="VHY6"/>
      <c r="VHZ6"/>
      <c r="VIA6"/>
      <c r="VIB6"/>
      <c r="VIC6"/>
      <c r="VID6"/>
      <c r="VIE6"/>
      <c r="VIF6"/>
      <c r="VIG6"/>
      <c r="VIH6"/>
      <c r="VII6"/>
      <c r="VIJ6"/>
      <c r="VIK6"/>
      <c r="VIL6"/>
      <c r="VIM6"/>
      <c r="VIN6"/>
      <c r="VIO6"/>
      <c r="VIP6"/>
      <c r="VIQ6"/>
      <c r="VIR6"/>
      <c r="VIS6"/>
      <c r="VIT6"/>
      <c r="VIU6"/>
      <c r="VIV6"/>
      <c r="VIW6"/>
      <c r="VIX6"/>
      <c r="VIY6"/>
      <c r="VIZ6"/>
      <c r="VJA6"/>
      <c r="VJB6"/>
      <c r="VJC6"/>
      <c r="VJD6"/>
      <c r="VJE6"/>
      <c r="VJF6"/>
      <c r="VJG6"/>
      <c r="VJH6"/>
      <c r="VJI6"/>
      <c r="VJJ6"/>
      <c r="VJK6"/>
      <c r="VJL6"/>
      <c r="VJM6"/>
      <c r="VJN6"/>
      <c r="VJO6"/>
      <c r="VJP6"/>
      <c r="VJQ6"/>
      <c r="VJR6"/>
      <c r="VJS6"/>
      <c r="VJT6"/>
      <c r="VJU6"/>
      <c r="VJV6"/>
      <c r="VJW6"/>
      <c r="VJX6"/>
      <c r="VJY6"/>
      <c r="VJZ6"/>
      <c r="VKA6"/>
      <c r="VKB6"/>
      <c r="VKC6"/>
      <c r="VKD6"/>
      <c r="VKE6"/>
      <c r="VKF6"/>
      <c r="VKG6"/>
      <c r="VKH6"/>
      <c r="VKI6"/>
      <c r="VKJ6"/>
      <c r="VKK6"/>
      <c r="VKL6"/>
      <c r="VKM6"/>
      <c r="VKN6"/>
      <c r="VKO6"/>
      <c r="VKP6"/>
      <c r="VKQ6"/>
      <c r="VKR6"/>
      <c r="VKS6"/>
      <c r="VKT6"/>
      <c r="VKU6"/>
      <c r="VKV6"/>
      <c r="VKW6"/>
      <c r="VKX6"/>
      <c r="VKY6"/>
      <c r="VKZ6"/>
      <c r="VLA6"/>
      <c r="VLB6"/>
      <c r="VLC6"/>
      <c r="VLD6"/>
      <c r="VLE6"/>
      <c r="VLF6"/>
      <c r="VLG6"/>
      <c r="VLH6"/>
      <c r="VLI6"/>
      <c r="VLJ6"/>
      <c r="VLK6"/>
      <c r="VLL6"/>
      <c r="VLM6"/>
      <c r="VLN6"/>
      <c r="VLO6"/>
      <c r="VLP6"/>
      <c r="VLQ6"/>
      <c r="VLR6"/>
      <c r="VLS6"/>
      <c r="VLT6"/>
      <c r="VLU6"/>
      <c r="VLV6"/>
      <c r="VLW6"/>
      <c r="VLX6"/>
      <c r="VLY6"/>
      <c r="VLZ6"/>
      <c r="VMA6"/>
      <c r="VMB6"/>
      <c r="VMC6"/>
      <c r="VMD6"/>
      <c r="VME6"/>
      <c r="VMF6"/>
      <c r="VMG6"/>
      <c r="VMH6"/>
      <c r="VMI6"/>
      <c r="VMJ6"/>
      <c r="VMK6"/>
      <c r="VML6"/>
      <c r="VMM6"/>
      <c r="VMN6"/>
      <c r="VMO6"/>
      <c r="VMP6"/>
      <c r="VMQ6"/>
      <c r="VMR6"/>
      <c r="VMS6"/>
      <c r="VMT6"/>
      <c r="VMU6"/>
      <c r="VMV6"/>
      <c r="VMW6"/>
      <c r="VMX6"/>
      <c r="VMY6"/>
      <c r="VMZ6"/>
      <c r="VNA6"/>
      <c r="VNB6"/>
      <c r="VNC6"/>
      <c r="VND6"/>
      <c r="VNE6"/>
      <c r="VNF6"/>
      <c r="VNG6"/>
      <c r="VNH6"/>
      <c r="VNI6"/>
      <c r="VNJ6"/>
      <c r="VNK6"/>
      <c r="VNL6"/>
      <c r="VNM6"/>
      <c r="VNN6"/>
      <c r="VNO6"/>
      <c r="VNP6"/>
      <c r="VNQ6"/>
      <c r="VNR6"/>
      <c r="VNS6"/>
      <c r="VNT6"/>
      <c r="VNU6"/>
      <c r="VNV6"/>
      <c r="VNW6"/>
      <c r="VNX6"/>
      <c r="VNY6"/>
      <c r="VNZ6"/>
      <c r="VOA6"/>
      <c r="VOB6"/>
      <c r="VOC6"/>
      <c r="VOD6"/>
      <c r="VOE6"/>
      <c r="VOF6"/>
      <c r="VOG6"/>
      <c r="VOH6"/>
      <c r="VOI6"/>
      <c r="VOJ6"/>
      <c r="VOK6"/>
      <c r="VOL6"/>
      <c r="VOM6"/>
      <c r="VON6"/>
      <c r="VOO6"/>
      <c r="VOP6"/>
      <c r="VOQ6"/>
      <c r="VOR6"/>
      <c r="VOS6"/>
      <c r="VOT6"/>
      <c r="VOU6"/>
      <c r="VOV6"/>
      <c r="VOW6"/>
      <c r="VOX6"/>
      <c r="VOY6"/>
      <c r="VOZ6"/>
      <c r="VPA6"/>
      <c r="VPB6"/>
      <c r="VPC6"/>
      <c r="VPD6"/>
      <c r="VPE6"/>
      <c r="VPF6"/>
      <c r="VPG6"/>
      <c r="VPH6"/>
      <c r="VPI6"/>
      <c r="VPJ6"/>
      <c r="VPK6"/>
      <c r="VPL6"/>
      <c r="VPM6"/>
      <c r="VPN6"/>
      <c r="VPO6"/>
      <c r="VPP6"/>
      <c r="VPQ6"/>
      <c r="VPR6"/>
      <c r="VPS6"/>
      <c r="VPT6"/>
      <c r="VPU6"/>
      <c r="VPV6"/>
      <c r="VPW6"/>
      <c r="VPX6"/>
      <c r="VPY6"/>
      <c r="VPZ6"/>
      <c r="VQA6"/>
      <c r="VQB6"/>
      <c r="VQC6"/>
      <c r="VQD6"/>
      <c r="VQE6"/>
      <c r="VQF6"/>
      <c r="VQG6"/>
      <c r="VQH6"/>
      <c r="VQI6"/>
      <c r="VQJ6"/>
      <c r="VQK6"/>
      <c r="VQL6"/>
      <c r="VQM6"/>
      <c r="VQN6"/>
      <c r="VQO6"/>
      <c r="VQP6"/>
      <c r="VQQ6"/>
      <c r="VQR6"/>
      <c r="VQS6"/>
      <c r="VQT6"/>
      <c r="VQU6"/>
      <c r="VQV6"/>
      <c r="VQW6"/>
      <c r="VQX6"/>
      <c r="VQY6"/>
      <c r="VQZ6"/>
      <c r="VRA6"/>
      <c r="VRB6"/>
      <c r="VRC6"/>
      <c r="VRD6"/>
      <c r="VRE6"/>
      <c r="VRF6"/>
      <c r="VRG6"/>
      <c r="VRH6"/>
      <c r="VRI6"/>
      <c r="VRJ6"/>
      <c r="VRK6"/>
      <c r="VRL6"/>
      <c r="VRM6"/>
      <c r="VRN6"/>
      <c r="VRO6"/>
      <c r="VRP6"/>
      <c r="VRQ6"/>
      <c r="VRR6"/>
      <c r="VRS6"/>
      <c r="VRT6"/>
      <c r="VRU6"/>
      <c r="VRV6"/>
      <c r="VRW6"/>
      <c r="VRX6"/>
      <c r="VRY6"/>
      <c r="VRZ6"/>
      <c r="VSA6"/>
      <c r="VSB6"/>
      <c r="VSC6"/>
      <c r="VSD6"/>
      <c r="VSE6"/>
      <c r="VSF6"/>
      <c r="VSG6"/>
      <c r="VSH6"/>
      <c r="VSI6"/>
      <c r="VSJ6"/>
      <c r="VSK6"/>
      <c r="VSL6"/>
      <c r="VSM6"/>
      <c r="VSN6"/>
      <c r="VSO6"/>
      <c r="VSP6"/>
      <c r="VSQ6"/>
      <c r="VSR6"/>
      <c r="VSS6"/>
      <c r="VST6"/>
      <c r="VSU6"/>
      <c r="VSV6"/>
      <c r="VSW6"/>
      <c r="VSX6"/>
      <c r="VSY6"/>
      <c r="VSZ6"/>
      <c r="VTA6"/>
      <c r="VTB6"/>
      <c r="VTC6"/>
      <c r="VTD6"/>
      <c r="VTE6"/>
      <c r="VTF6"/>
      <c r="VTG6"/>
      <c r="VTH6"/>
      <c r="VTI6"/>
      <c r="VTJ6"/>
      <c r="VTK6"/>
      <c r="VTL6"/>
      <c r="VTM6"/>
      <c r="VTN6"/>
      <c r="VTO6"/>
      <c r="VTP6"/>
      <c r="VTQ6"/>
      <c r="VTR6"/>
      <c r="VTS6"/>
      <c r="VTT6"/>
      <c r="VTU6"/>
      <c r="VTV6"/>
      <c r="VTW6"/>
      <c r="VTX6"/>
      <c r="VTY6"/>
      <c r="VTZ6"/>
      <c r="VUA6"/>
      <c r="VUB6"/>
      <c r="VUC6"/>
      <c r="VUD6"/>
      <c r="VUE6"/>
      <c r="VUF6"/>
      <c r="VUG6"/>
      <c r="VUH6"/>
      <c r="VUI6"/>
      <c r="VUJ6"/>
      <c r="VUK6"/>
      <c r="VUL6"/>
      <c r="VUM6"/>
      <c r="VUN6"/>
      <c r="VUO6"/>
      <c r="VUP6"/>
      <c r="VUQ6"/>
      <c r="VUR6"/>
      <c r="VUS6"/>
      <c r="VUT6"/>
      <c r="VUU6"/>
      <c r="VUV6"/>
      <c r="VUW6"/>
      <c r="VUX6"/>
      <c r="VUY6"/>
      <c r="VUZ6"/>
      <c r="VVA6"/>
      <c r="VVB6"/>
      <c r="VVC6"/>
      <c r="VVD6"/>
      <c r="VVE6"/>
      <c r="VVF6"/>
      <c r="VVG6"/>
      <c r="VVH6"/>
      <c r="VVI6"/>
      <c r="VVJ6"/>
      <c r="VVK6"/>
      <c r="VVL6"/>
      <c r="VVM6"/>
      <c r="VVN6"/>
      <c r="VVO6"/>
      <c r="VVP6"/>
      <c r="VVQ6"/>
      <c r="VVR6"/>
      <c r="VVS6"/>
      <c r="VVT6"/>
      <c r="VVU6"/>
      <c r="VVV6"/>
      <c r="VVW6"/>
      <c r="VVX6"/>
      <c r="VVY6"/>
      <c r="VVZ6"/>
      <c r="VWA6"/>
      <c r="VWB6"/>
      <c r="VWC6"/>
      <c r="VWD6"/>
      <c r="VWE6"/>
      <c r="VWF6"/>
      <c r="VWG6"/>
      <c r="VWH6"/>
      <c r="VWI6"/>
      <c r="VWJ6"/>
      <c r="VWK6"/>
      <c r="VWL6"/>
      <c r="VWM6"/>
      <c r="VWN6"/>
      <c r="VWO6"/>
      <c r="VWP6"/>
      <c r="VWQ6"/>
      <c r="VWR6"/>
      <c r="VWS6"/>
      <c r="VWT6"/>
      <c r="VWU6"/>
      <c r="VWV6"/>
      <c r="VWW6"/>
      <c r="VWX6"/>
      <c r="VWY6"/>
      <c r="VWZ6"/>
      <c r="VXA6"/>
      <c r="VXB6"/>
      <c r="VXC6"/>
      <c r="VXD6"/>
      <c r="VXE6"/>
      <c r="VXF6"/>
      <c r="VXG6"/>
      <c r="VXH6"/>
      <c r="VXI6"/>
      <c r="VXJ6"/>
      <c r="VXK6"/>
      <c r="VXL6"/>
      <c r="VXM6"/>
      <c r="VXN6"/>
      <c r="VXO6"/>
      <c r="VXP6"/>
      <c r="VXQ6"/>
      <c r="VXR6"/>
      <c r="VXS6"/>
      <c r="VXT6"/>
      <c r="VXU6"/>
      <c r="VXV6"/>
      <c r="VXW6"/>
      <c r="VXX6"/>
      <c r="VXY6"/>
      <c r="VXZ6"/>
      <c r="VYA6"/>
      <c r="VYB6"/>
      <c r="VYC6"/>
      <c r="VYD6"/>
      <c r="VYE6"/>
      <c r="VYF6"/>
      <c r="VYG6"/>
      <c r="VYH6"/>
      <c r="VYI6"/>
      <c r="VYJ6"/>
      <c r="VYK6"/>
      <c r="VYL6"/>
      <c r="VYM6"/>
      <c r="VYN6"/>
      <c r="VYO6"/>
      <c r="VYP6"/>
      <c r="VYQ6"/>
      <c r="VYR6"/>
      <c r="VYS6"/>
      <c r="VYT6"/>
      <c r="VYU6"/>
      <c r="VYV6"/>
      <c r="VYW6"/>
      <c r="VYX6"/>
      <c r="VYY6"/>
      <c r="VYZ6"/>
      <c r="VZA6"/>
      <c r="VZB6"/>
      <c r="VZC6"/>
      <c r="VZD6"/>
      <c r="VZE6"/>
      <c r="VZF6"/>
      <c r="VZG6"/>
      <c r="VZH6"/>
      <c r="VZI6"/>
      <c r="VZJ6"/>
      <c r="VZK6"/>
      <c r="VZL6"/>
      <c r="VZM6"/>
      <c r="VZN6"/>
      <c r="VZO6"/>
      <c r="VZP6"/>
      <c r="VZQ6"/>
      <c r="VZR6"/>
      <c r="VZS6"/>
      <c r="VZT6"/>
      <c r="VZU6"/>
      <c r="VZV6"/>
      <c r="VZW6"/>
      <c r="VZX6"/>
      <c r="VZY6"/>
      <c r="VZZ6"/>
      <c r="WAA6"/>
      <c r="WAB6"/>
      <c r="WAC6"/>
      <c r="WAD6"/>
      <c r="WAE6"/>
      <c r="WAF6"/>
      <c r="WAG6"/>
      <c r="WAH6"/>
      <c r="WAI6"/>
      <c r="WAJ6"/>
      <c r="WAK6"/>
      <c r="WAL6"/>
      <c r="WAM6"/>
      <c r="WAN6"/>
      <c r="WAO6"/>
      <c r="WAP6"/>
      <c r="WAQ6"/>
      <c r="WAR6"/>
      <c r="WAS6"/>
      <c r="WAT6"/>
      <c r="WAU6"/>
      <c r="WAV6"/>
      <c r="WAW6"/>
      <c r="WAX6"/>
      <c r="WAY6"/>
      <c r="WAZ6"/>
      <c r="WBA6"/>
      <c r="WBB6"/>
      <c r="WBC6"/>
      <c r="WBD6"/>
      <c r="WBE6"/>
      <c r="WBF6"/>
      <c r="WBG6"/>
      <c r="WBH6"/>
      <c r="WBI6"/>
      <c r="WBJ6"/>
      <c r="WBK6"/>
      <c r="WBL6"/>
      <c r="WBM6"/>
      <c r="WBN6"/>
      <c r="WBO6"/>
      <c r="WBP6"/>
      <c r="WBQ6"/>
      <c r="WBR6"/>
      <c r="WBS6"/>
      <c r="WBT6"/>
      <c r="WBU6"/>
      <c r="WBV6"/>
      <c r="WBW6"/>
      <c r="WBX6"/>
      <c r="WBY6"/>
      <c r="WBZ6"/>
      <c r="WCA6"/>
      <c r="WCB6"/>
      <c r="WCC6"/>
      <c r="WCD6"/>
      <c r="WCE6"/>
      <c r="WCF6"/>
      <c r="WCG6"/>
      <c r="WCH6"/>
      <c r="WCI6"/>
      <c r="WCJ6"/>
      <c r="WCK6"/>
      <c r="WCL6"/>
      <c r="WCM6"/>
      <c r="WCN6"/>
      <c r="WCO6"/>
      <c r="WCP6"/>
      <c r="WCQ6"/>
      <c r="WCR6"/>
      <c r="WCS6"/>
      <c r="WCT6"/>
      <c r="WCU6"/>
      <c r="WCV6"/>
      <c r="WCW6"/>
      <c r="WCX6"/>
      <c r="WCY6"/>
      <c r="WCZ6"/>
      <c r="WDA6"/>
      <c r="WDB6"/>
      <c r="WDC6"/>
      <c r="WDD6"/>
      <c r="WDE6"/>
      <c r="WDF6"/>
      <c r="WDG6"/>
      <c r="WDH6"/>
      <c r="WDI6"/>
      <c r="WDJ6"/>
      <c r="WDK6"/>
      <c r="WDL6"/>
      <c r="WDM6"/>
      <c r="WDN6"/>
      <c r="WDO6"/>
      <c r="WDP6"/>
      <c r="WDQ6"/>
      <c r="WDR6"/>
      <c r="WDS6"/>
      <c r="WDT6"/>
      <c r="WDU6"/>
      <c r="WDV6"/>
      <c r="WDW6"/>
      <c r="WDX6"/>
      <c r="WDY6"/>
      <c r="WDZ6"/>
      <c r="WEA6"/>
      <c r="WEB6"/>
      <c r="WEC6"/>
      <c r="WED6"/>
      <c r="WEE6"/>
      <c r="WEF6"/>
      <c r="WEG6"/>
      <c r="WEH6"/>
      <c r="WEI6"/>
      <c r="WEJ6"/>
      <c r="WEK6"/>
      <c r="WEL6"/>
      <c r="WEM6"/>
      <c r="WEN6"/>
      <c r="WEO6"/>
      <c r="WEP6"/>
      <c r="WEQ6"/>
      <c r="WER6"/>
      <c r="WES6"/>
      <c r="WET6"/>
      <c r="WEU6"/>
      <c r="WEV6"/>
      <c r="WEW6"/>
      <c r="WEX6"/>
      <c r="WEY6"/>
      <c r="WEZ6"/>
      <c r="WFA6"/>
      <c r="WFB6"/>
      <c r="WFC6"/>
      <c r="WFD6"/>
      <c r="WFE6"/>
      <c r="WFF6"/>
      <c r="WFG6"/>
      <c r="WFH6"/>
      <c r="WFI6"/>
      <c r="WFJ6"/>
      <c r="WFK6"/>
      <c r="WFL6"/>
      <c r="WFM6"/>
      <c r="WFN6"/>
      <c r="WFO6"/>
      <c r="WFP6"/>
      <c r="WFQ6"/>
      <c r="WFR6"/>
      <c r="WFS6"/>
      <c r="WFT6"/>
      <c r="WFU6"/>
      <c r="WFV6"/>
      <c r="WFW6"/>
      <c r="WFX6"/>
      <c r="WFY6"/>
      <c r="WFZ6"/>
      <c r="WGA6"/>
      <c r="WGB6"/>
      <c r="WGC6"/>
      <c r="WGD6"/>
      <c r="WGE6"/>
      <c r="WGF6"/>
      <c r="WGG6"/>
      <c r="WGH6"/>
      <c r="WGI6"/>
      <c r="WGJ6"/>
      <c r="WGK6"/>
      <c r="WGL6"/>
      <c r="WGM6"/>
      <c r="WGN6"/>
      <c r="WGO6"/>
      <c r="WGP6"/>
      <c r="WGQ6"/>
      <c r="WGR6"/>
      <c r="WGS6"/>
      <c r="WGT6"/>
      <c r="WGU6"/>
      <c r="WGV6"/>
      <c r="WGW6"/>
      <c r="WGX6"/>
      <c r="WGY6"/>
      <c r="WGZ6"/>
      <c r="WHA6"/>
      <c r="WHB6"/>
      <c r="WHC6"/>
      <c r="WHD6"/>
      <c r="WHE6"/>
      <c r="WHF6"/>
      <c r="WHG6"/>
      <c r="WHH6"/>
      <c r="WHI6"/>
      <c r="WHJ6"/>
      <c r="WHK6"/>
      <c r="WHL6"/>
      <c r="WHM6"/>
      <c r="WHN6"/>
      <c r="WHO6"/>
      <c r="WHP6"/>
      <c r="WHQ6"/>
      <c r="WHR6"/>
      <c r="WHS6"/>
      <c r="WHT6"/>
      <c r="WHU6"/>
      <c r="WHV6"/>
      <c r="WHW6"/>
      <c r="WHX6"/>
      <c r="WHY6"/>
      <c r="WHZ6"/>
      <c r="WIA6"/>
      <c r="WIB6"/>
      <c r="WIC6"/>
      <c r="WID6"/>
      <c r="WIE6"/>
      <c r="WIF6"/>
      <c r="WIG6"/>
      <c r="WIH6"/>
      <c r="WII6"/>
      <c r="WIJ6"/>
      <c r="WIK6"/>
      <c r="WIL6"/>
      <c r="WIM6"/>
      <c r="WIN6"/>
      <c r="WIO6"/>
      <c r="WIP6"/>
      <c r="WIQ6"/>
      <c r="WIR6"/>
      <c r="WIS6"/>
      <c r="WIT6"/>
      <c r="WIU6"/>
      <c r="WIV6"/>
      <c r="WIW6"/>
      <c r="WIX6"/>
      <c r="WIY6"/>
      <c r="WIZ6"/>
      <c r="WJA6"/>
      <c r="WJB6"/>
      <c r="WJC6"/>
      <c r="WJD6"/>
      <c r="WJE6"/>
      <c r="WJF6"/>
      <c r="WJG6"/>
      <c r="WJH6"/>
      <c r="WJI6"/>
      <c r="WJJ6"/>
      <c r="WJK6"/>
      <c r="WJL6"/>
      <c r="WJM6"/>
      <c r="WJN6"/>
      <c r="WJO6"/>
      <c r="WJP6"/>
      <c r="WJQ6"/>
      <c r="WJR6"/>
      <c r="WJS6"/>
      <c r="WJT6"/>
      <c r="WJU6"/>
      <c r="WJV6"/>
      <c r="WJW6"/>
      <c r="WJX6"/>
      <c r="WJY6"/>
      <c r="WJZ6"/>
      <c r="WKA6"/>
      <c r="WKB6"/>
      <c r="WKC6"/>
      <c r="WKD6"/>
      <c r="WKE6"/>
      <c r="WKF6"/>
      <c r="WKG6"/>
      <c r="WKH6"/>
      <c r="WKI6"/>
      <c r="WKJ6"/>
      <c r="WKK6"/>
      <c r="WKL6"/>
      <c r="WKM6"/>
      <c r="WKN6"/>
      <c r="WKO6"/>
      <c r="WKP6"/>
      <c r="WKQ6"/>
      <c r="WKR6"/>
      <c r="WKS6"/>
      <c r="WKT6"/>
      <c r="WKU6"/>
      <c r="WKV6"/>
      <c r="WKW6"/>
      <c r="WKX6"/>
      <c r="WKY6"/>
      <c r="WKZ6"/>
      <c r="WLA6"/>
      <c r="WLB6"/>
      <c r="WLC6"/>
      <c r="WLD6"/>
      <c r="WLE6"/>
      <c r="WLF6"/>
      <c r="WLG6"/>
      <c r="WLH6"/>
      <c r="WLI6"/>
      <c r="WLJ6"/>
      <c r="WLK6"/>
      <c r="WLL6"/>
      <c r="WLM6"/>
      <c r="WLN6"/>
      <c r="WLO6"/>
      <c r="WLP6"/>
      <c r="WLQ6"/>
      <c r="WLR6"/>
      <c r="WLS6"/>
      <c r="WLT6"/>
      <c r="WLU6"/>
      <c r="WLV6"/>
      <c r="WLW6"/>
      <c r="WLX6"/>
      <c r="WLY6"/>
      <c r="WLZ6"/>
      <c r="WMA6"/>
      <c r="WMB6"/>
      <c r="WMC6"/>
      <c r="WMD6"/>
      <c r="WME6"/>
      <c r="WMF6"/>
      <c r="WMG6"/>
      <c r="WMH6"/>
      <c r="WMI6"/>
      <c r="WMJ6"/>
      <c r="WMK6"/>
      <c r="WML6"/>
      <c r="WMM6"/>
      <c r="WMN6"/>
      <c r="WMO6"/>
      <c r="WMP6"/>
      <c r="WMQ6"/>
      <c r="WMR6"/>
      <c r="WMS6"/>
      <c r="WMT6"/>
      <c r="WMU6"/>
      <c r="WMV6"/>
      <c r="WMW6"/>
      <c r="WMX6"/>
      <c r="WMY6"/>
      <c r="WMZ6"/>
      <c r="WNA6"/>
      <c r="WNB6"/>
      <c r="WNC6"/>
      <c r="WND6"/>
      <c r="WNE6"/>
      <c r="WNF6"/>
      <c r="WNG6"/>
      <c r="WNH6"/>
      <c r="WNI6"/>
      <c r="WNJ6"/>
      <c r="WNK6"/>
      <c r="WNL6"/>
      <c r="WNM6"/>
      <c r="WNN6"/>
      <c r="WNO6"/>
      <c r="WNP6"/>
      <c r="WNQ6"/>
      <c r="WNR6"/>
      <c r="WNS6"/>
      <c r="WNT6"/>
      <c r="WNU6"/>
      <c r="WNV6"/>
      <c r="WNW6"/>
      <c r="WNX6"/>
      <c r="WNY6"/>
      <c r="WNZ6"/>
      <c r="WOA6"/>
      <c r="WOB6"/>
      <c r="WOC6"/>
      <c r="WOD6"/>
      <c r="WOE6"/>
      <c r="WOF6"/>
      <c r="WOG6"/>
      <c r="WOH6"/>
      <c r="WOI6"/>
      <c r="WOJ6"/>
      <c r="WOK6"/>
      <c r="WOL6"/>
      <c r="WOM6"/>
      <c r="WON6"/>
      <c r="WOO6"/>
      <c r="WOP6"/>
      <c r="WOQ6"/>
      <c r="WOR6"/>
      <c r="WOS6"/>
      <c r="WOT6"/>
      <c r="WOU6"/>
      <c r="WOV6"/>
      <c r="WOW6"/>
      <c r="WOX6"/>
      <c r="WOY6"/>
      <c r="WOZ6"/>
      <c r="WPA6"/>
      <c r="WPB6"/>
      <c r="WPC6"/>
      <c r="WPD6"/>
      <c r="WPE6"/>
      <c r="WPF6"/>
      <c r="WPG6"/>
      <c r="WPH6"/>
      <c r="WPI6"/>
      <c r="WPJ6"/>
      <c r="WPK6"/>
      <c r="WPL6"/>
      <c r="WPM6"/>
      <c r="WPN6"/>
      <c r="WPO6"/>
      <c r="WPP6"/>
      <c r="WPQ6"/>
      <c r="WPR6"/>
      <c r="WPS6"/>
      <c r="WPT6"/>
      <c r="WPU6"/>
      <c r="WPV6"/>
      <c r="WPW6"/>
      <c r="WPX6"/>
      <c r="WPY6"/>
      <c r="WPZ6"/>
      <c r="WQA6"/>
      <c r="WQB6"/>
      <c r="WQC6"/>
      <c r="WQD6"/>
      <c r="WQE6"/>
      <c r="WQF6"/>
      <c r="WQG6"/>
      <c r="WQH6"/>
      <c r="WQI6"/>
      <c r="WQJ6"/>
      <c r="WQK6"/>
      <c r="WQL6"/>
      <c r="WQM6"/>
      <c r="WQN6"/>
      <c r="WQO6"/>
      <c r="WQP6"/>
      <c r="WQQ6"/>
      <c r="WQR6"/>
      <c r="WQS6"/>
      <c r="WQT6"/>
      <c r="WQU6"/>
      <c r="WQV6"/>
      <c r="WQW6"/>
      <c r="WQX6"/>
      <c r="WQY6"/>
      <c r="WQZ6"/>
      <c r="WRA6"/>
      <c r="WRB6"/>
      <c r="WRC6"/>
      <c r="WRD6"/>
      <c r="WRE6"/>
      <c r="WRF6"/>
      <c r="WRG6"/>
      <c r="WRH6"/>
      <c r="WRI6"/>
      <c r="WRJ6"/>
      <c r="WRK6"/>
      <c r="WRL6"/>
      <c r="WRM6"/>
      <c r="WRN6"/>
      <c r="WRO6"/>
      <c r="WRP6"/>
      <c r="WRQ6"/>
      <c r="WRR6"/>
      <c r="WRS6"/>
      <c r="WRT6"/>
      <c r="WRU6"/>
      <c r="WRV6"/>
      <c r="WRW6"/>
      <c r="WRX6"/>
      <c r="WRY6"/>
      <c r="WRZ6"/>
      <c r="WSA6"/>
      <c r="WSB6"/>
      <c r="WSC6"/>
      <c r="WSD6"/>
      <c r="WSE6"/>
      <c r="WSF6"/>
      <c r="WSG6"/>
      <c r="WSH6"/>
      <c r="WSI6"/>
      <c r="WSJ6"/>
      <c r="WSK6"/>
      <c r="WSL6"/>
      <c r="WSM6"/>
      <c r="WSN6"/>
      <c r="WSO6"/>
      <c r="WSP6"/>
      <c r="WSQ6"/>
      <c r="WSR6"/>
      <c r="WSS6"/>
      <c r="WST6"/>
      <c r="WSU6"/>
      <c r="WSV6"/>
      <c r="WSW6"/>
      <c r="WSX6"/>
      <c r="WSY6"/>
      <c r="WSZ6"/>
      <c r="WTA6"/>
      <c r="WTB6"/>
      <c r="WTC6"/>
      <c r="WTD6"/>
      <c r="WTE6"/>
      <c r="WTF6"/>
      <c r="WTG6"/>
      <c r="WTH6"/>
      <c r="WTI6"/>
      <c r="WTJ6"/>
      <c r="WTK6"/>
      <c r="WTL6"/>
      <c r="WTM6"/>
      <c r="WTN6"/>
      <c r="WTO6"/>
      <c r="WTP6"/>
      <c r="WTQ6"/>
      <c r="WTR6"/>
      <c r="WTS6"/>
      <c r="WTT6"/>
      <c r="WTU6"/>
      <c r="WTV6"/>
      <c r="WTW6"/>
      <c r="WTX6"/>
      <c r="WTY6"/>
      <c r="WTZ6"/>
      <c r="WUA6"/>
      <c r="WUB6"/>
      <c r="WUC6"/>
      <c r="WUD6"/>
      <c r="WUE6"/>
      <c r="WUF6"/>
      <c r="WUG6"/>
      <c r="WUH6"/>
      <c r="WUI6"/>
      <c r="WUJ6"/>
      <c r="WUK6"/>
      <c r="WUL6"/>
      <c r="WUM6"/>
      <c r="WUN6"/>
      <c r="WUO6"/>
      <c r="WUP6"/>
      <c r="WUQ6"/>
      <c r="WUR6"/>
      <c r="WUS6"/>
      <c r="WUT6"/>
      <c r="WUU6"/>
      <c r="WUV6"/>
      <c r="WUW6"/>
      <c r="WUX6"/>
      <c r="WUY6"/>
      <c r="WUZ6"/>
      <c r="WVA6"/>
      <c r="WVB6"/>
      <c r="WVC6"/>
      <c r="WVD6"/>
      <c r="WVE6"/>
      <c r="WVF6"/>
      <c r="WVG6"/>
      <c r="WVH6"/>
      <c r="WVI6"/>
      <c r="WVJ6"/>
      <c r="WVK6"/>
      <c r="WVL6"/>
      <c r="WVM6"/>
      <c r="WVN6"/>
      <c r="WVO6"/>
      <c r="WVP6"/>
      <c r="WVQ6"/>
      <c r="WVR6"/>
      <c r="WVS6"/>
      <c r="WVT6"/>
      <c r="WVU6"/>
      <c r="WVV6"/>
      <c r="WVW6"/>
      <c r="WVX6"/>
      <c r="WVY6"/>
      <c r="WVZ6"/>
      <c r="WWA6"/>
      <c r="WWB6"/>
      <c r="WWC6"/>
      <c r="WWD6"/>
      <c r="WWE6"/>
      <c r="WWF6"/>
      <c r="WWG6"/>
      <c r="WWH6"/>
      <c r="WWI6"/>
      <c r="WWJ6"/>
      <c r="WWK6"/>
      <c r="WWL6"/>
      <c r="WWM6"/>
      <c r="WWN6"/>
      <c r="WWO6"/>
      <c r="WWP6"/>
      <c r="WWQ6"/>
      <c r="WWR6"/>
      <c r="WWS6"/>
      <c r="WWT6"/>
      <c r="WWU6"/>
      <c r="WWV6"/>
      <c r="WWW6"/>
      <c r="WWX6"/>
      <c r="WWY6"/>
      <c r="WWZ6"/>
      <c r="WXA6"/>
      <c r="WXB6"/>
      <c r="WXC6"/>
      <c r="WXD6"/>
      <c r="WXE6"/>
      <c r="WXF6"/>
      <c r="WXG6"/>
      <c r="WXH6"/>
      <c r="WXI6"/>
      <c r="WXJ6"/>
      <c r="WXK6"/>
      <c r="WXL6"/>
      <c r="WXM6"/>
      <c r="WXN6"/>
      <c r="WXO6"/>
      <c r="WXP6"/>
      <c r="WXQ6"/>
      <c r="WXR6"/>
      <c r="WXS6"/>
      <c r="WXT6"/>
      <c r="WXU6"/>
      <c r="WXV6"/>
      <c r="WXW6"/>
      <c r="WXX6"/>
      <c r="WXY6"/>
      <c r="WXZ6"/>
      <c r="WYA6"/>
      <c r="WYB6"/>
      <c r="WYC6"/>
      <c r="WYD6"/>
      <c r="WYE6"/>
      <c r="WYF6"/>
      <c r="WYG6"/>
      <c r="WYH6"/>
      <c r="WYI6"/>
      <c r="WYJ6"/>
      <c r="WYK6"/>
      <c r="WYL6"/>
      <c r="WYM6"/>
      <c r="WYN6"/>
      <c r="WYO6"/>
      <c r="WYP6"/>
      <c r="WYQ6"/>
      <c r="WYR6"/>
      <c r="WYS6"/>
      <c r="WYT6"/>
      <c r="WYU6"/>
      <c r="WYV6"/>
      <c r="WYW6"/>
      <c r="WYX6"/>
      <c r="WYY6"/>
      <c r="WYZ6"/>
      <c r="WZA6"/>
      <c r="WZB6"/>
      <c r="WZC6"/>
      <c r="WZD6"/>
      <c r="WZE6"/>
      <c r="WZF6"/>
      <c r="WZG6"/>
      <c r="WZH6"/>
      <c r="WZI6"/>
      <c r="WZJ6"/>
      <c r="WZK6"/>
      <c r="WZL6"/>
      <c r="WZM6"/>
      <c r="WZN6"/>
      <c r="WZO6"/>
      <c r="WZP6"/>
      <c r="WZQ6"/>
      <c r="WZR6"/>
      <c r="WZS6"/>
      <c r="WZT6"/>
      <c r="WZU6"/>
      <c r="WZV6"/>
      <c r="WZW6"/>
      <c r="WZX6"/>
      <c r="WZY6"/>
      <c r="WZZ6"/>
      <c r="XAA6"/>
      <c r="XAB6"/>
      <c r="XAC6"/>
      <c r="XAD6"/>
      <c r="XAE6"/>
      <c r="XAF6"/>
      <c r="XAG6"/>
      <c r="XAH6"/>
      <c r="XAI6"/>
      <c r="XAJ6"/>
      <c r="XAK6"/>
      <c r="XAL6"/>
      <c r="XAM6"/>
      <c r="XAN6"/>
      <c r="XAO6"/>
      <c r="XAP6"/>
      <c r="XAQ6"/>
      <c r="XAR6"/>
      <c r="XAS6"/>
      <c r="XAT6"/>
      <c r="XAU6"/>
      <c r="XAV6"/>
      <c r="XAW6"/>
      <c r="XAX6"/>
      <c r="XAY6"/>
      <c r="XAZ6"/>
      <c r="XBA6"/>
      <c r="XBB6"/>
      <c r="XBC6"/>
      <c r="XBD6"/>
      <c r="XBE6"/>
      <c r="XBF6"/>
      <c r="XBG6"/>
      <c r="XBH6"/>
      <c r="XBI6"/>
      <c r="XBJ6"/>
      <c r="XBK6"/>
      <c r="XBL6"/>
      <c r="XBM6"/>
      <c r="XBN6"/>
      <c r="XBO6"/>
      <c r="XBP6"/>
      <c r="XBQ6"/>
      <c r="XBR6"/>
      <c r="XBS6"/>
      <c r="XBT6"/>
      <c r="XBU6"/>
      <c r="XBV6"/>
      <c r="XBW6"/>
      <c r="XBX6"/>
      <c r="XBY6"/>
      <c r="XBZ6"/>
      <c r="XCA6"/>
      <c r="XCB6"/>
      <c r="XCC6"/>
      <c r="XCD6"/>
      <c r="XCE6"/>
      <c r="XCF6"/>
      <c r="XCG6"/>
      <c r="XCH6"/>
      <c r="XCI6"/>
      <c r="XCJ6"/>
      <c r="XCK6"/>
      <c r="XCL6"/>
      <c r="XCM6"/>
      <c r="XCN6"/>
      <c r="XCO6"/>
      <c r="XCP6"/>
      <c r="XCQ6"/>
      <c r="XCR6"/>
      <c r="XCS6"/>
      <c r="XCT6"/>
      <c r="XCU6"/>
      <c r="XCV6"/>
      <c r="XCW6"/>
      <c r="XCX6"/>
      <c r="XCY6"/>
      <c r="XCZ6"/>
      <c r="XDA6"/>
      <c r="XDB6"/>
      <c r="XDC6"/>
      <c r="XDD6"/>
      <c r="XDE6"/>
      <c r="XDF6"/>
      <c r="XDG6"/>
      <c r="XDH6"/>
      <c r="XDI6"/>
      <c r="XDJ6"/>
      <c r="XDK6"/>
      <c r="XDL6"/>
      <c r="XDM6"/>
      <c r="XDN6"/>
      <c r="XDO6"/>
      <c r="XDP6"/>
      <c r="XDQ6"/>
      <c r="XDR6"/>
      <c r="XDS6"/>
      <c r="XDT6"/>
      <c r="XDU6"/>
      <c r="XDV6"/>
      <c r="XDW6"/>
      <c r="XDX6"/>
      <c r="XDY6"/>
      <c r="XDZ6"/>
      <c r="XEA6"/>
      <c r="XEB6"/>
      <c r="XEC6"/>
      <c r="XED6"/>
      <c r="XEE6"/>
      <c r="XEF6"/>
      <c r="XEG6"/>
      <c r="XEH6"/>
      <c r="XEI6"/>
      <c r="XEJ6"/>
      <c r="XEK6"/>
      <c r="XEL6"/>
      <c r="XEM6"/>
      <c r="XEN6"/>
      <c r="XEO6"/>
      <c r="XEP6"/>
      <c r="XEQ6"/>
      <c r="XER6"/>
      <c r="XES6"/>
      <c r="XET6"/>
      <c r="XEU6"/>
      <c r="XEV6"/>
      <c r="XEW6"/>
      <c r="XEX6"/>
      <c r="XEY6"/>
      <c r="XEZ6"/>
      <c r="XFA6"/>
      <c r="XFB6"/>
      <c r="XFC6"/>
      <c r="XFD6"/>
    </row>
    <row r="7" spans="1:16384">
      <c r="A7" s="78" t="s">
        <v>655</v>
      </c>
      <c r="B7" s="78">
        <v>10</v>
      </c>
      <c r="D7">
        <v>6</v>
      </c>
      <c r="E7">
        <f t="shared" ca="1" si="14"/>
        <v>17100</v>
      </c>
      <c r="F7">
        <f t="shared" si="2"/>
        <v>16350</v>
      </c>
      <c r="G7" s="38">
        <f t="shared" ca="1" si="3"/>
        <v>1302.5000000000002</v>
      </c>
      <c r="H7" s="38">
        <f t="shared" ca="1" si="4"/>
        <v>-36197.5</v>
      </c>
      <c r="I7" s="40">
        <f t="shared" ca="1" si="5"/>
        <v>3.5983148007459081E-2</v>
      </c>
      <c r="J7" t="e">
        <f ca="1">VLOOKUP($B$5&amp;E7&amp;F7,'Margin Schedule'!$A:$E,5,0)</f>
        <v>#N/A</v>
      </c>
      <c r="K7" s="38" t="e">
        <f ca="1">VLOOKUP($B$5&amp;E7&amp;F7,'Margin Schedule'!$A:$F,6,0)</f>
        <v>#N/A</v>
      </c>
      <c r="L7" s="40" t="e">
        <f t="shared" ca="1" si="6"/>
        <v>#N/A</v>
      </c>
      <c r="M7" s="40" t="e">
        <f t="shared" ca="1" si="7"/>
        <v>#N/A</v>
      </c>
      <c r="N7" s="84">
        <v>60</v>
      </c>
      <c r="O7" s="38" t="e">
        <f t="shared" ca="1" si="8"/>
        <v>#N/A</v>
      </c>
      <c r="P7" s="38">
        <v>62400</v>
      </c>
      <c r="Q7" s="38">
        <f t="shared" ca="1" si="9"/>
        <v>-2171850</v>
      </c>
      <c r="R7" s="90"/>
      <c r="S7" s="90">
        <f t="shared" ca="1" si="10"/>
        <v>-2187600</v>
      </c>
      <c r="T7" s="90">
        <f t="shared" ca="1" si="10"/>
        <v>-2187600</v>
      </c>
      <c r="U7" s="90">
        <f t="shared" ca="1" si="10"/>
        <v>-2187600</v>
      </c>
      <c r="V7" s="90">
        <f t="shared" ca="1" si="10"/>
        <v>-2187600</v>
      </c>
      <c r="W7" s="90">
        <f t="shared" ca="1" si="10"/>
        <v>-2052689.9999999963</v>
      </c>
      <c r="X7" s="90">
        <f t="shared" ca="1" si="10"/>
        <v>-1788254.9999999951</v>
      </c>
      <c r="Y7" s="90">
        <f t="shared" ca="1" si="10"/>
        <v>-1523819.9999999939</v>
      </c>
      <c r="Z7" s="90">
        <f t="shared" ca="1" si="10"/>
        <v>-1259384.9999999925</v>
      </c>
      <c r="AA7" s="90">
        <f t="shared" ca="1" si="10"/>
        <v>-994949.99999999115</v>
      </c>
      <c r="AB7" s="90">
        <f t="shared" ca="1" si="10"/>
        <v>-730515.00000000093</v>
      </c>
      <c r="AC7" s="90">
        <f t="shared" ca="1" si="10"/>
        <v>-466079.99999999953</v>
      </c>
      <c r="AD7" s="90">
        <f t="shared" ca="1" si="11"/>
        <v>-201644.99999999825</v>
      </c>
      <c r="AE7" s="90">
        <f t="shared" ca="1" si="11"/>
        <v>62400</v>
      </c>
      <c r="AF7" s="90">
        <f t="shared" ca="1" si="11"/>
        <v>62400</v>
      </c>
      <c r="AH7" s="40">
        <f t="shared" si="13"/>
        <v>0.92744908956832495</v>
      </c>
      <c r="AI7" t="b">
        <f t="shared" si="12"/>
        <v>1</v>
      </c>
      <c r="AK7">
        <v>15300</v>
      </c>
      <c r="AL7">
        <v>1208.8</v>
      </c>
      <c r="AM7">
        <v>0.96</v>
      </c>
      <c r="AN7">
        <v>16350</v>
      </c>
      <c r="AO7">
        <v>21.5</v>
      </c>
      <c r="AP7" t="s">
        <v>630</v>
      </c>
      <c r="AQ7">
        <v>11.15</v>
      </c>
      <c r="AR7">
        <v>-0.04</v>
      </c>
      <c r="AS7">
        <v>38800</v>
      </c>
      <c r="AT7">
        <v>-2.15</v>
      </c>
      <c r="AU7">
        <v>2.8</v>
      </c>
      <c r="AV7">
        <v>1.1E-4</v>
      </c>
      <c r="AY7">
        <v>285950</v>
      </c>
      <c r="AZ7">
        <v>1251.25</v>
      </c>
      <c r="BA7">
        <v>0.96</v>
      </c>
      <c r="BB7">
        <v>16300</v>
      </c>
      <c r="BC7">
        <v>20.7</v>
      </c>
      <c r="BD7" t="s">
        <v>630</v>
      </c>
      <c r="BE7">
        <v>11.75</v>
      </c>
      <c r="BF7">
        <v>-0.04</v>
      </c>
      <c r="BG7">
        <v>690600</v>
      </c>
      <c r="BH7">
        <v>-2.0699999999999998</v>
      </c>
      <c r="BI7">
        <v>3.01</v>
      </c>
      <c r="BJ7">
        <v>1.1E-4</v>
      </c>
      <c r="BL7">
        <v>0</v>
      </c>
      <c r="BM7">
        <v>0</v>
      </c>
      <c r="BN7">
        <v>0.91</v>
      </c>
      <c r="BO7">
        <v>16250</v>
      </c>
      <c r="BP7">
        <v>16.91</v>
      </c>
      <c r="BQ7" t="s">
        <v>630</v>
      </c>
      <c r="BR7">
        <v>40.75</v>
      </c>
      <c r="BS7">
        <v>-0.09</v>
      </c>
      <c r="BT7">
        <v>2350</v>
      </c>
      <c r="BU7">
        <v>-1.85</v>
      </c>
      <c r="BV7">
        <v>9.39</v>
      </c>
      <c r="BW7">
        <v>1.4999999999999999E-4</v>
      </c>
    </row>
    <row r="8" spans="1:16384" s="37" customFormat="1">
      <c r="A8" s="78" t="s">
        <v>643</v>
      </c>
      <c r="B8" s="87" t="e">
        <f ca="1">VLOOKUP($B$7,$D:$N,11,0)*VLOOKUP($B$7,$D:$N,8,0)</f>
        <v>#N/A</v>
      </c>
      <c r="C8" s="82"/>
      <c r="D8">
        <v>7</v>
      </c>
      <c r="E8">
        <f t="shared" ca="1" si="14"/>
        <v>17100</v>
      </c>
      <c r="F8">
        <f t="shared" si="2"/>
        <v>16400</v>
      </c>
      <c r="G8" s="38">
        <f t="shared" ca="1" si="3"/>
        <v>1267.5</v>
      </c>
      <c r="H8" s="38">
        <f t="shared" ca="1" si="4"/>
        <v>-33732.5</v>
      </c>
      <c r="I8" s="40">
        <f t="shared" ca="1" si="5"/>
        <v>3.7575038909063961E-2</v>
      </c>
      <c r="J8" t="e">
        <f ca="1">VLOOKUP($B$5&amp;E8&amp;F8,'Margin Schedule'!$A:$E,5,0)</f>
        <v>#N/A</v>
      </c>
      <c r="K8" s="38" t="e">
        <f ca="1">VLOOKUP($B$5&amp;E8&amp;F8,'Margin Schedule'!$A:$F,6,0)</f>
        <v>#N/A</v>
      </c>
      <c r="L8" s="40" t="e">
        <f t="shared" ca="1" si="6"/>
        <v>#N/A</v>
      </c>
      <c r="M8" s="40" t="e">
        <f t="shared" ca="1" si="7"/>
        <v>#N/A</v>
      </c>
      <c r="N8" s="84">
        <v>56</v>
      </c>
      <c r="O8" s="38" t="e">
        <f t="shared" ca="1" si="8"/>
        <v>#N/A</v>
      </c>
      <c r="P8" s="38">
        <v>58520</v>
      </c>
      <c r="Q8" s="38">
        <f t="shared" ca="1" si="9"/>
        <v>-1889020</v>
      </c>
      <c r="R8" s="90"/>
      <c r="S8" s="90">
        <f t="shared" ca="1" si="10"/>
        <v>-1901480</v>
      </c>
      <c r="T8" s="90">
        <f t="shared" ca="1" si="10"/>
        <v>-1901480</v>
      </c>
      <c r="U8" s="90">
        <f t="shared" ca="1" si="10"/>
        <v>-1901480</v>
      </c>
      <c r="V8" s="90">
        <f t="shared" ca="1" si="10"/>
        <v>-1901480</v>
      </c>
      <c r="W8" s="90">
        <f t="shared" ca="1" si="10"/>
        <v>-1901480</v>
      </c>
      <c r="X8" s="90">
        <f t="shared" ca="1" si="10"/>
        <v>-1668757.9999999956</v>
      </c>
      <c r="Y8" s="90">
        <f t="shared" ca="1" si="10"/>
        <v>-1421951.9999999944</v>
      </c>
      <c r="Z8" s="90">
        <f t="shared" ca="1" si="10"/>
        <v>-1175145.999999993</v>
      </c>
      <c r="AA8" s="90">
        <f t="shared" ca="1" si="10"/>
        <v>-928339.99999999185</v>
      </c>
      <c r="AB8" s="90">
        <f t="shared" ca="1" si="10"/>
        <v>-681534.00000000081</v>
      </c>
      <c r="AC8" s="90">
        <f t="shared" ca="1" si="10"/>
        <v>-434727.99999999959</v>
      </c>
      <c r="AD8" s="90">
        <f t="shared" ca="1" si="11"/>
        <v>-187921.99999999837</v>
      </c>
      <c r="AE8" s="90">
        <f t="shared" ca="1" si="11"/>
        <v>58520</v>
      </c>
      <c r="AF8" s="90">
        <f t="shared" ca="1" si="11"/>
        <v>58520</v>
      </c>
      <c r="AG8"/>
      <c r="AH8" s="40">
        <f t="shared" si="13"/>
        <v>0.93028532531624031</v>
      </c>
      <c r="AI8" t="b">
        <f t="shared" si="12"/>
        <v>1</v>
      </c>
      <c r="AJ8"/>
      <c r="AK8">
        <v>394900</v>
      </c>
      <c r="AL8">
        <v>1220</v>
      </c>
      <c r="AM8">
        <v>0.96</v>
      </c>
      <c r="AN8">
        <v>16400</v>
      </c>
      <c r="AO8">
        <v>21.01</v>
      </c>
      <c r="AP8" t="s">
        <v>630</v>
      </c>
      <c r="AQ8">
        <v>11.85</v>
      </c>
      <c r="AR8">
        <v>-0.04</v>
      </c>
      <c r="AS8">
        <v>513350</v>
      </c>
      <c r="AT8">
        <v>-2.23</v>
      </c>
      <c r="AU8">
        <v>2.97</v>
      </c>
      <c r="AV8">
        <v>1.2E-4</v>
      </c>
      <c r="AW8"/>
      <c r="AX8"/>
      <c r="AY8">
        <v>15300</v>
      </c>
      <c r="AZ8">
        <v>1145.3</v>
      </c>
      <c r="BA8">
        <v>0.96</v>
      </c>
      <c r="BB8">
        <v>16350</v>
      </c>
      <c r="BC8">
        <v>19.61</v>
      </c>
      <c r="BD8" t="s">
        <v>630</v>
      </c>
      <c r="BE8">
        <v>10.6</v>
      </c>
      <c r="BF8">
        <v>-0.04</v>
      </c>
      <c r="BG8">
        <v>27600</v>
      </c>
      <c r="BH8">
        <v>-1.9</v>
      </c>
      <c r="BI8">
        <v>2.91</v>
      </c>
      <c r="BJ8">
        <v>1.2E-4</v>
      </c>
      <c r="BK8"/>
      <c r="BL8">
        <v>12250</v>
      </c>
      <c r="BM8">
        <v>1285</v>
      </c>
      <c r="BN8">
        <v>0.92</v>
      </c>
      <c r="BO8">
        <v>16300</v>
      </c>
      <c r="BP8">
        <v>15.99</v>
      </c>
      <c r="BQ8" t="s">
        <v>630</v>
      </c>
      <c r="BR8">
        <v>36.799999999999997</v>
      </c>
      <c r="BS8">
        <v>-0.08</v>
      </c>
      <c r="BT8">
        <v>435500</v>
      </c>
      <c r="BU8">
        <v>-1.7</v>
      </c>
      <c r="BV8">
        <v>9.1300000000000008</v>
      </c>
      <c r="BW8">
        <v>1.6000000000000001E-4</v>
      </c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  <c r="AMK8"/>
      <c r="AML8"/>
      <c r="AMM8"/>
      <c r="AMN8"/>
      <c r="AMO8"/>
      <c r="AMP8"/>
      <c r="AMQ8"/>
      <c r="AMR8"/>
      <c r="AMS8"/>
      <c r="AMT8"/>
      <c r="AMU8"/>
      <c r="AMV8"/>
      <c r="AMW8"/>
      <c r="AMX8"/>
      <c r="AMY8"/>
      <c r="AMZ8"/>
      <c r="ANA8"/>
      <c r="ANB8"/>
      <c r="ANC8"/>
      <c r="AND8"/>
      <c r="ANE8"/>
      <c r="ANF8"/>
      <c r="ANG8"/>
      <c r="ANH8"/>
      <c r="ANI8"/>
      <c r="ANJ8"/>
      <c r="ANK8"/>
      <c r="ANL8"/>
      <c r="ANM8"/>
      <c r="ANN8"/>
      <c r="ANO8"/>
      <c r="ANP8"/>
      <c r="ANQ8"/>
      <c r="ANR8"/>
      <c r="ANS8"/>
      <c r="ANT8"/>
      <c r="ANU8"/>
      <c r="ANV8"/>
      <c r="ANW8"/>
      <c r="ANX8"/>
      <c r="ANY8"/>
      <c r="ANZ8"/>
      <c r="AOA8"/>
      <c r="AOB8"/>
      <c r="AOC8"/>
      <c r="AOD8"/>
      <c r="AOE8"/>
      <c r="AOF8"/>
      <c r="AOG8"/>
      <c r="AOH8"/>
      <c r="AOI8"/>
      <c r="AOJ8"/>
      <c r="AOK8"/>
      <c r="AOL8"/>
      <c r="AOM8"/>
      <c r="AON8"/>
      <c r="AOO8"/>
      <c r="AOP8"/>
      <c r="AOQ8"/>
      <c r="AOR8"/>
      <c r="AOS8"/>
      <c r="AOT8"/>
      <c r="AOU8"/>
      <c r="AOV8"/>
      <c r="AOW8"/>
      <c r="AOX8"/>
      <c r="AOY8"/>
      <c r="AOZ8"/>
      <c r="APA8"/>
      <c r="APB8"/>
      <c r="APC8"/>
      <c r="APD8"/>
      <c r="APE8"/>
      <c r="APF8"/>
      <c r="APG8"/>
      <c r="APH8"/>
      <c r="API8"/>
      <c r="APJ8"/>
      <c r="APK8"/>
      <c r="APL8"/>
      <c r="APM8"/>
      <c r="APN8"/>
      <c r="APO8"/>
      <c r="APP8"/>
      <c r="APQ8"/>
      <c r="APR8"/>
      <c r="APS8"/>
      <c r="APT8"/>
      <c r="APU8"/>
      <c r="APV8"/>
      <c r="APW8"/>
      <c r="APX8"/>
      <c r="APY8"/>
      <c r="APZ8"/>
      <c r="AQA8"/>
      <c r="AQB8"/>
      <c r="AQC8"/>
      <c r="AQD8"/>
      <c r="AQE8"/>
      <c r="AQF8"/>
      <c r="AQG8"/>
      <c r="AQH8"/>
      <c r="AQI8"/>
      <c r="AQJ8"/>
      <c r="AQK8"/>
      <c r="AQL8"/>
      <c r="AQM8"/>
      <c r="AQN8"/>
      <c r="AQO8"/>
      <c r="AQP8"/>
      <c r="AQQ8"/>
      <c r="AQR8"/>
      <c r="AQS8"/>
      <c r="AQT8"/>
      <c r="AQU8"/>
      <c r="AQV8"/>
      <c r="AQW8"/>
      <c r="AQX8"/>
      <c r="AQY8"/>
      <c r="AQZ8"/>
      <c r="ARA8"/>
      <c r="ARB8"/>
      <c r="ARC8"/>
      <c r="ARD8"/>
      <c r="ARE8"/>
      <c r="ARF8"/>
      <c r="ARG8"/>
      <c r="ARH8"/>
      <c r="ARI8"/>
      <c r="ARJ8"/>
      <c r="ARK8"/>
      <c r="ARL8"/>
      <c r="ARM8"/>
      <c r="ARN8"/>
      <c r="ARO8"/>
      <c r="ARP8"/>
      <c r="ARQ8"/>
      <c r="ARR8"/>
      <c r="ARS8"/>
      <c r="ART8"/>
      <c r="ARU8"/>
      <c r="ARV8"/>
      <c r="ARW8"/>
      <c r="ARX8"/>
      <c r="ARY8"/>
      <c r="ARZ8"/>
      <c r="ASA8"/>
      <c r="ASB8"/>
      <c r="ASC8"/>
      <c r="ASD8"/>
      <c r="ASE8"/>
      <c r="ASF8"/>
      <c r="ASG8"/>
      <c r="ASH8"/>
      <c r="ASI8"/>
      <c r="ASJ8"/>
      <c r="ASK8"/>
      <c r="ASL8"/>
      <c r="ASM8"/>
      <c r="ASN8"/>
      <c r="ASO8"/>
      <c r="ASP8"/>
      <c r="ASQ8"/>
      <c r="ASR8"/>
      <c r="ASS8"/>
      <c r="AST8"/>
      <c r="ASU8"/>
      <c r="ASV8"/>
      <c r="ASW8"/>
      <c r="ASX8"/>
      <c r="ASY8"/>
      <c r="ASZ8"/>
      <c r="ATA8"/>
      <c r="ATB8"/>
      <c r="ATC8"/>
      <c r="ATD8"/>
      <c r="ATE8"/>
      <c r="ATF8"/>
      <c r="ATG8"/>
      <c r="ATH8"/>
      <c r="ATI8"/>
      <c r="ATJ8"/>
      <c r="ATK8"/>
      <c r="ATL8"/>
      <c r="ATM8"/>
      <c r="ATN8"/>
      <c r="ATO8"/>
      <c r="ATP8"/>
      <c r="ATQ8"/>
      <c r="ATR8"/>
      <c r="ATS8"/>
      <c r="ATT8"/>
      <c r="ATU8"/>
      <c r="ATV8"/>
      <c r="ATW8"/>
      <c r="ATX8"/>
      <c r="ATY8"/>
      <c r="ATZ8"/>
      <c r="AUA8"/>
      <c r="AUB8"/>
      <c r="AUC8"/>
      <c r="AUD8"/>
      <c r="AUE8"/>
      <c r="AUF8"/>
      <c r="AUG8"/>
      <c r="AUH8"/>
      <c r="AUI8"/>
      <c r="AUJ8"/>
      <c r="AUK8"/>
      <c r="AUL8"/>
      <c r="AUM8"/>
      <c r="AUN8"/>
      <c r="AUO8"/>
      <c r="AUP8"/>
      <c r="AUQ8"/>
      <c r="AUR8"/>
      <c r="AUS8"/>
      <c r="AUT8"/>
      <c r="AUU8"/>
      <c r="AUV8"/>
      <c r="AUW8"/>
      <c r="AUX8"/>
      <c r="AUY8"/>
      <c r="AUZ8"/>
      <c r="AVA8"/>
      <c r="AVB8"/>
      <c r="AVC8"/>
      <c r="AVD8"/>
      <c r="AVE8"/>
      <c r="AVF8"/>
      <c r="AVG8"/>
      <c r="AVH8"/>
      <c r="AVI8"/>
      <c r="AVJ8"/>
      <c r="AVK8"/>
      <c r="AVL8"/>
      <c r="AVM8"/>
      <c r="AVN8"/>
      <c r="AVO8"/>
      <c r="AVP8"/>
      <c r="AVQ8"/>
      <c r="AVR8"/>
      <c r="AVS8"/>
      <c r="AVT8"/>
      <c r="AVU8"/>
      <c r="AVV8"/>
      <c r="AVW8"/>
      <c r="AVX8"/>
      <c r="AVY8"/>
      <c r="AVZ8"/>
      <c r="AWA8"/>
      <c r="AWB8"/>
      <c r="AWC8"/>
      <c r="AWD8"/>
      <c r="AWE8"/>
      <c r="AWF8"/>
      <c r="AWG8"/>
      <c r="AWH8"/>
      <c r="AWI8"/>
      <c r="AWJ8"/>
      <c r="AWK8"/>
      <c r="AWL8"/>
      <c r="AWM8"/>
      <c r="AWN8"/>
      <c r="AWO8"/>
      <c r="AWP8"/>
      <c r="AWQ8"/>
      <c r="AWR8"/>
      <c r="AWS8"/>
      <c r="AWT8"/>
      <c r="AWU8"/>
      <c r="AWV8"/>
      <c r="AWW8"/>
      <c r="AWX8"/>
      <c r="AWY8"/>
      <c r="AWZ8"/>
      <c r="AXA8"/>
      <c r="AXB8"/>
      <c r="AXC8"/>
      <c r="AXD8"/>
      <c r="AXE8"/>
      <c r="AXF8"/>
      <c r="AXG8"/>
      <c r="AXH8"/>
      <c r="AXI8"/>
      <c r="AXJ8"/>
      <c r="AXK8"/>
      <c r="AXL8"/>
      <c r="AXM8"/>
      <c r="AXN8"/>
      <c r="AXO8"/>
      <c r="AXP8"/>
      <c r="AXQ8"/>
      <c r="AXR8"/>
      <c r="AXS8"/>
      <c r="AXT8"/>
      <c r="AXU8"/>
      <c r="AXV8"/>
      <c r="AXW8"/>
      <c r="AXX8"/>
      <c r="AXY8"/>
      <c r="AXZ8"/>
      <c r="AYA8"/>
      <c r="AYB8"/>
      <c r="AYC8"/>
      <c r="AYD8"/>
      <c r="AYE8"/>
      <c r="AYF8"/>
      <c r="AYG8"/>
      <c r="AYH8"/>
      <c r="AYI8"/>
      <c r="AYJ8"/>
      <c r="AYK8"/>
      <c r="AYL8"/>
      <c r="AYM8"/>
      <c r="AYN8"/>
      <c r="AYO8"/>
      <c r="AYP8"/>
      <c r="AYQ8"/>
      <c r="AYR8"/>
      <c r="AYS8"/>
      <c r="AYT8"/>
      <c r="AYU8"/>
      <c r="AYV8"/>
      <c r="AYW8"/>
      <c r="AYX8"/>
      <c r="AYY8"/>
      <c r="AYZ8"/>
      <c r="AZA8"/>
      <c r="AZB8"/>
      <c r="AZC8"/>
      <c r="AZD8"/>
      <c r="AZE8"/>
      <c r="AZF8"/>
      <c r="AZG8"/>
      <c r="AZH8"/>
      <c r="AZI8"/>
      <c r="AZJ8"/>
      <c r="AZK8"/>
      <c r="AZL8"/>
      <c r="AZM8"/>
      <c r="AZN8"/>
      <c r="AZO8"/>
      <c r="AZP8"/>
      <c r="AZQ8"/>
      <c r="AZR8"/>
      <c r="AZS8"/>
      <c r="AZT8"/>
      <c r="AZU8"/>
      <c r="AZV8"/>
      <c r="AZW8"/>
      <c r="AZX8"/>
      <c r="AZY8"/>
      <c r="AZZ8"/>
      <c r="BAA8"/>
      <c r="BAB8"/>
      <c r="BAC8"/>
      <c r="BAD8"/>
      <c r="BAE8"/>
      <c r="BAF8"/>
      <c r="BAG8"/>
      <c r="BAH8"/>
      <c r="BAI8"/>
      <c r="BAJ8"/>
      <c r="BAK8"/>
      <c r="BAL8"/>
      <c r="BAM8"/>
      <c r="BAN8"/>
      <c r="BAO8"/>
      <c r="BAP8"/>
      <c r="BAQ8"/>
      <c r="BAR8"/>
      <c r="BAS8"/>
      <c r="BAT8"/>
      <c r="BAU8"/>
      <c r="BAV8"/>
      <c r="BAW8"/>
      <c r="BAX8"/>
      <c r="BAY8"/>
      <c r="BAZ8"/>
      <c r="BBA8"/>
      <c r="BBB8"/>
      <c r="BBC8"/>
      <c r="BBD8"/>
      <c r="BBE8"/>
      <c r="BBF8"/>
      <c r="BBG8"/>
      <c r="BBH8"/>
      <c r="BBI8"/>
      <c r="BBJ8"/>
      <c r="BBK8"/>
      <c r="BBL8"/>
      <c r="BBM8"/>
      <c r="BBN8"/>
      <c r="BBO8"/>
      <c r="BBP8"/>
      <c r="BBQ8"/>
      <c r="BBR8"/>
      <c r="BBS8"/>
      <c r="BBT8"/>
      <c r="BBU8"/>
      <c r="BBV8"/>
      <c r="BBW8"/>
      <c r="BBX8"/>
      <c r="BBY8"/>
      <c r="BBZ8"/>
      <c r="BCA8"/>
      <c r="BCB8"/>
      <c r="BCC8"/>
      <c r="BCD8"/>
      <c r="BCE8"/>
      <c r="BCF8"/>
      <c r="BCG8"/>
      <c r="BCH8"/>
      <c r="BCI8"/>
      <c r="BCJ8"/>
      <c r="BCK8"/>
      <c r="BCL8"/>
      <c r="BCM8"/>
      <c r="BCN8"/>
      <c r="BCO8"/>
      <c r="BCP8"/>
      <c r="BCQ8"/>
      <c r="BCR8"/>
      <c r="BCS8"/>
      <c r="BCT8"/>
      <c r="BCU8"/>
      <c r="BCV8"/>
      <c r="BCW8"/>
      <c r="BCX8"/>
      <c r="BCY8"/>
      <c r="BCZ8"/>
      <c r="BDA8"/>
      <c r="BDB8"/>
      <c r="BDC8"/>
      <c r="BDD8"/>
      <c r="BDE8"/>
      <c r="BDF8"/>
      <c r="BDG8"/>
      <c r="BDH8"/>
      <c r="BDI8"/>
      <c r="BDJ8"/>
      <c r="BDK8"/>
      <c r="BDL8"/>
      <c r="BDM8"/>
      <c r="BDN8"/>
      <c r="BDO8"/>
      <c r="BDP8"/>
      <c r="BDQ8"/>
      <c r="BDR8"/>
      <c r="BDS8"/>
      <c r="BDT8"/>
      <c r="BDU8"/>
      <c r="BDV8"/>
      <c r="BDW8"/>
      <c r="BDX8"/>
      <c r="BDY8"/>
      <c r="BDZ8"/>
      <c r="BEA8"/>
      <c r="BEB8"/>
      <c r="BEC8"/>
      <c r="BED8"/>
      <c r="BEE8"/>
      <c r="BEF8"/>
      <c r="BEG8"/>
      <c r="BEH8"/>
      <c r="BEI8"/>
      <c r="BEJ8"/>
      <c r="BEK8"/>
      <c r="BEL8"/>
      <c r="BEM8"/>
      <c r="BEN8"/>
      <c r="BEO8"/>
      <c r="BEP8"/>
      <c r="BEQ8"/>
      <c r="BER8"/>
      <c r="BES8"/>
      <c r="BET8"/>
      <c r="BEU8"/>
      <c r="BEV8"/>
      <c r="BEW8"/>
      <c r="BEX8"/>
      <c r="BEY8"/>
      <c r="BEZ8"/>
      <c r="BFA8"/>
      <c r="BFB8"/>
      <c r="BFC8"/>
      <c r="BFD8"/>
      <c r="BFE8"/>
      <c r="BFF8"/>
      <c r="BFG8"/>
      <c r="BFH8"/>
      <c r="BFI8"/>
      <c r="BFJ8"/>
      <c r="BFK8"/>
      <c r="BFL8"/>
      <c r="BFM8"/>
      <c r="BFN8"/>
      <c r="BFO8"/>
      <c r="BFP8"/>
      <c r="BFQ8"/>
      <c r="BFR8"/>
      <c r="BFS8"/>
      <c r="BFT8"/>
      <c r="BFU8"/>
      <c r="BFV8"/>
      <c r="BFW8"/>
      <c r="BFX8"/>
      <c r="BFY8"/>
      <c r="BFZ8"/>
      <c r="BGA8"/>
      <c r="BGB8"/>
      <c r="BGC8"/>
      <c r="BGD8"/>
      <c r="BGE8"/>
      <c r="BGF8"/>
      <c r="BGG8"/>
      <c r="BGH8"/>
      <c r="BGI8"/>
      <c r="BGJ8"/>
      <c r="BGK8"/>
      <c r="BGL8"/>
      <c r="BGM8"/>
      <c r="BGN8"/>
      <c r="BGO8"/>
      <c r="BGP8"/>
      <c r="BGQ8"/>
      <c r="BGR8"/>
      <c r="BGS8"/>
      <c r="BGT8"/>
      <c r="BGU8"/>
      <c r="BGV8"/>
      <c r="BGW8"/>
      <c r="BGX8"/>
      <c r="BGY8"/>
      <c r="BGZ8"/>
      <c r="BHA8"/>
      <c r="BHB8"/>
      <c r="BHC8"/>
      <c r="BHD8"/>
      <c r="BHE8"/>
      <c r="BHF8"/>
      <c r="BHG8"/>
      <c r="BHH8"/>
      <c r="BHI8"/>
      <c r="BHJ8"/>
      <c r="BHK8"/>
      <c r="BHL8"/>
      <c r="BHM8"/>
      <c r="BHN8"/>
      <c r="BHO8"/>
      <c r="BHP8"/>
      <c r="BHQ8"/>
      <c r="BHR8"/>
      <c r="BHS8"/>
      <c r="BHT8"/>
      <c r="BHU8"/>
      <c r="BHV8"/>
      <c r="BHW8"/>
      <c r="BHX8"/>
      <c r="BHY8"/>
      <c r="BHZ8"/>
      <c r="BIA8"/>
      <c r="BIB8"/>
      <c r="BIC8"/>
      <c r="BID8"/>
      <c r="BIE8"/>
      <c r="BIF8"/>
      <c r="BIG8"/>
      <c r="BIH8"/>
      <c r="BII8"/>
      <c r="BIJ8"/>
      <c r="BIK8"/>
      <c r="BIL8"/>
      <c r="BIM8"/>
      <c r="BIN8"/>
      <c r="BIO8"/>
      <c r="BIP8"/>
      <c r="BIQ8"/>
      <c r="BIR8"/>
      <c r="BIS8"/>
      <c r="BIT8"/>
      <c r="BIU8"/>
      <c r="BIV8"/>
      <c r="BIW8"/>
      <c r="BIX8"/>
      <c r="BIY8"/>
      <c r="BIZ8"/>
      <c r="BJA8"/>
      <c r="BJB8"/>
      <c r="BJC8"/>
      <c r="BJD8"/>
      <c r="BJE8"/>
      <c r="BJF8"/>
      <c r="BJG8"/>
      <c r="BJH8"/>
      <c r="BJI8"/>
      <c r="BJJ8"/>
      <c r="BJK8"/>
      <c r="BJL8"/>
      <c r="BJM8"/>
      <c r="BJN8"/>
      <c r="BJO8"/>
      <c r="BJP8"/>
      <c r="BJQ8"/>
      <c r="BJR8"/>
      <c r="BJS8"/>
      <c r="BJT8"/>
      <c r="BJU8"/>
      <c r="BJV8"/>
      <c r="BJW8"/>
      <c r="BJX8"/>
      <c r="BJY8"/>
      <c r="BJZ8"/>
      <c r="BKA8"/>
      <c r="BKB8"/>
      <c r="BKC8"/>
      <c r="BKD8"/>
      <c r="BKE8"/>
      <c r="BKF8"/>
      <c r="BKG8"/>
      <c r="BKH8"/>
      <c r="BKI8"/>
      <c r="BKJ8"/>
      <c r="BKK8"/>
      <c r="BKL8"/>
      <c r="BKM8"/>
      <c r="BKN8"/>
      <c r="BKO8"/>
      <c r="BKP8"/>
      <c r="BKQ8"/>
      <c r="BKR8"/>
      <c r="BKS8"/>
      <c r="BKT8"/>
      <c r="BKU8"/>
      <c r="BKV8"/>
      <c r="BKW8"/>
      <c r="BKX8"/>
      <c r="BKY8"/>
      <c r="BKZ8"/>
      <c r="BLA8"/>
      <c r="BLB8"/>
      <c r="BLC8"/>
      <c r="BLD8"/>
      <c r="BLE8"/>
      <c r="BLF8"/>
      <c r="BLG8"/>
      <c r="BLH8"/>
      <c r="BLI8"/>
      <c r="BLJ8"/>
      <c r="BLK8"/>
      <c r="BLL8"/>
      <c r="BLM8"/>
      <c r="BLN8"/>
      <c r="BLO8"/>
      <c r="BLP8"/>
      <c r="BLQ8"/>
      <c r="BLR8"/>
      <c r="BLS8"/>
      <c r="BLT8"/>
      <c r="BLU8"/>
      <c r="BLV8"/>
      <c r="BLW8"/>
      <c r="BLX8"/>
      <c r="BLY8"/>
      <c r="BLZ8"/>
      <c r="BMA8"/>
      <c r="BMB8"/>
      <c r="BMC8"/>
      <c r="BMD8"/>
      <c r="BME8"/>
      <c r="BMF8"/>
      <c r="BMG8"/>
      <c r="BMH8"/>
      <c r="BMI8"/>
      <c r="BMJ8"/>
      <c r="BMK8"/>
      <c r="BML8"/>
      <c r="BMM8"/>
      <c r="BMN8"/>
      <c r="BMO8"/>
      <c r="BMP8"/>
      <c r="BMQ8"/>
      <c r="BMR8"/>
      <c r="BMS8"/>
      <c r="BMT8"/>
      <c r="BMU8"/>
      <c r="BMV8"/>
      <c r="BMW8"/>
      <c r="BMX8"/>
      <c r="BMY8"/>
      <c r="BMZ8"/>
      <c r="BNA8"/>
      <c r="BNB8"/>
      <c r="BNC8"/>
      <c r="BND8"/>
      <c r="BNE8"/>
      <c r="BNF8"/>
      <c r="BNG8"/>
      <c r="BNH8"/>
      <c r="BNI8"/>
      <c r="BNJ8"/>
      <c r="BNK8"/>
      <c r="BNL8"/>
      <c r="BNM8"/>
      <c r="BNN8"/>
      <c r="BNO8"/>
      <c r="BNP8"/>
      <c r="BNQ8"/>
      <c r="BNR8"/>
      <c r="BNS8"/>
      <c r="BNT8"/>
      <c r="BNU8"/>
      <c r="BNV8"/>
      <c r="BNW8"/>
      <c r="BNX8"/>
      <c r="BNY8"/>
      <c r="BNZ8"/>
      <c r="BOA8"/>
      <c r="BOB8"/>
      <c r="BOC8"/>
      <c r="BOD8"/>
      <c r="BOE8"/>
      <c r="BOF8"/>
      <c r="BOG8"/>
      <c r="BOH8"/>
      <c r="BOI8"/>
      <c r="BOJ8"/>
      <c r="BOK8"/>
      <c r="BOL8"/>
      <c r="BOM8"/>
      <c r="BON8"/>
      <c r="BOO8"/>
      <c r="BOP8"/>
      <c r="BOQ8"/>
      <c r="BOR8"/>
      <c r="BOS8"/>
      <c r="BOT8"/>
      <c r="BOU8"/>
      <c r="BOV8"/>
      <c r="BOW8"/>
      <c r="BOX8"/>
      <c r="BOY8"/>
      <c r="BOZ8"/>
      <c r="BPA8"/>
      <c r="BPB8"/>
      <c r="BPC8"/>
      <c r="BPD8"/>
      <c r="BPE8"/>
      <c r="BPF8"/>
      <c r="BPG8"/>
      <c r="BPH8"/>
      <c r="BPI8"/>
      <c r="BPJ8"/>
      <c r="BPK8"/>
      <c r="BPL8"/>
      <c r="BPM8"/>
      <c r="BPN8"/>
      <c r="BPO8"/>
      <c r="BPP8"/>
      <c r="BPQ8"/>
      <c r="BPR8"/>
      <c r="BPS8"/>
      <c r="BPT8"/>
      <c r="BPU8"/>
      <c r="BPV8"/>
      <c r="BPW8"/>
      <c r="BPX8"/>
      <c r="BPY8"/>
      <c r="BPZ8"/>
      <c r="BQA8"/>
      <c r="BQB8"/>
      <c r="BQC8"/>
      <c r="BQD8"/>
      <c r="BQE8"/>
      <c r="BQF8"/>
      <c r="BQG8"/>
      <c r="BQH8"/>
      <c r="BQI8"/>
      <c r="BQJ8"/>
      <c r="BQK8"/>
      <c r="BQL8"/>
      <c r="BQM8"/>
      <c r="BQN8"/>
      <c r="BQO8"/>
      <c r="BQP8"/>
      <c r="BQQ8"/>
      <c r="BQR8"/>
      <c r="BQS8"/>
      <c r="BQT8"/>
      <c r="BQU8"/>
      <c r="BQV8"/>
      <c r="BQW8"/>
      <c r="BQX8"/>
      <c r="BQY8"/>
      <c r="BQZ8"/>
      <c r="BRA8"/>
      <c r="BRB8"/>
      <c r="BRC8"/>
      <c r="BRD8"/>
      <c r="BRE8"/>
      <c r="BRF8"/>
      <c r="BRG8"/>
      <c r="BRH8"/>
      <c r="BRI8"/>
      <c r="BRJ8"/>
      <c r="BRK8"/>
      <c r="BRL8"/>
      <c r="BRM8"/>
      <c r="BRN8"/>
      <c r="BRO8"/>
      <c r="BRP8"/>
      <c r="BRQ8"/>
      <c r="BRR8"/>
      <c r="BRS8"/>
      <c r="BRT8"/>
      <c r="BRU8"/>
      <c r="BRV8"/>
      <c r="BRW8"/>
      <c r="BRX8"/>
      <c r="BRY8"/>
      <c r="BRZ8"/>
      <c r="BSA8"/>
      <c r="BSB8"/>
      <c r="BSC8"/>
      <c r="BSD8"/>
      <c r="BSE8"/>
      <c r="BSF8"/>
      <c r="BSG8"/>
      <c r="BSH8"/>
      <c r="BSI8"/>
      <c r="BSJ8"/>
      <c r="BSK8"/>
      <c r="BSL8"/>
      <c r="BSM8"/>
      <c r="BSN8"/>
      <c r="BSO8"/>
      <c r="BSP8"/>
      <c r="BSQ8"/>
      <c r="BSR8"/>
      <c r="BSS8"/>
      <c r="BST8"/>
      <c r="BSU8"/>
      <c r="BSV8"/>
      <c r="BSW8"/>
      <c r="BSX8"/>
      <c r="BSY8"/>
      <c r="BSZ8"/>
      <c r="BTA8"/>
      <c r="BTB8"/>
      <c r="BTC8"/>
      <c r="BTD8"/>
      <c r="BTE8"/>
      <c r="BTF8"/>
      <c r="BTG8"/>
      <c r="BTH8"/>
      <c r="BTI8"/>
      <c r="BTJ8"/>
      <c r="BTK8"/>
      <c r="BTL8"/>
      <c r="BTM8"/>
      <c r="BTN8"/>
      <c r="BTO8"/>
      <c r="BTP8"/>
      <c r="BTQ8"/>
      <c r="BTR8"/>
      <c r="BTS8"/>
      <c r="BTT8"/>
      <c r="BTU8"/>
      <c r="BTV8"/>
      <c r="BTW8"/>
      <c r="BTX8"/>
      <c r="BTY8"/>
      <c r="BTZ8"/>
      <c r="BUA8"/>
      <c r="BUB8"/>
      <c r="BUC8"/>
      <c r="BUD8"/>
      <c r="BUE8"/>
      <c r="BUF8"/>
      <c r="BUG8"/>
      <c r="BUH8"/>
      <c r="BUI8"/>
      <c r="BUJ8"/>
      <c r="BUK8"/>
      <c r="BUL8"/>
      <c r="BUM8"/>
      <c r="BUN8"/>
      <c r="BUO8"/>
      <c r="BUP8"/>
      <c r="BUQ8"/>
      <c r="BUR8"/>
      <c r="BUS8"/>
      <c r="BUT8"/>
      <c r="BUU8"/>
      <c r="BUV8"/>
      <c r="BUW8"/>
      <c r="BUX8"/>
      <c r="BUY8"/>
      <c r="BUZ8"/>
      <c r="BVA8"/>
      <c r="BVB8"/>
      <c r="BVC8"/>
      <c r="BVD8"/>
      <c r="BVE8"/>
      <c r="BVF8"/>
      <c r="BVG8"/>
      <c r="BVH8"/>
      <c r="BVI8"/>
      <c r="BVJ8"/>
      <c r="BVK8"/>
      <c r="BVL8"/>
      <c r="BVM8"/>
      <c r="BVN8"/>
      <c r="BVO8"/>
      <c r="BVP8"/>
      <c r="BVQ8"/>
      <c r="BVR8"/>
      <c r="BVS8"/>
      <c r="BVT8"/>
      <c r="BVU8"/>
      <c r="BVV8"/>
      <c r="BVW8"/>
      <c r="BVX8"/>
      <c r="BVY8"/>
      <c r="BVZ8"/>
      <c r="BWA8"/>
      <c r="BWB8"/>
      <c r="BWC8"/>
      <c r="BWD8"/>
      <c r="BWE8"/>
      <c r="BWF8"/>
      <c r="BWG8"/>
      <c r="BWH8"/>
      <c r="BWI8"/>
      <c r="BWJ8"/>
      <c r="BWK8"/>
      <c r="BWL8"/>
      <c r="BWM8"/>
      <c r="BWN8"/>
      <c r="BWO8"/>
      <c r="BWP8"/>
      <c r="BWQ8"/>
      <c r="BWR8"/>
      <c r="BWS8"/>
      <c r="BWT8"/>
      <c r="BWU8"/>
      <c r="BWV8"/>
      <c r="BWW8"/>
      <c r="BWX8"/>
      <c r="BWY8"/>
      <c r="BWZ8"/>
      <c r="BXA8"/>
      <c r="BXB8"/>
      <c r="BXC8"/>
      <c r="BXD8"/>
      <c r="BXE8"/>
      <c r="BXF8"/>
      <c r="BXG8"/>
      <c r="BXH8"/>
      <c r="BXI8"/>
      <c r="BXJ8"/>
      <c r="BXK8"/>
      <c r="BXL8"/>
      <c r="BXM8"/>
      <c r="BXN8"/>
      <c r="BXO8"/>
      <c r="BXP8"/>
      <c r="BXQ8"/>
      <c r="BXR8"/>
      <c r="BXS8"/>
      <c r="BXT8"/>
      <c r="BXU8"/>
      <c r="BXV8"/>
      <c r="BXW8"/>
      <c r="BXX8"/>
      <c r="BXY8"/>
      <c r="BXZ8"/>
      <c r="BYA8"/>
      <c r="BYB8"/>
      <c r="BYC8"/>
      <c r="BYD8"/>
      <c r="BYE8"/>
      <c r="BYF8"/>
      <c r="BYG8"/>
      <c r="BYH8"/>
      <c r="BYI8"/>
      <c r="BYJ8"/>
      <c r="BYK8"/>
      <c r="BYL8"/>
      <c r="BYM8"/>
      <c r="BYN8"/>
      <c r="BYO8"/>
      <c r="BYP8"/>
      <c r="BYQ8"/>
      <c r="BYR8"/>
      <c r="BYS8"/>
      <c r="BYT8"/>
      <c r="BYU8"/>
      <c r="BYV8"/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/>
      <c r="CQG8"/>
      <c r="CQH8"/>
      <c r="CQI8"/>
      <c r="CQJ8"/>
      <c r="CQK8"/>
      <c r="CQL8"/>
      <c r="CQM8"/>
      <c r="CQN8"/>
      <c r="CQO8"/>
      <c r="CQP8"/>
      <c r="CQQ8"/>
      <c r="CQR8"/>
      <c r="CQS8"/>
      <c r="CQT8"/>
      <c r="CQU8"/>
      <c r="CQV8"/>
      <c r="CQW8"/>
      <c r="CQX8"/>
      <c r="CQY8"/>
      <c r="CQZ8"/>
      <c r="CRA8"/>
      <c r="CRB8"/>
      <c r="CRC8"/>
      <c r="CRD8"/>
      <c r="CRE8"/>
      <c r="CRF8"/>
      <c r="CRG8"/>
      <c r="CRH8"/>
      <c r="CRI8"/>
      <c r="CRJ8"/>
      <c r="CRK8"/>
      <c r="CRL8"/>
      <c r="CRM8"/>
      <c r="CRN8"/>
      <c r="CRO8"/>
      <c r="CRP8"/>
      <c r="CRQ8"/>
      <c r="CRR8"/>
      <c r="CRS8"/>
      <c r="CRT8"/>
      <c r="CRU8"/>
      <c r="CRV8"/>
      <c r="CRW8"/>
      <c r="CRX8"/>
      <c r="CRY8"/>
      <c r="CRZ8"/>
      <c r="CSA8"/>
      <c r="CSB8"/>
      <c r="CSC8"/>
      <c r="CSD8"/>
      <c r="CSE8"/>
      <c r="CSF8"/>
      <c r="CSG8"/>
      <c r="CSH8"/>
      <c r="CSI8"/>
      <c r="CSJ8"/>
      <c r="CSK8"/>
      <c r="CSL8"/>
      <c r="CSM8"/>
      <c r="CSN8"/>
      <c r="CSO8"/>
      <c r="CSP8"/>
      <c r="CSQ8"/>
      <c r="CSR8"/>
      <c r="CSS8"/>
      <c r="CST8"/>
      <c r="CSU8"/>
      <c r="CSV8"/>
      <c r="CSW8"/>
      <c r="CSX8"/>
      <c r="CSY8"/>
      <c r="CSZ8"/>
      <c r="CTA8"/>
      <c r="CTB8"/>
      <c r="CTC8"/>
      <c r="CTD8"/>
      <c r="CTE8"/>
      <c r="CTF8"/>
      <c r="CTG8"/>
      <c r="CTH8"/>
      <c r="CTI8"/>
      <c r="CTJ8"/>
      <c r="CTK8"/>
      <c r="CTL8"/>
      <c r="CTM8"/>
      <c r="CTN8"/>
      <c r="CTO8"/>
      <c r="CTP8"/>
      <c r="CTQ8"/>
      <c r="CTR8"/>
      <c r="CTS8"/>
      <c r="CTT8"/>
      <c r="CTU8"/>
      <c r="CTV8"/>
      <c r="CTW8"/>
      <c r="CTX8"/>
      <c r="CTY8"/>
      <c r="CTZ8"/>
      <c r="CUA8"/>
      <c r="CUB8"/>
      <c r="CUC8"/>
      <c r="CUD8"/>
      <c r="CUE8"/>
      <c r="CUF8"/>
      <c r="CUG8"/>
      <c r="CUH8"/>
      <c r="CUI8"/>
      <c r="CUJ8"/>
      <c r="CUK8"/>
      <c r="CUL8"/>
      <c r="CUM8"/>
      <c r="CUN8"/>
      <c r="CUO8"/>
      <c r="CUP8"/>
      <c r="CUQ8"/>
      <c r="CUR8"/>
      <c r="CUS8"/>
      <c r="CUT8"/>
      <c r="CUU8"/>
      <c r="CUV8"/>
      <c r="CUW8"/>
      <c r="CUX8"/>
      <c r="CUY8"/>
      <c r="CUZ8"/>
      <c r="CVA8"/>
      <c r="CVB8"/>
      <c r="CVC8"/>
      <c r="CVD8"/>
      <c r="CVE8"/>
      <c r="CVF8"/>
      <c r="CVG8"/>
      <c r="CVH8"/>
      <c r="CVI8"/>
      <c r="CVJ8"/>
      <c r="CVK8"/>
      <c r="CVL8"/>
      <c r="CVM8"/>
      <c r="CVN8"/>
      <c r="CVO8"/>
      <c r="CVP8"/>
      <c r="CVQ8"/>
      <c r="CVR8"/>
      <c r="CVS8"/>
      <c r="CVT8"/>
      <c r="CVU8"/>
      <c r="CVV8"/>
      <c r="CVW8"/>
      <c r="CVX8"/>
      <c r="CVY8"/>
      <c r="CVZ8"/>
      <c r="CWA8"/>
      <c r="CWB8"/>
      <c r="CWC8"/>
      <c r="CWD8"/>
      <c r="CWE8"/>
      <c r="CWF8"/>
      <c r="CWG8"/>
      <c r="CWH8"/>
      <c r="CWI8"/>
      <c r="CWJ8"/>
      <c r="CWK8"/>
      <c r="CWL8"/>
      <c r="CWM8"/>
      <c r="CWN8"/>
      <c r="CWO8"/>
      <c r="CWP8"/>
      <c r="CWQ8"/>
      <c r="CWR8"/>
      <c r="CWS8"/>
      <c r="CWT8"/>
      <c r="CWU8"/>
      <c r="CWV8"/>
      <c r="CWW8"/>
      <c r="CWX8"/>
      <c r="CWY8"/>
      <c r="CWZ8"/>
      <c r="CXA8"/>
      <c r="CXB8"/>
      <c r="CXC8"/>
      <c r="CXD8"/>
      <c r="CXE8"/>
      <c r="CXF8"/>
      <c r="CXG8"/>
      <c r="CXH8"/>
      <c r="CXI8"/>
      <c r="CXJ8"/>
      <c r="CXK8"/>
      <c r="CXL8"/>
      <c r="CXM8"/>
      <c r="CXN8"/>
      <c r="CXO8"/>
      <c r="CXP8"/>
      <c r="CXQ8"/>
      <c r="CXR8"/>
      <c r="CXS8"/>
      <c r="CXT8"/>
      <c r="CXU8"/>
      <c r="CXV8"/>
      <c r="CXW8"/>
      <c r="CXX8"/>
      <c r="CXY8"/>
      <c r="CXZ8"/>
      <c r="CYA8"/>
      <c r="CYB8"/>
      <c r="CYC8"/>
      <c r="CYD8"/>
      <c r="CYE8"/>
      <c r="CYF8"/>
      <c r="CYG8"/>
      <c r="CYH8"/>
      <c r="CYI8"/>
      <c r="CYJ8"/>
      <c r="CYK8"/>
      <c r="CYL8"/>
      <c r="CYM8"/>
      <c r="CYN8"/>
      <c r="CYO8"/>
      <c r="CYP8"/>
      <c r="CYQ8"/>
      <c r="CYR8"/>
      <c r="CYS8"/>
      <c r="CYT8"/>
      <c r="CYU8"/>
      <c r="CYV8"/>
      <c r="CYW8"/>
      <c r="CYX8"/>
      <c r="CYY8"/>
      <c r="CYZ8"/>
      <c r="CZA8"/>
      <c r="CZB8"/>
      <c r="CZC8"/>
      <c r="CZD8"/>
      <c r="CZE8"/>
      <c r="CZF8"/>
      <c r="CZG8"/>
      <c r="CZH8"/>
      <c r="CZI8"/>
      <c r="CZJ8"/>
      <c r="CZK8"/>
      <c r="CZL8"/>
      <c r="CZM8"/>
      <c r="CZN8"/>
      <c r="CZO8"/>
      <c r="CZP8"/>
      <c r="CZQ8"/>
      <c r="CZR8"/>
      <c r="CZS8"/>
      <c r="CZT8"/>
      <c r="CZU8"/>
      <c r="CZV8"/>
      <c r="CZW8"/>
      <c r="CZX8"/>
      <c r="CZY8"/>
      <c r="CZZ8"/>
      <c r="DAA8"/>
      <c r="DAB8"/>
      <c r="DAC8"/>
      <c r="DAD8"/>
      <c r="DAE8"/>
      <c r="DAF8"/>
      <c r="DAG8"/>
      <c r="DAH8"/>
      <c r="DAI8"/>
      <c r="DAJ8"/>
      <c r="DAK8"/>
      <c r="DAL8"/>
      <c r="DAM8"/>
      <c r="DAN8"/>
      <c r="DAO8"/>
      <c r="DAP8"/>
      <c r="DAQ8"/>
      <c r="DAR8"/>
      <c r="DAS8"/>
      <c r="DAT8"/>
      <c r="DAU8"/>
      <c r="DAV8"/>
      <c r="DAW8"/>
      <c r="DAX8"/>
      <c r="DAY8"/>
      <c r="DAZ8"/>
      <c r="DBA8"/>
      <c r="DBB8"/>
      <c r="DBC8"/>
      <c r="DBD8"/>
      <c r="DBE8"/>
      <c r="DBF8"/>
      <c r="DBG8"/>
      <c r="DBH8"/>
      <c r="DBI8"/>
      <c r="DBJ8"/>
      <c r="DBK8"/>
      <c r="DBL8"/>
      <c r="DBM8"/>
      <c r="DBN8"/>
      <c r="DBO8"/>
      <c r="DBP8"/>
      <c r="DBQ8"/>
      <c r="DBR8"/>
      <c r="DBS8"/>
      <c r="DBT8"/>
      <c r="DBU8"/>
      <c r="DBV8"/>
      <c r="DBW8"/>
      <c r="DBX8"/>
      <c r="DBY8"/>
      <c r="DBZ8"/>
      <c r="DCA8"/>
      <c r="DCB8"/>
      <c r="DCC8"/>
      <c r="DCD8"/>
      <c r="DCE8"/>
      <c r="DCF8"/>
      <c r="DCG8"/>
      <c r="DCH8"/>
      <c r="DCI8"/>
      <c r="DCJ8"/>
      <c r="DCK8"/>
      <c r="DCL8"/>
      <c r="DCM8"/>
      <c r="DCN8"/>
      <c r="DCO8"/>
      <c r="DCP8"/>
      <c r="DCQ8"/>
      <c r="DCR8"/>
      <c r="DCS8"/>
      <c r="DCT8"/>
      <c r="DCU8"/>
      <c r="DCV8"/>
      <c r="DCW8"/>
      <c r="DCX8"/>
      <c r="DCY8"/>
      <c r="DCZ8"/>
      <c r="DDA8"/>
      <c r="DDB8"/>
      <c r="DDC8"/>
      <c r="DDD8"/>
      <c r="DDE8"/>
      <c r="DDF8"/>
      <c r="DDG8"/>
      <c r="DDH8"/>
      <c r="DDI8"/>
      <c r="DDJ8"/>
      <c r="DDK8"/>
      <c r="DDL8"/>
      <c r="DDM8"/>
      <c r="DDN8"/>
      <c r="DDO8"/>
      <c r="DDP8"/>
      <c r="DDQ8"/>
      <c r="DDR8"/>
      <c r="DDS8"/>
      <c r="DDT8"/>
      <c r="DDU8"/>
      <c r="DDV8"/>
      <c r="DDW8"/>
      <c r="DDX8"/>
      <c r="DDY8"/>
      <c r="DDZ8"/>
      <c r="DEA8"/>
      <c r="DEB8"/>
      <c r="DEC8"/>
      <c r="DED8"/>
      <c r="DEE8"/>
      <c r="DEF8"/>
      <c r="DEG8"/>
      <c r="DEH8"/>
      <c r="DEI8"/>
      <c r="DEJ8"/>
      <c r="DEK8"/>
      <c r="DEL8"/>
      <c r="DEM8"/>
      <c r="DEN8"/>
      <c r="DEO8"/>
      <c r="DEP8"/>
      <c r="DEQ8"/>
      <c r="DER8"/>
      <c r="DES8"/>
      <c r="DET8"/>
      <c r="DEU8"/>
      <c r="DEV8"/>
      <c r="DEW8"/>
      <c r="DEX8"/>
      <c r="DEY8"/>
      <c r="DEZ8"/>
      <c r="DFA8"/>
      <c r="DFB8"/>
      <c r="DFC8"/>
      <c r="DFD8"/>
      <c r="DFE8"/>
      <c r="DFF8"/>
      <c r="DFG8"/>
      <c r="DFH8"/>
      <c r="DFI8"/>
      <c r="DFJ8"/>
      <c r="DFK8"/>
      <c r="DFL8"/>
      <c r="DFM8"/>
      <c r="DFN8"/>
      <c r="DFO8"/>
      <c r="DFP8"/>
      <c r="DFQ8"/>
      <c r="DFR8"/>
      <c r="DFS8"/>
      <c r="DFT8"/>
      <c r="DFU8"/>
      <c r="DFV8"/>
      <c r="DFW8"/>
      <c r="DFX8"/>
      <c r="DFY8"/>
      <c r="DFZ8"/>
      <c r="DGA8"/>
      <c r="DGB8"/>
      <c r="DGC8"/>
      <c r="DGD8"/>
      <c r="DGE8"/>
      <c r="DGF8"/>
      <c r="DGG8"/>
      <c r="DGH8"/>
      <c r="DGI8"/>
      <c r="DGJ8"/>
      <c r="DGK8"/>
      <c r="DGL8"/>
      <c r="DGM8"/>
      <c r="DGN8"/>
      <c r="DGO8"/>
      <c r="DGP8"/>
      <c r="DGQ8"/>
      <c r="DGR8"/>
      <c r="DGS8"/>
      <c r="DGT8"/>
      <c r="DGU8"/>
      <c r="DGV8"/>
      <c r="DGW8"/>
      <c r="DGX8"/>
      <c r="DGY8"/>
      <c r="DGZ8"/>
      <c r="DHA8"/>
      <c r="DHB8"/>
      <c r="DHC8"/>
      <c r="DHD8"/>
      <c r="DHE8"/>
      <c r="DHF8"/>
      <c r="DHG8"/>
      <c r="DHH8"/>
      <c r="DHI8"/>
      <c r="DHJ8"/>
      <c r="DHK8"/>
      <c r="DHL8"/>
      <c r="DHM8"/>
      <c r="DHN8"/>
      <c r="DHO8"/>
      <c r="DHP8"/>
      <c r="DHQ8"/>
      <c r="DHR8"/>
      <c r="DHS8"/>
      <c r="DHT8"/>
      <c r="DHU8"/>
      <c r="DHV8"/>
      <c r="DHW8"/>
      <c r="DHX8"/>
      <c r="DHY8"/>
      <c r="DHZ8"/>
      <c r="DIA8"/>
      <c r="DIB8"/>
      <c r="DIC8"/>
      <c r="DID8"/>
      <c r="DIE8"/>
      <c r="DIF8"/>
      <c r="DIG8"/>
      <c r="DIH8"/>
      <c r="DII8"/>
      <c r="DIJ8"/>
      <c r="DIK8"/>
      <c r="DIL8"/>
      <c r="DIM8"/>
      <c r="DIN8"/>
      <c r="DIO8"/>
      <c r="DIP8"/>
      <c r="DIQ8"/>
      <c r="DIR8"/>
      <c r="DIS8"/>
      <c r="DIT8"/>
      <c r="DIU8"/>
      <c r="DIV8"/>
      <c r="DIW8"/>
      <c r="DIX8"/>
      <c r="DIY8"/>
      <c r="DIZ8"/>
      <c r="DJA8"/>
      <c r="DJB8"/>
      <c r="DJC8"/>
      <c r="DJD8"/>
      <c r="DJE8"/>
      <c r="DJF8"/>
      <c r="DJG8"/>
      <c r="DJH8"/>
      <c r="DJI8"/>
      <c r="DJJ8"/>
      <c r="DJK8"/>
      <c r="DJL8"/>
      <c r="DJM8"/>
      <c r="DJN8"/>
      <c r="DJO8"/>
      <c r="DJP8"/>
      <c r="DJQ8"/>
      <c r="DJR8"/>
      <c r="DJS8"/>
      <c r="DJT8"/>
      <c r="DJU8"/>
      <c r="DJV8"/>
      <c r="DJW8"/>
      <c r="DJX8"/>
      <c r="DJY8"/>
      <c r="DJZ8"/>
      <c r="DKA8"/>
      <c r="DKB8"/>
      <c r="DKC8"/>
      <c r="DKD8"/>
      <c r="DKE8"/>
      <c r="DKF8"/>
      <c r="DKG8"/>
      <c r="DKH8"/>
      <c r="DKI8"/>
      <c r="DKJ8"/>
      <c r="DKK8"/>
      <c r="DKL8"/>
      <c r="DKM8"/>
      <c r="DKN8"/>
      <c r="DKO8"/>
      <c r="DKP8"/>
      <c r="DKQ8"/>
      <c r="DKR8"/>
      <c r="DKS8"/>
      <c r="DKT8"/>
      <c r="DKU8"/>
      <c r="DKV8"/>
      <c r="DKW8"/>
      <c r="DKX8"/>
      <c r="DKY8"/>
      <c r="DKZ8"/>
      <c r="DLA8"/>
      <c r="DLB8"/>
      <c r="DLC8"/>
      <c r="DLD8"/>
      <c r="DLE8"/>
      <c r="DLF8"/>
      <c r="DLG8"/>
      <c r="DLH8"/>
      <c r="DLI8"/>
      <c r="DLJ8"/>
      <c r="DLK8"/>
      <c r="DLL8"/>
      <c r="DLM8"/>
      <c r="DLN8"/>
      <c r="DLO8"/>
      <c r="DLP8"/>
      <c r="DLQ8"/>
      <c r="DLR8"/>
      <c r="DLS8"/>
      <c r="DLT8"/>
      <c r="DLU8"/>
      <c r="DLV8"/>
      <c r="DLW8"/>
      <c r="DLX8"/>
      <c r="DLY8"/>
      <c r="DLZ8"/>
      <c r="DMA8"/>
      <c r="DMB8"/>
      <c r="DMC8"/>
      <c r="DMD8"/>
      <c r="DME8"/>
      <c r="DMF8"/>
      <c r="DMG8"/>
      <c r="DMH8"/>
      <c r="DMI8"/>
      <c r="DMJ8"/>
      <c r="DMK8"/>
      <c r="DML8"/>
      <c r="DMM8"/>
      <c r="DMN8"/>
      <c r="DMO8"/>
      <c r="DMP8"/>
      <c r="DMQ8"/>
      <c r="DMR8"/>
      <c r="DMS8"/>
      <c r="DMT8"/>
      <c r="DMU8"/>
      <c r="DMV8"/>
      <c r="DMW8"/>
      <c r="DMX8"/>
      <c r="DMY8"/>
      <c r="DMZ8"/>
      <c r="DNA8"/>
      <c r="DNB8"/>
      <c r="DNC8"/>
      <c r="DND8"/>
      <c r="DNE8"/>
      <c r="DNF8"/>
      <c r="DNG8"/>
      <c r="DNH8"/>
      <c r="DNI8"/>
      <c r="DNJ8"/>
      <c r="DNK8"/>
      <c r="DNL8"/>
      <c r="DNM8"/>
      <c r="DNN8"/>
      <c r="DNO8"/>
      <c r="DNP8"/>
      <c r="DNQ8"/>
      <c r="DNR8"/>
      <c r="DNS8"/>
      <c r="DNT8"/>
      <c r="DNU8"/>
      <c r="DNV8"/>
      <c r="DNW8"/>
      <c r="DNX8"/>
      <c r="DNY8"/>
      <c r="DNZ8"/>
      <c r="DOA8"/>
      <c r="DOB8"/>
      <c r="DOC8"/>
      <c r="DOD8"/>
      <c r="DOE8"/>
      <c r="DOF8"/>
      <c r="DOG8"/>
      <c r="DOH8"/>
      <c r="DOI8"/>
      <c r="DOJ8"/>
      <c r="DOK8"/>
      <c r="DOL8"/>
      <c r="DOM8"/>
      <c r="DON8"/>
      <c r="DOO8"/>
      <c r="DOP8"/>
      <c r="DOQ8"/>
      <c r="DOR8"/>
      <c r="DOS8"/>
      <c r="DOT8"/>
      <c r="DOU8"/>
      <c r="DOV8"/>
      <c r="DOW8"/>
      <c r="DOX8"/>
      <c r="DOY8"/>
      <c r="DOZ8"/>
      <c r="DPA8"/>
      <c r="DPB8"/>
      <c r="DPC8"/>
      <c r="DPD8"/>
      <c r="DPE8"/>
      <c r="DPF8"/>
      <c r="DPG8"/>
      <c r="DPH8"/>
      <c r="DPI8"/>
      <c r="DPJ8"/>
      <c r="DPK8"/>
      <c r="DPL8"/>
      <c r="DPM8"/>
      <c r="DPN8"/>
      <c r="DPO8"/>
      <c r="DPP8"/>
      <c r="DPQ8"/>
      <c r="DPR8"/>
      <c r="DPS8"/>
      <c r="DPT8"/>
      <c r="DPU8"/>
      <c r="DPV8"/>
      <c r="DPW8"/>
      <c r="DPX8"/>
      <c r="DPY8"/>
      <c r="DPZ8"/>
      <c r="DQA8"/>
      <c r="DQB8"/>
      <c r="DQC8"/>
      <c r="DQD8"/>
      <c r="DQE8"/>
      <c r="DQF8"/>
      <c r="DQG8"/>
      <c r="DQH8"/>
      <c r="DQI8"/>
      <c r="DQJ8"/>
      <c r="DQK8"/>
      <c r="DQL8"/>
      <c r="DQM8"/>
      <c r="DQN8"/>
      <c r="DQO8"/>
      <c r="DQP8"/>
      <c r="DQQ8"/>
      <c r="DQR8"/>
      <c r="DQS8"/>
      <c r="DQT8"/>
      <c r="DQU8"/>
      <c r="DQV8"/>
      <c r="DQW8"/>
      <c r="DQX8"/>
      <c r="DQY8"/>
      <c r="DQZ8"/>
      <c r="DRA8"/>
      <c r="DRB8"/>
      <c r="DRC8"/>
      <c r="DRD8"/>
      <c r="DRE8"/>
      <c r="DRF8"/>
      <c r="DRG8"/>
      <c r="DRH8"/>
      <c r="DRI8"/>
      <c r="DRJ8"/>
      <c r="DRK8"/>
      <c r="DRL8"/>
      <c r="DRM8"/>
      <c r="DRN8"/>
      <c r="DRO8"/>
      <c r="DRP8"/>
      <c r="DRQ8"/>
      <c r="DRR8"/>
      <c r="DRS8"/>
      <c r="DRT8"/>
      <c r="DRU8"/>
      <c r="DRV8"/>
      <c r="DRW8"/>
      <c r="DRX8"/>
      <c r="DRY8"/>
      <c r="DRZ8"/>
      <c r="DSA8"/>
      <c r="DSB8"/>
      <c r="DSC8"/>
      <c r="DSD8"/>
      <c r="DSE8"/>
      <c r="DSF8"/>
      <c r="DSG8"/>
      <c r="DSH8"/>
      <c r="DSI8"/>
      <c r="DSJ8"/>
      <c r="DSK8"/>
      <c r="DSL8"/>
      <c r="DSM8"/>
      <c r="DSN8"/>
      <c r="DSO8"/>
      <c r="DSP8"/>
      <c r="DSQ8"/>
      <c r="DSR8"/>
      <c r="DSS8"/>
      <c r="DST8"/>
      <c r="DSU8"/>
      <c r="DSV8"/>
      <c r="DSW8"/>
      <c r="DSX8"/>
      <c r="DSY8"/>
      <c r="DSZ8"/>
      <c r="DTA8"/>
      <c r="DTB8"/>
      <c r="DTC8"/>
      <c r="DTD8"/>
      <c r="DTE8"/>
      <c r="DTF8"/>
      <c r="DTG8"/>
      <c r="DTH8"/>
      <c r="DTI8"/>
      <c r="DTJ8"/>
      <c r="DTK8"/>
      <c r="DTL8"/>
      <c r="DTM8"/>
      <c r="DTN8"/>
      <c r="DTO8"/>
      <c r="DTP8"/>
      <c r="DTQ8"/>
      <c r="DTR8"/>
      <c r="DTS8"/>
      <c r="DTT8"/>
      <c r="DTU8"/>
      <c r="DTV8"/>
      <c r="DTW8"/>
      <c r="DTX8"/>
      <c r="DTY8"/>
      <c r="DTZ8"/>
      <c r="DUA8"/>
      <c r="DUB8"/>
      <c r="DUC8"/>
      <c r="DUD8"/>
      <c r="DUE8"/>
      <c r="DUF8"/>
      <c r="DUG8"/>
      <c r="DUH8"/>
      <c r="DUI8"/>
      <c r="DUJ8"/>
      <c r="DUK8"/>
      <c r="DUL8"/>
      <c r="DUM8"/>
      <c r="DUN8"/>
      <c r="DUO8"/>
      <c r="DUP8"/>
      <c r="DUQ8"/>
      <c r="DUR8"/>
      <c r="DUS8"/>
      <c r="DUT8"/>
      <c r="DUU8"/>
      <c r="DUV8"/>
      <c r="DUW8"/>
      <c r="DUX8"/>
      <c r="DUY8"/>
      <c r="DUZ8"/>
      <c r="DVA8"/>
      <c r="DVB8"/>
      <c r="DVC8"/>
      <c r="DVD8"/>
      <c r="DVE8"/>
      <c r="DVF8"/>
      <c r="DVG8"/>
      <c r="DVH8"/>
      <c r="DVI8"/>
      <c r="DVJ8"/>
      <c r="DVK8"/>
      <c r="DVL8"/>
      <c r="DVM8"/>
      <c r="DVN8"/>
      <c r="DVO8"/>
      <c r="DVP8"/>
      <c r="DVQ8"/>
      <c r="DVR8"/>
      <c r="DVS8"/>
      <c r="DVT8"/>
      <c r="DVU8"/>
      <c r="DVV8"/>
      <c r="DVW8"/>
      <c r="DVX8"/>
      <c r="DVY8"/>
      <c r="DVZ8"/>
      <c r="DWA8"/>
      <c r="DWB8"/>
      <c r="DWC8"/>
      <c r="DWD8"/>
      <c r="DWE8"/>
      <c r="DWF8"/>
      <c r="DWG8"/>
      <c r="DWH8"/>
      <c r="DWI8"/>
      <c r="DWJ8"/>
      <c r="DWK8"/>
      <c r="DWL8"/>
      <c r="DWM8"/>
      <c r="DWN8"/>
      <c r="DWO8"/>
      <c r="DWP8"/>
      <c r="DWQ8"/>
      <c r="DWR8"/>
      <c r="DWS8"/>
      <c r="DWT8"/>
      <c r="DWU8"/>
      <c r="DWV8"/>
      <c r="DWW8"/>
      <c r="DWX8"/>
      <c r="DWY8"/>
      <c r="DWZ8"/>
      <c r="DXA8"/>
      <c r="DXB8"/>
      <c r="DXC8"/>
      <c r="DXD8"/>
      <c r="DXE8"/>
      <c r="DXF8"/>
      <c r="DXG8"/>
      <c r="DXH8"/>
      <c r="DXI8"/>
      <c r="DXJ8"/>
      <c r="DXK8"/>
      <c r="DXL8"/>
      <c r="DXM8"/>
      <c r="DXN8"/>
      <c r="DXO8"/>
      <c r="DXP8"/>
      <c r="DXQ8"/>
      <c r="DXR8"/>
      <c r="DXS8"/>
      <c r="DXT8"/>
      <c r="DXU8"/>
      <c r="DXV8"/>
      <c r="DXW8"/>
      <c r="DXX8"/>
      <c r="DXY8"/>
      <c r="DXZ8"/>
      <c r="DYA8"/>
      <c r="DYB8"/>
      <c r="DYC8"/>
      <c r="DYD8"/>
      <c r="DYE8"/>
      <c r="DYF8"/>
      <c r="DYG8"/>
      <c r="DYH8"/>
      <c r="DYI8"/>
      <c r="DYJ8"/>
      <c r="DYK8"/>
      <c r="DYL8"/>
      <c r="DYM8"/>
      <c r="DYN8"/>
      <c r="DYO8"/>
      <c r="DYP8"/>
      <c r="DYQ8"/>
      <c r="DYR8"/>
      <c r="DYS8"/>
      <c r="DYT8"/>
      <c r="DYU8"/>
      <c r="DYV8"/>
      <c r="DYW8"/>
      <c r="DYX8"/>
      <c r="DYY8"/>
      <c r="DYZ8"/>
      <c r="DZA8"/>
      <c r="DZB8"/>
      <c r="DZC8"/>
      <c r="DZD8"/>
      <c r="DZE8"/>
      <c r="DZF8"/>
      <c r="DZG8"/>
      <c r="DZH8"/>
      <c r="DZI8"/>
      <c r="DZJ8"/>
      <c r="DZK8"/>
      <c r="DZL8"/>
      <c r="DZM8"/>
      <c r="DZN8"/>
      <c r="DZO8"/>
      <c r="DZP8"/>
      <c r="DZQ8"/>
      <c r="DZR8"/>
      <c r="DZS8"/>
      <c r="DZT8"/>
      <c r="DZU8"/>
      <c r="DZV8"/>
      <c r="DZW8"/>
      <c r="DZX8"/>
      <c r="DZY8"/>
      <c r="DZZ8"/>
      <c r="EAA8"/>
      <c r="EAB8"/>
      <c r="EAC8"/>
      <c r="EAD8"/>
      <c r="EAE8"/>
      <c r="EAF8"/>
      <c r="EAG8"/>
      <c r="EAH8"/>
      <c r="EAI8"/>
      <c r="EAJ8"/>
      <c r="EAK8"/>
      <c r="EAL8"/>
      <c r="EAM8"/>
      <c r="EAN8"/>
      <c r="EAO8"/>
      <c r="EAP8"/>
      <c r="EAQ8"/>
      <c r="EAR8"/>
      <c r="EAS8"/>
      <c r="EAT8"/>
      <c r="EAU8"/>
      <c r="EAV8"/>
      <c r="EAW8"/>
      <c r="EAX8"/>
      <c r="EAY8"/>
      <c r="EAZ8"/>
      <c r="EBA8"/>
      <c r="EBB8"/>
      <c r="EBC8"/>
      <c r="EBD8"/>
      <c r="EBE8"/>
      <c r="EBF8"/>
      <c r="EBG8"/>
      <c r="EBH8"/>
      <c r="EBI8"/>
      <c r="EBJ8"/>
      <c r="EBK8"/>
      <c r="EBL8"/>
      <c r="EBM8"/>
      <c r="EBN8"/>
      <c r="EBO8"/>
      <c r="EBP8"/>
      <c r="EBQ8"/>
      <c r="EBR8"/>
      <c r="EBS8"/>
      <c r="EBT8"/>
      <c r="EBU8"/>
      <c r="EBV8"/>
      <c r="EBW8"/>
      <c r="EBX8"/>
      <c r="EBY8"/>
      <c r="EBZ8"/>
      <c r="ECA8"/>
      <c r="ECB8"/>
      <c r="ECC8"/>
      <c r="ECD8"/>
      <c r="ECE8"/>
      <c r="ECF8"/>
      <c r="ECG8"/>
      <c r="ECH8"/>
      <c r="ECI8"/>
      <c r="ECJ8"/>
      <c r="ECK8"/>
      <c r="ECL8"/>
      <c r="ECM8"/>
      <c r="ECN8"/>
      <c r="ECO8"/>
      <c r="ECP8"/>
      <c r="ECQ8"/>
      <c r="ECR8"/>
      <c r="ECS8"/>
      <c r="ECT8"/>
      <c r="ECU8"/>
      <c r="ECV8"/>
      <c r="ECW8"/>
      <c r="ECX8"/>
      <c r="ECY8"/>
      <c r="ECZ8"/>
      <c r="EDA8"/>
      <c r="EDB8"/>
      <c r="EDC8"/>
      <c r="EDD8"/>
      <c r="EDE8"/>
      <c r="EDF8"/>
      <c r="EDG8"/>
      <c r="EDH8"/>
      <c r="EDI8"/>
      <c r="EDJ8"/>
      <c r="EDK8"/>
      <c r="EDL8"/>
      <c r="EDM8"/>
      <c r="EDN8"/>
      <c r="EDO8"/>
      <c r="EDP8"/>
      <c r="EDQ8"/>
      <c r="EDR8"/>
      <c r="EDS8"/>
      <c r="EDT8"/>
      <c r="EDU8"/>
      <c r="EDV8"/>
      <c r="EDW8"/>
      <c r="EDX8"/>
      <c r="EDY8"/>
      <c r="EDZ8"/>
      <c r="EEA8"/>
      <c r="EEB8"/>
      <c r="EEC8"/>
      <c r="EED8"/>
      <c r="EEE8"/>
      <c r="EEF8"/>
      <c r="EEG8"/>
      <c r="EEH8"/>
      <c r="EEI8"/>
      <c r="EEJ8"/>
      <c r="EEK8"/>
      <c r="EEL8"/>
      <c r="EEM8"/>
      <c r="EEN8"/>
      <c r="EEO8"/>
      <c r="EEP8"/>
      <c r="EEQ8"/>
      <c r="EER8"/>
      <c r="EES8"/>
      <c r="EET8"/>
      <c r="EEU8"/>
      <c r="EEV8"/>
      <c r="EEW8"/>
      <c r="EEX8"/>
      <c r="EEY8"/>
      <c r="EEZ8"/>
      <c r="EFA8"/>
      <c r="EFB8"/>
      <c r="EFC8"/>
      <c r="EFD8"/>
      <c r="EFE8"/>
      <c r="EFF8"/>
      <c r="EFG8"/>
      <c r="EFH8"/>
      <c r="EFI8"/>
      <c r="EFJ8"/>
      <c r="EFK8"/>
      <c r="EFL8"/>
      <c r="EFM8"/>
      <c r="EFN8"/>
      <c r="EFO8"/>
      <c r="EFP8"/>
      <c r="EFQ8"/>
      <c r="EFR8"/>
      <c r="EFS8"/>
      <c r="EFT8"/>
      <c r="EFU8"/>
      <c r="EFV8"/>
      <c r="EFW8"/>
      <c r="EFX8"/>
      <c r="EFY8"/>
      <c r="EFZ8"/>
      <c r="EGA8"/>
      <c r="EGB8"/>
      <c r="EGC8"/>
      <c r="EGD8"/>
      <c r="EGE8"/>
      <c r="EGF8"/>
      <c r="EGG8"/>
      <c r="EGH8"/>
      <c r="EGI8"/>
      <c r="EGJ8"/>
      <c r="EGK8"/>
      <c r="EGL8"/>
      <c r="EGM8"/>
      <c r="EGN8"/>
      <c r="EGO8"/>
      <c r="EGP8"/>
      <c r="EGQ8"/>
      <c r="EGR8"/>
      <c r="EGS8"/>
      <c r="EGT8"/>
      <c r="EGU8"/>
      <c r="EGV8"/>
      <c r="EGW8"/>
      <c r="EGX8"/>
      <c r="EGY8"/>
      <c r="EGZ8"/>
      <c r="EHA8"/>
      <c r="EHB8"/>
      <c r="EHC8"/>
      <c r="EHD8"/>
      <c r="EHE8"/>
      <c r="EHF8"/>
      <c r="EHG8"/>
      <c r="EHH8"/>
      <c r="EHI8"/>
      <c r="EHJ8"/>
      <c r="EHK8"/>
      <c r="EHL8"/>
      <c r="EHM8"/>
      <c r="EHN8"/>
      <c r="EHO8"/>
      <c r="EHP8"/>
      <c r="EHQ8"/>
      <c r="EHR8"/>
      <c r="EHS8"/>
      <c r="EHT8"/>
      <c r="EHU8"/>
      <c r="EHV8"/>
      <c r="EHW8"/>
      <c r="EHX8"/>
      <c r="EHY8"/>
      <c r="EHZ8"/>
      <c r="EIA8"/>
      <c r="EIB8"/>
      <c r="EIC8"/>
      <c r="EID8"/>
      <c r="EIE8"/>
      <c r="EIF8"/>
      <c r="EIG8"/>
      <c r="EIH8"/>
      <c r="EII8"/>
      <c r="EIJ8"/>
      <c r="EIK8"/>
      <c r="EIL8"/>
      <c r="EIM8"/>
      <c r="EIN8"/>
      <c r="EIO8"/>
      <c r="EIP8"/>
      <c r="EIQ8"/>
      <c r="EIR8"/>
      <c r="EIS8"/>
      <c r="EIT8"/>
      <c r="EIU8"/>
      <c r="EIV8"/>
      <c r="EIW8"/>
      <c r="EIX8"/>
      <c r="EIY8"/>
      <c r="EIZ8"/>
      <c r="EJA8"/>
      <c r="EJB8"/>
      <c r="EJC8"/>
      <c r="EJD8"/>
      <c r="EJE8"/>
      <c r="EJF8"/>
      <c r="EJG8"/>
      <c r="EJH8"/>
      <c r="EJI8"/>
      <c r="EJJ8"/>
      <c r="EJK8"/>
      <c r="EJL8"/>
      <c r="EJM8"/>
      <c r="EJN8"/>
      <c r="EJO8"/>
      <c r="EJP8"/>
      <c r="EJQ8"/>
      <c r="EJR8"/>
      <c r="EJS8"/>
      <c r="EJT8"/>
      <c r="EJU8"/>
      <c r="EJV8"/>
      <c r="EJW8"/>
      <c r="EJX8"/>
      <c r="EJY8"/>
      <c r="EJZ8"/>
      <c r="EKA8"/>
      <c r="EKB8"/>
      <c r="EKC8"/>
      <c r="EKD8"/>
      <c r="EKE8"/>
      <c r="EKF8"/>
      <c r="EKG8"/>
      <c r="EKH8"/>
      <c r="EKI8"/>
      <c r="EKJ8"/>
      <c r="EKK8"/>
      <c r="EKL8"/>
      <c r="EKM8"/>
      <c r="EKN8"/>
      <c r="EKO8"/>
      <c r="EKP8"/>
      <c r="EKQ8"/>
      <c r="EKR8"/>
      <c r="EKS8"/>
      <c r="EKT8"/>
      <c r="EKU8"/>
      <c r="EKV8"/>
      <c r="EKW8"/>
      <c r="EKX8"/>
      <c r="EKY8"/>
      <c r="EKZ8"/>
      <c r="ELA8"/>
      <c r="ELB8"/>
      <c r="ELC8"/>
      <c r="ELD8"/>
      <c r="ELE8"/>
      <c r="ELF8"/>
      <c r="ELG8"/>
      <c r="ELH8"/>
      <c r="ELI8"/>
      <c r="ELJ8"/>
      <c r="ELK8"/>
      <c r="ELL8"/>
      <c r="ELM8"/>
      <c r="ELN8"/>
      <c r="ELO8"/>
      <c r="ELP8"/>
      <c r="ELQ8"/>
      <c r="ELR8"/>
      <c r="ELS8"/>
      <c r="ELT8"/>
      <c r="ELU8"/>
      <c r="ELV8"/>
      <c r="ELW8"/>
      <c r="ELX8"/>
      <c r="ELY8"/>
      <c r="ELZ8"/>
      <c r="EMA8"/>
      <c r="EMB8"/>
      <c r="EMC8"/>
      <c r="EMD8"/>
      <c r="EME8"/>
      <c r="EMF8"/>
      <c r="EMG8"/>
      <c r="EMH8"/>
      <c r="EMI8"/>
      <c r="EMJ8"/>
      <c r="EMK8"/>
      <c r="EML8"/>
      <c r="EMM8"/>
      <c r="EMN8"/>
      <c r="EMO8"/>
      <c r="EMP8"/>
      <c r="EMQ8"/>
      <c r="EMR8"/>
      <c r="EMS8"/>
      <c r="EMT8"/>
      <c r="EMU8"/>
      <c r="EMV8"/>
      <c r="EMW8"/>
      <c r="EMX8"/>
      <c r="EMY8"/>
      <c r="EMZ8"/>
      <c r="ENA8"/>
      <c r="ENB8"/>
      <c r="ENC8"/>
      <c r="END8"/>
      <c r="ENE8"/>
      <c r="ENF8"/>
      <c r="ENG8"/>
      <c r="ENH8"/>
      <c r="ENI8"/>
      <c r="ENJ8"/>
      <c r="ENK8"/>
      <c r="ENL8"/>
      <c r="ENM8"/>
      <c r="ENN8"/>
      <c r="ENO8"/>
      <c r="ENP8"/>
      <c r="ENQ8"/>
      <c r="ENR8"/>
      <c r="ENS8"/>
      <c r="ENT8"/>
      <c r="ENU8"/>
      <c r="ENV8"/>
      <c r="ENW8"/>
      <c r="ENX8"/>
      <c r="ENY8"/>
      <c r="ENZ8"/>
      <c r="EOA8"/>
      <c r="EOB8"/>
      <c r="EOC8"/>
      <c r="EOD8"/>
      <c r="EOE8"/>
      <c r="EOF8"/>
      <c r="EOG8"/>
      <c r="EOH8"/>
      <c r="EOI8"/>
      <c r="EOJ8"/>
      <c r="EOK8"/>
      <c r="EOL8"/>
      <c r="EOM8"/>
      <c r="EON8"/>
      <c r="EOO8"/>
      <c r="EOP8"/>
      <c r="EOQ8"/>
      <c r="EOR8"/>
      <c r="EOS8"/>
      <c r="EOT8"/>
      <c r="EOU8"/>
      <c r="EOV8"/>
      <c r="EOW8"/>
      <c r="EOX8"/>
      <c r="EOY8"/>
      <c r="EOZ8"/>
      <c r="EPA8"/>
      <c r="EPB8"/>
      <c r="EPC8"/>
      <c r="EPD8"/>
      <c r="EPE8"/>
      <c r="EPF8"/>
      <c r="EPG8"/>
      <c r="EPH8"/>
      <c r="EPI8"/>
      <c r="EPJ8"/>
      <c r="EPK8"/>
      <c r="EPL8"/>
      <c r="EPM8"/>
      <c r="EPN8"/>
      <c r="EPO8"/>
      <c r="EPP8"/>
      <c r="EPQ8"/>
      <c r="EPR8"/>
      <c r="EPS8"/>
      <c r="EPT8"/>
      <c r="EPU8"/>
      <c r="EPV8"/>
      <c r="EPW8"/>
      <c r="EPX8"/>
      <c r="EPY8"/>
      <c r="EPZ8"/>
      <c r="EQA8"/>
      <c r="EQB8"/>
      <c r="EQC8"/>
      <c r="EQD8"/>
      <c r="EQE8"/>
      <c r="EQF8"/>
      <c r="EQG8"/>
      <c r="EQH8"/>
      <c r="EQI8"/>
      <c r="EQJ8"/>
      <c r="EQK8"/>
      <c r="EQL8"/>
      <c r="EQM8"/>
      <c r="EQN8"/>
      <c r="EQO8"/>
      <c r="EQP8"/>
      <c r="EQQ8"/>
      <c r="EQR8"/>
      <c r="EQS8"/>
      <c r="EQT8"/>
      <c r="EQU8"/>
      <c r="EQV8"/>
      <c r="EQW8"/>
      <c r="EQX8"/>
      <c r="EQY8"/>
      <c r="EQZ8"/>
      <c r="ERA8"/>
      <c r="ERB8"/>
      <c r="ERC8"/>
      <c r="ERD8"/>
      <c r="ERE8"/>
      <c r="ERF8"/>
      <c r="ERG8"/>
      <c r="ERH8"/>
      <c r="ERI8"/>
      <c r="ERJ8"/>
      <c r="ERK8"/>
      <c r="ERL8"/>
      <c r="ERM8"/>
      <c r="ERN8"/>
      <c r="ERO8"/>
      <c r="ERP8"/>
      <c r="ERQ8"/>
      <c r="ERR8"/>
      <c r="ERS8"/>
      <c r="ERT8"/>
      <c r="ERU8"/>
      <c r="ERV8"/>
      <c r="ERW8"/>
      <c r="ERX8"/>
      <c r="ERY8"/>
      <c r="ERZ8"/>
      <c r="ESA8"/>
      <c r="ESB8"/>
      <c r="ESC8"/>
      <c r="ESD8"/>
      <c r="ESE8"/>
      <c r="ESF8"/>
      <c r="ESG8"/>
      <c r="ESH8"/>
      <c r="ESI8"/>
      <c r="ESJ8"/>
      <c r="ESK8"/>
      <c r="ESL8"/>
      <c r="ESM8"/>
      <c r="ESN8"/>
      <c r="ESO8"/>
      <c r="ESP8"/>
      <c r="ESQ8"/>
      <c r="ESR8"/>
      <c r="ESS8"/>
      <c r="EST8"/>
      <c r="ESU8"/>
      <c r="ESV8"/>
      <c r="ESW8"/>
      <c r="ESX8"/>
      <c r="ESY8"/>
      <c r="ESZ8"/>
      <c r="ETA8"/>
      <c r="ETB8"/>
      <c r="ETC8"/>
      <c r="ETD8"/>
      <c r="ETE8"/>
      <c r="ETF8"/>
      <c r="ETG8"/>
      <c r="ETH8"/>
      <c r="ETI8"/>
      <c r="ETJ8"/>
      <c r="ETK8"/>
      <c r="ETL8"/>
      <c r="ETM8"/>
      <c r="ETN8"/>
      <c r="ETO8"/>
      <c r="ETP8"/>
      <c r="ETQ8"/>
      <c r="ETR8"/>
      <c r="ETS8"/>
      <c r="ETT8"/>
      <c r="ETU8"/>
      <c r="ETV8"/>
      <c r="ETW8"/>
      <c r="ETX8"/>
      <c r="ETY8"/>
      <c r="ETZ8"/>
      <c r="EUA8"/>
      <c r="EUB8"/>
      <c r="EUC8"/>
      <c r="EUD8"/>
      <c r="EUE8"/>
      <c r="EUF8"/>
      <c r="EUG8"/>
      <c r="EUH8"/>
      <c r="EUI8"/>
      <c r="EUJ8"/>
      <c r="EUK8"/>
      <c r="EUL8"/>
      <c r="EUM8"/>
      <c r="EUN8"/>
      <c r="EUO8"/>
      <c r="EUP8"/>
      <c r="EUQ8"/>
      <c r="EUR8"/>
      <c r="EUS8"/>
      <c r="EUT8"/>
      <c r="EUU8"/>
      <c r="EUV8"/>
      <c r="EUW8"/>
      <c r="EUX8"/>
      <c r="EUY8"/>
      <c r="EUZ8"/>
      <c r="EVA8"/>
      <c r="EVB8"/>
      <c r="EVC8"/>
      <c r="EVD8"/>
      <c r="EVE8"/>
      <c r="EVF8"/>
      <c r="EVG8"/>
      <c r="EVH8"/>
      <c r="EVI8"/>
      <c r="EVJ8"/>
      <c r="EVK8"/>
      <c r="EVL8"/>
      <c r="EVM8"/>
      <c r="EVN8"/>
      <c r="EVO8"/>
      <c r="EVP8"/>
      <c r="EVQ8"/>
      <c r="EVR8"/>
      <c r="EVS8"/>
      <c r="EVT8"/>
      <c r="EVU8"/>
      <c r="EVV8"/>
      <c r="EVW8"/>
      <c r="EVX8"/>
      <c r="EVY8"/>
      <c r="EVZ8"/>
      <c r="EWA8"/>
      <c r="EWB8"/>
      <c r="EWC8"/>
      <c r="EWD8"/>
      <c r="EWE8"/>
      <c r="EWF8"/>
      <c r="EWG8"/>
      <c r="EWH8"/>
      <c r="EWI8"/>
      <c r="EWJ8"/>
      <c r="EWK8"/>
      <c r="EWL8"/>
      <c r="EWM8"/>
      <c r="EWN8"/>
      <c r="EWO8"/>
      <c r="EWP8"/>
      <c r="EWQ8"/>
      <c r="EWR8"/>
      <c r="EWS8"/>
      <c r="EWT8"/>
      <c r="EWU8"/>
      <c r="EWV8"/>
      <c r="EWW8"/>
      <c r="EWX8"/>
      <c r="EWY8"/>
      <c r="EWZ8"/>
      <c r="EXA8"/>
      <c r="EXB8"/>
      <c r="EXC8"/>
      <c r="EXD8"/>
      <c r="EXE8"/>
      <c r="EXF8"/>
      <c r="EXG8"/>
      <c r="EXH8"/>
      <c r="EXI8"/>
      <c r="EXJ8"/>
      <c r="EXK8"/>
      <c r="EXL8"/>
      <c r="EXM8"/>
      <c r="EXN8"/>
      <c r="EXO8"/>
      <c r="EXP8"/>
      <c r="EXQ8"/>
      <c r="EXR8"/>
      <c r="EXS8"/>
      <c r="EXT8"/>
      <c r="EXU8"/>
      <c r="EXV8"/>
      <c r="EXW8"/>
      <c r="EXX8"/>
      <c r="EXY8"/>
      <c r="EXZ8"/>
      <c r="EYA8"/>
      <c r="EYB8"/>
      <c r="EYC8"/>
      <c r="EYD8"/>
      <c r="EYE8"/>
      <c r="EYF8"/>
      <c r="EYG8"/>
      <c r="EYH8"/>
      <c r="EYI8"/>
      <c r="EYJ8"/>
      <c r="EYK8"/>
      <c r="EYL8"/>
      <c r="EYM8"/>
      <c r="EYN8"/>
      <c r="EYO8"/>
      <c r="EYP8"/>
      <c r="EYQ8"/>
      <c r="EYR8"/>
      <c r="EYS8"/>
      <c r="EYT8"/>
      <c r="EYU8"/>
      <c r="EYV8"/>
      <c r="EYW8"/>
      <c r="EYX8"/>
      <c r="EYY8"/>
      <c r="EYZ8"/>
      <c r="EZA8"/>
      <c r="EZB8"/>
      <c r="EZC8"/>
      <c r="EZD8"/>
      <c r="EZE8"/>
      <c r="EZF8"/>
      <c r="EZG8"/>
      <c r="EZH8"/>
      <c r="EZI8"/>
      <c r="EZJ8"/>
      <c r="EZK8"/>
      <c r="EZL8"/>
      <c r="EZM8"/>
      <c r="EZN8"/>
      <c r="EZO8"/>
      <c r="EZP8"/>
      <c r="EZQ8"/>
      <c r="EZR8"/>
      <c r="EZS8"/>
      <c r="EZT8"/>
      <c r="EZU8"/>
      <c r="EZV8"/>
      <c r="EZW8"/>
      <c r="EZX8"/>
      <c r="EZY8"/>
      <c r="EZZ8"/>
      <c r="FAA8"/>
      <c r="FAB8"/>
      <c r="FAC8"/>
      <c r="FAD8"/>
      <c r="FAE8"/>
      <c r="FAF8"/>
      <c r="FAG8"/>
      <c r="FAH8"/>
      <c r="FAI8"/>
      <c r="FAJ8"/>
      <c r="FAK8"/>
      <c r="FAL8"/>
      <c r="FAM8"/>
      <c r="FAN8"/>
      <c r="FAO8"/>
      <c r="FAP8"/>
      <c r="FAQ8"/>
      <c r="FAR8"/>
      <c r="FAS8"/>
      <c r="FAT8"/>
      <c r="FAU8"/>
      <c r="FAV8"/>
      <c r="FAW8"/>
      <c r="FAX8"/>
      <c r="FAY8"/>
      <c r="FAZ8"/>
      <c r="FBA8"/>
      <c r="FBB8"/>
      <c r="FBC8"/>
      <c r="FBD8"/>
      <c r="FBE8"/>
      <c r="FBF8"/>
      <c r="FBG8"/>
      <c r="FBH8"/>
      <c r="FBI8"/>
      <c r="FBJ8"/>
      <c r="FBK8"/>
      <c r="FBL8"/>
      <c r="FBM8"/>
      <c r="FBN8"/>
      <c r="FBO8"/>
      <c r="FBP8"/>
      <c r="FBQ8"/>
      <c r="FBR8"/>
      <c r="FBS8"/>
      <c r="FBT8"/>
      <c r="FBU8"/>
      <c r="FBV8"/>
      <c r="FBW8"/>
      <c r="FBX8"/>
      <c r="FBY8"/>
      <c r="FBZ8"/>
      <c r="FCA8"/>
      <c r="FCB8"/>
      <c r="FCC8"/>
      <c r="FCD8"/>
      <c r="FCE8"/>
      <c r="FCF8"/>
      <c r="FCG8"/>
      <c r="FCH8"/>
      <c r="FCI8"/>
      <c r="FCJ8"/>
      <c r="FCK8"/>
      <c r="FCL8"/>
      <c r="FCM8"/>
      <c r="FCN8"/>
      <c r="FCO8"/>
      <c r="FCP8"/>
      <c r="FCQ8"/>
      <c r="FCR8"/>
      <c r="FCS8"/>
      <c r="FCT8"/>
      <c r="FCU8"/>
      <c r="FCV8"/>
      <c r="FCW8"/>
      <c r="FCX8"/>
      <c r="FCY8"/>
      <c r="FCZ8"/>
      <c r="FDA8"/>
      <c r="FDB8"/>
      <c r="FDC8"/>
      <c r="FDD8"/>
      <c r="FDE8"/>
      <c r="FDF8"/>
      <c r="FDG8"/>
      <c r="FDH8"/>
      <c r="FDI8"/>
      <c r="FDJ8"/>
      <c r="FDK8"/>
      <c r="FDL8"/>
      <c r="FDM8"/>
      <c r="FDN8"/>
      <c r="FDO8"/>
      <c r="FDP8"/>
      <c r="FDQ8"/>
      <c r="FDR8"/>
      <c r="FDS8"/>
      <c r="FDT8"/>
      <c r="FDU8"/>
      <c r="FDV8"/>
      <c r="FDW8"/>
      <c r="FDX8"/>
      <c r="FDY8"/>
      <c r="FDZ8"/>
      <c r="FEA8"/>
      <c r="FEB8"/>
      <c r="FEC8"/>
      <c r="FED8"/>
      <c r="FEE8"/>
      <c r="FEF8"/>
      <c r="FEG8"/>
      <c r="FEH8"/>
      <c r="FEI8"/>
      <c r="FEJ8"/>
      <c r="FEK8"/>
      <c r="FEL8"/>
      <c r="FEM8"/>
      <c r="FEN8"/>
      <c r="FEO8"/>
      <c r="FEP8"/>
      <c r="FEQ8"/>
      <c r="FER8"/>
      <c r="FES8"/>
      <c r="FET8"/>
      <c r="FEU8"/>
      <c r="FEV8"/>
      <c r="FEW8"/>
      <c r="FEX8"/>
      <c r="FEY8"/>
      <c r="FEZ8"/>
      <c r="FFA8"/>
      <c r="FFB8"/>
      <c r="FFC8"/>
      <c r="FFD8"/>
      <c r="FFE8"/>
      <c r="FFF8"/>
      <c r="FFG8"/>
      <c r="FFH8"/>
      <c r="FFI8"/>
      <c r="FFJ8"/>
      <c r="FFK8"/>
      <c r="FFL8"/>
      <c r="FFM8"/>
      <c r="FFN8"/>
      <c r="FFO8"/>
      <c r="FFP8"/>
      <c r="FFQ8"/>
      <c r="FFR8"/>
      <c r="FFS8"/>
      <c r="FFT8"/>
      <c r="FFU8"/>
      <c r="FFV8"/>
      <c r="FFW8"/>
      <c r="FFX8"/>
      <c r="FFY8"/>
      <c r="FFZ8"/>
      <c r="FGA8"/>
      <c r="FGB8"/>
      <c r="FGC8"/>
      <c r="FGD8"/>
      <c r="FGE8"/>
      <c r="FGF8"/>
      <c r="FGG8"/>
      <c r="FGH8"/>
      <c r="FGI8"/>
      <c r="FGJ8"/>
      <c r="FGK8"/>
      <c r="FGL8"/>
      <c r="FGM8"/>
      <c r="FGN8"/>
      <c r="FGO8"/>
      <c r="FGP8"/>
      <c r="FGQ8"/>
      <c r="FGR8"/>
      <c r="FGS8"/>
      <c r="FGT8"/>
      <c r="FGU8"/>
      <c r="FGV8"/>
      <c r="FGW8"/>
      <c r="FGX8"/>
      <c r="FGY8"/>
      <c r="FGZ8"/>
      <c r="FHA8"/>
      <c r="FHB8"/>
      <c r="FHC8"/>
      <c r="FHD8"/>
      <c r="FHE8"/>
      <c r="FHF8"/>
      <c r="FHG8"/>
      <c r="FHH8"/>
      <c r="FHI8"/>
      <c r="FHJ8"/>
      <c r="FHK8"/>
      <c r="FHL8"/>
      <c r="FHM8"/>
      <c r="FHN8"/>
      <c r="FHO8"/>
      <c r="FHP8"/>
      <c r="FHQ8"/>
      <c r="FHR8"/>
      <c r="FHS8"/>
      <c r="FHT8"/>
      <c r="FHU8"/>
      <c r="FHV8"/>
      <c r="FHW8"/>
      <c r="FHX8"/>
      <c r="FHY8"/>
      <c r="FHZ8"/>
      <c r="FIA8"/>
      <c r="FIB8"/>
      <c r="FIC8"/>
      <c r="FID8"/>
      <c r="FIE8"/>
      <c r="FIF8"/>
      <c r="FIG8"/>
      <c r="FIH8"/>
      <c r="FII8"/>
      <c r="FIJ8"/>
      <c r="FIK8"/>
      <c r="FIL8"/>
      <c r="FIM8"/>
      <c r="FIN8"/>
      <c r="FIO8"/>
      <c r="FIP8"/>
      <c r="FIQ8"/>
      <c r="FIR8"/>
      <c r="FIS8"/>
      <c r="FIT8"/>
      <c r="FIU8"/>
      <c r="FIV8"/>
      <c r="FIW8"/>
      <c r="FIX8"/>
      <c r="FIY8"/>
      <c r="FIZ8"/>
      <c r="FJA8"/>
      <c r="FJB8"/>
      <c r="FJC8"/>
      <c r="FJD8"/>
      <c r="FJE8"/>
      <c r="FJF8"/>
      <c r="FJG8"/>
      <c r="FJH8"/>
      <c r="FJI8"/>
      <c r="FJJ8"/>
      <c r="FJK8"/>
      <c r="FJL8"/>
      <c r="FJM8"/>
      <c r="FJN8"/>
      <c r="FJO8"/>
      <c r="FJP8"/>
      <c r="FJQ8"/>
      <c r="FJR8"/>
      <c r="FJS8"/>
      <c r="FJT8"/>
      <c r="FJU8"/>
      <c r="FJV8"/>
      <c r="FJW8"/>
      <c r="FJX8"/>
      <c r="FJY8"/>
      <c r="FJZ8"/>
      <c r="FKA8"/>
      <c r="FKB8"/>
      <c r="FKC8"/>
      <c r="FKD8"/>
      <c r="FKE8"/>
      <c r="FKF8"/>
      <c r="FKG8"/>
      <c r="FKH8"/>
      <c r="FKI8"/>
      <c r="FKJ8"/>
      <c r="FKK8"/>
      <c r="FKL8"/>
      <c r="FKM8"/>
      <c r="FKN8"/>
      <c r="FKO8"/>
      <c r="FKP8"/>
      <c r="FKQ8"/>
      <c r="FKR8"/>
      <c r="FKS8"/>
      <c r="FKT8"/>
      <c r="FKU8"/>
      <c r="FKV8"/>
      <c r="FKW8"/>
      <c r="FKX8"/>
      <c r="FKY8"/>
      <c r="FKZ8"/>
      <c r="FLA8"/>
      <c r="FLB8"/>
      <c r="FLC8"/>
      <c r="FLD8"/>
      <c r="FLE8"/>
      <c r="FLF8"/>
      <c r="FLG8"/>
      <c r="FLH8"/>
      <c r="FLI8"/>
      <c r="FLJ8"/>
      <c r="FLK8"/>
      <c r="FLL8"/>
      <c r="FLM8"/>
      <c r="FLN8"/>
      <c r="FLO8"/>
      <c r="FLP8"/>
      <c r="FLQ8"/>
      <c r="FLR8"/>
      <c r="FLS8"/>
      <c r="FLT8"/>
      <c r="FLU8"/>
      <c r="FLV8"/>
      <c r="FLW8"/>
      <c r="FLX8"/>
      <c r="FLY8"/>
      <c r="FLZ8"/>
      <c r="FMA8"/>
      <c r="FMB8"/>
      <c r="FMC8"/>
      <c r="FMD8"/>
      <c r="FME8"/>
      <c r="FMF8"/>
      <c r="FMG8"/>
      <c r="FMH8"/>
      <c r="FMI8"/>
      <c r="FMJ8"/>
      <c r="FMK8"/>
      <c r="FML8"/>
      <c r="FMM8"/>
      <c r="FMN8"/>
      <c r="FMO8"/>
      <c r="FMP8"/>
      <c r="FMQ8"/>
      <c r="FMR8"/>
      <c r="FMS8"/>
      <c r="FMT8"/>
      <c r="FMU8"/>
      <c r="FMV8"/>
      <c r="FMW8"/>
      <c r="FMX8"/>
      <c r="FMY8"/>
      <c r="FMZ8"/>
      <c r="FNA8"/>
      <c r="FNB8"/>
      <c r="FNC8"/>
      <c r="FND8"/>
      <c r="FNE8"/>
      <c r="FNF8"/>
      <c r="FNG8"/>
      <c r="FNH8"/>
      <c r="FNI8"/>
      <c r="FNJ8"/>
      <c r="FNK8"/>
      <c r="FNL8"/>
      <c r="FNM8"/>
      <c r="FNN8"/>
      <c r="FNO8"/>
      <c r="FNP8"/>
      <c r="FNQ8"/>
      <c r="FNR8"/>
      <c r="FNS8"/>
      <c r="FNT8"/>
      <c r="FNU8"/>
      <c r="FNV8"/>
      <c r="FNW8"/>
      <c r="FNX8"/>
      <c r="FNY8"/>
      <c r="FNZ8"/>
      <c r="FOA8"/>
      <c r="FOB8"/>
      <c r="FOC8"/>
      <c r="FOD8"/>
      <c r="FOE8"/>
      <c r="FOF8"/>
      <c r="FOG8"/>
      <c r="FOH8"/>
      <c r="FOI8"/>
      <c r="FOJ8"/>
      <c r="FOK8"/>
      <c r="FOL8"/>
      <c r="FOM8"/>
      <c r="FON8"/>
      <c r="FOO8"/>
      <c r="FOP8"/>
      <c r="FOQ8"/>
      <c r="FOR8"/>
      <c r="FOS8"/>
      <c r="FOT8"/>
      <c r="FOU8"/>
      <c r="FOV8"/>
      <c r="FOW8"/>
      <c r="FOX8"/>
      <c r="FOY8"/>
      <c r="FOZ8"/>
      <c r="FPA8"/>
      <c r="FPB8"/>
      <c r="FPC8"/>
      <c r="FPD8"/>
      <c r="FPE8"/>
      <c r="FPF8"/>
      <c r="FPG8"/>
      <c r="FPH8"/>
      <c r="FPI8"/>
      <c r="FPJ8"/>
      <c r="FPK8"/>
      <c r="FPL8"/>
      <c r="FPM8"/>
      <c r="FPN8"/>
      <c r="FPO8"/>
      <c r="FPP8"/>
      <c r="FPQ8"/>
      <c r="FPR8"/>
      <c r="FPS8"/>
      <c r="FPT8"/>
      <c r="FPU8"/>
      <c r="FPV8"/>
      <c r="FPW8"/>
      <c r="FPX8"/>
      <c r="FPY8"/>
      <c r="FPZ8"/>
      <c r="FQA8"/>
      <c r="FQB8"/>
      <c r="FQC8"/>
      <c r="FQD8"/>
      <c r="FQE8"/>
      <c r="FQF8"/>
      <c r="FQG8"/>
      <c r="FQH8"/>
      <c r="FQI8"/>
      <c r="FQJ8"/>
      <c r="FQK8"/>
      <c r="FQL8"/>
      <c r="FQM8"/>
      <c r="FQN8"/>
      <c r="FQO8"/>
      <c r="FQP8"/>
      <c r="FQQ8"/>
      <c r="FQR8"/>
      <c r="FQS8"/>
      <c r="FQT8"/>
      <c r="FQU8"/>
      <c r="FQV8"/>
      <c r="FQW8"/>
      <c r="FQX8"/>
      <c r="FQY8"/>
      <c r="FQZ8"/>
      <c r="FRA8"/>
      <c r="FRB8"/>
      <c r="FRC8"/>
      <c r="FRD8"/>
      <c r="FRE8"/>
      <c r="FRF8"/>
      <c r="FRG8"/>
      <c r="FRH8"/>
      <c r="FRI8"/>
      <c r="FRJ8"/>
      <c r="FRK8"/>
      <c r="FRL8"/>
      <c r="FRM8"/>
      <c r="FRN8"/>
      <c r="FRO8"/>
      <c r="FRP8"/>
      <c r="FRQ8"/>
      <c r="FRR8"/>
      <c r="FRS8"/>
      <c r="FRT8"/>
      <c r="FRU8"/>
      <c r="FRV8"/>
      <c r="FRW8"/>
      <c r="FRX8"/>
      <c r="FRY8"/>
      <c r="FRZ8"/>
      <c r="FSA8"/>
      <c r="FSB8"/>
      <c r="FSC8"/>
      <c r="FSD8"/>
      <c r="FSE8"/>
      <c r="FSF8"/>
      <c r="FSG8"/>
      <c r="FSH8"/>
      <c r="FSI8"/>
      <c r="FSJ8"/>
      <c r="FSK8"/>
      <c r="FSL8"/>
      <c r="FSM8"/>
      <c r="FSN8"/>
      <c r="FSO8"/>
      <c r="FSP8"/>
      <c r="FSQ8"/>
      <c r="FSR8"/>
      <c r="FSS8"/>
      <c r="FST8"/>
      <c r="FSU8"/>
      <c r="FSV8"/>
      <c r="FSW8"/>
      <c r="FSX8"/>
      <c r="FSY8"/>
      <c r="FSZ8"/>
      <c r="FTA8"/>
      <c r="FTB8"/>
      <c r="FTC8"/>
      <c r="FTD8"/>
      <c r="FTE8"/>
      <c r="FTF8"/>
      <c r="FTG8"/>
      <c r="FTH8"/>
      <c r="FTI8"/>
      <c r="FTJ8"/>
      <c r="FTK8"/>
      <c r="FTL8"/>
      <c r="FTM8"/>
      <c r="FTN8"/>
      <c r="FTO8"/>
      <c r="FTP8"/>
      <c r="FTQ8"/>
      <c r="FTR8"/>
      <c r="FTS8"/>
      <c r="FTT8"/>
      <c r="FTU8"/>
      <c r="FTV8"/>
      <c r="FTW8"/>
      <c r="FTX8"/>
      <c r="FTY8"/>
      <c r="FTZ8"/>
      <c r="FUA8"/>
      <c r="FUB8"/>
      <c r="FUC8"/>
      <c r="FUD8"/>
      <c r="FUE8"/>
      <c r="FUF8"/>
      <c r="FUG8"/>
      <c r="FUH8"/>
      <c r="FUI8"/>
      <c r="FUJ8"/>
      <c r="FUK8"/>
      <c r="FUL8"/>
      <c r="FUM8"/>
      <c r="FUN8"/>
      <c r="FUO8"/>
      <c r="FUP8"/>
      <c r="FUQ8"/>
      <c r="FUR8"/>
      <c r="FUS8"/>
      <c r="FUT8"/>
      <c r="FUU8"/>
      <c r="FUV8"/>
      <c r="FUW8"/>
      <c r="FUX8"/>
      <c r="FUY8"/>
      <c r="FUZ8"/>
      <c r="FVA8"/>
      <c r="FVB8"/>
      <c r="FVC8"/>
      <c r="FVD8"/>
      <c r="FVE8"/>
      <c r="FVF8"/>
      <c r="FVG8"/>
      <c r="FVH8"/>
      <c r="FVI8"/>
      <c r="FVJ8"/>
      <c r="FVK8"/>
      <c r="FVL8"/>
      <c r="FVM8"/>
      <c r="FVN8"/>
      <c r="FVO8"/>
      <c r="FVP8"/>
      <c r="FVQ8"/>
      <c r="FVR8"/>
      <c r="FVS8"/>
      <c r="FVT8"/>
      <c r="FVU8"/>
      <c r="FVV8"/>
      <c r="FVW8"/>
      <c r="FVX8"/>
      <c r="FVY8"/>
      <c r="FVZ8"/>
      <c r="FWA8"/>
      <c r="FWB8"/>
      <c r="FWC8"/>
      <c r="FWD8"/>
      <c r="FWE8"/>
      <c r="FWF8"/>
      <c r="FWG8"/>
      <c r="FWH8"/>
      <c r="FWI8"/>
      <c r="FWJ8"/>
      <c r="FWK8"/>
      <c r="FWL8"/>
      <c r="FWM8"/>
      <c r="FWN8"/>
      <c r="FWO8"/>
      <c r="FWP8"/>
      <c r="FWQ8"/>
      <c r="FWR8"/>
      <c r="FWS8"/>
      <c r="FWT8"/>
      <c r="FWU8"/>
      <c r="FWV8"/>
      <c r="FWW8"/>
      <c r="FWX8"/>
      <c r="FWY8"/>
      <c r="FWZ8"/>
      <c r="FXA8"/>
      <c r="FXB8"/>
      <c r="FXC8"/>
      <c r="FXD8"/>
      <c r="FXE8"/>
      <c r="FXF8"/>
      <c r="FXG8"/>
      <c r="FXH8"/>
      <c r="FXI8"/>
      <c r="FXJ8"/>
      <c r="FXK8"/>
      <c r="FXL8"/>
      <c r="FXM8"/>
      <c r="FXN8"/>
      <c r="FXO8"/>
      <c r="FXP8"/>
      <c r="FXQ8"/>
      <c r="FXR8"/>
      <c r="FXS8"/>
      <c r="FXT8"/>
      <c r="FXU8"/>
      <c r="FXV8"/>
      <c r="FXW8"/>
      <c r="FXX8"/>
      <c r="FXY8"/>
      <c r="FXZ8"/>
      <c r="FYA8"/>
      <c r="FYB8"/>
      <c r="FYC8"/>
      <c r="FYD8"/>
      <c r="FYE8"/>
      <c r="FYF8"/>
      <c r="FYG8"/>
      <c r="FYH8"/>
      <c r="FYI8"/>
      <c r="FYJ8"/>
      <c r="FYK8"/>
      <c r="FYL8"/>
      <c r="FYM8"/>
      <c r="FYN8"/>
      <c r="FYO8"/>
      <c r="FYP8"/>
      <c r="FYQ8"/>
      <c r="FYR8"/>
      <c r="FYS8"/>
      <c r="FYT8"/>
      <c r="FYU8"/>
      <c r="FYV8"/>
      <c r="FYW8"/>
      <c r="FYX8"/>
      <c r="FYY8"/>
      <c r="FYZ8"/>
      <c r="FZA8"/>
      <c r="FZB8"/>
      <c r="FZC8"/>
      <c r="FZD8"/>
      <c r="FZE8"/>
      <c r="FZF8"/>
      <c r="FZG8"/>
      <c r="FZH8"/>
      <c r="FZI8"/>
      <c r="FZJ8"/>
      <c r="FZK8"/>
      <c r="FZL8"/>
      <c r="FZM8"/>
      <c r="FZN8"/>
      <c r="FZO8"/>
      <c r="FZP8"/>
      <c r="FZQ8"/>
      <c r="FZR8"/>
      <c r="FZS8"/>
      <c r="FZT8"/>
      <c r="FZU8"/>
      <c r="FZV8"/>
      <c r="FZW8"/>
      <c r="FZX8"/>
      <c r="FZY8"/>
      <c r="FZZ8"/>
      <c r="GAA8"/>
      <c r="GAB8"/>
      <c r="GAC8"/>
      <c r="GAD8"/>
      <c r="GAE8"/>
      <c r="GAF8"/>
      <c r="GAG8"/>
      <c r="GAH8"/>
      <c r="GAI8"/>
      <c r="GAJ8"/>
      <c r="GAK8"/>
      <c r="GAL8"/>
      <c r="GAM8"/>
      <c r="GAN8"/>
      <c r="GAO8"/>
      <c r="GAP8"/>
      <c r="GAQ8"/>
      <c r="GAR8"/>
      <c r="GAS8"/>
      <c r="GAT8"/>
      <c r="GAU8"/>
      <c r="GAV8"/>
      <c r="GAW8"/>
      <c r="GAX8"/>
      <c r="GAY8"/>
      <c r="GAZ8"/>
      <c r="GBA8"/>
      <c r="GBB8"/>
      <c r="GBC8"/>
      <c r="GBD8"/>
      <c r="GBE8"/>
      <c r="GBF8"/>
      <c r="GBG8"/>
      <c r="GBH8"/>
      <c r="GBI8"/>
      <c r="GBJ8"/>
      <c r="GBK8"/>
      <c r="GBL8"/>
      <c r="GBM8"/>
      <c r="GBN8"/>
      <c r="GBO8"/>
      <c r="GBP8"/>
      <c r="GBQ8"/>
      <c r="GBR8"/>
      <c r="GBS8"/>
      <c r="GBT8"/>
      <c r="GBU8"/>
      <c r="GBV8"/>
      <c r="GBW8"/>
      <c r="GBX8"/>
      <c r="GBY8"/>
      <c r="GBZ8"/>
      <c r="GCA8"/>
      <c r="GCB8"/>
      <c r="GCC8"/>
      <c r="GCD8"/>
      <c r="GCE8"/>
      <c r="GCF8"/>
      <c r="GCG8"/>
      <c r="GCH8"/>
      <c r="GCI8"/>
      <c r="GCJ8"/>
      <c r="GCK8"/>
      <c r="GCL8"/>
      <c r="GCM8"/>
      <c r="GCN8"/>
      <c r="GCO8"/>
      <c r="GCP8"/>
      <c r="GCQ8"/>
      <c r="GCR8"/>
      <c r="GCS8"/>
      <c r="GCT8"/>
      <c r="GCU8"/>
      <c r="GCV8"/>
      <c r="GCW8"/>
      <c r="GCX8"/>
      <c r="GCY8"/>
      <c r="GCZ8"/>
      <c r="GDA8"/>
      <c r="GDB8"/>
      <c r="GDC8"/>
      <c r="GDD8"/>
      <c r="GDE8"/>
      <c r="GDF8"/>
      <c r="GDG8"/>
      <c r="GDH8"/>
      <c r="GDI8"/>
      <c r="GDJ8"/>
      <c r="GDK8"/>
      <c r="GDL8"/>
      <c r="GDM8"/>
      <c r="GDN8"/>
      <c r="GDO8"/>
      <c r="GDP8"/>
      <c r="GDQ8"/>
      <c r="GDR8"/>
      <c r="GDS8"/>
      <c r="GDT8"/>
      <c r="GDU8"/>
      <c r="GDV8"/>
      <c r="GDW8"/>
      <c r="GDX8"/>
      <c r="GDY8"/>
      <c r="GDZ8"/>
      <c r="GEA8"/>
      <c r="GEB8"/>
      <c r="GEC8"/>
      <c r="GED8"/>
      <c r="GEE8"/>
      <c r="GEF8"/>
      <c r="GEG8"/>
      <c r="GEH8"/>
      <c r="GEI8"/>
      <c r="GEJ8"/>
      <c r="GEK8"/>
      <c r="GEL8"/>
      <c r="GEM8"/>
      <c r="GEN8"/>
      <c r="GEO8"/>
      <c r="GEP8"/>
      <c r="GEQ8"/>
      <c r="GER8"/>
      <c r="GES8"/>
      <c r="GET8"/>
      <c r="GEU8"/>
      <c r="GEV8"/>
      <c r="GEW8"/>
      <c r="GEX8"/>
      <c r="GEY8"/>
      <c r="GEZ8"/>
      <c r="GFA8"/>
      <c r="GFB8"/>
      <c r="GFC8"/>
      <c r="GFD8"/>
      <c r="GFE8"/>
      <c r="GFF8"/>
      <c r="GFG8"/>
      <c r="GFH8"/>
      <c r="GFI8"/>
      <c r="GFJ8"/>
      <c r="GFK8"/>
      <c r="GFL8"/>
      <c r="GFM8"/>
      <c r="GFN8"/>
      <c r="GFO8"/>
      <c r="GFP8"/>
      <c r="GFQ8"/>
      <c r="GFR8"/>
      <c r="GFS8"/>
      <c r="GFT8"/>
      <c r="GFU8"/>
      <c r="GFV8"/>
      <c r="GFW8"/>
      <c r="GFX8"/>
      <c r="GFY8"/>
      <c r="GFZ8"/>
      <c r="GGA8"/>
      <c r="GGB8"/>
      <c r="GGC8"/>
      <c r="GGD8"/>
      <c r="GGE8"/>
      <c r="GGF8"/>
      <c r="GGG8"/>
      <c r="GGH8"/>
      <c r="GGI8"/>
      <c r="GGJ8"/>
      <c r="GGK8"/>
      <c r="GGL8"/>
      <c r="GGM8"/>
      <c r="GGN8"/>
      <c r="GGO8"/>
      <c r="GGP8"/>
      <c r="GGQ8"/>
      <c r="GGR8"/>
      <c r="GGS8"/>
      <c r="GGT8"/>
      <c r="GGU8"/>
      <c r="GGV8"/>
      <c r="GGW8"/>
      <c r="GGX8"/>
      <c r="GGY8"/>
      <c r="GGZ8"/>
      <c r="GHA8"/>
      <c r="GHB8"/>
      <c r="GHC8"/>
      <c r="GHD8"/>
      <c r="GHE8"/>
      <c r="GHF8"/>
      <c r="GHG8"/>
      <c r="GHH8"/>
      <c r="GHI8"/>
      <c r="GHJ8"/>
      <c r="GHK8"/>
      <c r="GHL8"/>
      <c r="GHM8"/>
      <c r="GHN8"/>
      <c r="GHO8"/>
      <c r="GHP8"/>
      <c r="GHQ8"/>
      <c r="GHR8"/>
      <c r="GHS8"/>
      <c r="GHT8"/>
      <c r="GHU8"/>
      <c r="GHV8"/>
      <c r="GHW8"/>
      <c r="GHX8"/>
      <c r="GHY8"/>
      <c r="GHZ8"/>
      <c r="GIA8"/>
      <c r="GIB8"/>
      <c r="GIC8"/>
      <c r="GID8"/>
      <c r="GIE8"/>
      <c r="GIF8"/>
      <c r="GIG8"/>
      <c r="GIH8"/>
      <c r="GII8"/>
      <c r="GIJ8"/>
      <c r="GIK8"/>
      <c r="GIL8"/>
      <c r="GIM8"/>
      <c r="GIN8"/>
      <c r="GIO8"/>
      <c r="GIP8"/>
      <c r="GIQ8"/>
      <c r="GIR8"/>
      <c r="GIS8"/>
      <c r="GIT8"/>
      <c r="GIU8"/>
      <c r="GIV8"/>
      <c r="GIW8"/>
      <c r="GIX8"/>
      <c r="GIY8"/>
      <c r="GIZ8"/>
      <c r="GJA8"/>
      <c r="GJB8"/>
      <c r="GJC8"/>
      <c r="GJD8"/>
      <c r="GJE8"/>
      <c r="GJF8"/>
      <c r="GJG8"/>
      <c r="GJH8"/>
      <c r="GJI8"/>
      <c r="GJJ8"/>
      <c r="GJK8"/>
      <c r="GJL8"/>
      <c r="GJM8"/>
      <c r="GJN8"/>
      <c r="GJO8"/>
      <c r="GJP8"/>
      <c r="GJQ8"/>
      <c r="GJR8"/>
      <c r="GJS8"/>
      <c r="GJT8"/>
      <c r="GJU8"/>
      <c r="GJV8"/>
      <c r="GJW8"/>
      <c r="GJX8"/>
      <c r="GJY8"/>
      <c r="GJZ8"/>
      <c r="GKA8"/>
      <c r="GKB8"/>
      <c r="GKC8"/>
      <c r="GKD8"/>
      <c r="GKE8"/>
      <c r="GKF8"/>
      <c r="GKG8"/>
      <c r="GKH8"/>
      <c r="GKI8"/>
      <c r="GKJ8"/>
      <c r="GKK8"/>
      <c r="GKL8"/>
      <c r="GKM8"/>
      <c r="GKN8"/>
      <c r="GKO8"/>
      <c r="GKP8"/>
      <c r="GKQ8"/>
      <c r="GKR8"/>
      <c r="GKS8"/>
      <c r="GKT8"/>
      <c r="GKU8"/>
      <c r="GKV8"/>
      <c r="GKW8"/>
      <c r="GKX8"/>
      <c r="GKY8"/>
      <c r="GKZ8"/>
      <c r="GLA8"/>
      <c r="GLB8"/>
      <c r="GLC8"/>
      <c r="GLD8"/>
      <c r="GLE8"/>
      <c r="GLF8"/>
      <c r="GLG8"/>
      <c r="GLH8"/>
      <c r="GLI8"/>
      <c r="GLJ8"/>
      <c r="GLK8"/>
      <c r="GLL8"/>
      <c r="GLM8"/>
      <c r="GLN8"/>
      <c r="GLO8"/>
      <c r="GLP8"/>
      <c r="GLQ8"/>
      <c r="GLR8"/>
      <c r="GLS8"/>
      <c r="GLT8"/>
      <c r="GLU8"/>
      <c r="GLV8"/>
      <c r="GLW8"/>
      <c r="GLX8"/>
      <c r="GLY8"/>
      <c r="GLZ8"/>
      <c r="GMA8"/>
      <c r="GMB8"/>
      <c r="GMC8"/>
      <c r="GMD8"/>
      <c r="GME8"/>
      <c r="GMF8"/>
      <c r="GMG8"/>
      <c r="GMH8"/>
      <c r="GMI8"/>
      <c r="GMJ8"/>
      <c r="GMK8"/>
      <c r="GML8"/>
      <c r="GMM8"/>
      <c r="GMN8"/>
      <c r="GMO8"/>
      <c r="GMP8"/>
      <c r="GMQ8"/>
      <c r="GMR8"/>
      <c r="GMS8"/>
      <c r="GMT8"/>
      <c r="GMU8"/>
      <c r="GMV8"/>
      <c r="GMW8"/>
      <c r="GMX8"/>
      <c r="GMY8"/>
      <c r="GMZ8"/>
      <c r="GNA8"/>
      <c r="GNB8"/>
      <c r="GNC8"/>
      <c r="GND8"/>
      <c r="GNE8"/>
      <c r="GNF8"/>
      <c r="GNG8"/>
      <c r="GNH8"/>
      <c r="GNI8"/>
      <c r="GNJ8"/>
      <c r="GNK8"/>
      <c r="GNL8"/>
      <c r="GNM8"/>
      <c r="GNN8"/>
      <c r="GNO8"/>
      <c r="GNP8"/>
      <c r="GNQ8"/>
      <c r="GNR8"/>
      <c r="GNS8"/>
      <c r="GNT8"/>
      <c r="GNU8"/>
      <c r="GNV8"/>
      <c r="GNW8"/>
      <c r="GNX8"/>
      <c r="GNY8"/>
      <c r="GNZ8"/>
      <c r="GOA8"/>
      <c r="GOB8"/>
      <c r="GOC8"/>
      <c r="GOD8"/>
      <c r="GOE8"/>
      <c r="GOF8"/>
      <c r="GOG8"/>
      <c r="GOH8"/>
      <c r="GOI8"/>
      <c r="GOJ8"/>
      <c r="GOK8"/>
      <c r="GOL8"/>
      <c r="GOM8"/>
      <c r="GON8"/>
      <c r="GOO8"/>
      <c r="GOP8"/>
      <c r="GOQ8"/>
      <c r="GOR8"/>
      <c r="GOS8"/>
      <c r="GOT8"/>
      <c r="GOU8"/>
      <c r="GOV8"/>
      <c r="GOW8"/>
      <c r="GOX8"/>
      <c r="GOY8"/>
      <c r="GOZ8"/>
      <c r="GPA8"/>
      <c r="GPB8"/>
      <c r="GPC8"/>
      <c r="GPD8"/>
      <c r="GPE8"/>
      <c r="GPF8"/>
      <c r="GPG8"/>
      <c r="GPH8"/>
      <c r="GPI8"/>
      <c r="GPJ8"/>
      <c r="GPK8"/>
      <c r="GPL8"/>
      <c r="GPM8"/>
      <c r="GPN8"/>
      <c r="GPO8"/>
      <c r="GPP8"/>
      <c r="GPQ8"/>
      <c r="GPR8"/>
      <c r="GPS8"/>
      <c r="GPT8"/>
      <c r="GPU8"/>
      <c r="GPV8"/>
      <c r="GPW8"/>
      <c r="GPX8"/>
      <c r="GPY8"/>
      <c r="GPZ8"/>
      <c r="GQA8"/>
      <c r="GQB8"/>
      <c r="GQC8"/>
      <c r="GQD8"/>
      <c r="GQE8"/>
      <c r="GQF8"/>
      <c r="GQG8"/>
      <c r="GQH8"/>
      <c r="GQI8"/>
      <c r="GQJ8"/>
      <c r="GQK8"/>
      <c r="GQL8"/>
      <c r="GQM8"/>
      <c r="GQN8"/>
      <c r="GQO8"/>
      <c r="GQP8"/>
      <c r="GQQ8"/>
      <c r="GQR8"/>
      <c r="GQS8"/>
      <c r="GQT8"/>
      <c r="GQU8"/>
      <c r="GQV8"/>
      <c r="GQW8"/>
      <c r="GQX8"/>
      <c r="GQY8"/>
      <c r="GQZ8"/>
      <c r="GRA8"/>
      <c r="GRB8"/>
      <c r="GRC8"/>
      <c r="GRD8"/>
      <c r="GRE8"/>
      <c r="GRF8"/>
      <c r="GRG8"/>
      <c r="GRH8"/>
      <c r="GRI8"/>
      <c r="GRJ8"/>
      <c r="GRK8"/>
      <c r="GRL8"/>
      <c r="GRM8"/>
      <c r="GRN8"/>
      <c r="GRO8"/>
      <c r="GRP8"/>
      <c r="GRQ8"/>
      <c r="GRR8"/>
      <c r="GRS8"/>
      <c r="GRT8"/>
      <c r="GRU8"/>
      <c r="GRV8"/>
      <c r="GRW8"/>
      <c r="GRX8"/>
      <c r="GRY8"/>
      <c r="GRZ8"/>
      <c r="GSA8"/>
      <c r="GSB8"/>
      <c r="GSC8"/>
      <c r="GSD8"/>
      <c r="GSE8"/>
      <c r="GSF8"/>
      <c r="GSG8"/>
      <c r="GSH8"/>
      <c r="GSI8"/>
      <c r="GSJ8"/>
      <c r="GSK8"/>
      <c r="GSL8"/>
      <c r="GSM8"/>
      <c r="GSN8"/>
      <c r="GSO8"/>
      <c r="GSP8"/>
      <c r="GSQ8"/>
      <c r="GSR8"/>
      <c r="GSS8"/>
      <c r="GST8"/>
      <c r="GSU8"/>
      <c r="GSV8"/>
      <c r="GSW8"/>
      <c r="GSX8"/>
      <c r="GSY8"/>
      <c r="GSZ8"/>
      <c r="GTA8"/>
      <c r="GTB8"/>
      <c r="GTC8"/>
      <c r="GTD8"/>
      <c r="GTE8"/>
      <c r="GTF8"/>
      <c r="GTG8"/>
      <c r="GTH8"/>
      <c r="GTI8"/>
      <c r="GTJ8"/>
      <c r="GTK8"/>
      <c r="GTL8"/>
      <c r="GTM8"/>
      <c r="GTN8"/>
      <c r="GTO8"/>
      <c r="GTP8"/>
      <c r="GTQ8"/>
      <c r="GTR8"/>
      <c r="GTS8"/>
      <c r="GTT8"/>
      <c r="GTU8"/>
      <c r="GTV8"/>
      <c r="GTW8"/>
      <c r="GTX8"/>
      <c r="GTY8"/>
      <c r="GTZ8"/>
      <c r="GUA8"/>
      <c r="GUB8"/>
      <c r="GUC8"/>
      <c r="GUD8"/>
      <c r="GUE8"/>
      <c r="GUF8"/>
      <c r="GUG8"/>
      <c r="GUH8"/>
      <c r="GUI8"/>
      <c r="GUJ8"/>
      <c r="GUK8"/>
      <c r="GUL8"/>
      <c r="GUM8"/>
      <c r="GUN8"/>
      <c r="GUO8"/>
      <c r="GUP8"/>
      <c r="GUQ8"/>
      <c r="GUR8"/>
      <c r="GUS8"/>
      <c r="GUT8"/>
      <c r="GUU8"/>
      <c r="GUV8"/>
      <c r="GUW8"/>
      <c r="GUX8"/>
      <c r="GUY8"/>
      <c r="GUZ8"/>
      <c r="GVA8"/>
      <c r="GVB8"/>
      <c r="GVC8"/>
      <c r="GVD8"/>
      <c r="GVE8"/>
      <c r="GVF8"/>
      <c r="GVG8"/>
      <c r="GVH8"/>
      <c r="GVI8"/>
      <c r="GVJ8"/>
      <c r="GVK8"/>
      <c r="GVL8"/>
      <c r="GVM8"/>
      <c r="GVN8"/>
      <c r="GVO8"/>
      <c r="GVP8"/>
      <c r="GVQ8"/>
      <c r="GVR8"/>
      <c r="GVS8"/>
      <c r="GVT8"/>
      <c r="GVU8"/>
      <c r="GVV8"/>
      <c r="GVW8"/>
      <c r="GVX8"/>
      <c r="GVY8"/>
      <c r="GVZ8"/>
      <c r="GWA8"/>
      <c r="GWB8"/>
      <c r="GWC8"/>
      <c r="GWD8"/>
      <c r="GWE8"/>
      <c r="GWF8"/>
      <c r="GWG8"/>
      <c r="GWH8"/>
      <c r="GWI8"/>
      <c r="GWJ8"/>
      <c r="GWK8"/>
      <c r="GWL8"/>
      <c r="GWM8"/>
      <c r="GWN8"/>
      <c r="GWO8"/>
      <c r="GWP8"/>
      <c r="GWQ8"/>
      <c r="GWR8"/>
      <c r="GWS8"/>
      <c r="GWT8"/>
      <c r="GWU8"/>
      <c r="GWV8"/>
      <c r="GWW8"/>
      <c r="GWX8"/>
      <c r="GWY8"/>
      <c r="GWZ8"/>
      <c r="GXA8"/>
      <c r="GXB8"/>
      <c r="GXC8"/>
      <c r="GXD8"/>
      <c r="GXE8"/>
      <c r="GXF8"/>
      <c r="GXG8"/>
      <c r="GXH8"/>
      <c r="GXI8"/>
      <c r="GXJ8"/>
      <c r="GXK8"/>
      <c r="GXL8"/>
      <c r="GXM8"/>
      <c r="GXN8"/>
      <c r="GXO8"/>
      <c r="GXP8"/>
      <c r="GXQ8"/>
      <c r="GXR8"/>
      <c r="GXS8"/>
      <c r="GXT8"/>
      <c r="GXU8"/>
      <c r="GXV8"/>
      <c r="GXW8"/>
      <c r="GXX8"/>
      <c r="GXY8"/>
      <c r="GXZ8"/>
      <c r="GYA8"/>
      <c r="GYB8"/>
      <c r="GYC8"/>
      <c r="GYD8"/>
      <c r="GYE8"/>
      <c r="GYF8"/>
      <c r="GYG8"/>
      <c r="GYH8"/>
      <c r="GYI8"/>
      <c r="GYJ8"/>
      <c r="GYK8"/>
      <c r="GYL8"/>
      <c r="GYM8"/>
      <c r="GYN8"/>
      <c r="GYO8"/>
      <c r="GYP8"/>
      <c r="GYQ8"/>
      <c r="GYR8"/>
      <c r="GYS8"/>
      <c r="GYT8"/>
      <c r="GYU8"/>
      <c r="GYV8"/>
      <c r="GYW8"/>
      <c r="GYX8"/>
      <c r="GYY8"/>
      <c r="GYZ8"/>
      <c r="GZA8"/>
      <c r="GZB8"/>
      <c r="GZC8"/>
      <c r="GZD8"/>
      <c r="GZE8"/>
      <c r="GZF8"/>
      <c r="GZG8"/>
      <c r="GZH8"/>
      <c r="GZI8"/>
      <c r="GZJ8"/>
      <c r="GZK8"/>
      <c r="GZL8"/>
      <c r="GZM8"/>
      <c r="GZN8"/>
      <c r="GZO8"/>
      <c r="GZP8"/>
      <c r="GZQ8"/>
      <c r="GZR8"/>
      <c r="GZS8"/>
      <c r="GZT8"/>
      <c r="GZU8"/>
      <c r="GZV8"/>
      <c r="GZW8"/>
      <c r="GZX8"/>
      <c r="GZY8"/>
      <c r="GZZ8"/>
      <c r="HAA8"/>
      <c r="HAB8"/>
      <c r="HAC8"/>
      <c r="HAD8"/>
      <c r="HAE8"/>
      <c r="HAF8"/>
      <c r="HAG8"/>
      <c r="HAH8"/>
      <c r="HAI8"/>
      <c r="HAJ8"/>
      <c r="HAK8"/>
      <c r="HAL8"/>
      <c r="HAM8"/>
      <c r="HAN8"/>
      <c r="HAO8"/>
      <c r="HAP8"/>
      <c r="HAQ8"/>
      <c r="HAR8"/>
      <c r="HAS8"/>
      <c r="HAT8"/>
      <c r="HAU8"/>
      <c r="HAV8"/>
      <c r="HAW8"/>
      <c r="HAX8"/>
      <c r="HAY8"/>
      <c r="HAZ8"/>
      <c r="HBA8"/>
      <c r="HBB8"/>
      <c r="HBC8"/>
      <c r="HBD8"/>
      <c r="HBE8"/>
      <c r="HBF8"/>
      <c r="HBG8"/>
      <c r="HBH8"/>
      <c r="HBI8"/>
      <c r="HBJ8"/>
      <c r="HBK8"/>
      <c r="HBL8"/>
      <c r="HBM8"/>
      <c r="HBN8"/>
      <c r="HBO8"/>
      <c r="HBP8"/>
      <c r="HBQ8"/>
      <c r="HBR8"/>
      <c r="HBS8"/>
      <c r="HBT8"/>
      <c r="HBU8"/>
      <c r="HBV8"/>
      <c r="HBW8"/>
      <c r="HBX8"/>
      <c r="HBY8"/>
      <c r="HBZ8"/>
      <c r="HCA8"/>
      <c r="HCB8"/>
      <c r="HCC8"/>
      <c r="HCD8"/>
      <c r="HCE8"/>
      <c r="HCF8"/>
      <c r="HCG8"/>
      <c r="HCH8"/>
      <c r="HCI8"/>
      <c r="HCJ8"/>
      <c r="HCK8"/>
      <c r="HCL8"/>
      <c r="HCM8"/>
      <c r="HCN8"/>
      <c r="HCO8"/>
      <c r="HCP8"/>
      <c r="HCQ8"/>
      <c r="HCR8"/>
      <c r="HCS8"/>
      <c r="HCT8"/>
      <c r="HCU8"/>
      <c r="HCV8"/>
      <c r="HCW8"/>
      <c r="HCX8"/>
      <c r="HCY8"/>
      <c r="HCZ8"/>
      <c r="HDA8"/>
      <c r="HDB8"/>
      <c r="HDC8"/>
      <c r="HDD8"/>
      <c r="HDE8"/>
      <c r="HDF8"/>
      <c r="HDG8"/>
      <c r="HDH8"/>
      <c r="HDI8"/>
      <c r="HDJ8"/>
      <c r="HDK8"/>
      <c r="HDL8"/>
      <c r="HDM8"/>
      <c r="HDN8"/>
      <c r="HDO8"/>
      <c r="HDP8"/>
      <c r="HDQ8"/>
      <c r="HDR8"/>
      <c r="HDS8"/>
      <c r="HDT8"/>
      <c r="HDU8"/>
      <c r="HDV8"/>
      <c r="HDW8"/>
      <c r="HDX8"/>
      <c r="HDY8"/>
      <c r="HDZ8"/>
      <c r="HEA8"/>
      <c r="HEB8"/>
      <c r="HEC8"/>
      <c r="HED8"/>
      <c r="HEE8"/>
      <c r="HEF8"/>
      <c r="HEG8"/>
      <c r="HEH8"/>
      <c r="HEI8"/>
      <c r="HEJ8"/>
      <c r="HEK8"/>
      <c r="HEL8"/>
      <c r="HEM8"/>
      <c r="HEN8"/>
      <c r="HEO8"/>
      <c r="HEP8"/>
      <c r="HEQ8"/>
      <c r="HER8"/>
      <c r="HES8"/>
      <c r="HET8"/>
      <c r="HEU8"/>
      <c r="HEV8"/>
      <c r="HEW8"/>
      <c r="HEX8"/>
      <c r="HEY8"/>
      <c r="HEZ8"/>
      <c r="HFA8"/>
      <c r="HFB8"/>
      <c r="HFC8"/>
      <c r="HFD8"/>
      <c r="HFE8"/>
      <c r="HFF8"/>
      <c r="HFG8"/>
      <c r="HFH8"/>
      <c r="HFI8"/>
      <c r="HFJ8"/>
      <c r="HFK8"/>
      <c r="HFL8"/>
      <c r="HFM8"/>
      <c r="HFN8"/>
      <c r="HFO8"/>
      <c r="HFP8"/>
      <c r="HFQ8"/>
      <c r="HFR8"/>
      <c r="HFS8"/>
      <c r="HFT8"/>
      <c r="HFU8"/>
      <c r="HFV8"/>
      <c r="HFW8"/>
      <c r="HFX8"/>
      <c r="HFY8"/>
      <c r="HFZ8"/>
      <c r="HGA8"/>
      <c r="HGB8"/>
      <c r="HGC8"/>
      <c r="HGD8"/>
      <c r="HGE8"/>
      <c r="HGF8"/>
      <c r="HGG8"/>
      <c r="HGH8"/>
      <c r="HGI8"/>
      <c r="HGJ8"/>
      <c r="HGK8"/>
      <c r="HGL8"/>
      <c r="HGM8"/>
      <c r="HGN8"/>
      <c r="HGO8"/>
      <c r="HGP8"/>
      <c r="HGQ8"/>
      <c r="HGR8"/>
      <c r="HGS8"/>
      <c r="HGT8"/>
      <c r="HGU8"/>
      <c r="HGV8"/>
      <c r="HGW8"/>
      <c r="HGX8"/>
      <c r="HGY8"/>
      <c r="HGZ8"/>
      <c r="HHA8"/>
      <c r="HHB8"/>
      <c r="HHC8"/>
      <c r="HHD8"/>
      <c r="HHE8"/>
      <c r="HHF8"/>
      <c r="HHG8"/>
      <c r="HHH8"/>
      <c r="HHI8"/>
      <c r="HHJ8"/>
      <c r="HHK8"/>
      <c r="HHL8"/>
      <c r="HHM8"/>
      <c r="HHN8"/>
      <c r="HHO8"/>
      <c r="HHP8"/>
      <c r="HHQ8"/>
      <c r="HHR8"/>
      <c r="HHS8"/>
      <c r="HHT8"/>
      <c r="HHU8"/>
      <c r="HHV8"/>
      <c r="HHW8"/>
      <c r="HHX8"/>
      <c r="HHY8"/>
      <c r="HHZ8"/>
      <c r="HIA8"/>
      <c r="HIB8"/>
      <c r="HIC8"/>
      <c r="HID8"/>
      <c r="HIE8"/>
      <c r="HIF8"/>
      <c r="HIG8"/>
      <c r="HIH8"/>
      <c r="HII8"/>
      <c r="HIJ8"/>
      <c r="HIK8"/>
      <c r="HIL8"/>
      <c r="HIM8"/>
      <c r="HIN8"/>
      <c r="HIO8"/>
      <c r="HIP8"/>
      <c r="HIQ8"/>
      <c r="HIR8"/>
      <c r="HIS8"/>
      <c r="HIT8"/>
      <c r="HIU8"/>
      <c r="HIV8"/>
      <c r="HIW8"/>
      <c r="HIX8"/>
      <c r="HIY8"/>
      <c r="HIZ8"/>
      <c r="HJA8"/>
      <c r="HJB8"/>
      <c r="HJC8"/>
      <c r="HJD8"/>
      <c r="HJE8"/>
      <c r="HJF8"/>
      <c r="HJG8"/>
      <c r="HJH8"/>
      <c r="HJI8"/>
      <c r="HJJ8"/>
      <c r="HJK8"/>
      <c r="HJL8"/>
      <c r="HJM8"/>
      <c r="HJN8"/>
      <c r="HJO8"/>
      <c r="HJP8"/>
      <c r="HJQ8"/>
      <c r="HJR8"/>
      <c r="HJS8"/>
      <c r="HJT8"/>
      <c r="HJU8"/>
      <c r="HJV8"/>
      <c r="HJW8"/>
      <c r="HJX8"/>
      <c r="HJY8"/>
      <c r="HJZ8"/>
      <c r="HKA8"/>
      <c r="HKB8"/>
      <c r="HKC8"/>
      <c r="HKD8"/>
      <c r="HKE8"/>
      <c r="HKF8"/>
      <c r="HKG8"/>
      <c r="HKH8"/>
      <c r="HKI8"/>
      <c r="HKJ8"/>
      <c r="HKK8"/>
      <c r="HKL8"/>
      <c r="HKM8"/>
      <c r="HKN8"/>
      <c r="HKO8"/>
      <c r="HKP8"/>
      <c r="HKQ8"/>
      <c r="HKR8"/>
      <c r="HKS8"/>
      <c r="HKT8"/>
      <c r="HKU8"/>
      <c r="HKV8"/>
      <c r="HKW8"/>
      <c r="HKX8"/>
      <c r="HKY8"/>
      <c r="HKZ8"/>
      <c r="HLA8"/>
      <c r="HLB8"/>
      <c r="HLC8"/>
      <c r="HLD8"/>
      <c r="HLE8"/>
      <c r="HLF8"/>
      <c r="HLG8"/>
      <c r="HLH8"/>
      <c r="HLI8"/>
      <c r="HLJ8"/>
      <c r="HLK8"/>
      <c r="HLL8"/>
      <c r="HLM8"/>
      <c r="HLN8"/>
      <c r="HLO8"/>
      <c r="HLP8"/>
      <c r="HLQ8"/>
      <c r="HLR8"/>
      <c r="HLS8"/>
      <c r="HLT8"/>
      <c r="HLU8"/>
      <c r="HLV8"/>
      <c r="HLW8"/>
      <c r="HLX8"/>
      <c r="HLY8"/>
      <c r="HLZ8"/>
      <c r="HMA8"/>
      <c r="HMB8"/>
      <c r="HMC8"/>
      <c r="HMD8"/>
      <c r="HME8"/>
      <c r="HMF8"/>
      <c r="HMG8"/>
      <c r="HMH8"/>
      <c r="HMI8"/>
      <c r="HMJ8"/>
      <c r="HMK8"/>
      <c r="HML8"/>
      <c r="HMM8"/>
      <c r="HMN8"/>
      <c r="HMO8"/>
      <c r="HMP8"/>
      <c r="HMQ8"/>
      <c r="HMR8"/>
      <c r="HMS8"/>
      <c r="HMT8"/>
      <c r="HMU8"/>
      <c r="HMV8"/>
      <c r="HMW8"/>
      <c r="HMX8"/>
      <c r="HMY8"/>
      <c r="HMZ8"/>
      <c r="HNA8"/>
      <c r="HNB8"/>
      <c r="HNC8"/>
      <c r="HND8"/>
      <c r="HNE8"/>
      <c r="HNF8"/>
      <c r="HNG8"/>
      <c r="HNH8"/>
      <c r="HNI8"/>
      <c r="HNJ8"/>
      <c r="HNK8"/>
      <c r="HNL8"/>
      <c r="HNM8"/>
      <c r="HNN8"/>
      <c r="HNO8"/>
      <c r="HNP8"/>
      <c r="HNQ8"/>
      <c r="HNR8"/>
      <c r="HNS8"/>
      <c r="HNT8"/>
      <c r="HNU8"/>
      <c r="HNV8"/>
      <c r="HNW8"/>
      <c r="HNX8"/>
      <c r="HNY8"/>
      <c r="HNZ8"/>
      <c r="HOA8"/>
      <c r="HOB8"/>
      <c r="HOC8"/>
      <c r="HOD8"/>
      <c r="HOE8"/>
      <c r="HOF8"/>
      <c r="HOG8"/>
      <c r="HOH8"/>
      <c r="HOI8"/>
      <c r="HOJ8"/>
      <c r="HOK8"/>
      <c r="HOL8"/>
      <c r="HOM8"/>
      <c r="HON8"/>
      <c r="HOO8"/>
      <c r="HOP8"/>
      <c r="HOQ8"/>
      <c r="HOR8"/>
      <c r="HOS8"/>
      <c r="HOT8"/>
      <c r="HOU8"/>
      <c r="HOV8"/>
      <c r="HOW8"/>
      <c r="HOX8"/>
      <c r="HOY8"/>
      <c r="HOZ8"/>
      <c r="HPA8"/>
      <c r="HPB8"/>
      <c r="HPC8"/>
      <c r="HPD8"/>
      <c r="HPE8"/>
      <c r="HPF8"/>
      <c r="HPG8"/>
      <c r="HPH8"/>
      <c r="HPI8"/>
      <c r="HPJ8"/>
      <c r="HPK8"/>
      <c r="HPL8"/>
      <c r="HPM8"/>
      <c r="HPN8"/>
      <c r="HPO8"/>
      <c r="HPP8"/>
      <c r="HPQ8"/>
      <c r="HPR8"/>
      <c r="HPS8"/>
      <c r="HPT8"/>
      <c r="HPU8"/>
      <c r="HPV8"/>
      <c r="HPW8"/>
      <c r="HPX8"/>
      <c r="HPY8"/>
      <c r="HPZ8"/>
      <c r="HQA8"/>
      <c r="HQB8"/>
      <c r="HQC8"/>
      <c r="HQD8"/>
      <c r="HQE8"/>
      <c r="HQF8"/>
      <c r="HQG8"/>
      <c r="HQH8"/>
      <c r="HQI8"/>
      <c r="HQJ8"/>
      <c r="HQK8"/>
      <c r="HQL8"/>
      <c r="HQM8"/>
      <c r="HQN8"/>
      <c r="HQO8"/>
      <c r="HQP8"/>
      <c r="HQQ8"/>
      <c r="HQR8"/>
      <c r="HQS8"/>
      <c r="HQT8"/>
      <c r="HQU8"/>
      <c r="HQV8"/>
      <c r="HQW8"/>
      <c r="HQX8"/>
      <c r="HQY8"/>
      <c r="HQZ8"/>
      <c r="HRA8"/>
      <c r="HRB8"/>
      <c r="HRC8"/>
      <c r="HRD8"/>
      <c r="HRE8"/>
      <c r="HRF8"/>
      <c r="HRG8"/>
      <c r="HRH8"/>
      <c r="HRI8"/>
      <c r="HRJ8"/>
      <c r="HRK8"/>
      <c r="HRL8"/>
      <c r="HRM8"/>
      <c r="HRN8"/>
      <c r="HRO8"/>
      <c r="HRP8"/>
      <c r="HRQ8"/>
      <c r="HRR8"/>
      <c r="HRS8"/>
      <c r="HRT8"/>
      <c r="HRU8"/>
      <c r="HRV8"/>
      <c r="HRW8"/>
      <c r="HRX8"/>
      <c r="HRY8"/>
      <c r="HRZ8"/>
      <c r="HSA8"/>
      <c r="HSB8"/>
      <c r="HSC8"/>
      <c r="HSD8"/>
      <c r="HSE8"/>
      <c r="HSF8"/>
      <c r="HSG8"/>
      <c r="HSH8"/>
      <c r="HSI8"/>
      <c r="HSJ8"/>
      <c r="HSK8"/>
      <c r="HSL8"/>
      <c r="HSM8"/>
      <c r="HSN8"/>
      <c r="HSO8"/>
      <c r="HSP8"/>
      <c r="HSQ8"/>
      <c r="HSR8"/>
      <c r="HSS8"/>
      <c r="HST8"/>
      <c r="HSU8"/>
      <c r="HSV8"/>
      <c r="HSW8"/>
      <c r="HSX8"/>
      <c r="HSY8"/>
      <c r="HSZ8"/>
      <c r="HTA8"/>
      <c r="HTB8"/>
      <c r="HTC8"/>
      <c r="HTD8"/>
      <c r="HTE8"/>
      <c r="HTF8"/>
      <c r="HTG8"/>
      <c r="HTH8"/>
      <c r="HTI8"/>
      <c r="HTJ8"/>
      <c r="HTK8"/>
      <c r="HTL8"/>
      <c r="HTM8"/>
      <c r="HTN8"/>
      <c r="HTO8"/>
      <c r="HTP8"/>
      <c r="HTQ8"/>
      <c r="HTR8"/>
      <c r="HTS8"/>
      <c r="HTT8"/>
      <c r="HTU8"/>
      <c r="HTV8"/>
      <c r="HTW8"/>
      <c r="HTX8"/>
      <c r="HTY8"/>
      <c r="HTZ8"/>
      <c r="HUA8"/>
      <c r="HUB8"/>
      <c r="HUC8"/>
      <c r="HUD8"/>
      <c r="HUE8"/>
      <c r="HUF8"/>
      <c r="HUG8"/>
      <c r="HUH8"/>
      <c r="HUI8"/>
      <c r="HUJ8"/>
      <c r="HUK8"/>
      <c r="HUL8"/>
      <c r="HUM8"/>
      <c r="HUN8"/>
      <c r="HUO8"/>
      <c r="HUP8"/>
      <c r="HUQ8"/>
      <c r="HUR8"/>
      <c r="HUS8"/>
      <c r="HUT8"/>
      <c r="HUU8"/>
      <c r="HUV8"/>
      <c r="HUW8"/>
      <c r="HUX8"/>
      <c r="HUY8"/>
      <c r="HUZ8"/>
      <c r="HVA8"/>
      <c r="HVB8"/>
      <c r="HVC8"/>
      <c r="HVD8"/>
      <c r="HVE8"/>
      <c r="HVF8"/>
      <c r="HVG8"/>
      <c r="HVH8"/>
      <c r="HVI8"/>
      <c r="HVJ8"/>
      <c r="HVK8"/>
      <c r="HVL8"/>
      <c r="HVM8"/>
      <c r="HVN8"/>
      <c r="HVO8"/>
      <c r="HVP8"/>
      <c r="HVQ8"/>
      <c r="HVR8"/>
      <c r="HVS8"/>
      <c r="HVT8"/>
      <c r="HVU8"/>
      <c r="HVV8"/>
      <c r="HVW8"/>
      <c r="HVX8"/>
      <c r="HVY8"/>
      <c r="HVZ8"/>
      <c r="HWA8"/>
      <c r="HWB8"/>
      <c r="HWC8"/>
      <c r="HWD8"/>
      <c r="HWE8"/>
      <c r="HWF8"/>
      <c r="HWG8"/>
      <c r="HWH8"/>
      <c r="HWI8"/>
      <c r="HWJ8"/>
      <c r="HWK8"/>
      <c r="HWL8"/>
      <c r="HWM8"/>
      <c r="HWN8"/>
      <c r="HWO8"/>
      <c r="HWP8"/>
      <c r="HWQ8"/>
      <c r="HWR8"/>
      <c r="HWS8"/>
      <c r="HWT8"/>
      <c r="HWU8"/>
      <c r="HWV8"/>
      <c r="HWW8"/>
      <c r="HWX8"/>
      <c r="HWY8"/>
      <c r="HWZ8"/>
      <c r="HXA8"/>
      <c r="HXB8"/>
      <c r="HXC8"/>
      <c r="HXD8"/>
      <c r="HXE8"/>
      <c r="HXF8"/>
      <c r="HXG8"/>
      <c r="HXH8"/>
      <c r="HXI8"/>
      <c r="HXJ8"/>
      <c r="HXK8"/>
      <c r="HXL8"/>
      <c r="HXM8"/>
      <c r="HXN8"/>
      <c r="HXO8"/>
      <c r="HXP8"/>
      <c r="HXQ8"/>
      <c r="HXR8"/>
      <c r="HXS8"/>
      <c r="HXT8"/>
      <c r="HXU8"/>
      <c r="HXV8"/>
      <c r="HXW8"/>
      <c r="HXX8"/>
      <c r="HXY8"/>
      <c r="HXZ8"/>
      <c r="HYA8"/>
      <c r="HYB8"/>
      <c r="HYC8"/>
      <c r="HYD8"/>
      <c r="HYE8"/>
      <c r="HYF8"/>
      <c r="HYG8"/>
      <c r="HYH8"/>
      <c r="HYI8"/>
      <c r="HYJ8"/>
      <c r="HYK8"/>
      <c r="HYL8"/>
      <c r="HYM8"/>
      <c r="HYN8"/>
      <c r="HYO8"/>
      <c r="HYP8"/>
      <c r="HYQ8"/>
      <c r="HYR8"/>
      <c r="HYS8"/>
      <c r="HYT8"/>
      <c r="HYU8"/>
      <c r="HYV8"/>
      <c r="HYW8"/>
      <c r="HYX8"/>
      <c r="HYY8"/>
      <c r="HYZ8"/>
      <c r="HZA8"/>
      <c r="HZB8"/>
      <c r="HZC8"/>
      <c r="HZD8"/>
      <c r="HZE8"/>
      <c r="HZF8"/>
      <c r="HZG8"/>
      <c r="HZH8"/>
      <c r="HZI8"/>
      <c r="HZJ8"/>
      <c r="HZK8"/>
      <c r="HZL8"/>
      <c r="HZM8"/>
      <c r="HZN8"/>
      <c r="HZO8"/>
      <c r="HZP8"/>
      <c r="HZQ8"/>
      <c r="HZR8"/>
      <c r="HZS8"/>
      <c r="HZT8"/>
      <c r="HZU8"/>
      <c r="HZV8"/>
      <c r="HZW8"/>
      <c r="HZX8"/>
      <c r="HZY8"/>
      <c r="HZZ8"/>
      <c r="IAA8"/>
      <c r="IAB8"/>
      <c r="IAC8"/>
      <c r="IAD8"/>
      <c r="IAE8"/>
      <c r="IAF8"/>
      <c r="IAG8"/>
      <c r="IAH8"/>
      <c r="IAI8"/>
      <c r="IAJ8"/>
      <c r="IAK8"/>
      <c r="IAL8"/>
      <c r="IAM8"/>
      <c r="IAN8"/>
      <c r="IAO8"/>
      <c r="IAP8"/>
      <c r="IAQ8"/>
      <c r="IAR8"/>
      <c r="IAS8"/>
      <c r="IAT8"/>
      <c r="IAU8"/>
      <c r="IAV8"/>
      <c r="IAW8"/>
      <c r="IAX8"/>
      <c r="IAY8"/>
      <c r="IAZ8"/>
      <c r="IBA8"/>
      <c r="IBB8"/>
      <c r="IBC8"/>
      <c r="IBD8"/>
      <c r="IBE8"/>
      <c r="IBF8"/>
      <c r="IBG8"/>
      <c r="IBH8"/>
      <c r="IBI8"/>
      <c r="IBJ8"/>
      <c r="IBK8"/>
      <c r="IBL8"/>
      <c r="IBM8"/>
      <c r="IBN8"/>
      <c r="IBO8"/>
      <c r="IBP8"/>
      <c r="IBQ8"/>
      <c r="IBR8"/>
      <c r="IBS8"/>
      <c r="IBT8"/>
      <c r="IBU8"/>
      <c r="IBV8"/>
      <c r="IBW8"/>
      <c r="IBX8"/>
      <c r="IBY8"/>
      <c r="IBZ8"/>
      <c r="ICA8"/>
      <c r="ICB8"/>
      <c r="ICC8"/>
      <c r="ICD8"/>
      <c r="ICE8"/>
      <c r="ICF8"/>
      <c r="ICG8"/>
      <c r="ICH8"/>
      <c r="ICI8"/>
      <c r="ICJ8"/>
      <c r="ICK8"/>
      <c r="ICL8"/>
      <c r="ICM8"/>
      <c r="ICN8"/>
      <c r="ICO8"/>
      <c r="ICP8"/>
      <c r="ICQ8"/>
      <c r="ICR8"/>
      <c r="ICS8"/>
      <c r="ICT8"/>
      <c r="ICU8"/>
      <c r="ICV8"/>
      <c r="ICW8"/>
      <c r="ICX8"/>
      <c r="ICY8"/>
      <c r="ICZ8"/>
      <c r="IDA8"/>
      <c r="IDB8"/>
      <c r="IDC8"/>
      <c r="IDD8"/>
      <c r="IDE8"/>
      <c r="IDF8"/>
      <c r="IDG8"/>
      <c r="IDH8"/>
      <c r="IDI8"/>
      <c r="IDJ8"/>
      <c r="IDK8"/>
      <c r="IDL8"/>
      <c r="IDM8"/>
      <c r="IDN8"/>
      <c r="IDO8"/>
      <c r="IDP8"/>
      <c r="IDQ8"/>
      <c r="IDR8"/>
      <c r="IDS8"/>
      <c r="IDT8"/>
      <c r="IDU8"/>
      <c r="IDV8"/>
      <c r="IDW8"/>
      <c r="IDX8"/>
      <c r="IDY8"/>
      <c r="IDZ8"/>
      <c r="IEA8"/>
      <c r="IEB8"/>
      <c r="IEC8"/>
      <c r="IED8"/>
      <c r="IEE8"/>
      <c r="IEF8"/>
      <c r="IEG8"/>
      <c r="IEH8"/>
      <c r="IEI8"/>
      <c r="IEJ8"/>
      <c r="IEK8"/>
      <c r="IEL8"/>
      <c r="IEM8"/>
      <c r="IEN8"/>
      <c r="IEO8"/>
      <c r="IEP8"/>
      <c r="IEQ8"/>
      <c r="IER8"/>
      <c r="IES8"/>
      <c r="IET8"/>
      <c r="IEU8"/>
      <c r="IEV8"/>
      <c r="IEW8"/>
      <c r="IEX8"/>
      <c r="IEY8"/>
      <c r="IEZ8"/>
      <c r="IFA8"/>
      <c r="IFB8"/>
      <c r="IFC8"/>
      <c r="IFD8"/>
      <c r="IFE8"/>
      <c r="IFF8"/>
      <c r="IFG8"/>
      <c r="IFH8"/>
      <c r="IFI8"/>
      <c r="IFJ8"/>
      <c r="IFK8"/>
      <c r="IFL8"/>
      <c r="IFM8"/>
      <c r="IFN8"/>
      <c r="IFO8"/>
      <c r="IFP8"/>
      <c r="IFQ8"/>
      <c r="IFR8"/>
      <c r="IFS8"/>
      <c r="IFT8"/>
      <c r="IFU8"/>
      <c r="IFV8"/>
      <c r="IFW8"/>
      <c r="IFX8"/>
      <c r="IFY8"/>
      <c r="IFZ8"/>
      <c r="IGA8"/>
      <c r="IGB8"/>
      <c r="IGC8"/>
      <c r="IGD8"/>
      <c r="IGE8"/>
      <c r="IGF8"/>
      <c r="IGG8"/>
      <c r="IGH8"/>
      <c r="IGI8"/>
      <c r="IGJ8"/>
      <c r="IGK8"/>
      <c r="IGL8"/>
      <c r="IGM8"/>
      <c r="IGN8"/>
      <c r="IGO8"/>
      <c r="IGP8"/>
      <c r="IGQ8"/>
      <c r="IGR8"/>
      <c r="IGS8"/>
      <c r="IGT8"/>
      <c r="IGU8"/>
      <c r="IGV8"/>
      <c r="IGW8"/>
      <c r="IGX8"/>
      <c r="IGY8"/>
      <c r="IGZ8"/>
      <c r="IHA8"/>
      <c r="IHB8"/>
      <c r="IHC8"/>
      <c r="IHD8"/>
      <c r="IHE8"/>
      <c r="IHF8"/>
      <c r="IHG8"/>
      <c r="IHH8"/>
      <c r="IHI8"/>
      <c r="IHJ8"/>
      <c r="IHK8"/>
      <c r="IHL8"/>
      <c r="IHM8"/>
      <c r="IHN8"/>
      <c r="IHO8"/>
      <c r="IHP8"/>
      <c r="IHQ8"/>
      <c r="IHR8"/>
      <c r="IHS8"/>
      <c r="IHT8"/>
      <c r="IHU8"/>
      <c r="IHV8"/>
      <c r="IHW8"/>
      <c r="IHX8"/>
      <c r="IHY8"/>
      <c r="IHZ8"/>
      <c r="IIA8"/>
      <c r="IIB8"/>
      <c r="IIC8"/>
      <c r="IID8"/>
      <c r="IIE8"/>
      <c r="IIF8"/>
      <c r="IIG8"/>
      <c r="IIH8"/>
      <c r="III8"/>
      <c r="IIJ8"/>
      <c r="IIK8"/>
      <c r="IIL8"/>
      <c r="IIM8"/>
      <c r="IIN8"/>
      <c r="IIO8"/>
      <c r="IIP8"/>
      <c r="IIQ8"/>
      <c r="IIR8"/>
      <c r="IIS8"/>
      <c r="IIT8"/>
      <c r="IIU8"/>
      <c r="IIV8"/>
      <c r="IIW8"/>
      <c r="IIX8"/>
      <c r="IIY8"/>
      <c r="IIZ8"/>
      <c r="IJA8"/>
      <c r="IJB8"/>
      <c r="IJC8"/>
      <c r="IJD8"/>
      <c r="IJE8"/>
      <c r="IJF8"/>
      <c r="IJG8"/>
      <c r="IJH8"/>
      <c r="IJI8"/>
      <c r="IJJ8"/>
      <c r="IJK8"/>
      <c r="IJL8"/>
      <c r="IJM8"/>
      <c r="IJN8"/>
      <c r="IJO8"/>
      <c r="IJP8"/>
      <c r="IJQ8"/>
      <c r="IJR8"/>
      <c r="IJS8"/>
      <c r="IJT8"/>
      <c r="IJU8"/>
      <c r="IJV8"/>
      <c r="IJW8"/>
      <c r="IJX8"/>
      <c r="IJY8"/>
      <c r="IJZ8"/>
      <c r="IKA8"/>
      <c r="IKB8"/>
      <c r="IKC8"/>
      <c r="IKD8"/>
      <c r="IKE8"/>
      <c r="IKF8"/>
      <c r="IKG8"/>
      <c r="IKH8"/>
      <c r="IKI8"/>
      <c r="IKJ8"/>
      <c r="IKK8"/>
      <c r="IKL8"/>
      <c r="IKM8"/>
      <c r="IKN8"/>
      <c r="IKO8"/>
      <c r="IKP8"/>
      <c r="IKQ8"/>
      <c r="IKR8"/>
      <c r="IKS8"/>
      <c r="IKT8"/>
      <c r="IKU8"/>
      <c r="IKV8"/>
      <c r="IKW8"/>
      <c r="IKX8"/>
      <c r="IKY8"/>
      <c r="IKZ8"/>
      <c r="ILA8"/>
      <c r="ILB8"/>
      <c r="ILC8"/>
      <c r="ILD8"/>
      <c r="ILE8"/>
      <c r="ILF8"/>
      <c r="ILG8"/>
      <c r="ILH8"/>
      <c r="ILI8"/>
      <c r="ILJ8"/>
      <c r="ILK8"/>
      <c r="ILL8"/>
      <c r="ILM8"/>
      <c r="ILN8"/>
      <c r="ILO8"/>
      <c r="ILP8"/>
      <c r="ILQ8"/>
      <c r="ILR8"/>
      <c r="ILS8"/>
      <c r="ILT8"/>
      <c r="ILU8"/>
      <c r="ILV8"/>
      <c r="ILW8"/>
      <c r="ILX8"/>
      <c r="ILY8"/>
      <c r="ILZ8"/>
      <c r="IMA8"/>
      <c r="IMB8"/>
      <c r="IMC8"/>
      <c r="IMD8"/>
      <c r="IME8"/>
      <c r="IMF8"/>
      <c r="IMG8"/>
      <c r="IMH8"/>
      <c r="IMI8"/>
      <c r="IMJ8"/>
      <c r="IMK8"/>
      <c r="IML8"/>
      <c r="IMM8"/>
      <c r="IMN8"/>
      <c r="IMO8"/>
      <c r="IMP8"/>
      <c r="IMQ8"/>
      <c r="IMR8"/>
      <c r="IMS8"/>
      <c r="IMT8"/>
      <c r="IMU8"/>
      <c r="IMV8"/>
      <c r="IMW8"/>
      <c r="IMX8"/>
      <c r="IMY8"/>
      <c r="IMZ8"/>
      <c r="INA8"/>
      <c r="INB8"/>
      <c r="INC8"/>
      <c r="IND8"/>
      <c r="INE8"/>
      <c r="INF8"/>
      <c r="ING8"/>
      <c r="INH8"/>
      <c r="INI8"/>
      <c r="INJ8"/>
      <c r="INK8"/>
      <c r="INL8"/>
      <c r="INM8"/>
      <c r="INN8"/>
      <c r="INO8"/>
      <c r="INP8"/>
      <c r="INQ8"/>
      <c r="INR8"/>
      <c r="INS8"/>
      <c r="INT8"/>
      <c r="INU8"/>
      <c r="INV8"/>
      <c r="INW8"/>
      <c r="INX8"/>
      <c r="INY8"/>
      <c r="INZ8"/>
      <c r="IOA8"/>
      <c r="IOB8"/>
      <c r="IOC8"/>
      <c r="IOD8"/>
      <c r="IOE8"/>
      <c r="IOF8"/>
      <c r="IOG8"/>
      <c r="IOH8"/>
      <c r="IOI8"/>
      <c r="IOJ8"/>
      <c r="IOK8"/>
      <c r="IOL8"/>
      <c r="IOM8"/>
      <c r="ION8"/>
      <c r="IOO8"/>
      <c r="IOP8"/>
      <c r="IOQ8"/>
      <c r="IOR8"/>
      <c r="IOS8"/>
      <c r="IOT8"/>
      <c r="IOU8"/>
      <c r="IOV8"/>
      <c r="IOW8"/>
      <c r="IOX8"/>
      <c r="IOY8"/>
      <c r="IOZ8"/>
      <c r="IPA8"/>
      <c r="IPB8"/>
      <c r="IPC8"/>
      <c r="IPD8"/>
      <c r="IPE8"/>
      <c r="IPF8"/>
      <c r="IPG8"/>
      <c r="IPH8"/>
      <c r="IPI8"/>
      <c r="IPJ8"/>
      <c r="IPK8"/>
      <c r="IPL8"/>
      <c r="IPM8"/>
      <c r="IPN8"/>
      <c r="IPO8"/>
      <c r="IPP8"/>
      <c r="IPQ8"/>
      <c r="IPR8"/>
      <c r="IPS8"/>
      <c r="IPT8"/>
      <c r="IPU8"/>
      <c r="IPV8"/>
      <c r="IPW8"/>
      <c r="IPX8"/>
      <c r="IPY8"/>
      <c r="IPZ8"/>
      <c r="IQA8"/>
      <c r="IQB8"/>
      <c r="IQC8"/>
      <c r="IQD8"/>
      <c r="IQE8"/>
      <c r="IQF8"/>
      <c r="IQG8"/>
      <c r="IQH8"/>
      <c r="IQI8"/>
      <c r="IQJ8"/>
      <c r="IQK8"/>
      <c r="IQL8"/>
      <c r="IQM8"/>
      <c r="IQN8"/>
      <c r="IQO8"/>
      <c r="IQP8"/>
      <c r="IQQ8"/>
      <c r="IQR8"/>
      <c r="IQS8"/>
      <c r="IQT8"/>
      <c r="IQU8"/>
      <c r="IQV8"/>
      <c r="IQW8"/>
      <c r="IQX8"/>
      <c r="IQY8"/>
      <c r="IQZ8"/>
      <c r="IRA8"/>
      <c r="IRB8"/>
      <c r="IRC8"/>
      <c r="IRD8"/>
      <c r="IRE8"/>
      <c r="IRF8"/>
      <c r="IRG8"/>
      <c r="IRH8"/>
      <c r="IRI8"/>
      <c r="IRJ8"/>
      <c r="IRK8"/>
      <c r="IRL8"/>
      <c r="IRM8"/>
      <c r="IRN8"/>
      <c r="IRO8"/>
      <c r="IRP8"/>
      <c r="IRQ8"/>
      <c r="IRR8"/>
      <c r="IRS8"/>
      <c r="IRT8"/>
      <c r="IRU8"/>
      <c r="IRV8"/>
      <c r="IRW8"/>
      <c r="IRX8"/>
      <c r="IRY8"/>
      <c r="IRZ8"/>
      <c r="ISA8"/>
      <c r="ISB8"/>
      <c r="ISC8"/>
      <c r="ISD8"/>
      <c r="ISE8"/>
      <c r="ISF8"/>
      <c r="ISG8"/>
      <c r="ISH8"/>
      <c r="ISI8"/>
      <c r="ISJ8"/>
      <c r="ISK8"/>
      <c r="ISL8"/>
      <c r="ISM8"/>
      <c r="ISN8"/>
      <c r="ISO8"/>
      <c r="ISP8"/>
      <c r="ISQ8"/>
      <c r="ISR8"/>
      <c r="ISS8"/>
      <c r="IST8"/>
      <c r="ISU8"/>
      <c r="ISV8"/>
      <c r="ISW8"/>
      <c r="ISX8"/>
      <c r="ISY8"/>
      <c r="ISZ8"/>
      <c r="ITA8"/>
      <c r="ITB8"/>
      <c r="ITC8"/>
      <c r="ITD8"/>
      <c r="ITE8"/>
      <c r="ITF8"/>
      <c r="ITG8"/>
      <c r="ITH8"/>
      <c r="ITI8"/>
      <c r="ITJ8"/>
      <c r="ITK8"/>
      <c r="ITL8"/>
      <c r="ITM8"/>
      <c r="ITN8"/>
      <c r="ITO8"/>
      <c r="ITP8"/>
      <c r="ITQ8"/>
      <c r="ITR8"/>
      <c r="ITS8"/>
      <c r="ITT8"/>
      <c r="ITU8"/>
      <c r="ITV8"/>
      <c r="ITW8"/>
      <c r="ITX8"/>
      <c r="ITY8"/>
      <c r="ITZ8"/>
      <c r="IUA8"/>
      <c r="IUB8"/>
      <c r="IUC8"/>
      <c r="IUD8"/>
      <c r="IUE8"/>
      <c r="IUF8"/>
      <c r="IUG8"/>
      <c r="IUH8"/>
      <c r="IUI8"/>
      <c r="IUJ8"/>
      <c r="IUK8"/>
      <c r="IUL8"/>
      <c r="IUM8"/>
      <c r="IUN8"/>
      <c r="IUO8"/>
      <c r="IUP8"/>
      <c r="IUQ8"/>
      <c r="IUR8"/>
      <c r="IUS8"/>
      <c r="IUT8"/>
      <c r="IUU8"/>
      <c r="IUV8"/>
      <c r="IUW8"/>
      <c r="IUX8"/>
      <c r="IUY8"/>
      <c r="IUZ8"/>
      <c r="IVA8"/>
      <c r="IVB8"/>
      <c r="IVC8"/>
      <c r="IVD8"/>
      <c r="IVE8"/>
      <c r="IVF8"/>
      <c r="IVG8"/>
      <c r="IVH8"/>
      <c r="IVI8"/>
      <c r="IVJ8"/>
      <c r="IVK8"/>
      <c r="IVL8"/>
      <c r="IVM8"/>
      <c r="IVN8"/>
      <c r="IVO8"/>
      <c r="IVP8"/>
      <c r="IVQ8"/>
      <c r="IVR8"/>
      <c r="IVS8"/>
      <c r="IVT8"/>
      <c r="IVU8"/>
      <c r="IVV8"/>
      <c r="IVW8"/>
      <c r="IVX8"/>
      <c r="IVY8"/>
      <c r="IVZ8"/>
      <c r="IWA8"/>
      <c r="IWB8"/>
      <c r="IWC8"/>
      <c r="IWD8"/>
      <c r="IWE8"/>
      <c r="IWF8"/>
      <c r="IWG8"/>
      <c r="IWH8"/>
      <c r="IWI8"/>
      <c r="IWJ8"/>
      <c r="IWK8"/>
      <c r="IWL8"/>
      <c r="IWM8"/>
      <c r="IWN8"/>
      <c r="IWO8"/>
      <c r="IWP8"/>
      <c r="IWQ8"/>
      <c r="IWR8"/>
      <c r="IWS8"/>
      <c r="IWT8"/>
      <c r="IWU8"/>
      <c r="IWV8"/>
      <c r="IWW8"/>
      <c r="IWX8"/>
      <c r="IWY8"/>
      <c r="IWZ8"/>
      <c r="IXA8"/>
      <c r="IXB8"/>
      <c r="IXC8"/>
      <c r="IXD8"/>
      <c r="IXE8"/>
      <c r="IXF8"/>
      <c r="IXG8"/>
      <c r="IXH8"/>
      <c r="IXI8"/>
      <c r="IXJ8"/>
      <c r="IXK8"/>
      <c r="IXL8"/>
      <c r="IXM8"/>
      <c r="IXN8"/>
      <c r="IXO8"/>
      <c r="IXP8"/>
      <c r="IXQ8"/>
      <c r="IXR8"/>
      <c r="IXS8"/>
      <c r="IXT8"/>
      <c r="IXU8"/>
      <c r="IXV8"/>
      <c r="IXW8"/>
      <c r="IXX8"/>
      <c r="IXY8"/>
      <c r="IXZ8"/>
      <c r="IYA8"/>
      <c r="IYB8"/>
      <c r="IYC8"/>
      <c r="IYD8"/>
      <c r="IYE8"/>
      <c r="IYF8"/>
      <c r="IYG8"/>
      <c r="IYH8"/>
      <c r="IYI8"/>
      <c r="IYJ8"/>
      <c r="IYK8"/>
      <c r="IYL8"/>
      <c r="IYM8"/>
      <c r="IYN8"/>
      <c r="IYO8"/>
      <c r="IYP8"/>
      <c r="IYQ8"/>
      <c r="IYR8"/>
      <c r="IYS8"/>
      <c r="IYT8"/>
      <c r="IYU8"/>
      <c r="IYV8"/>
      <c r="IYW8"/>
      <c r="IYX8"/>
      <c r="IYY8"/>
      <c r="IYZ8"/>
      <c r="IZA8"/>
      <c r="IZB8"/>
      <c r="IZC8"/>
      <c r="IZD8"/>
      <c r="IZE8"/>
      <c r="IZF8"/>
      <c r="IZG8"/>
      <c r="IZH8"/>
      <c r="IZI8"/>
      <c r="IZJ8"/>
      <c r="IZK8"/>
      <c r="IZL8"/>
      <c r="IZM8"/>
      <c r="IZN8"/>
      <c r="IZO8"/>
      <c r="IZP8"/>
      <c r="IZQ8"/>
      <c r="IZR8"/>
      <c r="IZS8"/>
      <c r="IZT8"/>
      <c r="IZU8"/>
      <c r="IZV8"/>
      <c r="IZW8"/>
      <c r="IZX8"/>
      <c r="IZY8"/>
      <c r="IZZ8"/>
      <c r="JAA8"/>
      <c r="JAB8"/>
      <c r="JAC8"/>
      <c r="JAD8"/>
      <c r="JAE8"/>
      <c r="JAF8"/>
      <c r="JAG8"/>
      <c r="JAH8"/>
      <c r="JAI8"/>
      <c r="JAJ8"/>
      <c r="JAK8"/>
      <c r="JAL8"/>
      <c r="JAM8"/>
      <c r="JAN8"/>
      <c r="JAO8"/>
      <c r="JAP8"/>
      <c r="JAQ8"/>
      <c r="JAR8"/>
      <c r="JAS8"/>
      <c r="JAT8"/>
      <c r="JAU8"/>
      <c r="JAV8"/>
      <c r="JAW8"/>
      <c r="JAX8"/>
      <c r="JAY8"/>
      <c r="JAZ8"/>
      <c r="JBA8"/>
      <c r="JBB8"/>
      <c r="JBC8"/>
      <c r="JBD8"/>
      <c r="JBE8"/>
      <c r="JBF8"/>
      <c r="JBG8"/>
      <c r="JBH8"/>
      <c r="JBI8"/>
      <c r="JBJ8"/>
      <c r="JBK8"/>
      <c r="JBL8"/>
      <c r="JBM8"/>
      <c r="JBN8"/>
      <c r="JBO8"/>
      <c r="JBP8"/>
      <c r="JBQ8"/>
      <c r="JBR8"/>
      <c r="JBS8"/>
      <c r="JBT8"/>
      <c r="JBU8"/>
      <c r="JBV8"/>
      <c r="JBW8"/>
      <c r="JBX8"/>
      <c r="JBY8"/>
      <c r="JBZ8"/>
      <c r="JCA8"/>
      <c r="JCB8"/>
      <c r="JCC8"/>
      <c r="JCD8"/>
      <c r="JCE8"/>
      <c r="JCF8"/>
      <c r="JCG8"/>
      <c r="JCH8"/>
      <c r="JCI8"/>
      <c r="JCJ8"/>
      <c r="JCK8"/>
      <c r="JCL8"/>
      <c r="JCM8"/>
      <c r="JCN8"/>
      <c r="JCO8"/>
      <c r="JCP8"/>
      <c r="JCQ8"/>
      <c r="JCR8"/>
      <c r="JCS8"/>
      <c r="JCT8"/>
      <c r="JCU8"/>
      <c r="JCV8"/>
      <c r="JCW8"/>
      <c r="JCX8"/>
      <c r="JCY8"/>
      <c r="JCZ8"/>
      <c r="JDA8"/>
      <c r="JDB8"/>
      <c r="JDC8"/>
      <c r="JDD8"/>
      <c r="JDE8"/>
      <c r="JDF8"/>
      <c r="JDG8"/>
      <c r="JDH8"/>
      <c r="JDI8"/>
      <c r="JDJ8"/>
      <c r="JDK8"/>
      <c r="JDL8"/>
      <c r="JDM8"/>
      <c r="JDN8"/>
      <c r="JDO8"/>
      <c r="JDP8"/>
      <c r="JDQ8"/>
      <c r="JDR8"/>
      <c r="JDS8"/>
      <c r="JDT8"/>
      <c r="JDU8"/>
      <c r="JDV8"/>
      <c r="JDW8"/>
      <c r="JDX8"/>
      <c r="JDY8"/>
      <c r="JDZ8"/>
      <c r="JEA8"/>
      <c r="JEB8"/>
      <c r="JEC8"/>
      <c r="JED8"/>
      <c r="JEE8"/>
      <c r="JEF8"/>
      <c r="JEG8"/>
      <c r="JEH8"/>
      <c r="JEI8"/>
      <c r="JEJ8"/>
      <c r="JEK8"/>
      <c r="JEL8"/>
      <c r="JEM8"/>
      <c r="JEN8"/>
      <c r="JEO8"/>
      <c r="JEP8"/>
      <c r="JEQ8"/>
      <c r="JER8"/>
      <c r="JES8"/>
      <c r="JET8"/>
      <c r="JEU8"/>
      <c r="JEV8"/>
      <c r="JEW8"/>
      <c r="JEX8"/>
      <c r="JEY8"/>
      <c r="JEZ8"/>
      <c r="JFA8"/>
      <c r="JFB8"/>
      <c r="JFC8"/>
      <c r="JFD8"/>
      <c r="JFE8"/>
      <c r="JFF8"/>
      <c r="JFG8"/>
      <c r="JFH8"/>
      <c r="JFI8"/>
      <c r="JFJ8"/>
      <c r="JFK8"/>
      <c r="JFL8"/>
      <c r="JFM8"/>
      <c r="JFN8"/>
      <c r="JFO8"/>
      <c r="JFP8"/>
      <c r="JFQ8"/>
      <c r="JFR8"/>
      <c r="JFS8"/>
      <c r="JFT8"/>
      <c r="JFU8"/>
      <c r="JFV8"/>
      <c r="JFW8"/>
      <c r="JFX8"/>
      <c r="JFY8"/>
      <c r="JFZ8"/>
      <c r="JGA8"/>
      <c r="JGB8"/>
      <c r="JGC8"/>
      <c r="JGD8"/>
      <c r="JGE8"/>
      <c r="JGF8"/>
      <c r="JGG8"/>
      <c r="JGH8"/>
      <c r="JGI8"/>
      <c r="JGJ8"/>
      <c r="JGK8"/>
      <c r="JGL8"/>
      <c r="JGM8"/>
      <c r="JGN8"/>
      <c r="JGO8"/>
      <c r="JGP8"/>
      <c r="JGQ8"/>
      <c r="JGR8"/>
      <c r="JGS8"/>
      <c r="JGT8"/>
      <c r="JGU8"/>
      <c r="JGV8"/>
      <c r="JGW8"/>
      <c r="JGX8"/>
      <c r="JGY8"/>
      <c r="JGZ8"/>
      <c r="JHA8"/>
      <c r="JHB8"/>
      <c r="JHC8"/>
      <c r="JHD8"/>
      <c r="JHE8"/>
      <c r="JHF8"/>
      <c r="JHG8"/>
      <c r="JHH8"/>
      <c r="JHI8"/>
      <c r="JHJ8"/>
      <c r="JHK8"/>
      <c r="JHL8"/>
      <c r="JHM8"/>
      <c r="JHN8"/>
      <c r="JHO8"/>
      <c r="JHP8"/>
      <c r="JHQ8"/>
      <c r="JHR8"/>
      <c r="JHS8"/>
      <c r="JHT8"/>
      <c r="JHU8"/>
      <c r="JHV8"/>
      <c r="JHW8"/>
      <c r="JHX8"/>
      <c r="JHY8"/>
      <c r="JHZ8"/>
      <c r="JIA8"/>
      <c r="JIB8"/>
      <c r="JIC8"/>
      <c r="JID8"/>
      <c r="JIE8"/>
      <c r="JIF8"/>
      <c r="JIG8"/>
      <c r="JIH8"/>
      <c r="JII8"/>
      <c r="JIJ8"/>
      <c r="JIK8"/>
      <c r="JIL8"/>
      <c r="JIM8"/>
      <c r="JIN8"/>
      <c r="JIO8"/>
      <c r="JIP8"/>
      <c r="JIQ8"/>
      <c r="JIR8"/>
      <c r="JIS8"/>
      <c r="JIT8"/>
      <c r="JIU8"/>
      <c r="JIV8"/>
      <c r="JIW8"/>
      <c r="JIX8"/>
      <c r="JIY8"/>
      <c r="JIZ8"/>
      <c r="JJA8"/>
      <c r="JJB8"/>
      <c r="JJC8"/>
      <c r="JJD8"/>
      <c r="JJE8"/>
      <c r="JJF8"/>
      <c r="JJG8"/>
      <c r="JJH8"/>
      <c r="JJI8"/>
      <c r="JJJ8"/>
      <c r="JJK8"/>
      <c r="JJL8"/>
      <c r="JJM8"/>
      <c r="JJN8"/>
      <c r="JJO8"/>
      <c r="JJP8"/>
      <c r="JJQ8"/>
      <c r="JJR8"/>
      <c r="JJS8"/>
      <c r="JJT8"/>
      <c r="JJU8"/>
      <c r="JJV8"/>
      <c r="JJW8"/>
      <c r="JJX8"/>
      <c r="JJY8"/>
      <c r="JJZ8"/>
      <c r="JKA8"/>
      <c r="JKB8"/>
      <c r="JKC8"/>
      <c r="JKD8"/>
      <c r="JKE8"/>
      <c r="JKF8"/>
      <c r="JKG8"/>
      <c r="JKH8"/>
      <c r="JKI8"/>
      <c r="JKJ8"/>
      <c r="JKK8"/>
      <c r="JKL8"/>
      <c r="JKM8"/>
      <c r="JKN8"/>
      <c r="JKO8"/>
      <c r="JKP8"/>
      <c r="JKQ8"/>
      <c r="JKR8"/>
      <c r="JKS8"/>
      <c r="JKT8"/>
      <c r="JKU8"/>
      <c r="JKV8"/>
      <c r="JKW8"/>
      <c r="JKX8"/>
      <c r="JKY8"/>
      <c r="JKZ8"/>
      <c r="JLA8"/>
      <c r="JLB8"/>
      <c r="JLC8"/>
      <c r="JLD8"/>
      <c r="JLE8"/>
      <c r="JLF8"/>
      <c r="JLG8"/>
      <c r="JLH8"/>
      <c r="JLI8"/>
      <c r="JLJ8"/>
      <c r="JLK8"/>
      <c r="JLL8"/>
      <c r="JLM8"/>
      <c r="JLN8"/>
      <c r="JLO8"/>
      <c r="JLP8"/>
      <c r="JLQ8"/>
      <c r="JLR8"/>
      <c r="JLS8"/>
      <c r="JLT8"/>
      <c r="JLU8"/>
      <c r="JLV8"/>
      <c r="JLW8"/>
      <c r="JLX8"/>
      <c r="JLY8"/>
      <c r="JLZ8"/>
      <c r="JMA8"/>
      <c r="JMB8"/>
      <c r="JMC8"/>
      <c r="JMD8"/>
      <c r="JME8"/>
      <c r="JMF8"/>
      <c r="JMG8"/>
      <c r="JMH8"/>
      <c r="JMI8"/>
      <c r="JMJ8"/>
      <c r="JMK8"/>
      <c r="JML8"/>
      <c r="JMM8"/>
      <c r="JMN8"/>
      <c r="JMO8"/>
      <c r="JMP8"/>
      <c r="JMQ8"/>
      <c r="JMR8"/>
      <c r="JMS8"/>
      <c r="JMT8"/>
      <c r="JMU8"/>
      <c r="JMV8"/>
      <c r="JMW8"/>
      <c r="JMX8"/>
      <c r="JMY8"/>
      <c r="JMZ8"/>
      <c r="JNA8"/>
      <c r="JNB8"/>
      <c r="JNC8"/>
      <c r="JND8"/>
      <c r="JNE8"/>
      <c r="JNF8"/>
      <c r="JNG8"/>
      <c r="JNH8"/>
      <c r="JNI8"/>
      <c r="JNJ8"/>
      <c r="JNK8"/>
      <c r="JNL8"/>
      <c r="JNM8"/>
      <c r="JNN8"/>
      <c r="JNO8"/>
      <c r="JNP8"/>
      <c r="JNQ8"/>
      <c r="JNR8"/>
      <c r="JNS8"/>
      <c r="JNT8"/>
      <c r="JNU8"/>
      <c r="JNV8"/>
      <c r="JNW8"/>
      <c r="JNX8"/>
      <c r="JNY8"/>
      <c r="JNZ8"/>
      <c r="JOA8"/>
      <c r="JOB8"/>
      <c r="JOC8"/>
      <c r="JOD8"/>
      <c r="JOE8"/>
      <c r="JOF8"/>
      <c r="JOG8"/>
      <c r="JOH8"/>
      <c r="JOI8"/>
      <c r="JOJ8"/>
      <c r="JOK8"/>
      <c r="JOL8"/>
      <c r="JOM8"/>
      <c r="JON8"/>
      <c r="JOO8"/>
      <c r="JOP8"/>
      <c r="JOQ8"/>
      <c r="JOR8"/>
      <c r="JOS8"/>
      <c r="JOT8"/>
      <c r="JOU8"/>
      <c r="JOV8"/>
      <c r="JOW8"/>
      <c r="JOX8"/>
      <c r="JOY8"/>
      <c r="JOZ8"/>
      <c r="JPA8"/>
      <c r="JPB8"/>
      <c r="JPC8"/>
      <c r="JPD8"/>
      <c r="JPE8"/>
      <c r="JPF8"/>
      <c r="JPG8"/>
      <c r="JPH8"/>
      <c r="JPI8"/>
      <c r="JPJ8"/>
      <c r="JPK8"/>
      <c r="JPL8"/>
      <c r="JPM8"/>
      <c r="JPN8"/>
      <c r="JPO8"/>
      <c r="JPP8"/>
      <c r="JPQ8"/>
      <c r="JPR8"/>
      <c r="JPS8"/>
      <c r="JPT8"/>
      <c r="JPU8"/>
      <c r="JPV8"/>
      <c r="JPW8"/>
      <c r="JPX8"/>
      <c r="JPY8"/>
      <c r="JPZ8"/>
      <c r="JQA8"/>
      <c r="JQB8"/>
      <c r="JQC8"/>
      <c r="JQD8"/>
      <c r="JQE8"/>
      <c r="JQF8"/>
      <c r="JQG8"/>
      <c r="JQH8"/>
      <c r="JQI8"/>
      <c r="JQJ8"/>
      <c r="JQK8"/>
      <c r="JQL8"/>
      <c r="JQM8"/>
      <c r="JQN8"/>
      <c r="JQO8"/>
      <c r="JQP8"/>
      <c r="JQQ8"/>
      <c r="JQR8"/>
      <c r="JQS8"/>
      <c r="JQT8"/>
      <c r="JQU8"/>
      <c r="JQV8"/>
      <c r="JQW8"/>
      <c r="JQX8"/>
      <c r="JQY8"/>
      <c r="JQZ8"/>
      <c r="JRA8"/>
      <c r="JRB8"/>
      <c r="JRC8"/>
      <c r="JRD8"/>
      <c r="JRE8"/>
      <c r="JRF8"/>
      <c r="JRG8"/>
      <c r="JRH8"/>
      <c r="JRI8"/>
      <c r="JRJ8"/>
      <c r="JRK8"/>
      <c r="JRL8"/>
      <c r="JRM8"/>
      <c r="JRN8"/>
      <c r="JRO8"/>
      <c r="JRP8"/>
      <c r="JRQ8"/>
      <c r="JRR8"/>
      <c r="JRS8"/>
      <c r="JRT8"/>
      <c r="JRU8"/>
      <c r="JRV8"/>
      <c r="JRW8"/>
      <c r="JRX8"/>
      <c r="JRY8"/>
      <c r="JRZ8"/>
      <c r="JSA8"/>
      <c r="JSB8"/>
      <c r="JSC8"/>
      <c r="JSD8"/>
      <c r="JSE8"/>
      <c r="JSF8"/>
      <c r="JSG8"/>
      <c r="JSH8"/>
      <c r="JSI8"/>
      <c r="JSJ8"/>
      <c r="JSK8"/>
      <c r="JSL8"/>
      <c r="JSM8"/>
      <c r="JSN8"/>
      <c r="JSO8"/>
      <c r="JSP8"/>
      <c r="JSQ8"/>
      <c r="JSR8"/>
      <c r="JSS8"/>
      <c r="JST8"/>
      <c r="JSU8"/>
      <c r="JSV8"/>
      <c r="JSW8"/>
      <c r="JSX8"/>
      <c r="JSY8"/>
      <c r="JSZ8"/>
      <c r="JTA8"/>
      <c r="JTB8"/>
      <c r="JTC8"/>
      <c r="JTD8"/>
      <c r="JTE8"/>
      <c r="JTF8"/>
      <c r="JTG8"/>
      <c r="JTH8"/>
      <c r="JTI8"/>
      <c r="JTJ8"/>
      <c r="JTK8"/>
      <c r="JTL8"/>
      <c r="JTM8"/>
      <c r="JTN8"/>
      <c r="JTO8"/>
      <c r="JTP8"/>
      <c r="JTQ8"/>
      <c r="JTR8"/>
      <c r="JTS8"/>
      <c r="JTT8"/>
      <c r="JTU8"/>
      <c r="JTV8"/>
      <c r="JTW8"/>
      <c r="JTX8"/>
      <c r="JTY8"/>
      <c r="JTZ8"/>
      <c r="JUA8"/>
      <c r="JUB8"/>
      <c r="JUC8"/>
      <c r="JUD8"/>
      <c r="JUE8"/>
      <c r="JUF8"/>
      <c r="JUG8"/>
      <c r="JUH8"/>
      <c r="JUI8"/>
      <c r="JUJ8"/>
      <c r="JUK8"/>
      <c r="JUL8"/>
      <c r="JUM8"/>
      <c r="JUN8"/>
      <c r="JUO8"/>
      <c r="JUP8"/>
      <c r="JUQ8"/>
      <c r="JUR8"/>
      <c r="JUS8"/>
      <c r="JUT8"/>
      <c r="JUU8"/>
      <c r="JUV8"/>
      <c r="JUW8"/>
      <c r="JUX8"/>
      <c r="JUY8"/>
      <c r="JUZ8"/>
      <c r="JVA8"/>
      <c r="JVB8"/>
      <c r="JVC8"/>
      <c r="JVD8"/>
      <c r="JVE8"/>
      <c r="JVF8"/>
      <c r="JVG8"/>
      <c r="JVH8"/>
      <c r="JVI8"/>
      <c r="JVJ8"/>
      <c r="JVK8"/>
      <c r="JVL8"/>
      <c r="JVM8"/>
      <c r="JVN8"/>
      <c r="JVO8"/>
      <c r="JVP8"/>
      <c r="JVQ8"/>
      <c r="JVR8"/>
      <c r="JVS8"/>
      <c r="JVT8"/>
      <c r="JVU8"/>
      <c r="JVV8"/>
      <c r="JVW8"/>
      <c r="JVX8"/>
      <c r="JVY8"/>
      <c r="JVZ8"/>
      <c r="JWA8"/>
      <c r="JWB8"/>
      <c r="JWC8"/>
      <c r="JWD8"/>
      <c r="JWE8"/>
      <c r="JWF8"/>
      <c r="JWG8"/>
      <c r="JWH8"/>
      <c r="JWI8"/>
      <c r="JWJ8"/>
      <c r="JWK8"/>
      <c r="JWL8"/>
      <c r="JWM8"/>
      <c r="JWN8"/>
      <c r="JWO8"/>
      <c r="JWP8"/>
      <c r="JWQ8"/>
      <c r="JWR8"/>
      <c r="JWS8"/>
      <c r="JWT8"/>
      <c r="JWU8"/>
      <c r="JWV8"/>
      <c r="JWW8"/>
      <c r="JWX8"/>
      <c r="JWY8"/>
      <c r="JWZ8"/>
      <c r="JXA8"/>
      <c r="JXB8"/>
      <c r="JXC8"/>
      <c r="JXD8"/>
      <c r="JXE8"/>
      <c r="JXF8"/>
      <c r="JXG8"/>
      <c r="JXH8"/>
      <c r="JXI8"/>
      <c r="JXJ8"/>
      <c r="JXK8"/>
      <c r="JXL8"/>
      <c r="JXM8"/>
      <c r="JXN8"/>
      <c r="JXO8"/>
      <c r="JXP8"/>
      <c r="JXQ8"/>
      <c r="JXR8"/>
      <c r="JXS8"/>
      <c r="JXT8"/>
      <c r="JXU8"/>
      <c r="JXV8"/>
      <c r="JXW8"/>
      <c r="JXX8"/>
      <c r="JXY8"/>
      <c r="JXZ8"/>
      <c r="JYA8"/>
      <c r="JYB8"/>
      <c r="JYC8"/>
      <c r="JYD8"/>
      <c r="JYE8"/>
      <c r="JYF8"/>
      <c r="JYG8"/>
      <c r="JYH8"/>
      <c r="JYI8"/>
      <c r="JYJ8"/>
      <c r="JYK8"/>
      <c r="JYL8"/>
      <c r="JYM8"/>
      <c r="JYN8"/>
      <c r="JYO8"/>
      <c r="JYP8"/>
      <c r="JYQ8"/>
      <c r="JYR8"/>
      <c r="JYS8"/>
      <c r="JYT8"/>
      <c r="JYU8"/>
      <c r="JYV8"/>
      <c r="JYW8"/>
      <c r="JYX8"/>
      <c r="JYY8"/>
      <c r="JYZ8"/>
      <c r="JZA8"/>
      <c r="JZB8"/>
      <c r="JZC8"/>
      <c r="JZD8"/>
      <c r="JZE8"/>
      <c r="JZF8"/>
      <c r="JZG8"/>
      <c r="JZH8"/>
      <c r="JZI8"/>
      <c r="JZJ8"/>
      <c r="JZK8"/>
      <c r="JZL8"/>
      <c r="JZM8"/>
      <c r="JZN8"/>
      <c r="JZO8"/>
      <c r="JZP8"/>
      <c r="JZQ8"/>
      <c r="JZR8"/>
      <c r="JZS8"/>
      <c r="JZT8"/>
      <c r="JZU8"/>
      <c r="JZV8"/>
      <c r="JZW8"/>
      <c r="JZX8"/>
      <c r="JZY8"/>
      <c r="JZZ8"/>
      <c r="KAA8"/>
      <c r="KAB8"/>
      <c r="KAC8"/>
      <c r="KAD8"/>
      <c r="KAE8"/>
      <c r="KAF8"/>
      <c r="KAG8"/>
      <c r="KAH8"/>
      <c r="KAI8"/>
      <c r="KAJ8"/>
      <c r="KAK8"/>
      <c r="KAL8"/>
      <c r="KAM8"/>
      <c r="KAN8"/>
      <c r="KAO8"/>
      <c r="KAP8"/>
      <c r="KAQ8"/>
      <c r="KAR8"/>
      <c r="KAS8"/>
      <c r="KAT8"/>
      <c r="KAU8"/>
      <c r="KAV8"/>
      <c r="KAW8"/>
      <c r="KAX8"/>
      <c r="KAY8"/>
      <c r="KAZ8"/>
      <c r="KBA8"/>
      <c r="KBB8"/>
      <c r="KBC8"/>
      <c r="KBD8"/>
      <c r="KBE8"/>
      <c r="KBF8"/>
      <c r="KBG8"/>
      <c r="KBH8"/>
      <c r="KBI8"/>
      <c r="KBJ8"/>
      <c r="KBK8"/>
      <c r="KBL8"/>
      <c r="KBM8"/>
      <c r="KBN8"/>
      <c r="KBO8"/>
      <c r="KBP8"/>
      <c r="KBQ8"/>
      <c r="KBR8"/>
      <c r="KBS8"/>
      <c r="KBT8"/>
      <c r="KBU8"/>
      <c r="KBV8"/>
      <c r="KBW8"/>
      <c r="KBX8"/>
      <c r="KBY8"/>
      <c r="KBZ8"/>
      <c r="KCA8"/>
      <c r="KCB8"/>
      <c r="KCC8"/>
      <c r="KCD8"/>
      <c r="KCE8"/>
      <c r="KCF8"/>
      <c r="KCG8"/>
      <c r="KCH8"/>
      <c r="KCI8"/>
      <c r="KCJ8"/>
      <c r="KCK8"/>
      <c r="KCL8"/>
      <c r="KCM8"/>
      <c r="KCN8"/>
      <c r="KCO8"/>
      <c r="KCP8"/>
      <c r="KCQ8"/>
      <c r="KCR8"/>
      <c r="KCS8"/>
      <c r="KCT8"/>
      <c r="KCU8"/>
      <c r="KCV8"/>
      <c r="KCW8"/>
      <c r="KCX8"/>
      <c r="KCY8"/>
      <c r="KCZ8"/>
      <c r="KDA8"/>
      <c r="KDB8"/>
      <c r="KDC8"/>
      <c r="KDD8"/>
      <c r="KDE8"/>
      <c r="KDF8"/>
      <c r="KDG8"/>
      <c r="KDH8"/>
      <c r="KDI8"/>
      <c r="KDJ8"/>
      <c r="KDK8"/>
      <c r="KDL8"/>
      <c r="KDM8"/>
      <c r="KDN8"/>
      <c r="KDO8"/>
      <c r="KDP8"/>
      <c r="KDQ8"/>
      <c r="KDR8"/>
      <c r="KDS8"/>
      <c r="KDT8"/>
      <c r="KDU8"/>
      <c r="KDV8"/>
      <c r="KDW8"/>
      <c r="KDX8"/>
      <c r="KDY8"/>
      <c r="KDZ8"/>
      <c r="KEA8"/>
      <c r="KEB8"/>
      <c r="KEC8"/>
      <c r="KED8"/>
      <c r="KEE8"/>
      <c r="KEF8"/>
      <c r="KEG8"/>
      <c r="KEH8"/>
      <c r="KEI8"/>
      <c r="KEJ8"/>
      <c r="KEK8"/>
      <c r="KEL8"/>
      <c r="KEM8"/>
      <c r="KEN8"/>
      <c r="KEO8"/>
      <c r="KEP8"/>
      <c r="KEQ8"/>
      <c r="KER8"/>
      <c r="KES8"/>
      <c r="KET8"/>
      <c r="KEU8"/>
      <c r="KEV8"/>
      <c r="KEW8"/>
      <c r="KEX8"/>
      <c r="KEY8"/>
      <c r="KEZ8"/>
      <c r="KFA8"/>
      <c r="KFB8"/>
      <c r="KFC8"/>
      <c r="KFD8"/>
      <c r="KFE8"/>
      <c r="KFF8"/>
      <c r="KFG8"/>
      <c r="KFH8"/>
      <c r="KFI8"/>
      <c r="KFJ8"/>
      <c r="KFK8"/>
      <c r="KFL8"/>
      <c r="KFM8"/>
      <c r="KFN8"/>
      <c r="KFO8"/>
      <c r="KFP8"/>
      <c r="KFQ8"/>
      <c r="KFR8"/>
      <c r="KFS8"/>
      <c r="KFT8"/>
      <c r="KFU8"/>
      <c r="KFV8"/>
      <c r="KFW8"/>
      <c r="KFX8"/>
      <c r="KFY8"/>
      <c r="KFZ8"/>
      <c r="KGA8"/>
      <c r="KGB8"/>
      <c r="KGC8"/>
      <c r="KGD8"/>
      <c r="KGE8"/>
      <c r="KGF8"/>
      <c r="KGG8"/>
      <c r="KGH8"/>
      <c r="KGI8"/>
      <c r="KGJ8"/>
      <c r="KGK8"/>
      <c r="KGL8"/>
      <c r="KGM8"/>
      <c r="KGN8"/>
      <c r="KGO8"/>
      <c r="KGP8"/>
      <c r="KGQ8"/>
      <c r="KGR8"/>
      <c r="KGS8"/>
      <c r="KGT8"/>
      <c r="KGU8"/>
      <c r="KGV8"/>
      <c r="KGW8"/>
      <c r="KGX8"/>
      <c r="KGY8"/>
      <c r="KGZ8"/>
      <c r="KHA8"/>
      <c r="KHB8"/>
      <c r="KHC8"/>
      <c r="KHD8"/>
      <c r="KHE8"/>
      <c r="KHF8"/>
      <c r="KHG8"/>
      <c r="KHH8"/>
      <c r="KHI8"/>
      <c r="KHJ8"/>
      <c r="KHK8"/>
      <c r="KHL8"/>
      <c r="KHM8"/>
      <c r="KHN8"/>
      <c r="KHO8"/>
      <c r="KHP8"/>
      <c r="KHQ8"/>
      <c r="KHR8"/>
      <c r="KHS8"/>
      <c r="KHT8"/>
      <c r="KHU8"/>
      <c r="KHV8"/>
      <c r="KHW8"/>
      <c r="KHX8"/>
      <c r="KHY8"/>
      <c r="KHZ8"/>
      <c r="KIA8"/>
      <c r="KIB8"/>
      <c r="KIC8"/>
      <c r="KID8"/>
      <c r="KIE8"/>
      <c r="KIF8"/>
      <c r="KIG8"/>
      <c r="KIH8"/>
      <c r="KII8"/>
      <c r="KIJ8"/>
      <c r="KIK8"/>
      <c r="KIL8"/>
      <c r="KIM8"/>
      <c r="KIN8"/>
      <c r="KIO8"/>
      <c r="KIP8"/>
      <c r="KIQ8"/>
      <c r="KIR8"/>
      <c r="KIS8"/>
      <c r="KIT8"/>
      <c r="KIU8"/>
      <c r="KIV8"/>
      <c r="KIW8"/>
      <c r="KIX8"/>
      <c r="KIY8"/>
      <c r="KIZ8"/>
      <c r="KJA8"/>
      <c r="KJB8"/>
      <c r="KJC8"/>
      <c r="KJD8"/>
      <c r="KJE8"/>
      <c r="KJF8"/>
      <c r="KJG8"/>
      <c r="KJH8"/>
      <c r="KJI8"/>
      <c r="KJJ8"/>
      <c r="KJK8"/>
      <c r="KJL8"/>
      <c r="KJM8"/>
      <c r="KJN8"/>
      <c r="KJO8"/>
      <c r="KJP8"/>
      <c r="KJQ8"/>
      <c r="KJR8"/>
      <c r="KJS8"/>
      <c r="KJT8"/>
      <c r="KJU8"/>
      <c r="KJV8"/>
      <c r="KJW8"/>
      <c r="KJX8"/>
      <c r="KJY8"/>
      <c r="KJZ8"/>
      <c r="KKA8"/>
      <c r="KKB8"/>
      <c r="KKC8"/>
      <c r="KKD8"/>
      <c r="KKE8"/>
      <c r="KKF8"/>
      <c r="KKG8"/>
      <c r="KKH8"/>
      <c r="KKI8"/>
      <c r="KKJ8"/>
      <c r="KKK8"/>
      <c r="KKL8"/>
      <c r="KKM8"/>
      <c r="KKN8"/>
      <c r="KKO8"/>
      <c r="KKP8"/>
      <c r="KKQ8"/>
      <c r="KKR8"/>
      <c r="KKS8"/>
      <c r="KKT8"/>
      <c r="KKU8"/>
      <c r="KKV8"/>
      <c r="KKW8"/>
      <c r="KKX8"/>
      <c r="KKY8"/>
      <c r="KKZ8"/>
      <c r="KLA8"/>
      <c r="KLB8"/>
      <c r="KLC8"/>
      <c r="KLD8"/>
      <c r="KLE8"/>
      <c r="KLF8"/>
      <c r="KLG8"/>
      <c r="KLH8"/>
      <c r="KLI8"/>
      <c r="KLJ8"/>
      <c r="KLK8"/>
      <c r="KLL8"/>
      <c r="KLM8"/>
      <c r="KLN8"/>
      <c r="KLO8"/>
      <c r="KLP8"/>
      <c r="KLQ8"/>
      <c r="KLR8"/>
      <c r="KLS8"/>
      <c r="KLT8"/>
      <c r="KLU8"/>
      <c r="KLV8"/>
      <c r="KLW8"/>
      <c r="KLX8"/>
      <c r="KLY8"/>
      <c r="KLZ8"/>
      <c r="KMA8"/>
      <c r="KMB8"/>
      <c r="KMC8"/>
      <c r="KMD8"/>
      <c r="KME8"/>
      <c r="KMF8"/>
      <c r="KMG8"/>
      <c r="KMH8"/>
      <c r="KMI8"/>
      <c r="KMJ8"/>
      <c r="KMK8"/>
      <c r="KML8"/>
      <c r="KMM8"/>
      <c r="KMN8"/>
      <c r="KMO8"/>
      <c r="KMP8"/>
      <c r="KMQ8"/>
      <c r="KMR8"/>
      <c r="KMS8"/>
      <c r="KMT8"/>
      <c r="KMU8"/>
      <c r="KMV8"/>
      <c r="KMW8"/>
      <c r="KMX8"/>
      <c r="KMY8"/>
      <c r="KMZ8"/>
      <c r="KNA8"/>
      <c r="KNB8"/>
      <c r="KNC8"/>
      <c r="KND8"/>
      <c r="KNE8"/>
      <c r="KNF8"/>
      <c r="KNG8"/>
      <c r="KNH8"/>
      <c r="KNI8"/>
      <c r="KNJ8"/>
      <c r="KNK8"/>
      <c r="KNL8"/>
      <c r="KNM8"/>
      <c r="KNN8"/>
      <c r="KNO8"/>
      <c r="KNP8"/>
      <c r="KNQ8"/>
      <c r="KNR8"/>
      <c r="KNS8"/>
      <c r="KNT8"/>
      <c r="KNU8"/>
      <c r="KNV8"/>
      <c r="KNW8"/>
      <c r="KNX8"/>
      <c r="KNY8"/>
      <c r="KNZ8"/>
      <c r="KOA8"/>
      <c r="KOB8"/>
      <c r="KOC8"/>
      <c r="KOD8"/>
      <c r="KOE8"/>
      <c r="KOF8"/>
      <c r="KOG8"/>
      <c r="KOH8"/>
      <c r="KOI8"/>
      <c r="KOJ8"/>
      <c r="KOK8"/>
      <c r="KOL8"/>
      <c r="KOM8"/>
      <c r="KON8"/>
      <c r="KOO8"/>
      <c r="KOP8"/>
      <c r="KOQ8"/>
      <c r="KOR8"/>
      <c r="KOS8"/>
      <c r="KOT8"/>
      <c r="KOU8"/>
      <c r="KOV8"/>
      <c r="KOW8"/>
      <c r="KOX8"/>
      <c r="KOY8"/>
      <c r="KOZ8"/>
      <c r="KPA8"/>
      <c r="KPB8"/>
      <c r="KPC8"/>
      <c r="KPD8"/>
      <c r="KPE8"/>
      <c r="KPF8"/>
      <c r="KPG8"/>
      <c r="KPH8"/>
      <c r="KPI8"/>
      <c r="KPJ8"/>
      <c r="KPK8"/>
      <c r="KPL8"/>
      <c r="KPM8"/>
      <c r="KPN8"/>
      <c r="KPO8"/>
      <c r="KPP8"/>
      <c r="KPQ8"/>
      <c r="KPR8"/>
      <c r="KPS8"/>
      <c r="KPT8"/>
      <c r="KPU8"/>
      <c r="KPV8"/>
      <c r="KPW8"/>
      <c r="KPX8"/>
      <c r="KPY8"/>
      <c r="KPZ8"/>
      <c r="KQA8"/>
      <c r="KQB8"/>
      <c r="KQC8"/>
      <c r="KQD8"/>
      <c r="KQE8"/>
      <c r="KQF8"/>
      <c r="KQG8"/>
      <c r="KQH8"/>
      <c r="KQI8"/>
      <c r="KQJ8"/>
      <c r="KQK8"/>
      <c r="KQL8"/>
      <c r="KQM8"/>
      <c r="KQN8"/>
      <c r="KQO8"/>
      <c r="KQP8"/>
      <c r="KQQ8"/>
      <c r="KQR8"/>
      <c r="KQS8"/>
      <c r="KQT8"/>
      <c r="KQU8"/>
      <c r="KQV8"/>
      <c r="KQW8"/>
      <c r="KQX8"/>
      <c r="KQY8"/>
      <c r="KQZ8"/>
      <c r="KRA8"/>
      <c r="KRB8"/>
      <c r="KRC8"/>
      <c r="KRD8"/>
      <c r="KRE8"/>
      <c r="KRF8"/>
      <c r="KRG8"/>
      <c r="KRH8"/>
      <c r="KRI8"/>
      <c r="KRJ8"/>
      <c r="KRK8"/>
      <c r="KRL8"/>
      <c r="KRM8"/>
      <c r="KRN8"/>
      <c r="KRO8"/>
      <c r="KRP8"/>
      <c r="KRQ8"/>
      <c r="KRR8"/>
      <c r="KRS8"/>
      <c r="KRT8"/>
      <c r="KRU8"/>
      <c r="KRV8"/>
      <c r="KRW8"/>
      <c r="KRX8"/>
      <c r="KRY8"/>
      <c r="KRZ8"/>
      <c r="KSA8"/>
      <c r="KSB8"/>
      <c r="KSC8"/>
      <c r="KSD8"/>
      <c r="KSE8"/>
      <c r="KSF8"/>
      <c r="KSG8"/>
      <c r="KSH8"/>
      <c r="KSI8"/>
      <c r="KSJ8"/>
      <c r="KSK8"/>
      <c r="KSL8"/>
      <c r="KSM8"/>
      <c r="KSN8"/>
      <c r="KSO8"/>
      <c r="KSP8"/>
      <c r="KSQ8"/>
      <c r="KSR8"/>
      <c r="KSS8"/>
      <c r="KST8"/>
      <c r="KSU8"/>
      <c r="KSV8"/>
      <c r="KSW8"/>
      <c r="KSX8"/>
      <c r="KSY8"/>
      <c r="KSZ8"/>
      <c r="KTA8"/>
      <c r="KTB8"/>
      <c r="KTC8"/>
      <c r="KTD8"/>
      <c r="KTE8"/>
      <c r="KTF8"/>
      <c r="KTG8"/>
      <c r="KTH8"/>
      <c r="KTI8"/>
      <c r="KTJ8"/>
      <c r="KTK8"/>
      <c r="KTL8"/>
      <c r="KTM8"/>
      <c r="KTN8"/>
      <c r="KTO8"/>
      <c r="KTP8"/>
      <c r="KTQ8"/>
      <c r="KTR8"/>
      <c r="KTS8"/>
      <c r="KTT8"/>
      <c r="KTU8"/>
      <c r="KTV8"/>
      <c r="KTW8"/>
      <c r="KTX8"/>
      <c r="KTY8"/>
      <c r="KTZ8"/>
      <c r="KUA8"/>
      <c r="KUB8"/>
      <c r="KUC8"/>
      <c r="KUD8"/>
      <c r="KUE8"/>
      <c r="KUF8"/>
      <c r="KUG8"/>
      <c r="KUH8"/>
      <c r="KUI8"/>
      <c r="KUJ8"/>
      <c r="KUK8"/>
      <c r="KUL8"/>
      <c r="KUM8"/>
      <c r="KUN8"/>
      <c r="KUO8"/>
      <c r="KUP8"/>
      <c r="KUQ8"/>
      <c r="KUR8"/>
      <c r="KUS8"/>
      <c r="KUT8"/>
      <c r="KUU8"/>
      <c r="KUV8"/>
      <c r="KUW8"/>
      <c r="KUX8"/>
      <c r="KUY8"/>
      <c r="KUZ8"/>
      <c r="KVA8"/>
      <c r="KVB8"/>
      <c r="KVC8"/>
      <c r="KVD8"/>
      <c r="KVE8"/>
      <c r="KVF8"/>
      <c r="KVG8"/>
      <c r="KVH8"/>
      <c r="KVI8"/>
      <c r="KVJ8"/>
      <c r="KVK8"/>
      <c r="KVL8"/>
      <c r="KVM8"/>
      <c r="KVN8"/>
      <c r="KVO8"/>
      <c r="KVP8"/>
      <c r="KVQ8"/>
      <c r="KVR8"/>
      <c r="KVS8"/>
      <c r="KVT8"/>
      <c r="KVU8"/>
      <c r="KVV8"/>
      <c r="KVW8"/>
      <c r="KVX8"/>
      <c r="KVY8"/>
      <c r="KVZ8"/>
      <c r="KWA8"/>
      <c r="KWB8"/>
      <c r="KWC8"/>
      <c r="KWD8"/>
      <c r="KWE8"/>
      <c r="KWF8"/>
      <c r="KWG8"/>
      <c r="KWH8"/>
      <c r="KWI8"/>
      <c r="KWJ8"/>
      <c r="KWK8"/>
      <c r="KWL8"/>
      <c r="KWM8"/>
      <c r="KWN8"/>
      <c r="KWO8"/>
      <c r="KWP8"/>
      <c r="KWQ8"/>
      <c r="KWR8"/>
      <c r="KWS8"/>
      <c r="KWT8"/>
      <c r="KWU8"/>
      <c r="KWV8"/>
      <c r="KWW8"/>
      <c r="KWX8"/>
      <c r="KWY8"/>
      <c r="KWZ8"/>
      <c r="KXA8"/>
      <c r="KXB8"/>
      <c r="KXC8"/>
      <c r="KXD8"/>
      <c r="KXE8"/>
      <c r="KXF8"/>
      <c r="KXG8"/>
      <c r="KXH8"/>
      <c r="KXI8"/>
      <c r="KXJ8"/>
      <c r="KXK8"/>
      <c r="KXL8"/>
      <c r="KXM8"/>
      <c r="KXN8"/>
      <c r="KXO8"/>
      <c r="KXP8"/>
      <c r="KXQ8"/>
      <c r="KXR8"/>
      <c r="KXS8"/>
      <c r="KXT8"/>
      <c r="KXU8"/>
      <c r="KXV8"/>
      <c r="KXW8"/>
      <c r="KXX8"/>
      <c r="KXY8"/>
      <c r="KXZ8"/>
      <c r="KYA8"/>
      <c r="KYB8"/>
      <c r="KYC8"/>
      <c r="KYD8"/>
      <c r="KYE8"/>
      <c r="KYF8"/>
      <c r="KYG8"/>
      <c r="KYH8"/>
      <c r="KYI8"/>
      <c r="KYJ8"/>
      <c r="KYK8"/>
      <c r="KYL8"/>
      <c r="KYM8"/>
      <c r="KYN8"/>
      <c r="KYO8"/>
      <c r="KYP8"/>
      <c r="KYQ8"/>
      <c r="KYR8"/>
      <c r="KYS8"/>
      <c r="KYT8"/>
      <c r="KYU8"/>
      <c r="KYV8"/>
      <c r="KYW8"/>
      <c r="KYX8"/>
      <c r="KYY8"/>
      <c r="KYZ8"/>
      <c r="KZA8"/>
      <c r="KZB8"/>
      <c r="KZC8"/>
      <c r="KZD8"/>
      <c r="KZE8"/>
      <c r="KZF8"/>
      <c r="KZG8"/>
      <c r="KZH8"/>
      <c r="KZI8"/>
      <c r="KZJ8"/>
      <c r="KZK8"/>
      <c r="KZL8"/>
      <c r="KZM8"/>
      <c r="KZN8"/>
      <c r="KZO8"/>
      <c r="KZP8"/>
      <c r="KZQ8"/>
      <c r="KZR8"/>
      <c r="KZS8"/>
      <c r="KZT8"/>
      <c r="KZU8"/>
      <c r="KZV8"/>
      <c r="KZW8"/>
      <c r="KZX8"/>
      <c r="KZY8"/>
      <c r="KZZ8"/>
      <c r="LAA8"/>
      <c r="LAB8"/>
      <c r="LAC8"/>
      <c r="LAD8"/>
      <c r="LAE8"/>
      <c r="LAF8"/>
      <c r="LAG8"/>
      <c r="LAH8"/>
      <c r="LAI8"/>
      <c r="LAJ8"/>
      <c r="LAK8"/>
      <c r="LAL8"/>
      <c r="LAM8"/>
      <c r="LAN8"/>
      <c r="LAO8"/>
      <c r="LAP8"/>
      <c r="LAQ8"/>
      <c r="LAR8"/>
      <c r="LAS8"/>
      <c r="LAT8"/>
      <c r="LAU8"/>
      <c r="LAV8"/>
      <c r="LAW8"/>
      <c r="LAX8"/>
      <c r="LAY8"/>
      <c r="LAZ8"/>
      <c r="LBA8"/>
      <c r="LBB8"/>
      <c r="LBC8"/>
      <c r="LBD8"/>
      <c r="LBE8"/>
      <c r="LBF8"/>
      <c r="LBG8"/>
      <c r="LBH8"/>
      <c r="LBI8"/>
      <c r="LBJ8"/>
      <c r="LBK8"/>
      <c r="LBL8"/>
      <c r="LBM8"/>
      <c r="LBN8"/>
      <c r="LBO8"/>
      <c r="LBP8"/>
      <c r="LBQ8"/>
      <c r="LBR8"/>
      <c r="LBS8"/>
      <c r="LBT8"/>
      <c r="LBU8"/>
      <c r="LBV8"/>
      <c r="LBW8"/>
      <c r="LBX8"/>
      <c r="LBY8"/>
      <c r="LBZ8"/>
      <c r="LCA8"/>
      <c r="LCB8"/>
      <c r="LCC8"/>
      <c r="LCD8"/>
      <c r="LCE8"/>
      <c r="LCF8"/>
      <c r="LCG8"/>
      <c r="LCH8"/>
      <c r="LCI8"/>
      <c r="LCJ8"/>
      <c r="LCK8"/>
      <c r="LCL8"/>
      <c r="LCM8"/>
      <c r="LCN8"/>
      <c r="LCO8"/>
      <c r="LCP8"/>
      <c r="LCQ8"/>
      <c r="LCR8"/>
      <c r="LCS8"/>
      <c r="LCT8"/>
      <c r="LCU8"/>
      <c r="LCV8"/>
      <c r="LCW8"/>
      <c r="LCX8"/>
      <c r="LCY8"/>
      <c r="LCZ8"/>
      <c r="LDA8"/>
      <c r="LDB8"/>
      <c r="LDC8"/>
      <c r="LDD8"/>
      <c r="LDE8"/>
      <c r="LDF8"/>
      <c r="LDG8"/>
      <c r="LDH8"/>
      <c r="LDI8"/>
      <c r="LDJ8"/>
      <c r="LDK8"/>
      <c r="LDL8"/>
      <c r="LDM8"/>
      <c r="LDN8"/>
      <c r="LDO8"/>
      <c r="LDP8"/>
      <c r="LDQ8"/>
      <c r="LDR8"/>
      <c r="LDS8"/>
      <c r="LDT8"/>
      <c r="LDU8"/>
      <c r="LDV8"/>
      <c r="LDW8"/>
      <c r="LDX8"/>
      <c r="LDY8"/>
      <c r="LDZ8"/>
      <c r="LEA8"/>
      <c r="LEB8"/>
      <c r="LEC8"/>
      <c r="LED8"/>
      <c r="LEE8"/>
      <c r="LEF8"/>
      <c r="LEG8"/>
      <c r="LEH8"/>
      <c r="LEI8"/>
      <c r="LEJ8"/>
      <c r="LEK8"/>
      <c r="LEL8"/>
      <c r="LEM8"/>
      <c r="LEN8"/>
      <c r="LEO8"/>
      <c r="LEP8"/>
      <c r="LEQ8"/>
      <c r="LER8"/>
      <c r="LES8"/>
      <c r="LET8"/>
      <c r="LEU8"/>
      <c r="LEV8"/>
      <c r="LEW8"/>
      <c r="LEX8"/>
      <c r="LEY8"/>
      <c r="LEZ8"/>
      <c r="LFA8"/>
      <c r="LFB8"/>
      <c r="LFC8"/>
      <c r="LFD8"/>
      <c r="LFE8"/>
      <c r="LFF8"/>
      <c r="LFG8"/>
      <c r="LFH8"/>
      <c r="LFI8"/>
      <c r="LFJ8"/>
      <c r="LFK8"/>
      <c r="LFL8"/>
      <c r="LFM8"/>
      <c r="LFN8"/>
      <c r="LFO8"/>
      <c r="LFP8"/>
      <c r="LFQ8"/>
      <c r="LFR8"/>
      <c r="LFS8"/>
      <c r="LFT8"/>
      <c r="LFU8"/>
      <c r="LFV8"/>
      <c r="LFW8"/>
      <c r="LFX8"/>
      <c r="LFY8"/>
      <c r="LFZ8"/>
      <c r="LGA8"/>
      <c r="LGB8"/>
      <c r="LGC8"/>
      <c r="LGD8"/>
      <c r="LGE8"/>
      <c r="LGF8"/>
      <c r="LGG8"/>
      <c r="LGH8"/>
      <c r="LGI8"/>
      <c r="LGJ8"/>
      <c r="LGK8"/>
      <c r="LGL8"/>
      <c r="LGM8"/>
      <c r="LGN8"/>
      <c r="LGO8"/>
      <c r="LGP8"/>
      <c r="LGQ8"/>
      <c r="LGR8"/>
      <c r="LGS8"/>
      <c r="LGT8"/>
      <c r="LGU8"/>
      <c r="LGV8"/>
      <c r="LGW8"/>
      <c r="LGX8"/>
      <c r="LGY8"/>
      <c r="LGZ8"/>
      <c r="LHA8"/>
      <c r="LHB8"/>
      <c r="LHC8"/>
      <c r="LHD8"/>
      <c r="LHE8"/>
      <c r="LHF8"/>
      <c r="LHG8"/>
      <c r="LHH8"/>
      <c r="LHI8"/>
      <c r="LHJ8"/>
      <c r="LHK8"/>
      <c r="LHL8"/>
      <c r="LHM8"/>
      <c r="LHN8"/>
      <c r="LHO8"/>
      <c r="LHP8"/>
      <c r="LHQ8"/>
      <c r="LHR8"/>
      <c r="LHS8"/>
      <c r="LHT8"/>
      <c r="LHU8"/>
      <c r="LHV8"/>
      <c r="LHW8"/>
      <c r="LHX8"/>
      <c r="LHY8"/>
      <c r="LHZ8"/>
      <c r="LIA8"/>
      <c r="LIB8"/>
      <c r="LIC8"/>
      <c r="LID8"/>
      <c r="LIE8"/>
      <c r="LIF8"/>
      <c r="LIG8"/>
      <c r="LIH8"/>
      <c r="LII8"/>
      <c r="LIJ8"/>
      <c r="LIK8"/>
      <c r="LIL8"/>
      <c r="LIM8"/>
      <c r="LIN8"/>
      <c r="LIO8"/>
      <c r="LIP8"/>
      <c r="LIQ8"/>
      <c r="LIR8"/>
      <c r="LIS8"/>
      <c r="LIT8"/>
      <c r="LIU8"/>
      <c r="LIV8"/>
      <c r="LIW8"/>
      <c r="LIX8"/>
      <c r="LIY8"/>
      <c r="LIZ8"/>
      <c r="LJA8"/>
      <c r="LJB8"/>
      <c r="LJC8"/>
      <c r="LJD8"/>
      <c r="LJE8"/>
      <c r="LJF8"/>
      <c r="LJG8"/>
      <c r="LJH8"/>
      <c r="LJI8"/>
      <c r="LJJ8"/>
      <c r="LJK8"/>
      <c r="LJL8"/>
      <c r="LJM8"/>
      <c r="LJN8"/>
      <c r="LJO8"/>
      <c r="LJP8"/>
      <c r="LJQ8"/>
      <c r="LJR8"/>
      <c r="LJS8"/>
      <c r="LJT8"/>
      <c r="LJU8"/>
      <c r="LJV8"/>
      <c r="LJW8"/>
      <c r="LJX8"/>
      <c r="LJY8"/>
      <c r="LJZ8"/>
      <c r="LKA8"/>
      <c r="LKB8"/>
      <c r="LKC8"/>
      <c r="LKD8"/>
      <c r="LKE8"/>
      <c r="LKF8"/>
      <c r="LKG8"/>
      <c r="LKH8"/>
      <c r="LKI8"/>
      <c r="LKJ8"/>
      <c r="LKK8"/>
      <c r="LKL8"/>
      <c r="LKM8"/>
      <c r="LKN8"/>
      <c r="LKO8"/>
      <c r="LKP8"/>
      <c r="LKQ8"/>
      <c r="LKR8"/>
      <c r="LKS8"/>
      <c r="LKT8"/>
      <c r="LKU8"/>
      <c r="LKV8"/>
      <c r="LKW8"/>
      <c r="LKX8"/>
      <c r="LKY8"/>
      <c r="LKZ8"/>
      <c r="LLA8"/>
      <c r="LLB8"/>
      <c r="LLC8"/>
      <c r="LLD8"/>
      <c r="LLE8"/>
      <c r="LLF8"/>
      <c r="LLG8"/>
      <c r="LLH8"/>
      <c r="LLI8"/>
      <c r="LLJ8"/>
      <c r="LLK8"/>
      <c r="LLL8"/>
      <c r="LLM8"/>
      <c r="LLN8"/>
      <c r="LLO8"/>
      <c r="LLP8"/>
      <c r="LLQ8"/>
      <c r="LLR8"/>
      <c r="LLS8"/>
      <c r="LLT8"/>
      <c r="LLU8"/>
      <c r="LLV8"/>
      <c r="LLW8"/>
      <c r="LLX8"/>
      <c r="LLY8"/>
      <c r="LLZ8"/>
      <c r="LMA8"/>
      <c r="LMB8"/>
      <c r="LMC8"/>
      <c r="LMD8"/>
      <c r="LME8"/>
      <c r="LMF8"/>
      <c r="LMG8"/>
      <c r="LMH8"/>
      <c r="LMI8"/>
      <c r="LMJ8"/>
      <c r="LMK8"/>
      <c r="LML8"/>
      <c r="LMM8"/>
      <c r="LMN8"/>
      <c r="LMO8"/>
      <c r="LMP8"/>
      <c r="LMQ8"/>
      <c r="LMR8"/>
      <c r="LMS8"/>
      <c r="LMT8"/>
      <c r="LMU8"/>
      <c r="LMV8"/>
      <c r="LMW8"/>
      <c r="LMX8"/>
      <c r="LMY8"/>
      <c r="LMZ8"/>
      <c r="LNA8"/>
      <c r="LNB8"/>
      <c r="LNC8"/>
      <c r="LND8"/>
      <c r="LNE8"/>
      <c r="LNF8"/>
      <c r="LNG8"/>
      <c r="LNH8"/>
      <c r="LNI8"/>
      <c r="LNJ8"/>
      <c r="LNK8"/>
      <c r="LNL8"/>
      <c r="LNM8"/>
      <c r="LNN8"/>
      <c r="LNO8"/>
      <c r="LNP8"/>
      <c r="LNQ8"/>
      <c r="LNR8"/>
      <c r="LNS8"/>
      <c r="LNT8"/>
      <c r="LNU8"/>
      <c r="LNV8"/>
      <c r="LNW8"/>
      <c r="LNX8"/>
      <c r="LNY8"/>
      <c r="LNZ8"/>
      <c r="LOA8"/>
      <c r="LOB8"/>
      <c r="LOC8"/>
      <c r="LOD8"/>
      <c r="LOE8"/>
      <c r="LOF8"/>
      <c r="LOG8"/>
      <c r="LOH8"/>
      <c r="LOI8"/>
      <c r="LOJ8"/>
      <c r="LOK8"/>
      <c r="LOL8"/>
      <c r="LOM8"/>
      <c r="LON8"/>
      <c r="LOO8"/>
      <c r="LOP8"/>
      <c r="LOQ8"/>
      <c r="LOR8"/>
      <c r="LOS8"/>
      <c r="LOT8"/>
      <c r="LOU8"/>
      <c r="LOV8"/>
      <c r="LOW8"/>
      <c r="LOX8"/>
      <c r="LOY8"/>
      <c r="LOZ8"/>
      <c r="LPA8"/>
      <c r="LPB8"/>
      <c r="LPC8"/>
      <c r="LPD8"/>
      <c r="LPE8"/>
      <c r="LPF8"/>
      <c r="LPG8"/>
      <c r="LPH8"/>
      <c r="LPI8"/>
      <c r="LPJ8"/>
      <c r="LPK8"/>
      <c r="LPL8"/>
      <c r="LPM8"/>
      <c r="LPN8"/>
      <c r="LPO8"/>
      <c r="LPP8"/>
      <c r="LPQ8"/>
      <c r="LPR8"/>
      <c r="LPS8"/>
      <c r="LPT8"/>
      <c r="LPU8"/>
      <c r="LPV8"/>
      <c r="LPW8"/>
      <c r="LPX8"/>
      <c r="LPY8"/>
      <c r="LPZ8"/>
      <c r="LQA8"/>
      <c r="LQB8"/>
      <c r="LQC8"/>
      <c r="LQD8"/>
      <c r="LQE8"/>
      <c r="LQF8"/>
      <c r="LQG8"/>
      <c r="LQH8"/>
      <c r="LQI8"/>
      <c r="LQJ8"/>
      <c r="LQK8"/>
      <c r="LQL8"/>
      <c r="LQM8"/>
      <c r="LQN8"/>
      <c r="LQO8"/>
      <c r="LQP8"/>
      <c r="LQQ8"/>
      <c r="LQR8"/>
      <c r="LQS8"/>
      <c r="LQT8"/>
      <c r="LQU8"/>
      <c r="LQV8"/>
      <c r="LQW8"/>
      <c r="LQX8"/>
      <c r="LQY8"/>
      <c r="LQZ8"/>
      <c r="LRA8"/>
      <c r="LRB8"/>
      <c r="LRC8"/>
      <c r="LRD8"/>
      <c r="LRE8"/>
      <c r="LRF8"/>
      <c r="LRG8"/>
      <c r="LRH8"/>
      <c r="LRI8"/>
      <c r="LRJ8"/>
      <c r="LRK8"/>
      <c r="LRL8"/>
      <c r="LRM8"/>
      <c r="LRN8"/>
      <c r="LRO8"/>
      <c r="LRP8"/>
      <c r="LRQ8"/>
      <c r="LRR8"/>
      <c r="LRS8"/>
      <c r="LRT8"/>
      <c r="LRU8"/>
      <c r="LRV8"/>
      <c r="LRW8"/>
      <c r="LRX8"/>
      <c r="LRY8"/>
      <c r="LRZ8"/>
      <c r="LSA8"/>
      <c r="LSB8"/>
      <c r="LSC8"/>
      <c r="LSD8"/>
      <c r="LSE8"/>
      <c r="LSF8"/>
      <c r="LSG8"/>
      <c r="LSH8"/>
      <c r="LSI8"/>
      <c r="LSJ8"/>
      <c r="LSK8"/>
      <c r="LSL8"/>
      <c r="LSM8"/>
      <c r="LSN8"/>
      <c r="LSO8"/>
      <c r="LSP8"/>
      <c r="LSQ8"/>
      <c r="LSR8"/>
      <c r="LSS8"/>
      <c r="LST8"/>
      <c r="LSU8"/>
      <c r="LSV8"/>
      <c r="LSW8"/>
      <c r="LSX8"/>
      <c r="LSY8"/>
      <c r="LSZ8"/>
      <c r="LTA8"/>
      <c r="LTB8"/>
      <c r="LTC8"/>
      <c r="LTD8"/>
      <c r="LTE8"/>
      <c r="LTF8"/>
      <c r="LTG8"/>
      <c r="LTH8"/>
      <c r="LTI8"/>
      <c r="LTJ8"/>
      <c r="LTK8"/>
      <c r="LTL8"/>
      <c r="LTM8"/>
      <c r="LTN8"/>
      <c r="LTO8"/>
      <c r="LTP8"/>
      <c r="LTQ8"/>
      <c r="LTR8"/>
      <c r="LTS8"/>
      <c r="LTT8"/>
      <c r="LTU8"/>
      <c r="LTV8"/>
      <c r="LTW8"/>
      <c r="LTX8"/>
      <c r="LTY8"/>
      <c r="LTZ8"/>
      <c r="LUA8"/>
      <c r="LUB8"/>
      <c r="LUC8"/>
      <c r="LUD8"/>
      <c r="LUE8"/>
      <c r="LUF8"/>
      <c r="LUG8"/>
      <c r="LUH8"/>
      <c r="LUI8"/>
      <c r="LUJ8"/>
      <c r="LUK8"/>
      <c r="LUL8"/>
      <c r="LUM8"/>
      <c r="LUN8"/>
      <c r="LUO8"/>
      <c r="LUP8"/>
      <c r="LUQ8"/>
      <c r="LUR8"/>
      <c r="LUS8"/>
      <c r="LUT8"/>
      <c r="LUU8"/>
      <c r="LUV8"/>
      <c r="LUW8"/>
      <c r="LUX8"/>
      <c r="LUY8"/>
      <c r="LUZ8"/>
      <c r="LVA8"/>
      <c r="LVB8"/>
      <c r="LVC8"/>
      <c r="LVD8"/>
      <c r="LVE8"/>
      <c r="LVF8"/>
      <c r="LVG8"/>
      <c r="LVH8"/>
      <c r="LVI8"/>
      <c r="LVJ8"/>
      <c r="LVK8"/>
      <c r="LVL8"/>
      <c r="LVM8"/>
      <c r="LVN8"/>
      <c r="LVO8"/>
      <c r="LVP8"/>
      <c r="LVQ8"/>
      <c r="LVR8"/>
      <c r="LVS8"/>
      <c r="LVT8"/>
      <c r="LVU8"/>
      <c r="LVV8"/>
      <c r="LVW8"/>
      <c r="LVX8"/>
      <c r="LVY8"/>
      <c r="LVZ8"/>
      <c r="LWA8"/>
      <c r="LWB8"/>
      <c r="LWC8"/>
      <c r="LWD8"/>
      <c r="LWE8"/>
      <c r="LWF8"/>
      <c r="LWG8"/>
      <c r="LWH8"/>
      <c r="LWI8"/>
      <c r="LWJ8"/>
      <c r="LWK8"/>
      <c r="LWL8"/>
      <c r="LWM8"/>
      <c r="LWN8"/>
      <c r="LWO8"/>
      <c r="LWP8"/>
      <c r="LWQ8"/>
      <c r="LWR8"/>
      <c r="LWS8"/>
      <c r="LWT8"/>
      <c r="LWU8"/>
      <c r="LWV8"/>
      <c r="LWW8"/>
      <c r="LWX8"/>
      <c r="LWY8"/>
      <c r="LWZ8"/>
      <c r="LXA8"/>
      <c r="LXB8"/>
      <c r="LXC8"/>
      <c r="LXD8"/>
      <c r="LXE8"/>
      <c r="LXF8"/>
      <c r="LXG8"/>
      <c r="LXH8"/>
      <c r="LXI8"/>
      <c r="LXJ8"/>
      <c r="LXK8"/>
      <c r="LXL8"/>
      <c r="LXM8"/>
      <c r="LXN8"/>
      <c r="LXO8"/>
      <c r="LXP8"/>
      <c r="LXQ8"/>
      <c r="LXR8"/>
      <c r="LXS8"/>
      <c r="LXT8"/>
      <c r="LXU8"/>
      <c r="LXV8"/>
      <c r="LXW8"/>
      <c r="LXX8"/>
      <c r="LXY8"/>
      <c r="LXZ8"/>
      <c r="LYA8"/>
      <c r="LYB8"/>
      <c r="LYC8"/>
      <c r="LYD8"/>
      <c r="LYE8"/>
      <c r="LYF8"/>
      <c r="LYG8"/>
      <c r="LYH8"/>
      <c r="LYI8"/>
      <c r="LYJ8"/>
      <c r="LYK8"/>
      <c r="LYL8"/>
      <c r="LYM8"/>
      <c r="LYN8"/>
      <c r="LYO8"/>
      <c r="LYP8"/>
      <c r="LYQ8"/>
      <c r="LYR8"/>
      <c r="LYS8"/>
      <c r="LYT8"/>
      <c r="LYU8"/>
      <c r="LYV8"/>
      <c r="LYW8"/>
      <c r="LYX8"/>
      <c r="LYY8"/>
      <c r="LYZ8"/>
      <c r="LZA8"/>
      <c r="LZB8"/>
      <c r="LZC8"/>
      <c r="LZD8"/>
      <c r="LZE8"/>
      <c r="LZF8"/>
      <c r="LZG8"/>
      <c r="LZH8"/>
      <c r="LZI8"/>
      <c r="LZJ8"/>
      <c r="LZK8"/>
      <c r="LZL8"/>
      <c r="LZM8"/>
      <c r="LZN8"/>
      <c r="LZO8"/>
      <c r="LZP8"/>
      <c r="LZQ8"/>
      <c r="LZR8"/>
      <c r="LZS8"/>
      <c r="LZT8"/>
      <c r="LZU8"/>
      <c r="LZV8"/>
      <c r="LZW8"/>
      <c r="LZX8"/>
      <c r="LZY8"/>
      <c r="LZZ8"/>
      <c r="MAA8"/>
      <c r="MAB8"/>
      <c r="MAC8"/>
      <c r="MAD8"/>
      <c r="MAE8"/>
      <c r="MAF8"/>
      <c r="MAG8"/>
      <c r="MAH8"/>
      <c r="MAI8"/>
      <c r="MAJ8"/>
      <c r="MAK8"/>
      <c r="MAL8"/>
      <c r="MAM8"/>
      <c r="MAN8"/>
      <c r="MAO8"/>
      <c r="MAP8"/>
      <c r="MAQ8"/>
      <c r="MAR8"/>
      <c r="MAS8"/>
      <c r="MAT8"/>
      <c r="MAU8"/>
      <c r="MAV8"/>
      <c r="MAW8"/>
      <c r="MAX8"/>
      <c r="MAY8"/>
      <c r="MAZ8"/>
      <c r="MBA8"/>
      <c r="MBB8"/>
      <c r="MBC8"/>
      <c r="MBD8"/>
      <c r="MBE8"/>
      <c r="MBF8"/>
      <c r="MBG8"/>
      <c r="MBH8"/>
      <c r="MBI8"/>
      <c r="MBJ8"/>
      <c r="MBK8"/>
      <c r="MBL8"/>
      <c r="MBM8"/>
      <c r="MBN8"/>
      <c r="MBO8"/>
      <c r="MBP8"/>
      <c r="MBQ8"/>
      <c r="MBR8"/>
      <c r="MBS8"/>
      <c r="MBT8"/>
      <c r="MBU8"/>
      <c r="MBV8"/>
      <c r="MBW8"/>
      <c r="MBX8"/>
      <c r="MBY8"/>
      <c r="MBZ8"/>
      <c r="MCA8"/>
      <c r="MCB8"/>
      <c r="MCC8"/>
      <c r="MCD8"/>
      <c r="MCE8"/>
      <c r="MCF8"/>
      <c r="MCG8"/>
      <c r="MCH8"/>
      <c r="MCI8"/>
      <c r="MCJ8"/>
      <c r="MCK8"/>
      <c r="MCL8"/>
      <c r="MCM8"/>
      <c r="MCN8"/>
      <c r="MCO8"/>
      <c r="MCP8"/>
      <c r="MCQ8"/>
      <c r="MCR8"/>
      <c r="MCS8"/>
      <c r="MCT8"/>
      <c r="MCU8"/>
      <c r="MCV8"/>
      <c r="MCW8"/>
      <c r="MCX8"/>
      <c r="MCY8"/>
      <c r="MCZ8"/>
      <c r="MDA8"/>
      <c r="MDB8"/>
      <c r="MDC8"/>
      <c r="MDD8"/>
      <c r="MDE8"/>
      <c r="MDF8"/>
      <c r="MDG8"/>
      <c r="MDH8"/>
      <c r="MDI8"/>
      <c r="MDJ8"/>
      <c r="MDK8"/>
      <c r="MDL8"/>
      <c r="MDM8"/>
      <c r="MDN8"/>
      <c r="MDO8"/>
      <c r="MDP8"/>
      <c r="MDQ8"/>
      <c r="MDR8"/>
      <c r="MDS8"/>
      <c r="MDT8"/>
      <c r="MDU8"/>
      <c r="MDV8"/>
      <c r="MDW8"/>
      <c r="MDX8"/>
      <c r="MDY8"/>
      <c r="MDZ8"/>
      <c r="MEA8"/>
      <c r="MEB8"/>
      <c r="MEC8"/>
      <c r="MED8"/>
      <c r="MEE8"/>
      <c r="MEF8"/>
      <c r="MEG8"/>
      <c r="MEH8"/>
      <c r="MEI8"/>
      <c r="MEJ8"/>
      <c r="MEK8"/>
      <c r="MEL8"/>
      <c r="MEM8"/>
      <c r="MEN8"/>
      <c r="MEO8"/>
      <c r="MEP8"/>
      <c r="MEQ8"/>
      <c r="MER8"/>
      <c r="MES8"/>
      <c r="MET8"/>
      <c r="MEU8"/>
      <c r="MEV8"/>
      <c r="MEW8"/>
      <c r="MEX8"/>
      <c r="MEY8"/>
      <c r="MEZ8"/>
      <c r="MFA8"/>
      <c r="MFB8"/>
      <c r="MFC8"/>
      <c r="MFD8"/>
      <c r="MFE8"/>
      <c r="MFF8"/>
      <c r="MFG8"/>
      <c r="MFH8"/>
      <c r="MFI8"/>
      <c r="MFJ8"/>
      <c r="MFK8"/>
      <c r="MFL8"/>
      <c r="MFM8"/>
      <c r="MFN8"/>
      <c r="MFO8"/>
      <c r="MFP8"/>
      <c r="MFQ8"/>
      <c r="MFR8"/>
      <c r="MFS8"/>
      <c r="MFT8"/>
      <c r="MFU8"/>
      <c r="MFV8"/>
      <c r="MFW8"/>
      <c r="MFX8"/>
      <c r="MFY8"/>
      <c r="MFZ8"/>
      <c r="MGA8"/>
      <c r="MGB8"/>
      <c r="MGC8"/>
      <c r="MGD8"/>
      <c r="MGE8"/>
      <c r="MGF8"/>
      <c r="MGG8"/>
      <c r="MGH8"/>
      <c r="MGI8"/>
      <c r="MGJ8"/>
      <c r="MGK8"/>
      <c r="MGL8"/>
      <c r="MGM8"/>
      <c r="MGN8"/>
      <c r="MGO8"/>
      <c r="MGP8"/>
      <c r="MGQ8"/>
      <c r="MGR8"/>
      <c r="MGS8"/>
      <c r="MGT8"/>
      <c r="MGU8"/>
      <c r="MGV8"/>
      <c r="MGW8"/>
      <c r="MGX8"/>
      <c r="MGY8"/>
      <c r="MGZ8"/>
      <c r="MHA8"/>
      <c r="MHB8"/>
      <c r="MHC8"/>
      <c r="MHD8"/>
      <c r="MHE8"/>
      <c r="MHF8"/>
      <c r="MHG8"/>
      <c r="MHH8"/>
      <c r="MHI8"/>
      <c r="MHJ8"/>
      <c r="MHK8"/>
      <c r="MHL8"/>
      <c r="MHM8"/>
      <c r="MHN8"/>
      <c r="MHO8"/>
      <c r="MHP8"/>
      <c r="MHQ8"/>
      <c r="MHR8"/>
      <c r="MHS8"/>
      <c r="MHT8"/>
      <c r="MHU8"/>
      <c r="MHV8"/>
      <c r="MHW8"/>
      <c r="MHX8"/>
      <c r="MHY8"/>
      <c r="MHZ8"/>
      <c r="MIA8"/>
      <c r="MIB8"/>
      <c r="MIC8"/>
      <c r="MID8"/>
      <c r="MIE8"/>
      <c r="MIF8"/>
      <c r="MIG8"/>
      <c r="MIH8"/>
      <c r="MII8"/>
      <c r="MIJ8"/>
      <c r="MIK8"/>
      <c r="MIL8"/>
      <c r="MIM8"/>
      <c r="MIN8"/>
      <c r="MIO8"/>
      <c r="MIP8"/>
      <c r="MIQ8"/>
      <c r="MIR8"/>
      <c r="MIS8"/>
      <c r="MIT8"/>
      <c r="MIU8"/>
      <c r="MIV8"/>
      <c r="MIW8"/>
      <c r="MIX8"/>
      <c r="MIY8"/>
      <c r="MIZ8"/>
      <c r="MJA8"/>
      <c r="MJB8"/>
      <c r="MJC8"/>
      <c r="MJD8"/>
      <c r="MJE8"/>
      <c r="MJF8"/>
      <c r="MJG8"/>
      <c r="MJH8"/>
      <c r="MJI8"/>
      <c r="MJJ8"/>
      <c r="MJK8"/>
      <c r="MJL8"/>
      <c r="MJM8"/>
      <c r="MJN8"/>
      <c r="MJO8"/>
      <c r="MJP8"/>
      <c r="MJQ8"/>
      <c r="MJR8"/>
      <c r="MJS8"/>
      <c r="MJT8"/>
      <c r="MJU8"/>
      <c r="MJV8"/>
      <c r="MJW8"/>
      <c r="MJX8"/>
      <c r="MJY8"/>
      <c r="MJZ8"/>
      <c r="MKA8"/>
      <c r="MKB8"/>
      <c r="MKC8"/>
      <c r="MKD8"/>
      <c r="MKE8"/>
      <c r="MKF8"/>
      <c r="MKG8"/>
      <c r="MKH8"/>
      <c r="MKI8"/>
      <c r="MKJ8"/>
      <c r="MKK8"/>
      <c r="MKL8"/>
      <c r="MKM8"/>
      <c r="MKN8"/>
      <c r="MKO8"/>
      <c r="MKP8"/>
      <c r="MKQ8"/>
      <c r="MKR8"/>
      <c r="MKS8"/>
      <c r="MKT8"/>
      <c r="MKU8"/>
      <c r="MKV8"/>
      <c r="MKW8"/>
      <c r="MKX8"/>
      <c r="MKY8"/>
      <c r="MKZ8"/>
      <c r="MLA8"/>
      <c r="MLB8"/>
      <c r="MLC8"/>
      <c r="MLD8"/>
      <c r="MLE8"/>
      <c r="MLF8"/>
      <c r="MLG8"/>
      <c r="MLH8"/>
      <c r="MLI8"/>
      <c r="MLJ8"/>
      <c r="MLK8"/>
      <c r="MLL8"/>
      <c r="MLM8"/>
      <c r="MLN8"/>
      <c r="MLO8"/>
      <c r="MLP8"/>
      <c r="MLQ8"/>
      <c r="MLR8"/>
      <c r="MLS8"/>
      <c r="MLT8"/>
      <c r="MLU8"/>
      <c r="MLV8"/>
      <c r="MLW8"/>
      <c r="MLX8"/>
      <c r="MLY8"/>
      <c r="MLZ8"/>
      <c r="MMA8"/>
      <c r="MMB8"/>
      <c r="MMC8"/>
      <c r="MMD8"/>
      <c r="MME8"/>
      <c r="MMF8"/>
      <c r="MMG8"/>
      <c r="MMH8"/>
      <c r="MMI8"/>
      <c r="MMJ8"/>
      <c r="MMK8"/>
      <c r="MML8"/>
      <c r="MMM8"/>
      <c r="MMN8"/>
      <c r="MMO8"/>
      <c r="MMP8"/>
      <c r="MMQ8"/>
      <c r="MMR8"/>
      <c r="MMS8"/>
      <c r="MMT8"/>
      <c r="MMU8"/>
      <c r="MMV8"/>
      <c r="MMW8"/>
      <c r="MMX8"/>
      <c r="MMY8"/>
      <c r="MMZ8"/>
      <c r="MNA8"/>
      <c r="MNB8"/>
      <c r="MNC8"/>
      <c r="MND8"/>
      <c r="MNE8"/>
      <c r="MNF8"/>
      <c r="MNG8"/>
      <c r="MNH8"/>
      <c r="MNI8"/>
      <c r="MNJ8"/>
      <c r="MNK8"/>
      <c r="MNL8"/>
      <c r="MNM8"/>
      <c r="MNN8"/>
      <c r="MNO8"/>
      <c r="MNP8"/>
      <c r="MNQ8"/>
      <c r="MNR8"/>
      <c r="MNS8"/>
      <c r="MNT8"/>
      <c r="MNU8"/>
      <c r="MNV8"/>
      <c r="MNW8"/>
      <c r="MNX8"/>
      <c r="MNY8"/>
      <c r="MNZ8"/>
      <c r="MOA8"/>
      <c r="MOB8"/>
      <c r="MOC8"/>
      <c r="MOD8"/>
      <c r="MOE8"/>
      <c r="MOF8"/>
      <c r="MOG8"/>
      <c r="MOH8"/>
      <c r="MOI8"/>
      <c r="MOJ8"/>
      <c r="MOK8"/>
      <c r="MOL8"/>
      <c r="MOM8"/>
      <c r="MON8"/>
      <c r="MOO8"/>
      <c r="MOP8"/>
      <c r="MOQ8"/>
      <c r="MOR8"/>
      <c r="MOS8"/>
      <c r="MOT8"/>
      <c r="MOU8"/>
      <c r="MOV8"/>
      <c r="MOW8"/>
      <c r="MOX8"/>
      <c r="MOY8"/>
      <c r="MOZ8"/>
      <c r="MPA8"/>
      <c r="MPB8"/>
      <c r="MPC8"/>
      <c r="MPD8"/>
      <c r="MPE8"/>
      <c r="MPF8"/>
      <c r="MPG8"/>
      <c r="MPH8"/>
      <c r="MPI8"/>
      <c r="MPJ8"/>
      <c r="MPK8"/>
      <c r="MPL8"/>
      <c r="MPM8"/>
      <c r="MPN8"/>
      <c r="MPO8"/>
      <c r="MPP8"/>
      <c r="MPQ8"/>
      <c r="MPR8"/>
      <c r="MPS8"/>
      <c r="MPT8"/>
      <c r="MPU8"/>
      <c r="MPV8"/>
      <c r="MPW8"/>
      <c r="MPX8"/>
      <c r="MPY8"/>
      <c r="MPZ8"/>
      <c r="MQA8"/>
      <c r="MQB8"/>
      <c r="MQC8"/>
      <c r="MQD8"/>
      <c r="MQE8"/>
      <c r="MQF8"/>
      <c r="MQG8"/>
      <c r="MQH8"/>
      <c r="MQI8"/>
      <c r="MQJ8"/>
      <c r="MQK8"/>
      <c r="MQL8"/>
      <c r="MQM8"/>
      <c r="MQN8"/>
      <c r="MQO8"/>
      <c r="MQP8"/>
      <c r="MQQ8"/>
      <c r="MQR8"/>
      <c r="MQS8"/>
      <c r="MQT8"/>
      <c r="MQU8"/>
      <c r="MQV8"/>
      <c r="MQW8"/>
      <c r="MQX8"/>
      <c r="MQY8"/>
      <c r="MQZ8"/>
      <c r="MRA8"/>
      <c r="MRB8"/>
      <c r="MRC8"/>
      <c r="MRD8"/>
      <c r="MRE8"/>
      <c r="MRF8"/>
      <c r="MRG8"/>
      <c r="MRH8"/>
      <c r="MRI8"/>
      <c r="MRJ8"/>
      <c r="MRK8"/>
      <c r="MRL8"/>
      <c r="MRM8"/>
      <c r="MRN8"/>
      <c r="MRO8"/>
      <c r="MRP8"/>
      <c r="MRQ8"/>
      <c r="MRR8"/>
      <c r="MRS8"/>
      <c r="MRT8"/>
      <c r="MRU8"/>
      <c r="MRV8"/>
      <c r="MRW8"/>
      <c r="MRX8"/>
      <c r="MRY8"/>
      <c r="MRZ8"/>
      <c r="MSA8"/>
      <c r="MSB8"/>
      <c r="MSC8"/>
      <c r="MSD8"/>
      <c r="MSE8"/>
      <c r="MSF8"/>
      <c r="MSG8"/>
      <c r="MSH8"/>
      <c r="MSI8"/>
      <c r="MSJ8"/>
      <c r="MSK8"/>
      <c r="MSL8"/>
      <c r="MSM8"/>
      <c r="MSN8"/>
      <c r="MSO8"/>
      <c r="MSP8"/>
      <c r="MSQ8"/>
      <c r="MSR8"/>
      <c r="MSS8"/>
      <c r="MST8"/>
      <c r="MSU8"/>
      <c r="MSV8"/>
      <c r="MSW8"/>
      <c r="MSX8"/>
      <c r="MSY8"/>
      <c r="MSZ8"/>
      <c r="MTA8"/>
      <c r="MTB8"/>
      <c r="MTC8"/>
      <c r="MTD8"/>
      <c r="MTE8"/>
      <c r="MTF8"/>
      <c r="MTG8"/>
      <c r="MTH8"/>
      <c r="MTI8"/>
      <c r="MTJ8"/>
      <c r="MTK8"/>
      <c r="MTL8"/>
      <c r="MTM8"/>
      <c r="MTN8"/>
      <c r="MTO8"/>
      <c r="MTP8"/>
      <c r="MTQ8"/>
      <c r="MTR8"/>
      <c r="MTS8"/>
      <c r="MTT8"/>
      <c r="MTU8"/>
      <c r="MTV8"/>
      <c r="MTW8"/>
      <c r="MTX8"/>
      <c r="MTY8"/>
      <c r="MTZ8"/>
      <c r="MUA8"/>
      <c r="MUB8"/>
      <c r="MUC8"/>
      <c r="MUD8"/>
      <c r="MUE8"/>
      <c r="MUF8"/>
      <c r="MUG8"/>
      <c r="MUH8"/>
      <c r="MUI8"/>
      <c r="MUJ8"/>
      <c r="MUK8"/>
      <c r="MUL8"/>
      <c r="MUM8"/>
      <c r="MUN8"/>
      <c r="MUO8"/>
      <c r="MUP8"/>
      <c r="MUQ8"/>
      <c r="MUR8"/>
      <c r="MUS8"/>
      <c r="MUT8"/>
      <c r="MUU8"/>
      <c r="MUV8"/>
      <c r="MUW8"/>
      <c r="MUX8"/>
      <c r="MUY8"/>
      <c r="MUZ8"/>
      <c r="MVA8"/>
      <c r="MVB8"/>
      <c r="MVC8"/>
      <c r="MVD8"/>
      <c r="MVE8"/>
      <c r="MVF8"/>
      <c r="MVG8"/>
      <c r="MVH8"/>
      <c r="MVI8"/>
      <c r="MVJ8"/>
      <c r="MVK8"/>
      <c r="MVL8"/>
      <c r="MVM8"/>
      <c r="MVN8"/>
      <c r="MVO8"/>
      <c r="MVP8"/>
      <c r="MVQ8"/>
      <c r="MVR8"/>
      <c r="MVS8"/>
      <c r="MVT8"/>
      <c r="MVU8"/>
      <c r="MVV8"/>
      <c r="MVW8"/>
      <c r="MVX8"/>
      <c r="MVY8"/>
      <c r="MVZ8"/>
      <c r="MWA8"/>
      <c r="MWB8"/>
      <c r="MWC8"/>
      <c r="MWD8"/>
      <c r="MWE8"/>
      <c r="MWF8"/>
      <c r="MWG8"/>
      <c r="MWH8"/>
      <c r="MWI8"/>
      <c r="MWJ8"/>
      <c r="MWK8"/>
      <c r="MWL8"/>
      <c r="MWM8"/>
      <c r="MWN8"/>
      <c r="MWO8"/>
      <c r="MWP8"/>
      <c r="MWQ8"/>
      <c r="MWR8"/>
      <c r="MWS8"/>
      <c r="MWT8"/>
      <c r="MWU8"/>
      <c r="MWV8"/>
      <c r="MWW8"/>
      <c r="MWX8"/>
      <c r="MWY8"/>
      <c r="MWZ8"/>
      <c r="MXA8"/>
      <c r="MXB8"/>
      <c r="MXC8"/>
      <c r="MXD8"/>
      <c r="MXE8"/>
      <c r="MXF8"/>
      <c r="MXG8"/>
      <c r="MXH8"/>
      <c r="MXI8"/>
      <c r="MXJ8"/>
      <c r="MXK8"/>
      <c r="MXL8"/>
      <c r="MXM8"/>
      <c r="MXN8"/>
      <c r="MXO8"/>
      <c r="MXP8"/>
      <c r="MXQ8"/>
      <c r="MXR8"/>
      <c r="MXS8"/>
      <c r="MXT8"/>
      <c r="MXU8"/>
      <c r="MXV8"/>
      <c r="MXW8"/>
      <c r="MXX8"/>
      <c r="MXY8"/>
      <c r="MXZ8"/>
      <c r="MYA8"/>
      <c r="MYB8"/>
      <c r="MYC8"/>
      <c r="MYD8"/>
      <c r="MYE8"/>
      <c r="MYF8"/>
      <c r="MYG8"/>
      <c r="MYH8"/>
      <c r="MYI8"/>
      <c r="MYJ8"/>
      <c r="MYK8"/>
      <c r="MYL8"/>
      <c r="MYM8"/>
      <c r="MYN8"/>
      <c r="MYO8"/>
      <c r="MYP8"/>
      <c r="MYQ8"/>
      <c r="MYR8"/>
      <c r="MYS8"/>
      <c r="MYT8"/>
      <c r="MYU8"/>
      <c r="MYV8"/>
      <c r="MYW8"/>
      <c r="MYX8"/>
      <c r="MYY8"/>
      <c r="MYZ8"/>
      <c r="MZA8"/>
      <c r="MZB8"/>
      <c r="MZC8"/>
      <c r="MZD8"/>
      <c r="MZE8"/>
      <c r="MZF8"/>
      <c r="MZG8"/>
      <c r="MZH8"/>
      <c r="MZI8"/>
      <c r="MZJ8"/>
      <c r="MZK8"/>
      <c r="MZL8"/>
      <c r="MZM8"/>
      <c r="MZN8"/>
      <c r="MZO8"/>
      <c r="MZP8"/>
      <c r="MZQ8"/>
      <c r="MZR8"/>
      <c r="MZS8"/>
      <c r="MZT8"/>
      <c r="MZU8"/>
      <c r="MZV8"/>
      <c r="MZW8"/>
      <c r="MZX8"/>
      <c r="MZY8"/>
      <c r="MZZ8"/>
      <c r="NAA8"/>
      <c r="NAB8"/>
      <c r="NAC8"/>
      <c r="NAD8"/>
      <c r="NAE8"/>
      <c r="NAF8"/>
      <c r="NAG8"/>
      <c r="NAH8"/>
      <c r="NAI8"/>
      <c r="NAJ8"/>
      <c r="NAK8"/>
      <c r="NAL8"/>
      <c r="NAM8"/>
      <c r="NAN8"/>
      <c r="NAO8"/>
      <c r="NAP8"/>
      <c r="NAQ8"/>
      <c r="NAR8"/>
      <c r="NAS8"/>
      <c r="NAT8"/>
      <c r="NAU8"/>
      <c r="NAV8"/>
      <c r="NAW8"/>
      <c r="NAX8"/>
      <c r="NAY8"/>
      <c r="NAZ8"/>
      <c r="NBA8"/>
      <c r="NBB8"/>
      <c r="NBC8"/>
      <c r="NBD8"/>
      <c r="NBE8"/>
      <c r="NBF8"/>
      <c r="NBG8"/>
      <c r="NBH8"/>
      <c r="NBI8"/>
      <c r="NBJ8"/>
      <c r="NBK8"/>
      <c r="NBL8"/>
      <c r="NBM8"/>
      <c r="NBN8"/>
      <c r="NBO8"/>
      <c r="NBP8"/>
      <c r="NBQ8"/>
      <c r="NBR8"/>
      <c r="NBS8"/>
      <c r="NBT8"/>
      <c r="NBU8"/>
      <c r="NBV8"/>
      <c r="NBW8"/>
      <c r="NBX8"/>
      <c r="NBY8"/>
      <c r="NBZ8"/>
      <c r="NCA8"/>
      <c r="NCB8"/>
      <c r="NCC8"/>
      <c r="NCD8"/>
      <c r="NCE8"/>
      <c r="NCF8"/>
      <c r="NCG8"/>
      <c r="NCH8"/>
      <c r="NCI8"/>
      <c r="NCJ8"/>
      <c r="NCK8"/>
      <c r="NCL8"/>
      <c r="NCM8"/>
      <c r="NCN8"/>
      <c r="NCO8"/>
      <c r="NCP8"/>
      <c r="NCQ8"/>
      <c r="NCR8"/>
      <c r="NCS8"/>
      <c r="NCT8"/>
      <c r="NCU8"/>
      <c r="NCV8"/>
      <c r="NCW8"/>
      <c r="NCX8"/>
      <c r="NCY8"/>
      <c r="NCZ8"/>
      <c r="NDA8"/>
      <c r="NDB8"/>
      <c r="NDC8"/>
      <c r="NDD8"/>
      <c r="NDE8"/>
      <c r="NDF8"/>
      <c r="NDG8"/>
      <c r="NDH8"/>
      <c r="NDI8"/>
      <c r="NDJ8"/>
      <c r="NDK8"/>
      <c r="NDL8"/>
      <c r="NDM8"/>
      <c r="NDN8"/>
      <c r="NDO8"/>
      <c r="NDP8"/>
      <c r="NDQ8"/>
      <c r="NDR8"/>
      <c r="NDS8"/>
      <c r="NDT8"/>
      <c r="NDU8"/>
      <c r="NDV8"/>
      <c r="NDW8"/>
      <c r="NDX8"/>
      <c r="NDY8"/>
      <c r="NDZ8"/>
      <c r="NEA8"/>
      <c r="NEB8"/>
      <c r="NEC8"/>
      <c r="NED8"/>
      <c r="NEE8"/>
      <c r="NEF8"/>
      <c r="NEG8"/>
      <c r="NEH8"/>
      <c r="NEI8"/>
      <c r="NEJ8"/>
      <c r="NEK8"/>
      <c r="NEL8"/>
      <c r="NEM8"/>
      <c r="NEN8"/>
      <c r="NEO8"/>
      <c r="NEP8"/>
      <c r="NEQ8"/>
      <c r="NER8"/>
      <c r="NES8"/>
      <c r="NET8"/>
      <c r="NEU8"/>
      <c r="NEV8"/>
      <c r="NEW8"/>
      <c r="NEX8"/>
      <c r="NEY8"/>
      <c r="NEZ8"/>
      <c r="NFA8"/>
      <c r="NFB8"/>
      <c r="NFC8"/>
      <c r="NFD8"/>
      <c r="NFE8"/>
      <c r="NFF8"/>
      <c r="NFG8"/>
      <c r="NFH8"/>
      <c r="NFI8"/>
      <c r="NFJ8"/>
      <c r="NFK8"/>
      <c r="NFL8"/>
      <c r="NFM8"/>
      <c r="NFN8"/>
      <c r="NFO8"/>
      <c r="NFP8"/>
      <c r="NFQ8"/>
      <c r="NFR8"/>
      <c r="NFS8"/>
      <c r="NFT8"/>
      <c r="NFU8"/>
      <c r="NFV8"/>
      <c r="NFW8"/>
      <c r="NFX8"/>
      <c r="NFY8"/>
      <c r="NFZ8"/>
      <c r="NGA8"/>
      <c r="NGB8"/>
      <c r="NGC8"/>
      <c r="NGD8"/>
      <c r="NGE8"/>
      <c r="NGF8"/>
      <c r="NGG8"/>
      <c r="NGH8"/>
      <c r="NGI8"/>
      <c r="NGJ8"/>
      <c r="NGK8"/>
      <c r="NGL8"/>
      <c r="NGM8"/>
      <c r="NGN8"/>
      <c r="NGO8"/>
      <c r="NGP8"/>
      <c r="NGQ8"/>
      <c r="NGR8"/>
      <c r="NGS8"/>
      <c r="NGT8"/>
      <c r="NGU8"/>
      <c r="NGV8"/>
      <c r="NGW8"/>
      <c r="NGX8"/>
      <c r="NGY8"/>
      <c r="NGZ8"/>
      <c r="NHA8"/>
      <c r="NHB8"/>
      <c r="NHC8"/>
      <c r="NHD8"/>
      <c r="NHE8"/>
      <c r="NHF8"/>
      <c r="NHG8"/>
      <c r="NHH8"/>
      <c r="NHI8"/>
      <c r="NHJ8"/>
      <c r="NHK8"/>
      <c r="NHL8"/>
      <c r="NHM8"/>
      <c r="NHN8"/>
      <c r="NHO8"/>
      <c r="NHP8"/>
      <c r="NHQ8"/>
      <c r="NHR8"/>
      <c r="NHS8"/>
      <c r="NHT8"/>
      <c r="NHU8"/>
      <c r="NHV8"/>
      <c r="NHW8"/>
      <c r="NHX8"/>
      <c r="NHY8"/>
      <c r="NHZ8"/>
      <c r="NIA8"/>
      <c r="NIB8"/>
      <c r="NIC8"/>
      <c r="NID8"/>
      <c r="NIE8"/>
      <c r="NIF8"/>
      <c r="NIG8"/>
      <c r="NIH8"/>
      <c r="NII8"/>
      <c r="NIJ8"/>
      <c r="NIK8"/>
      <c r="NIL8"/>
      <c r="NIM8"/>
      <c r="NIN8"/>
      <c r="NIO8"/>
      <c r="NIP8"/>
      <c r="NIQ8"/>
      <c r="NIR8"/>
      <c r="NIS8"/>
      <c r="NIT8"/>
      <c r="NIU8"/>
      <c r="NIV8"/>
      <c r="NIW8"/>
      <c r="NIX8"/>
      <c r="NIY8"/>
      <c r="NIZ8"/>
      <c r="NJA8"/>
      <c r="NJB8"/>
      <c r="NJC8"/>
      <c r="NJD8"/>
      <c r="NJE8"/>
      <c r="NJF8"/>
      <c r="NJG8"/>
      <c r="NJH8"/>
      <c r="NJI8"/>
      <c r="NJJ8"/>
      <c r="NJK8"/>
      <c r="NJL8"/>
      <c r="NJM8"/>
      <c r="NJN8"/>
      <c r="NJO8"/>
      <c r="NJP8"/>
      <c r="NJQ8"/>
      <c r="NJR8"/>
      <c r="NJS8"/>
      <c r="NJT8"/>
      <c r="NJU8"/>
      <c r="NJV8"/>
      <c r="NJW8"/>
      <c r="NJX8"/>
      <c r="NJY8"/>
      <c r="NJZ8"/>
      <c r="NKA8"/>
      <c r="NKB8"/>
      <c r="NKC8"/>
      <c r="NKD8"/>
      <c r="NKE8"/>
      <c r="NKF8"/>
      <c r="NKG8"/>
      <c r="NKH8"/>
      <c r="NKI8"/>
      <c r="NKJ8"/>
      <c r="NKK8"/>
      <c r="NKL8"/>
      <c r="NKM8"/>
      <c r="NKN8"/>
      <c r="NKO8"/>
      <c r="NKP8"/>
      <c r="NKQ8"/>
      <c r="NKR8"/>
      <c r="NKS8"/>
      <c r="NKT8"/>
      <c r="NKU8"/>
      <c r="NKV8"/>
      <c r="NKW8"/>
      <c r="NKX8"/>
      <c r="NKY8"/>
      <c r="NKZ8"/>
      <c r="NLA8"/>
      <c r="NLB8"/>
      <c r="NLC8"/>
      <c r="NLD8"/>
      <c r="NLE8"/>
      <c r="NLF8"/>
      <c r="NLG8"/>
      <c r="NLH8"/>
      <c r="NLI8"/>
      <c r="NLJ8"/>
      <c r="NLK8"/>
      <c r="NLL8"/>
      <c r="NLM8"/>
      <c r="NLN8"/>
      <c r="NLO8"/>
      <c r="NLP8"/>
      <c r="NLQ8"/>
      <c r="NLR8"/>
      <c r="NLS8"/>
      <c r="NLT8"/>
      <c r="NLU8"/>
      <c r="NLV8"/>
      <c r="NLW8"/>
      <c r="NLX8"/>
      <c r="NLY8"/>
      <c r="NLZ8"/>
      <c r="NMA8"/>
      <c r="NMB8"/>
      <c r="NMC8"/>
      <c r="NMD8"/>
      <c r="NME8"/>
      <c r="NMF8"/>
      <c r="NMG8"/>
      <c r="NMH8"/>
      <c r="NMI8"/>
      <c r="NMJ8"/>
      <c r="NMK8"/>
      <c r="NML8"/>
      <c r="NMM8"/>
      <c r="NMN8"/>
      <c r="NMO8"/>
      <c r="NMP8"/>
      <c r="NMQ8"/>
      <c r="NMR8"/>
      <c r="NMS8"/>
      <c r="NMT8"/>
      <c r="NMU8"/>
      <c r="NMV8"/>
      <c r="NMW8"/>
      <c r="NMX8"/>
      <c r="NMY8"/>
      <c r="NMZ8"/>
      <c r="NNA8"/>
      <c r="NNB8"/>
      <c r="NNC8"/>
      <c r="NND8"/>
      <c r="NNE8"/>
      <c r="NNF8"/>
      <c r="NNG8"/>
      <c r="NNH8"/>
      <c r="NNI8"/>
      <c r="NNJ8"/>
      <c r="NNK8"/>
      <c r="NNL8"/>
      <c r="NNM8"/>
      <c r="NNN8"/>
      <c r="NNO8"/>
      <c r="NNP8"/>
      <c r="NNQ8"/>
      <c r="NNR8"/>
      <c r="NNS8"/>
      <c r="NNT8"/>
      <c r="NNU8"/>
      <c r="NNV8"/>
      <c r="NNW8"/>
      <c r="NNX8"/>
      <c r="NNY8"/>
      <c r="NNZ8"/>
      <c r="NOA8"/>
      <c r="NOB8"/>
      <c r="NOC8"/>
      <c r="NOD8"/>
      <c r="NOE8"/>
      <c r="NOF8"/>
      <c r="NOG8"/>
      <c r="NOH8"/>
      <c r="NOI8"/>
      <c r="NOJ8"/>
      <c r="NOK8"/>
      <c r="NOL8"/>
      <c r="NOM8"/>
      <c r="NON8"/>
      <c r="NOO8"/>
      <c r="NOP8"/>
      <c r="NOQ8"/>
      <c r="NOR8"/>
      <c r="NOS8"/>
      <c r="NOT8"/>
      <c r="NOU8"/>
      <c r="NOV8"/>
      <c r="NOW8"/>
      <c r="NOX8"/>
      <c r="NOY8"/>
      <c r="NOZ8"/>
      <c r="NPA8"/>
      <c r="NPB8"/>
      <c r="NPC8"/>
      <c r="NPD8"/>
      <c r="NPE8"/>
      <c r="NPF8"/>
      <c r="NPG8"/>
      <c r="NPH8"/>
      <c r="NPI8"/>
      <c r="NPJ8"/>
      <c r="NPK8"/>
      <c r="NPL8"/>
      <c r="NPM8"/>
      <c r="NPN8"/>
      <c r="NPO8"/>
      <c r="NPP8"/>
      <c r="NPQ8"/>
      <c r="NPR8"/>
      <c r="NPS8"/>
      <c r="NPT8"/>
      <c r="NPU8"/>
      <c r="NPV8"/>
      <c r="NPW8"/>
      <c r="NPX8"/>
      <c r="NPY8"/>
      <c r="NPZ8"/>
      <c r="NQA8"/>
      <c r="NQB8"/>
      <c r="NQC8"/>
      <c r="NQD8"/>
      <c r="NQE8"/>
      <c r="NQF8"/>
      <c r="NQG8"/>
      <c r="NQH8"/>
      <c r="NQI8"/>
      <c r="NQJ8"/>
      <c r="NQK8"/>
      <c r="NQL8"/>
      <c r="NQM8"/>
      <c r="NQN8"/>
      <c r="NQO8"/>
      <c r="NQP8"/>
      <c r="NQQ8"/>
      <c r="NQR8"/>
      <c r="NQS8"/>
      <c r="NQT8"/>
      <c r="NQU8"/>
      <c r="NQV8"/>
      <c r="NQW8"/>
      <c r="NQX8"/>
      <c r="NQY8"/>
      <c r="NQZ8"/>
      <c r="NRA8"/>
      <c r="NRB8"/>
      <c r="NRC8"/>
      <c r="NRD8"/>
      <c r="NRE8"/>
      <c r="NRF8"/>
      <c r="NRG8"/>
      <c r="NRH8"/>
      <c r="NRI8"/>
      <c r="NRJ8"/>
      <c r="NRK8"/>
      <c r="NRL8"/>
      <c r="NRM8"/>
      <c r="NRN8"/>
      <c r="NRO8"/>
      <c r="NRP8"/>
      <c r="NRQ8"/>
      <c r="NRR8"/>
      <c r="NRS8"/>
      <c r="NRT8"/>
      <c r="NRU8"/>
      <c r="NRV8"/>
      <c r="NRW8"/>
      <c r="NRX8"/>
      <c r="NRY8"/>
      <c r="NRZ8"/>
      <c r="NSA8"/>
      <c r="NSB8"/>
      <c r="NSC8"/>
      <c r="NSD8"/>
      <c r="NSE8"/>
      <c r="NSF8"/>
      <c r="NSG8"/>
      <c r="NSH8"/>
      <c r="NSI8"/>
      <c r="NSJ8"/>
      <c r="NSK8"/>
      <c r="NSL8"/>
      <c r="NSM8"/>
      <c r="NSN8"/>
      <c r="NSO8"/>
      <c r="NSP8"/>
      <c r="NSQ8"/>
      <c r="NSR8"/>
      <c r="NSS8"/>
      <c r="NST8"/>
      <c r="NSU8"/>
      <c r="NSV8"/>
      <c r="NSW8"/>
      <c r="NSX8"/>
      <c r="NSY8"/>
      <c r="NSZ8"/>
      <c r="NTA8"/>
      <c r="NTB8"/>
      <c r="NTC8"/>
      <c r="NTD8"/>
      <c r="NTE8"/>
      <c r="NTF8"/>
      <c r="NTG8"/>
      <c r="NTH8"/>
      <c r="NTI8"/>
      <c r="NTJ8"/>
      <c r="NTK8"/>
      <c r="NTL8"/>
      <c r="NTM8"/>
      <c r="NTN8"/>
      <c r="NTO8"/>
      <c r="NTP8"/>
      <c r="NTQ8"/>
      <c r="NTR8"/>
      <c r="NTS8"/>
      <c r="NTT8"/>
      <c r="NTU8"/>
      <c r="NTV8"/>
      <c r="NTW8"/>
      <c r="NTX8"/>
      <c r="NTY8"/>
      <c r="NTZ8"/>
      <c r="NUA8"/>
      <c r="NUB8"/>
      <c r="NUC8"/>
      <c r="NUD8"/>
      <c r="NUE8"/>
      <c r="NUF8"/>
      <c r="NUG8"/>
      <c r="NUH8"/>
      <c r="NUI8"/>
      <c r="NUJ8"/>
      <c r="NUK8"/>
      <c r="NUL8"/>
      <c r="NUM8"/>
      <c r="NUN8"/>
      <c r="NUO8"/>
      <c r="NUP8"/>
      <c r="NUQ8"/>
      <c r="NUR8"/>
      <c r="NUS8"/>
      <c r="NUT8"/>
      <c r="NUU8"/>
      <c r="NUV8"/>
      <c r="NUW8"/>
      <c r="NUX8"/>
      <c r="NUY8"/>
      <c r="NUZ8"/>
      <c r="NVA8"/>
      <c r="NVB8"/>
      <c r="NVC8"/>
      <c r="NVD8"/>
      <c r="NVE8"/>
      <c r="NVF8"/>
      <c r="NVG8"/>
      <c r="NVH8"/>
      <c r="NVI8"/>
      <c r="NVJ8"/>
      <c r="NVK8"/>
      <c r="NVL8"/>
      <c r="NVM8"/>
      <c r="NVN8"/>
      <c r="NVO8"/>
      <c r="NVP8"/>
      <c r="NVQ8"/>
      <c r="NVR8"/>
      <c r="NVS8"/>
      <c r="NVT8"/>
      <c r="NVU8"/>
      <c r="NVV8"/>
      <c r="NVW8"/>
      <c r="NVX8"/>
      <c r="NVY8"/>
      <c r="NVZ8"/>
      <c r="NWA8"/>
      <c r="NWB8"/>
      <c r="NWC8"/>
      <c r="NWD8"/>
      <c r="NWE8"/>
      <c r="NWF8"/>
      <c r="NWG8"/>
      <c r="NWH8"/>
      <c r="NWI8"/>
      <c r="NWJ8"/>
      <c r="NWK8"/>
      <c r="NWL8"/>
      <c r="NWM8"/>
      <c r="NWN8"/>
      <c r="NWO8"/>
      <c r="NWP8"/>
      <c r="NWQ8"/>
      <c r="NWR8"/>
      <c r="NWS8"/>
      <c r="NWT8"/>
      <c r="NWU8"/>
      <c r="NWV8"/>
      <c r="NWW8"/>
      <c r="NWX8"/>
      <c r="NWY8"/>
      <c r="NWZ8"/>
      <c r="NXA8"/>
      <c r="NXB8"/>
      <c r="NXC8"/>
      <c r="NXD8"/>
      <c r="NXE8"/>
      <c r="NXF8"/>
      <c r="NXG8"/>
      <c r="NXH8"/>
      <c r="NXI8"/>
      <c r="NXJ8"/>
      <c r="NXK8"/>
      <c r="NXL8"/>
      <c r="NXM8"/>
      <c r="NXN8"/>
      <c r="NXO8"/>
      <c r="NXP8"/>
      <c r="NXQ8"/>
      <c r="NXR8"/>
      <c r="NXS8"/>
      <c r="NXT8"/>
      <c r="NXU8"/>
      <c r="NXV8"/>
      <c r="NXW8"/>
      <c r="NXX8"/>
      <c r="NXY8"/>
      <c r="NXZ8"/>
      <c r="NYA8"/>
      <c r="NYB8"/>
      <c r="NYC8"/>
      <c r="NYD8"/>
      <c r="NYE8"/>
      <c r="NYF8"/>
      <c r="NYG8"/>
      <c r="NYH8"/>
      <c r="NYI8"/>
      <c r="NYJ8"/>
      <c r="NYK8"/>
      <c r="NYL8"/>
      <c r="NYM8"/>
      <c r="NYN8"/>
      <c r="NYO8"/>
      <c r="NYP8"/>
      <c r="NYQ8"/>
      <c r="NYR8"/>
      <c r="NYS8"/>
      <c r="NYT8"/>
      <c r="NYU8"/>
      <c r="NYV8"/>
      <c r="NYW8"/>
      <c r="NYX8"/>
      <c r="NYY8"/>
      <c r="NYZ8"/>
      <c r="NZA8"/>
      <c r="NZB8"/>
      <c r="NZC8"/>
      <c r="NZD8"/>
      <c r="NZE8"/>
      <c r="NZF8"/>
      <c r="NZG8"/>
      <c r="NZH8"/>
      <c r="NZI8"/>
      <c r="NZJ8"/>
      <c r="NZK8"/>
      <c r="NZL8"/>
      <c r="NZM8"/>
      <c r="NZN8"/>
      <c r="NZO8"/>
      <c r="NZP8"/>
      <c r="NZQ8"/>
      <c r="NZR8"/>
      <c r="NZS8"/>
      <c r="NZT8"/>
      <c r="NZU8"/>
      <c r="NZV8"/>
      <c r="NZW8"/>
      <c r="NZX8"/>
      <c r="NZY8"/>
      <c r="NZZ8"/>
      <c r="OAA8"/>
      <c r="OAB8"/>
      <c r="OAC8"/>
      <c r="OAD8"/>
      <c r="OAE8"/>
      <c r="OAF8"/>
      <c r="OAG8"/>
      <c r="OAH8"/>
      <c r="OAI8"/>
      <c r="OAJ8"/>
      <c r="OAK8"/>
      <c r="OAL8"/>
      <c r="OAM8"/>
      <c r="OAN8"/>
      <c r="OAO8"/>
      <c r="OAP8"/>
      <c r="OAQ8"/>
      <c r="OAR8"/>
      <c r="OAS8"/>
      <c r="OAT8"/>
      <c r="OAU8"/>
      <c r="OAV8"/>
      <c r="OAW8"/>
      <c r="OAX8"/>
      <c r="OAY8"/>
      <c r="OAZ8"/>
      <c r="OBA8"/>
      <c r="OBB8"/>
      <c r="OBC8"/>
      <c r="OBD8"/>
      <c r="OBE8"/>
      <c r="OBF8"/>
      <c r="OBG8"/>
      <c r="OBH8"/>
      <c r="OBI8"/>
      <c r="OBJ8"/>
      <c r="OBK8"/>
      <c r="OBL8"/>
      <c r="OBM8"/>
      <c r="OBN8"/>
      <c r="OBO8"/>
      <c r="OBP8"/>
      <c r="OBQ8"/>
      <c r="OBR8"/>
      <c r="OBS8"/>
      <c r="OBT8"/>
      <c r="OBU8"/>
      <c r="OBV8"/>
      <c r="OBW8"/>
      <c r="OBX8"/>
      <c r="OBY8"/>
      <c r="OBZ8"/>
      <c r="OCA8"/>
      <c r="OCB8"/>
      <c r="OCC8"/>
      <c r="OCD8"/>
      <c r="OCE8"/>
      <c r="OCF8"/>
      <c r="OCG8"/>
      <c r="OCH8"/>
      <c r="OCI8"/>
      <c r="OCJ8"/>
      <c r="OCK8"/>
      <c r="OCL8"/>
      <c r="OCM8"/>
      <c r="OCN8"/>
      <c r="OCO8"/>
      <c r="OCP8"/>
      <c r="OCQ8"/>
      <c r="OCR8"/>
      <c r="OCS8"/>
      <c r="OCT8"/>
      <c r="OCU8"/>
      <c r="OCV8"/>
      <c r="OCW8"/>
      <c r="OCX8"/>
      <c r="OCY8"/>
      <c r="OCZ8"/>
      <c r="ODA8"/>
      <c r="ODB8"/>
      <c r="ODC8"/>
      <c r="ODD8"/>
      <c r="ODE8"/>
      <c r="ODF8"/>
      <c r="ODG8"/>
      <c r="ODH8"/>
      <c r="ODI8"/>
      <c r="ODJ8"/>
      <c r="ODK8"/>
      <c r="ODL8"/>
      <c r="ODM8"/>
      <c r="ODN8"/>
      <c r="ODO8"/>
      <c r="ODP8"/>
      <c r="ODQ8"/>
      <c r="ODR8"/>
      <c r="ODS8"/>
      <c r="ODT8"/>
      <c r="ODU8"/>
      <c r="ODV8"/>
      <c r="ODW8"/>
      <c r="ODX8"/>
      <c r="ODY8"/>
      <c r="ODZ8"/>
      <c r="OEA8"/>
      <c r="OEB8"/>
      <c r="OEC8"/>
      <c r="OED8"/>
      <c r="OEE8"/>
      <c r="OEF8"/>
      <c r="OEG8"/>
      <c r="OEH8"/>
      <c r="OEI8"/>
      <c r="OEJ8"/>
      <c r="OEK8"/>
      <c r="OEL8"/>
      <c r="OEM8"/>
      <c r="OEN8"/>
      <c r="OEO8"/>
      <c r="OEP8"/>
      <c r="OEQ8"/>
      <c r="OER8"/>
      <c r="OES8"/>
      <c r="OET8"/>
      <c r="OEU8"/>
      <c r="OEV8"/>
      <c r="OEW8"/>
      <c r="OEX8"/>
      <c r="OEY8"/>
      <c r="OEZ8"/>
      <c r="OFA8"/>
      <c r="OFB8"/>
      <c r="OFC8"/>
      <c r="OFD8"/>
      <c r="OFE8"/>
      <c r="OFF8"/>
      <c r="OFG8"/>
      <c r="OFH8"/>
      <c r="OFI8"/>
      <c r="OFJ8"/>
      <c r="OFK8"/>
      <c r="OFL8"/>
      <c r="OFM8"/>
      <c r="OFN8"/>
      <c r="OFO8"/>
      <c r="OFP8"/>
      <c r="OFQ8"/>
      <c r="OFR8"/>
      <c r="OFS8"/>
      <c r="OFT8"/>
      <c r="OFU8"/>
      <c r="OFV8"/>
      <c r="OFW8"/>
      <c r="OFX8"/>
      <c r="OFY8"/>
      <c r="OFZ8"/>
      <c r="OGA8"/>
      <c r="OGB8"/>
      <c r="OGC8"/>
      <c r="OGD8"/>
      <c r="OGE8"/>
      <c r="OGF8"/>
      <c r="OGG8"/>
      <c r="OGH8"/>
      <c r="OGI8"/>
      <c r="OGJ8"/>
      <c r="OGK8"/>
      <c r="OGL8"/>
      <c r="OGM8"/>
      <c r="OGN8"/>
      <c r="OGO8"/>
      <c r="OGP8"/>
      <c r="OGQ8"/>
      <c r="OGR8"/>
      <c r="OGS8"/>
      <c r="OGT8"/>
      <c r="OGU8"/>
      <c r="OGV8"/>
      <c r="OGW8"/>
      <c r="OGX8"/>
      <c r="OGY8"/>
      <c r="OGZ8"/>
      <c r="OHA8"/>
      <c r="OHB8"/>
      <c r="OHC8"/>
      <c r="OHD8"/>
      <c r="OHE8"/>
      <c r="OHF8"/>
      <c r="OHG8"/>
      <c r="OHH8"/>
      <c r="OHI8"/>
      <c r="OHJ8"/>
      <c r="OHK8"/>
      <c r="OHL8"/>
      <c r="OHM8"/>
      <c r="OHN8"/>
      <c r="OHO8"/>
      <c r="OHP8"/>
      <c r="OHQ8"/>
      <c r="OHR8"/>
      <c r="OHS8"/>
      <c r="OHT8"/>
      <c r="OHU8"/>
      <c r="OHV8"/>
      <c r="OHW8"/>
      <c r="OHX8"/>
      <c r="OHY8"/>
      <c r="OHZ8"/>
      <c r="OIA8"/>
      <c r="OIB8"/>
      <c r="OIC8"/>
      <c r="OID8"/>
      <c r="OIE8"/>
      <c r="OIF8"/>
      <c r="OIG8"/>
      <c r="OIH8"/>
      <c r="OII8"/>
      <c r="OIJ8"/>
      <c r="OIK8"/>
      <c r="OIL8"/>
      <c r="OIM8"/>
      <c r="OIN8"/>
      <c r="OIO8"/>
      <c r="OIP8"/>
      <c r="OIQ8"/>
      <c r="OIR8"/>
      <c r="OIS8"/>
      <c r="OIT8"/>
      <c r="OIU8"/>
      <c r="OIV8"/>
      <c r="OIW8"/>
      <c r="OIX8"/>
      <c r="OIY8"/>
      <c r="OIZ8"/>
      <c r="OJA8"/>
      <c r="OJB8"/>
      <c r="OJC8"/>
      <c r="OJD8"/>
      <c r="OJE8"/>
      <c r="OJF8"/>
      <c r="OJG8"/>
      <c r="OJH8"/>
      <c r="OJI8"/>
      <c r="OJJ8"/>
      <c r="OJK8"/>
      <c r="OJL8"/>
      <c r="OJM8"/>
      <c r="OJN8"/>
      <c r="OJO8"/>
      <c r="OJP8"/>
      <c r="OJQ8"/>
      <c r="OJR8"/>
      <c r="OJS8"/>
      <c r="OJT8"/>
      <c r="OJU8"/>
      <c r="OJV8"/>
      <c r="OJW8"/>
      <c r="OJX8"/>
      <c r="OJY8"/>
      <c r="OJZ8"/>
      <c r="OKA8"/>
      <c r="OKB8"/>
      <c r="OKC8"/>
      <c r="OKD8"/>
      <c r="OKE8"/>
      <c r="OKF8"/>
      <c r="OKG8"/>
      <c r="OKH8"/>
      <c r="OKI8"/>
      <c r="OKJ8"/>
      <c r="OKK8"/>
      <c r="OKL8"/>
      <c r="OKM8"/>
      <c r="OKN8"/>
      <c r="OKO8"/>
      <c r="OKP8"/>
      <c r="OKQ8"/>
      <c r="OKR8"/>
      <c r="OKS8"/>
      <c r="OKT8"/>
      <c r="OKU8"/>
      <c r="OKV8"/>
      <c r="OKW8"/>
      <c r="OKX8"/>
      <c r="OKY8"/>
      <c r="OKZ8"/>
      <c r="OLA8"/>
      <c r="OLB8"/>
      <c r="OLC8"/>
      <c r="OLD8"/>
      <c r="OLE8"/>
      <c r="OLF8"/>
      <c r="OLG8"/>
      <c r="OLH8"/>
      <c r="OLI8"/>
      <c r="OLJ8"/>
      <c r="OLK8"/>
      <c r="OLL8"/>
      <c r="OLM8"/>
      <c r="OLN8"/>
      <c r="OLO8"/>
      <c r="OLP8"/>
      <c r="OLQ8"/>
      <c r="OLR8"/>
      <c r="OLS8"/>
      <c r="OLT8"/>
      <c r="OLU8"/>
      <c r="OLV8"/>
      <c r="OLW8"/>
      <c r="OLX8"/>
      <c r="OLY8"/>
      <c r="OLZ8"/>
      <c r="OMA8"/>
      <c r="OMB8"/>
      <c r="OMC8"/>
      <c r="OMD8"/>
      <c r="OME8"/>
      <c r="OMF8"/>
      <c r="OMG8"/>
      <c r="OMH8"/>
      <c r="OMI8"/>
      <c r="OMJ8"/>
      <c r="OMK8"/>
      <c r="OML8"/>
      <c r="OMM8"/>
      <c r="OMN8"/>
      <c r="OMO8"/>
      <c r="OMP8"/>
      <c r="OMQ8"/>
      <c r="OMR8"/>
      <c r="OMS8"/>
      <c r="OMT8"/>
      <c r="OMU8"/>
      <c r="OMV8"/>
      <c r="OMW8"/>
      <c r="OMX8"/>
      <c r="OMY8"/>
      <c r="OMZ8"/>
      <c r="ONA8"/>
      <c r="ONB8"/>
      <c r="ONC8"/>
      <c r="OND8"/>
      <c r="ONE8"/>
      <c r="ONF8"/>
      <c r="ONG8"/>
      <c r="ONH8"/>
      <c r="ONI8"/>
      <c r="ONJ8"/>
      <c r="ONK8"/>
      <c r="ONL8"/>
      <c r="ONM8"/>
      <c r="ONN8"/>
      <c r="ONO8"/>
      <c r="ONP8"/>
      <c r="ONQ8"/>
      <c r="ONR8"/>
      <c r="ONS8"/>
      <c r="ONT8"/>
      <c r="ONU8"/>
      <c r="ONV8"/>
      <c r="ONW8"/>
      <c r="ONX8"/>
      <c r="ONY8"/>
      <c r="ONZ8"/>
      <c r="OOA8"/>
      <c r="OOB8"/>
      <c r="OOC8"/>
      <c r="OOD8"/>
      <c r="OOE8"/>
      <c r="OOF8"/>
      <c r="OOG8"/>
      <c r="OOH8"/>
      <c r="OOI8"/>
      <c r="OOJ8"/>
      <c r="OOK8"/>
      <c r="OOL8"/>
      <c r="OOM8"/>
      <c r="OON8"/>
      <c r="OOO8"/>
      <c r="OOP8"/>
      <c r="OOQ8"/>
      <c r="OOR8"/>
      <c r="OOS8"/>
      <c r="OOT8"/>
      <c r="OOU8"/>
      <c r="OOV8"/>
      <c r="OOW8"/>
      <c r="OOX8"/>
      <c r="OOY8"/>
      <c r="OOZ8"/>
      <c r="OPA8"/>
      <c r="OPB8"/>
      <c r="OPC8"/>
      <c r="OPD8"/>
      <c r="OPE8"/>
      <c r="OPF8"/>
      <c r="OPG8"/>
      <c r="OPH8"/>
      <c r="OPI8"/>
      <c r="OPJ8"/>
      <c r="OPK8"/>
      <c r="OPL8"/>
      <c r="OPM8"/>
      <c r="OPN8"/>
      <c r="OPO8"/>
      <c r="OPP8"/>
      <c r="OPQ8"/>
      <c r="OPR8"/>
      <c r="OPS8"/>
      <c r="OPT8"/>
      <c r="OPU8"/>
      <c r="OPV8"/>
      <c r="OPW8"/>
      <c r="OPX8"/>
      <c r="OPY8"/>
      <c r="OPZ8"/>
      <c r="OQA8"/>
      <c r="OQB8"/>
      <c r="OQC8"/>
      <c r="OQD8"/>
      <c r="OQE8"/>
      <c r="OQF8"/>
      <c r="OQG8"/>
      <c r="OQH8"/>
      <c r="OQI8"/>
      <c r="OQJ8"/>
      <c r="OQK8"/>
      <c r="OQL8"/>
      <c r="OQM8"/>
      <c r="OQN8"/>
      <c r="OQO8"/>
      <c r="OQP8"/>
      <c r="OQQ8"/>
      <c r="OQR8"/>
      <c r="OQS8"/>
      <c r="OQT8"/>
      <c r="OQU8"/>
      <c r="OQV8"/>
      <c r="OQW8"/>
      <c r="OQX8"/>
      <c r="OQY8"/>
      <c r="OQZ8"/>
      <c r="ORA8"/>
      <c r="ORB8"/>
      <c r="ORC8"/>
      <c r="ORD8"/>
      <c r="ORE8"/>
      <c r="ORF8"/>
      <c r="ORG8"/>
      <c r="ORH8"/>
      <c r="ORI8"/>
      <c r="ORJ8"/>
      <c r="ORK8"/>
      <c r="ORL8"/>
      <c r="ORM8"/>
      <c r="ORN8"/>
      <c r="ORO8"/>
      <c r="ORP8"/>
      <c r="ORQ8"/>
      <c r="ORR8"/>
      <c r="ORS8"/>
      <c r="ORT8"/>
      <c r="ORU8"/>
      <c r="ORV8"/>
      <c r="ORW8"/>
      <c r="ORX8"/>
      <c r="ORY8"/>
      <c r="ORZ8"/>
      <c r="OSA8"/>
      <c r="OSB8"/>
      <c r="OSC8"/>
      <c r="OSD8"/>
      <c r="OSE8"/>
      <c r="OSF8"/>
      <c r="OSG8"/>
      <c r="OSH8"/>
      <c r="OSI8"/>
      <c r="OSJ8"/>
      <c r="OSK8"/>
      <c r="OSL8"/>
      <c r="OSM8"/>
      <c r="OSN8"/>
      <c r="OSO8"/>
      <c r="OSP8"/>
      <c r="OSQ8"/>
      <c r="OSR8"/>
      <c r="OSS8"/>
      <c r="OST8"/>
      <c r="OSU8"/>
      <c r="OSV8"/>
      <c r="OSW8"/>
      <c r="OSX8"/>
      <c r="OSY8"/>
      <c r="OSZ8"/>
      <c r="OTA8"/>
      <c r="OTB8"/>
      <c r="OTC8"/>
      <c r="OTD8"/>
      <c r="OTE8"/>
      <c r="OTF8"/>
      <c r="OTG8"/>
      <c r="OTH8"/>
      <c r="OTI8"/>
      <c r="OTJ8"/>
      <c r="OTK8"/>
      <c r="OTL8"/>
      <c r="OTM8"/>
      <c r="OTN8"/>
      <c r="OTO8"/>
      <c r="OTP8"/>
      <c r="OTQ8"/>
      <c r="OTR8"/>
      <c r="OTS8"/>
      <c r="OTT8"/>
      <c r="OTU8"/>
      <c r="OTV8"/>
      <c r="OTW8"/>
      <c r="OTX8"/>
      <c r="OTY8"/>
      <c r="OTZ8"/>
      <c r="OUA8"/>
      <c r="OUB8"/>
      <c r="OUC8"/>
      <c r="OUD8"/>
      <c r="OUE8"/>
      <c r="OUF8"/>
      <c r="OUG8"/>
      <c r="OUH8"/>
      <c r="OUI8"/>
      <c r="OUJ8"/>
      <c r="OUK8"/>
      <c r="OUL8"/>
      <c r="OUM8"/>
      <c r="OUN8"/>
      <c r="OUO8"/>
      <c r="OUP8"/>
      <c r="OUQ8"/>
      <c r="OUR8"/>
      <c r="OUS8"/>
      <c r="OUT8"/>
      <c r="OUU8"/>
      <c r="OUV8"/>
      <c r="OUW8"/>
      <c r="OUX8"/>
      <c r="OUY8"/>
      <c r="OUZ8"/>
      <c r="OVA8"/>
      <c r="OVB8"/>
      <c r="OVC8"/>
      <c r="OVD8"/>
      <c r="OVE8"/>
      <c r="OVF8"/>
      <c r="OVG8"/>
      <c r="OVH8"/>
      <c r="OVI8"/>
      <c r="OVJ8"/>
      <c r="OVK8"/>
      <c r="OVL8"/>
      <c r="OVM8"/>
      <c r="OVN8"/>
      <c r="OVO8"/>
      <c r="OVP8"/>
      <c r="OVQ8"/>
      <c r="OVR8"/>
      <c r="OVS8"/>
      <c r="OVT8"/>
      <c r="OVU8"/>
      <c r="OVV8"/>
      <c r="OVW8"/>
      <c r="OVX8"/>
      <c r="OVY8"/>
      <c r="OVZ8"/>
      <c r="OWA8"/>
      <c r="OWB8"/>
      <c r="OWC8"/>
      <c r="OWD8"/>
      <c r="OWE8"/>
      <c r="OWF8"/>
      <c r="OWG8"/>
      <c r="OWH8"/>
      <c r="OWI8"/>
      <c r="OWJ8"/>
      <c r="OWK8"/>
      <c r="OWL8"/>
      <c r="OWM8"/>
      <c r="OWN8"/>
      <c r="OWO8"/>
      <c r="OWP8"/>
      <c r="OWQ8"/>
      <c r="OWR8"/>
      <c r="OWS8"/>
      <c r="OWT8"/>
      <c r="OWU8"/>
      <c r="OWV8"/>
      <c r="OWW8"/>
      <c r="OWX8"/>
      <c r="OWY8"/>
      <c r="OWZ8"/>
      <c r="OXA8"/>
      <c r="OXB8"/>
      <c r="OXC8"/>
      <c r="OXD8"/>
      <c r="OXE8"/>
      <c r="OXF8"/>
      <c r="OXG8"/>
      <c r="OXH8"/>
      <c r="OXI8"/>
      <c r="OXJ8"/>
      <c r="OXK8"/>
      <c r="OXL8"/>
      <c r="OXM8"/>
      <c r="OXN8"/>
      <c r="OXO8"/>
      <c r="OXP8"/>
      <c r="OXQ8"/>
      <c r="OXR8"/>
      <c r="OXS8"/>
      <c r="OXT8"/>
      <c r="OXU8"/>
      <c r="OXV8"/>
      <c r="OXW8"/>
      <c r="OXX8"/>
      <c r="OXY8"/>
      <c r="OXZ8"/>
      <c r="OYA8"/>
      <c r="OYB8"/>
      <c r="OYC8"/>
      <c r="OYD8"/>
      <c r="OYE8"/>
      <c r="OYF8"/>
      <c r="OYG8"/>
      <c r="OYH8"/>
      <c r="OYI8"/>
      <c r="OYJ8"/>
      <c r="OYK8"/>
      <c r="OYL8"/>
      <c r="OYM8"/>
      <c r="OYN8"/>
      <c r="OYO8"/>
      <c r="OYP8"/>
      <c r="OYQ8"/>
      <c r="OYR8"/>
      <c r="OYS8"/>
      <c r="OYT8"/>
      <c r="OYU8"/>
      <c r="OYV8"/>
      <c r="OYW8"/>
      <c r="OYX8"/>
      <c r="OYY8"/>
      <c r="OYZ8"/>
      <c r="OZA8"/>
      <c r="OZB8"/>
      <c r="OZC8"/>
      <c r="OZD8"/>
      <c r="OZE8"/>
      <c r="OZF8"/>
      <c r="OZG8"/>
      <c r="OZH8"/>
      <c r="OZI8"/>
      <c r="OZJ8"/>
      <c r="OZK8"/>
      <c r="OZL8"/>
      <c r="OZM8"/>
      <c r="OZN8"/>
      <c r="OZO8"/>
      <c r="OZP8"/>
      <c r="OZQ8"/>
      <c r="OZR8"/>
      <c r="OZS8"/>
      <c r="OZT8"/>
      <c r="OZU8"/>
      <c r="OZV8"/>
      <c r="OZW8"/>
      <c r="OZX8"/>
      <c r="OZY8"/>
      <c r="OZZ8"/>
      <c r="PAA8"/>
      <c r="PAB8"/>
      <c r="PAC8"/>
      <c r="PAD8"/>
      <c r="PAE8"/>
      <c r="PAF8"/>
      <c r="PAG8"/>
      <c r="PAH8"/>
      <c r="PAI8"/>
      <c r="PAJ8"/>
      <c r="PAK8"/>
      <c r="PAL8"/>
      <c r="PAM8"/>
      <c r="PAN8"/>
      <c r="PAO8"/>
      <c r="PAP8"/>
      <c r="PAQ8"/>
      <c r="PAR8"/>
      <c r="PAS8"/>
      <c r="PAT8"/>
      <c r="PAU8"/>
      <c r="PAV8"/>
      <c r="PAW8"/>
      <c r="PAX8"/>
      <c r="PAY8"/>
      <c r="PAZ8"/>
      <c r="PBA8"/>
      <c r="PBB8"/>
      <c r="PBC8"/>
      <c r="PBD8"/>
      <c r="PBE8"/>
      <c r="PBF8"/>
      <c r="PBG8"/>
      <c r="PBH8"/>
      <c r="PBI8"/>
      <c r="PBJ8"/>
      <c r="PBK8"/>
      <c r="PBL8"/>
      <c r="PBM8"/>
      <c r="PBN8"/>
      <c r="PBO8"/>
      <c r="PBP8"/>
      <c r="PBQ8"/>
      <c r="PBR8"/>
      <c r="PBS8"/>
      <c r="PBT8"/>
      <c r="PBU8"/>
      <c r="PBV8"/>
      <c r="PBW8"/>
      <c r="PBX8"/>
      <c r="PBY8"/>
      <c r="PBZ8"/>
      <c r="PCA8"/>
      <c r="PCB8"/>
      <c r="PCC8"/>
      <c r="PCD8"/>
      <c r="PCE8"/>
      <c r="PCF8"/>
      <c r="PCG8"/>
      <c r="PCH8"/>
      <c r="PCI8"/>
      <c r="PCJ8"/>
      <c r="PCK8"/>
      <c r="PCL8"/>
      <c r="PCM8"/>
      <c r="PCN8"/>
      <c r="PCO8"/>
      <c r="PCP8"/>
      <c r="PCQ8"/>
      <c r="PCR8"/>
      <c r="PCS8"/>
      <c r="PCT8"/>
      <c r="PCU8"/>
      <c r="PCV8"/>
      <c r="PCW8"/>
      <c r="PCX8"/>
      <c r="PCY8"/>
      <c r="PCZ8"/>
      <c r="PDA8"/>
      <c r="PDB8"/>
      <c r="PDC8"/>
      <c r="PDD8"/>
      <c r="PDE8"/>
      <c r="PDF8"/>
      <c r="PDG8"/>
      <c r="PDH8"/>
      <c r="PDI8"/>
      <c r="PDJ8"/>
      <c r="PDK8"/>
      <c r="PDL8"/>
      <c r="PDM8"/>
      <c r="PDN8"/>
      <c r="PDO8"/>
      <c r="PDP8"/>
      <c r="PDQ8"/>
      <c r="PDR8"/>
      <c r="PDS8"/>
      <c r="PDT8"/>
      <c r="PDU8"/>
      <c r="PDV8"/>
      <c r="PDW8"/>
      <c r="PDX8"/>
      <c r="PDY8"/>
      <c r="PDZ8"/>
      <c r="PEA8"/>
      <c r="PEB8"/>
      <c r="PEC8"/>
      <c r="PED8"/>
      <c r="PEE8"/>
      <c r="PEF8"/>
      <c r="PEG8"/>
      <c r="PEH8"/>
      <c r="PEI8"/>
      <c r="PEJ8"/>
      <c r="PEK8"/>
      <c r="PEL8"/>
      <c r="PEM8"/>
      <c r="PEN8"/>
      <c r="PEO8"/>
      <c r="PEP8"/>
      <c r="PEQ8"/>
      <c r="PER8"/>
      <c r="PES8"/>
      <c r="PET8"/>
      <c r="PEU8"/>
      <c r="PEV8"/>
      <c r="PEW8"/>
      <c r="PEX8"/>
      <c r="PEY8"/>
      <c r="PEZ8"/>
      <c r="PFA8"/>
      <c r="PFB8"/>
      <c r="PFC8"/>
      <c r="PFD8"/>
      <c r="PFE8"/>
      <c r="PFF8"/>
      <c r="PFG8"/>
      <c r="PFH8"/>
      <c r="PFI8"/>
      <c r="PFJ8"/>
      <c r="PFK8"/>
      <c r="PFL8"/>
      <c r="PFM8"/>
      <c r="PFN8"/>
      <c r="PFO8"/>
      <c r="PFP8"/>
      <c r="PFQ8"/>
      <c r="PFR8"/>
      <c r="PFS8"/>
      <c r="PFT8"/>
      <c r="PFU8"/>
      <c r="PFV8"/>
      <c r="PFW8"/>
      <c r="PFX8"/>
      <c r="PFY8"/>
      <c r="PFZ8"/>
      <c r="PGA8"/>
      <c r="PGB8"/>
      <c r="PGC8"/>
      <c r="PGD8"/>
      <c r="PGE8"/>
      <c r="PGF8"/>
      <c r="PGG8"/>
      <c r="PGH8"/>
      <c r="PGI8"/>
      <c r="PGJ8"/>
      <c r="PGK8"/>
      <c r="PGL8"/>
      <c r="PGM8"/>
      <c r="PGN8"/>
      <c r="PGO8"/>
      <c r="PGP8"/>
      <c r="PGQ8"/>
      <c r="PGR8"/>
      <c r="PGS8"/>
      <c r="PGT8"/>
      <c r="PGU8"/>
      <c r="PGV8"/>
      <c r="PGW8"/>
      <c r="PGX8"/>
      <c r="PGY8"/>
      <c r="PGZ8"/>
      <c r="PHA8"/>
      <c r="PHB8"/>
      <c r="PHC8"/>
      <c r="PHD8"/>
      <c r="PHE8"/>
      <c r="PHF8"/>
      <c r="PHG8"/>
      <c r="PHH8"/>
      <c r="PHI8"/>
      <c r="PHJ8"/>
      <c r="PHK8"/>
      <c r="PHL8"/>
      <c r="PHM8"/>
      <c r="PHN8"/>
      <c r="PHO8"/>
      <c r="PHP8"/>
      <c r="PHQ8"/>
      <c r="PHR8"/>
      <c r="PHS8"/>
      <c r="PHT8"/>
      <c r="PHU8"/>
      <c r="PHV8"/>
      <c r="PHW8"/>
      <c r="PHX8"/>
      <c r="PHY8"/>
      <c r="PHZ8"/>
      <c r="PIA8"/>
      <c r="PIB8"/>
      <c r="PIC8"/>
      <c r="PID8"/>
      <c r="PIE8"/>
      <c r="PIF8"/>
      <c r="PIG8"/>
      <c r="PIH8"/>
      <c r="PII8"/>
      <c r="PIJ8"/>
      <c r="PIK8"/>
      <c r="PIL8"/>
      <c r="PIM8"/>
      <c r="PIN8"/>
      <c r="PIO8"/>
      <c r="PIP8"/>
      <c r="PIQ8"/>
      <c r="PIR8"/>
      <c r="PIS8"/>
      <c r="PIT8"/>
      <c r="PIU8"/>
      <c r="PIV8"/>
      <c r="PIW8"/>
      <c r="PIX8"/>
      <c r="PIY8"/>
      <c r="PIZ8"/>
      <c r="PJA8"/>
      <c r="PJB8"/>
      <c r="PJC8"/>
      <c r="PJD8"/>
      <c r="PJE8"/>
      <c r="PJF8"/>
      <c r="PJG8"/>
      <c r="PJH8"/>
      <c r="PJI8"/>
      <c r="PJJ8"/>
      <c r="PJK8"/>
      <c r="PJL8"/>
      <c r="PJM8"/>
      <c r="PJN8"/>
      <c r="PJO8"/>
      <c r="PJP8"/>
      <c r="PJQ8"/>
      <c r="PJR8"/>
      <c r="PJS8"/>
      <c r="PJT8"/>
      <c r="PJU8"/>
      <c r="PJV8"/>
      <c r="PJW8"/>
      <c r="PJX8"/>
      <c r="PJY8"/>
      <c r="PJZ8"/>
      <c r="PKA8"/>
      <c r="PKB8"/>
      <c r="PKC8"/>
      <c r="PKD8"/>
      <c r="PKE8"/>
      <c r="PKF8"/>
      <c r="PKG8"/>
      <c r="PKH8"/>
      <c r="PKI8"/>
      <c r="PKJ8"/>
      <c r="PKK8"/>
      <c r="PKL8"/>
      <c r="PKM8"/>
      <c r="PKN8"/>
      <c r="PKO8"/>
      <c r="PKP8"/>
      <c r="PKQ8"/>
      <c r="PKR8"/>
      <c r="PKS8"/>
      <c r="PKT8"/>
      <c r="PKU8"/>
      <c r="PKV8"/>
      <c r="PKW8"/>
      <c r="PKX8"/>
      <c r="PKY8"/>
      <c r="PKZ8"/>
      <c r="PLA8"/>
      <c r="PLB8"/>
      <c r="PLC8"/>
      <c r="PLD8"/>
      <c r="PLE8"/>
      <c r="PLF8"/>
      <c r="PLG8"/>
      <c r="PLH8"/>
      <c r="PLI8"/>
      <c r="PLJ8"/>
      <c r="PLK8"/>
      <c r="PLL8"/>
      <c r="PLM8"/>
      <c r="PLN8"/>
      <c r="PLO8"/>
      <c r="PLP8"/>
      <c r="PLQ8"/>
      <c r="PLR8"/>
      <c r="PLS8"/>
      <c r="PLT8"/>
      <c r="PLU8"/>
      <c r="PLV8"/>
      <c r="PLW8"/>
      <c r="PLX8"/>
      <c r="PLY8"/>
      <c r="PLZ8"/>
      <c r="PMA8"/>
      <c r="PMB8"/>
      <c r="PMC8"/>
      <c r="PMD8"/>
      <c r="PME8"/>
      <c r="PMF8"/>
      <c r="PMG8"/>
      <c r="PMH8"/>
      <c r="PMI8"/>
      <c r="PMJ8"/>
      <c r="PMK8"/>
      <c r="PML8"/>
      <c r="PMM8"/>
      <c r="PMN8"/>
      <c r="PMO8"/>
      <c r="PMP8"/>
      <c r="PMQ8"/>
      <c r="PMR8"/>
      <c r="PMS8"/>
      <c r="PMT8"/>
      <c r="PMU8"/>
      <c r="PMV8"/>
      <c r="PMW8"/>
      <c r="PMX8"/>
      <c r="PMY8"/>
      <c r="PMZ8"/>
      <c r="PNA8"/>
      <c r="PNB8"/>
      <c r="PNC8"/>
      <c r="PND8"/>
      <c r="PNE8"/>
      <c r="PNF8"/>
      <c r="PNG8"/>
      <c r="PNH8"/>
      <c r="PNI8"/>
      <c r="PNJ8"/>
      <c r="PNK8"/>
      <c r="PNL8"/>
      <c r="PNM8"/>
      <c r="PNN8"/>
      <c r="PNO8"/>
      <c r="PNP8"/>
      <c r="PNQ8"/>
      <c r="PNR8"/>
      <c r="PNS8"/>
      <c r="PNT8"/>
      <c r="PNU8"/>
      <c r="PNV8"/>
      <c r="PNW8"/>
      <c r="PNX8"/>
      <c r="PNY8"/>
      <c r="PNZ8"/>
      <c r="POA8"/>
      <c r="POB8"/>
      <c r="POC8"/>
      <c r="POD8"/>
      <c r="POE8"/>
      <c r="POF8"/>
      <c r="POG8"/>
      <c r="POH8"/>
      <c r="POI8"/>
      <c r="POJ8"/>
      <c r="POK8"/>
      <c r="POL8"/>
      <c r="POM8"/>
      <c r="PON8"/>
      <c r="POO8"/>
      <c r="POP8"/>
      <c r="POQ8"/>
      <c r="POR8"/>
      <c r="POS8"/>
      <c r="POT8"/>
      <c r="POU8"/>
      <c r="POV8"/>
      <c r="POW8"/>
      <c r="POX8"/>
      <c r="POY8"/>
      <c r="POZ8"/>
      <c r="PPA8"/>
      <c r="PPB8"/>
      <c r="PPC8"/>
      <c r="PPD8"/>
      <c r="PPE8"/>
      <c r="PPF8"/>
      <c r="PPG8"/>
      <c r="PPH8"/>
      <c r="PPI8"/>
      <c r="PPJ8"/>
      <c r="PPK8"/>
      <c r="PPL8"/>
      <c r="PPM8"/>
      <c r="PPN8"/>
      <c r="PPO8"/>
      <c r="PPP8"/>
      <c r="PPQ8"/>
      <c r="PPR8"/>
      <c r="PPS8"/>
      <c r="PPT8"/>
      <c r="PPU8"/>
      <c r="PPV8"/>
      <c r="PPW8"/>
      <c r="PPX8"/>
      <c r="PPY8"/>
      <c r="PPZ8"/>
      <c r="PQA8"/>
      <c r="PQB8"/>
      <c r="PQC8"/>
      <c r="PQD8"/>
      <c r="PQE8"/>
      <c r="PQF8"/>
      <c r="PQG8"/>
      <c r="PQH8"/>
      <c r="PQI8"/>
      <c r="PQJ8"/>
      <c r="PQK8"/>
      <c r="PQL8"/>
      <c r="PQM8"/>
      <c r="PQN8"/>
      <c r="PQO8"/>
      <c r="PQP8"/>
      <c r="PQQ8"/>
      <c r="PQR8"/>
      <c r="PQS8"/>
      <c r="PQT8"/>
      <c r="PQU8"/>
      <c r="PQV8"/>
      <c r="PQW8"/>
      <c r="PQX8"/>
      <c r="PQY8"/>
      <c r="PQZ8"/>
      <c r="PRA8"/>
      <c r="PRB8"/>
      <c r="PRC8"/>
      <c r="PRD8"/>
      <c r="PRE8"/>
      <c r="PRF8"/>
      <c r="PRG8"/>
      <c r="PRH8"/>
      <c r="PRI8"/>
      <c r="PRJ8"/>
      <c r="PRK8"/>
      <c r="PRL8"/>
      <c r="PRM8"/>
      <c r="PRN8"/>
      <c r="PRO8"/>
      <c r="PRP8"/>
      <c r="PRQ8"/>
      <c r="PRR8"/>
      <c r="PRS8"/>
      <c r="PRT8"/>
      <c r="PRU8"/>
      <c r="PRV8"/>
      <c r="PRW8"/>
      <c r="PRX8"/>
      <c r="PRY8"/>
      <c r="PRZ8"/>
      <c r="PSA8"/>
      <c r="PSB8"/>
      <c r="PSC8"/>
      <c r="PSD8"/>
      <c r="PSE8"/>
      <c r="PSF8"/>
      <c r="PSG8"/>
      <c r="PSH8"/>
      <c r="PSI8"/>
      <c r="PSJ8"/>
      <c r="PSK8"/>
      <c r="PSL8"/>
      <c r="PSM8"/>
      <c r="PSN8"/>
      <c r="PSO8"/>
      <c r="PSP8"/>
      <c r="PSQ8"/>
      <c r="PSR8"/>
      <c r="PSS8"/>
      <c r="PST8"/>
      <c r="PSU8"/>
      <c r="PSV8"/>
      <c r="PSW8"/>
      <c r="PSX8"/>
      <c r="PSY8"/>
      <c r="PSZ8"/>
      <c r="PTA8"/>
      <c r="PTB8"/>
      <c r="PTC8"/>
      <c r="PTD8"/>
      <c r="PTE8"/>
      <c r="PTF8"/>
      <c r="PTG8"/>
      <c r="PTH8"/>
      <c r="PTI8"/>
      <c r="PTJ8"/>
      <c r="PTK8"/>
      <c r="PTL8"/>
      <c r="PTM8"/>
      <c r="PTN8"/>
      <c r="PTO8"/>
      <c r="PTP8"/>
      <c r="PTQ8"/>
      <c r="PTR8"/>
      <c r="PTS8"/>
      <c r="PTT8"/>
      <c r="PTU8"/>
      <c r="PTV8"/>
      <c r="PTW8"/>
      <c r="PTX8"/>
      <c r="PTY8"/>
      <c r="PTZ8"/>
      <c r="PUA8"/>
      <c r="PUB8"/>
      <c r="PUC8"/>
      <c r="PUD8"/>
      <c r="PUE8"/>
      <c r="PUF8"/>
      <c r="PUG8"/>
      <c r="PUH8"/>
      <c r="PUI8"/>
      <c r="PUJ8"/>
      <c r="PUK8"/>
      <c r="PUL8"/>
      <c r="PUM8"/>
      <c r="PUN8"/>
      <c r="PUO8"/>
      <c r="PUP8"/>
      <c r="PUQ8"/>
      <c r="PUR8"/>
      <c r="PUS8"/>
      <c r="PUT8"/>
      <c r="PUU8"/>
      <c r="PUV8"/>
      <c r="PUW8"/>
      <c r="PUX8"/>
      <c r="PUY8"/>
      <c r="PUZ8"/>
      <c r="PVA8"/>
      <c r="PVB8"/>
      <c r="PVC8"/>
      <c r="PVD8"/>
      <c r="PVE8"/>
      <c r="PVF8"/>
      <c r="PVG8"/>
      <c r="PVH8"/>
      <c r="PVI8"/>
      <c r="PVJ8"/>
      <c r="PVK8"/>
      <c r="PVL8"/>
      <c r="PVM8"/>
      <c r="PVN8"/>
      <c r="PVO8"/>
      <c r="PVP8"/>
      <c r="PVQ8"/>
      <c r="PVR8"/>
      <c r="PVS8"/>
      <c r="PVT8"/>
      <c r="PVU8"/>
      <c r="PVV8"/>
      <c r="PVW8"/>
      <c r="PVX8"/>
      <c r="PVY8"/>
      <c r="PVZ8"/>
      <c r="PWA8"/>
      <c r="PWB8"/>
      <c r="PWC8"/>
      <c r="PWD8"/>
      <c r="PWE8"/>
      <c r="PWF8"/>
      <c r="PWG8"/>
      <c r="PWH8"/>
      <c r="PWI8"/>
      <c r="PWJ8"/>
      <c r="PWK8"/>
      <c r="PWL8"/>
      <c r="PWM8"/>
      <c r="PWN8"/>
      <c r="PWO8"/>
      <c r="PWP8"/>
      <c r="PWQ8"/>
      <c r="PWR8"/>
      <c r="PWS8"/>
      <c r="PWT8"/>
      <c r="PWU8"/>
      <c r="PWV8"/>
      <c r="PWW8"/>
      <c r="PWX8"/>
      <c r="PWY8"/>
      <c r="PWZ8"/>
      <c r="PXA8"/>
      <c r="PXB8"/>
      <c r="PXC8"/>
      <c r="PXD8"/>
      <c r="PXE8"/>
      <c r="PXF8"/>
      <c r="PXG8"/>
      <c r="PXH8"/>
      <c r="PXI8"/>
      <c r="PXJ8"/>
      <c r="PXK8"/>
      <c r="PXL8"/>
      <c r="PXM8"/>
      <c r="PXN8"/>
      <c r="PXO8"/>
      <c r="PXP8"/>
      <c r="PXQ8"/>
      <c r="PXR8"/>
      <c r="PXS8"/>
      <c r="PXT8"/>
      <c r="PXU8"/>
      <c r="PXV8"/>
      <c r="PXW8"/>
      <c r="PXX8"/>
      <c r="PXY8"/>
      <c r="PXZ8"/>
      <c r="PYA8"/>
      <c r="PYB8"/>
      <c r="PYC8"/>
      <c r="PYD8"/>
      <c r="PYE8"/>
      <c r="PYF8"/>
      <c r="PYG8"/>
      <c r="PYH8"/>
      <c r="PYI8"/>
      <c r="PYJ8"/>
      <c r="PYK8"/>
      <c r="PYL8"/>
      <c r="PYM8"/>
      <c r="PYN8"/>
      <c r="PYO8"/>
      <c r="PYP8"/>
      <c r="PYQ8"/>
      <c r="PYR8"/>
      <c r="PYS8"/>
      <c r="PYT8"/>
      <c r="PYU8"/>
      <c r="PYV8"/>
      <c r="PYW8"/>
      <c r="PYX8"/>
      <c r="PYY8"/>
      <c r="PYZ8"/>
      <c r="PZA8"/>
      <c r="PZB8"/>
      <c r="PZC8"/>
      <c r="PZD8"/>
      <c r="PZE8"/>
      <c r="PZF8"/>
      <c r="PZG8"/>
      <c r="PZH8"/>
      <c r="PZI8"/>
      <c r="PZJ8"/>
      <c r="PZK8"/>
      <c r="PZL8"/>
      <c r="PZM8"/>
      <c r="PZN8"/>
      <c r="PZO8"/>
      <c r="PZP8"/>
      <c r="PZQ8"/>
      <c r="PZR8"/>
      <c r="PZS8"/>
      <c r="PZT8"/>
      <c r="PZU8"/>
      <c r="PZV8"/>
      <c r="PZW8"/>
      <c r="PZX8"/>
      <c r="PZY8"/>
      <c r="PZZ8"/>
      <c r="QAA8"/>
      <c r="QAB8"/>
      <c r="QAC8"/>
      <c r="QAD8"/>
      <c r="QAE8"/>
      <c r="QAF8"/>
      <c r="QAG8"/>
      <c r="QAH8"/>
      <c r="QAI8"/>
      <c r="QAJ8"/>
      <c r="QAK8"/>
      <c r="QAL8"/>
      <c r="QAM8"/>
      <c r="QAN8"/>
      <c r="QAO8"/>
      <c r="QAP8"/>
      <c r="QAQ8"/>
      <c r="QAR8"/>
      <c r="QAS8"/>
      <c r="QAT8"/>
      <c r="QAU8"/>
      <c r="QAV8"/>
      <c r="QAW8"/>
      <c r="QAX8"/>
      <c r="QAY8"/>
      <c r="QAZ8"/>
      <c r="QBA8"/>
      <c r="QBB8"/>
      <c r="QBC8"/>
      <c r="QBD8"/>
      <c r="QBE8"/>
      <c r="QBF8"/>
      <c r="QBG8"/>
      <c r="QBH8"/>
      <c r="QBI8"/>
      <c r="QBJ8"/>
      <c r="QBK8"/>
      <c r="QBL8"/>
      <c r="QBM8"/>
      <c r="QBN8"/>
      <c r="QBO8"/>
      <c r="QBP8"/>
      <c r="QBQ8"/>
      <c r="QBR8"/>
      <c r="QBS8"/>
      <c r="QBT8"/>
      <c r="QBU8"/>
      <c r="QBV8"/>
      <c r="QBW8"/>
      <c r="QBX8"/>
      <c r="QBY8"/>
      <c r="QBZ8"/>
      <c r="QCA8"/>
      <c r="QCB8"/>
      <c r="QCC8"/>
      <c r="QCD8"/>
      <c r="QCE8"/>
      <c r="QCF8"/>
      <c r="QCG8"/>
      <c r="QCH8"/>
      <c r="QCI8"/>
      <c r="QCJ8"/>
      <c r="QCK8"/>
      <c r="QCL8"/>
      <c r="QCM8"/>
      <c r="QCN8"/>
      <c r="QCO8"/>
      <c r="QCP8"/>
      <c r="QCQ8"/>
      <c r="QCR8"/>
      <c r="QCS8"/>
      <c r="QCT8"/>
      <c r="QCU8"/>
      <c r="QCV8"/>
      <c r="QCW8"/>
      <c r="QCX8"/>
      <c r="QCY8"/>
      <c r="QCZ8"/>
      <c r="QDA8"/>
      <c r="QDB8"/>
      <c r="QDC8"/>
      <c r="QDD8"/>
      <c r="QDE8"/>
      <c r="QDF8"/>
      <c r="QDG8"/>
      <c r="QDH8"/>
      <c r="QDI8"/>
      <c r="QDJ8"/>
      <c r="QDK8"/>
      <c r="QDL8"/>
      <c r="QDM8"/>
      <c r="QDN8"/>
      <c r="QDO8"/>
      <c r="QDP8"/>
      <c r="QDQ8"/>
      <c r="QDR8"/>
      <c r="QDS8"/>
      <c r="QDT8"/>
      <c r="QDU8"/>
      <c r="QDV8"/>
      <c r="QDW8"/>
      <c r="QDX8"/>
      <c r="QDY8"/>
      <c r="QDZ8"/>
      <c r="QEA8"/>
      <c r="QEB8"/>
      <c r="QEC8"/>
      <c r="QED8"/>
      <c r="QEE8"/>
      <c r="QEF8"/>
      <c r="QEG8"/>
      <c r="QEH8"/>
      <c r="QEI8"/>
      <c r="QEJ8"/>
      <c r="QEK8"/>
      <c r="QEL8"/>
      <c r="QEM8"/>
      <c r="QEN8"/>
      <c r="QEO8"/>
      <c r="QEP8"/>
      <c r="QEQ8"/>
      <c r="QER8"/>
      <c r="QES8"/>
      <c r="QET8"/>
      <c r="QEU8"/>
      <c r="QEV8"/>
      <c r="QEW8"/>
      <c r="QEX8"/>
      <c r="QEY8"/>
      <c r="QEZ8"/>
      <c r="QFA8"/>
      <c r="QFB8"/>
      <c r="QFC8"/>
      <c r="QFD8"/>
      <c r="QFE8"/>
      <c r="QFF8"/>
      <c r="QFG8"/>
      <c r="QFH8"/>
      <c r="QFI8"/>
      <c r="QFJ8"/>
      <c r="QFK8"/>
      <c r="QFL8"/>
      <c r="QFM8"/>
      <c r="QFN8"/>
      <c r="QFO8"/>
      <c r="QFP8"/>
      <c r="QFQ8"/>
      <c r="QFR8"/>
      <c r="QFS8"/>
      <c r="QFT8"/>
      <c r="QFU8"/>
      <c r="QFV8"/>
      <c r="QFW8"/>
      <c r="QFX8"/>
      <c r="QFY8"/>
      <c r="QFZ8"/>
      <c r="QGA8"/>
      <c r="QGB8"/>
      <c r="QGC8"/>
      <c r="QGD8"/>
      <c r="QGE8"/>
      <c r="QGF8"/>
      <c r="QGG8"/>
      <c r="QGH8"/>
      <c r="QGI8"/>
      <c r="QGJ8"/>
      <c r="QGK8"/>
      <c r="QGL8"/>
      <c r="QGM8"/>
      <c r="QGN8"/>
      <c r="QGO8"/>
      <c r="QGP8"/>
      <c r="QGQ8"/>
      <c r="QGR8"/>
      <c r="QGS8"/>
      <c r="QGT8"/>
      <c r="QGU8"/>
      <c r="QGV8"/>
      <c r="QGW8"/>
      <c r="QGX8"/>
      <c r="QGY8"/>
      <c r="QGZ8"/>
      <c r="QHA8"/>
      <c r="QHB8"/>
      <c r="QHC8"/>
      <c r="QHD8"/>
      <c r="QHE8"/>
      <c r="QHF8"/>
      <c r="QHG8"/>
      <c r="QHH8"/>
      <c r="QHI8"/>
      <c r="QHJ8"/>
      <c r="QHK8"/>
      <c r="QHL8"/>
      <c r="QHM8"/>
      <c r="QHN8"/>
      <c r="QHO8"/>
      <c r="QHP8"/>
      <c r="QHQ8"/>
      <c r="QHR8"/>
      <c r="QHS8"/>
      <c r="QHT8"/>
      <c r="QHU8"/>
      <c r="QHV8"/>
      <c r="QHW8"/>
      <c r="QHX8"/>
      <c r="QHY8"/>
      <c r="QHZ8"/>
      <c r="QIA8"/>
      <c r="QIB8"/>
      <c r="QIC8"/>
      <c r="QID8"/>
      <c r="QIE8"/>
      <c r="QIF8"/>
      <c r="QIG8"/>
      <c r="QIH8"/>
      <c r="QII8"/>
      <c r="QIJ8"/>
      <c r="QIK8"/>
      <c r="QIL8"/>
      <c r="QIM8"/>
      <c r="QIN8"/>
      <c r="QIO8"/>
      <c r="QIP8"/>
      <c r="QIQ8"/>
      <c r="QIR8"/>
      <c r="QIS8"/>
      <c r="QIT8"/>
      <c r="QIU8"/>
      <c r="QIV8"/>
      <c r="QIW8"/>
      <c r="QIX8"/>
      <c r="QIY8"/>
      <c r="QIZ8"/>
      <c r="QJA8"/>
      <c r="QJB8"/>
      <c r="QJC8"/>
      <c r="QJD8"/>
      <c r="QJE8"/>
      <c r="QJF8"/>
      <c r="QJG8"/>
      <c r="QJH8"/>
      <c r="QJI8"/>
      <c r="QJJ8"/>
      <c r="QJK8"/>
      <c r="QJL8"/>
      <c r="QJM8"/>
      <c r="QJN8"/>
      <c r="QJO8"/>
      <c r="QJP8"/>
      <c r="QJQ8"/>
      <c r="QJR8"/>
      <c r="QJS8"/>
      <c r="QJT8"/>
      <c r="QJU8"/>
      <c r="QJV8"/>
      <c r="QJW8"/>
      <c r="QJX8"/>
      <c r="QJY8"/>
      <c r="QJZ8"/>
      <c r="QKA8"/>
      <c r="QKB8"/>
      <c r="QKC8"/>
      <c r="QKD8"/>
      <c r="QKE8"/>
      <c r="QKF8"/>
      <c r="QKG8"/>
      <c r="QKH8"/>
      <c r="QKI8"/>
      <c r="QKJ8"/>
      <c r="QKK8"/>
      <c r="QKL8"/>
      <c r="QKM8"/>
      <c r="QKN8"/>
      <c r="QKO8"/>
      <c r="QKP8"/>
      <c r="QKQ8"/>
      <c r="QKR8"/>
      <c r="QKS8"/>
      <c r="QKT8"/>
      <c r="QKU8"/>
      <c r="QKV8"/>
      <c r="QKW8"/>
      <c r="QKX8"/>
      <c r="QKY8"/>
      <c r="QKZ8"/>
      <c r="QLA8"/>
      <c r="QLB8"/>
      <c r="QLC8"/>
      <c r="QLD8"/>
      <c r="QLE8"/>
      <c r="QLF8"/>
      <c r="QLG8"/>
      <c r="QLH8"/>
      <c r="QLI8"/>
      <c r="QLJ8"/>
      <c r="QLK8"/>
      <c r="QLL8"/>
      <c r="QLM8"/>
      <c r="QLN8"/>
      <c r="QLO8"/>
      <c r="QLP8"/>
      <c r="QLQ8"/>
      <c r="QLR8"/>
      <c r="QLS8"/>
      <c r="QLT8"/>
      <c r="QLU8"/>
      <c r="QLV8"/>
      <c r="QLW8"/>
      <c r="QLX8"/>
      <c r="QLY8"/>
      <c r="QLZ8"/>
      <c r="QMA8"/>
      <c r="QMB8"/>
      <c r="QMC8"/>
      <c r="QMD8"/>
      <c r="QME8"/>
      <c r="QMF8"/>
      <c r="QMG8"/>
      <c r="QMH8"/>
      <c r="QMI8"/>
      <c r="QMJ8"/>
      <c r="QMK8"/>
      <c r="QML8"/>
      <c r="QMM8"/>
      <c r="QMN8"/>
      <c r="QMO8"/>
      <c r="QMP8"/>
      <c r="QMQ8"/>
      <c r="QMR8"/>
      <c r="QMS8"/>
      <c r="QMT8"/>
      <c r="QMU8"/>
      <c r="QMV8"/>
      <c r="QMW8"/>
      <c r="QMX8"/>
      <c r="QMY8"/>
      <c r="QMZ8"/>
      <c r="QNA8"/>
      <c r="QNB8"/>
      <c r="QNC8"/>
      <c r="QND8"/>
      <c r="QNE8"/>
      <c r="QNF8"/>
      <c r="QNG8"/>
      <c r="QNH8"/>
      <c r="QNI8"/>
      <c r="QNJ8"/>
      <c r="QNK8"/>
      <c r="QNL8"/>
      <c r="QNM8"/>
      <c r="QNN8"/>
      <c r="QNO8"/>
      <c r="QNP8"/>
      <c r="QNQ8"/>
      <c r="QNR8"/>
      <c r="QNS8"/>
      <c r="QNT8"/>
      <c r="QNU8"/>
      <c r="QNV8"/>
      <c r="QNW8"/>
      <c r="QNX8"/>
      <c r="QNY8"/>
      <c r="QNZ8"/>
      <c r="QOA8"/>
      <c r="QOB8"/>
      <c r="QOC8"/>
      <c r="QOD8"/>
      <c r="QOE8"/>
      <c r="QOF8"/>
      <c r="QOG8"/>
      <c r="QOH8"/>
      <c r="QOI8"/>
      <c r="QOJ8"/>
      <c r="QOK8"/>
      <c r="QOL8"/>
      <c r="QOM8"/>
      <c r="QON8"/>
      <c r="QOO8"/>
      <c r="QOP8"/>
      <c r="QOQ8"/>
      <c r="QOR8"/>
      <c r="QOS8"/>
      <c r="QOT8"/>
      <c r="QOU8"/>
      <c r="QOV8"/>
      <c r="QOW8"/>
      <c r="QOX8"/>
      <c r="QOY8"/>
      <c r="QOZ8"/>
      <c r="QPA8"/>
      <c r="QPB8"/>
      <c r="QPC8"/>
      <c r="QPD8"/>
      <c r="QPE8"/>
      <c r="QPF8"/>
      <c r="QPG8"/>
      <c r="QPH8"/>
      <c r="QPI8"/>
      <c r="QPJ8"/>
      <c r="QPK8"/>
      <c r="QPL8"/>
      <c r="QPM8"/>
      <c r="QPN8"/>
      <c r="QPO8"/>
      <c r="QPP8"/>
      <c r="QPQ8"/>
      <c r="QPR8"/>
      <c r="QPS8"/>
      <c r="QPT8"/>
      <c r="QPU8"/>
      <c r="QPV8"/>
      <c r="QPW8"/>
      <c r="QPX8"/>
      <c r="QPY8"/>
      <c r="QPZ8"/>
      <c r="QQA8"/>
      <c r="QQB8"/>
      <c r="QQC8"/>
      <c r="QQD8"/>
      <c r="QQE8"/>
      <c r="QQF8"/>
      <c r="QQG8"/>
      <c r="QQH8"/>
      <c r="QQI8"/>
      <c r="QQJ8"/>
      <c r="QQK8"/>
      <c r="QQL8"/>
      <c r="QQM8"/>
      <c r="QQN8"/>
      <c r="QQO8"/>
      <c r="QQP8"/>
      <c r="QQQ8"/>
      <c r="QQR8"/>
      <c r="QQS8"/>
      <c r="QQT8"/>
      <c r="QQU8"/>
      <c r="QQV8"/>
      <c r="QQW8"/>
      <c r="QQX8"/>
      <c r="QQY8"/>
      <c r="QQZ8"/>
      <c r="QRA8"/>
      <c r="QRB8"/>
      <c r="QRC8"/>
      <c r="QRD8"/>
      <c r="QRE8"/>
      <c r="QRF8"/>
      <c r="QRG8"/>
      <c r="QRH8"/>
      <c r="QRI8"/>
      <c r="QRJ8"/>
      <c r="QRK8"/>
      <c r="QRL8"/>
      <c r="QRM8"/>
      <c r="QRN8"/>
      <c r="QRO8"/>
      <c r="QRP8"/>
      <c r="QRQ8"/>
      <c r="QRR8"/>
      <c r="QRS8"/>
      <c r="QRT8"/>
      <c r="QRU8"/>
      <c r="QRV8"/>
      <c r="QRW8"/>
      <c r="QRX8"/>
      <c r="QRY8"/>
      <c r="QRZ8"/>
      <c r="QSA8"/>
      <c r="QSB8"/>
      <c r="QSC8"/>
      <c r="QSD8"/>
      <c r="QSE8"/>
      <c r="QSF8"/>
      <c r="QSG8"/>
      <c r="QSH8"/>
      <c r="QSI8"/>
      <c r="QSJ8"/>
      <c r="QSK8"/>
      <c r="QSL8"/>
      <c r="QSM8"/>
      <c r="QSN8"/>
      <c r="QSO8"/>
      <c r="QSP8"/>
      <c r="QSQ8"/>
      <c r="QSR8"/>
      <c r="QSS8"/>
      <c r="QST8"/>
      <c r="QSU8"/>
      <c r="QSV8"/>
      <c r="QSW8"/>
      <c r="QSX8"/>
      <c r="QSY8"/>
      <c r="QSZ8"/>
      <c r="QTA8"/>
      <c r="QTB8"/>
      <c r="QTC8"/>
      <c r="QTD8"/>
      <c r="QTE8"/>
      <c r="QTF8"/>
      <c r="QTG8"/>
      <c r="QTH8"/>
      <c r="QTI8"/>
      <c r="QTJ8"/>
      <c r="QTK8"/>
      <c r="QTL8"/>
      <c r="QTM8"/>
      <c r="QTN8"/>
      <c r="QTO8"/>
      <c r="QTP8"/>
      <c r="QTQ8"/>
      <c r="QTR8"/>
      <c r="QTS8"/>
      <c r="QTT8"/>
      <c r="QTU8"/>
      <c r="QTV8"/>
      <c r="QTW8"/>
      <c r="QTX8"/>
      <c r="QTY8"/>
      <c r="QTZ8"/>
      <c r="QUA8"/>
      <c r="QUB8"/>
      <c r="QUC8"/>
      <c r="QUD8"/>
      <c r="QUE8"/>
      <c r="QUF8"/>
      <c r="QUG8"/>
      <c r="QUH8"/>
      <c r="QUI8"/>
      <c r="QUJ8"/>
      <c r="QUK8"/>
      <c r="QUL8"/>
      <c r="QUM8"/>
      <c r="QUN8"/>
      <c r="QUO8"/>
      <c r="QUP8"/>
      <c r="QUQ8"/>
      <c r="QUR8"/>
      <c r="QUS8"/>
      <c r="QUT8"/>
      <c r="QUU8"/>
      <c r="QUV8"/>
      <c r="QUW8"/>
      <c r="QUX8"/>
      <c r="QUY8"/>
      <c r="QUZ8"/>
      <c r="QVA8"/>
      <c r="QVB8"/>
      <c r="QVC8"/>
      <c r="QVD8"/>
      <c r="QVE8"/>
      <c r="QVF8"/>
      <c r="QVG8"/>
      <c r="QVH8"/>
      <c r="QVI8"/>
      <c r="QVJ8"/>
      <c r="QVK8"/>
      <c r="QVL8"/>
      <c r="QVM8"/>
      <c r="QVN8"/>
      <c r="QVO8"/>
      <c r="QVP8"/>
      <c r="QVQ8"/>
      <c r="QVR8"/>
      <c r="QVS8"/>
      <c r="QVT8"/>
      <c r="QVU8"/>
      <c r="QVV8"/>
      <c r="QVW8"/>
      <c r="QVX8"/>
      <c r="QVY8"/>
      <c r="QVZ8"/>
      <c r="QWA8"/>
      <c r="QWB8"/>
      <c r="QWC8"/>
      <c r="QWD8"/>
      <c r="QWE8"/>
      <c r="QWF8"/>
      <c r="QWG8"/>
      <c r="QWH8"/>
      <c r="QWI8"/>
      <c r="QWJ8"/>
      <c r="QWK8"/>
      <c r="QWL8"/>
      <c r="QWM8"/>
      <c r="QWN8"/>
      <c r="QWO8"/>
      <c r="QWP8"/>
      <c r="QWQ8"/>
      <c r="QWR8"/>
      <c r="QWS8"/>
      <c r="QWT8"/>
      <c r="QWU8"/>
      <c r="QWV8"/>
      <c r="QWW8"/>
      <c r="QWX8"/>
      <c r="QWY8"/>
      <c r="QWZ8"/>
      <c r="QXA8"/>
      <c r="QXB8"/>
      <c r="QXC8"/>
      <c r="QXD8"/>
      <c r="QXE8"/>
      <c r="QXF8"/>
      <c r="QXG8"/>
      <c r="QXH8"/>
      <c r="QXI8"/>
      <c r="QXJ8"/>
      <c r="QXK8"/>
      <c r="QXL8"/>
      <c r="QXM8"/>
      <c r="QXN8"/>
      <c r="QXO8"/>
      <c r="QXP8"/>
      <c r="QXQ8"/>
      <c r="QXR8"/>
      <c r="QXS8"/>
      <c r="QXT8"/>
      <c r="QXU8"/>
      <c r="QXV8"/>
      <c r="QXW8"/>
      <c r="QXX8"/>
      <c r="QXY8"/>
      <c r="QXZ8"/>
      <c r="QYA8"/>
      <c r="QYB8"/>
      <c r="QYC8"/>
      <c r="QYD8"/>
      <c r="QYE8"/>
      <c r="QYF8"/>
      <c r="QYG8"/>
      <c r="QYH8"/>
      <c r="QYI8"/>
      <c r="QYJ8"/>
      <c r="QYK8"/>
      <c r="QYL8"/>
      <c r="QYM8"/>
      <c r="QYN8"/>
      <c r="QYO8"/>
      <c r="QYP8"/>
      <c r="QYQ8"/>
      <c r="QYR8"/>
      <c r="QYS8"/>
      <c r="QYT8"/>
      <c r="QYU8"/>
      <c r="QYV8"/>
      <c r="QYW8"/>
      <c r="QYX8"/>
      <c r="QYY8"/>
      <c r="QYZ8"/>
      <c r="QZA8"/>
      <c r="QZB8"/>
      <c r="QZC8"/>
      <c r="QZD8"/>
      <c r="QZE8"/>
      <c r="QZF8"/>
      <c r="QZG8"/>
      <c r="QZH8"/>
      <c r="QZI8"/>
      <c r="QZJ8"/>
      <c r="QZK8"/>
      <c r="QZL8"/>
      <c r="QZM8"/>
      <c r="QZN8"/>
      <c r="QZO8"/>
      <c r="QZP8"/>
      <c r="QZQ8"/>
      <c r="QZR8"/>
      <c r="QZS8"/>
      <c r="QZT8"/>
      <c r="QZU8"/>
      <c r="QZV8"/>
      <c r="QZW8"/>
      <c r="QZX8"/>
      <c r="QZY8"/>
      <c r="QZZ8"/>
      <c r="RAA8"/>
      <c r="RAB8"/>
      <c r="RAC8"/>
      <c r="RAD8"/>
      <c r="RAE8"/>
      <c r="RAF8"/>
      <c r="RAG8"/>
      <c r="RAH8"/>
      <c r="RAI8"/>
      <c r="RAJ8"/>
      <c r="RAK8"/>
      <c r="RAL8"/>
      <c r="RAM8"/>
      <c r="RAN8"/>
      <c r="RAO8"/>
      <c r="RAP8"/>
      <c r="RAQ8"/>
      <c r="RAR8"/>
      <c r="RAS8"/>
      <c r="RAT8"/>
      <c r="RAU8"/>
      <c r="RAV8"/>
      <c r="RAW8"/>
      <c r="RAX8"/>
      <c r="RAY8"/>
      <c r="RAZ8"/>
      <c r="RBA8"/>
      <c r="RBB8"/>
      <c r="RBC8"/>
      <c r="RBD8"/>
      <c r="RBE8"/>
      <c r="RBF8"/>
      <c r="RBG8"/>
      <c r="RBH8"/>
      <c r="RBI8"/>
      <c r="RBJ8"/>
      <c r="RBK8"/>
      <c r="RBL8"/>
      <c r="RBM8"/>
      <c r="RBN8"/>
      <c r="RBO8"/>
      <c r="RBP8"/>
      <c r="RBQ8"/>
      <c r="RBR8"/>
      <c r="RBS8"/>
      <c r="RBT8"/>
      <c r="RBU8"/>
      <c r="RBV8"/>
      <c r="RBW8"/>
      <c r="RBX8"/>
      <c r="RBY8"/>
      <c r="RBZ8"/>
      <c r="RCA8"/>
      <c r="RCB8"/>
      <c r="RCC8"/>
      <c r="RCD8"/>
      <c r="RCE8"/>
      <c r="RCF8"/>
      <c r="RCG8"/>
      <c r="RCH8"/>
      <c r="RCI8"/>
      <c r="RCJ8"/>
      <c r="RCK8"/>
      <c r="RCL8"/>
      <c r="RCM8"/>
      <c r="RCN8"/>
      <c r="RCO8"/>
      <c r="RCP8"/>
      <c r="RCQ8"/>
      <c r="RCR8"/>
      <c r="RCS8"/>
      <c r="RCT8"/>
      <c r="RCU8"/>
      <c r="RCV8"/>
      <c r="RCW8"/>
      <c r="RCX8"/>
      <c r="RCY8"/>
      <c r="RCZ8"/>
      <c r="RDA8"/>
      <c r="RDB8"/>
      <c r="RDC8"/>
      <c r="RDD8"/>
      <c r="RDE8"/>
      <c r="RDF8"/>
      <c r="RDG8"/>
      <c r="RDH8"/>
      <c r="RDI8"/>
      <c r="RDJ8"/>
      <c r="RDK8"/>
      <c r="RDL8"/>
      <c r="RDM8"/>
      <c r="RDN8"/>
      <c r="RDO8"/>
      <c r="RDP8"/>
      <c r="RDQ8"/>
      <c r="RDR8"/>
      <c r="RDS8"/>
      <c r="RDT8"/>
      <c r="RDU8"/>
      <c r="RDV8"/>
      <c r="RDW8"/>
      <c r="RDX8"/>
      <c r="RDY8"/>
      <c r="RDZ8"/>
      <c r="REA8"/>
      <c r="REB8"/>
      <c r="REC8"/>
      <c r="RED8"/>
      <c r="REE8"/>
      <c r="REF8"/>
      <c r="REG8"/>
      <c r="REH8"/>
      <c r="REI8"/>
      <c r="REJ8"/>
      <c r="REK8"/>
      <c r="REL8"/>
      <c r="REM8"/>
      <c r="REN8"/>
      <c r="REO8"/>
      <c r="REP8"/>
      <c r="REQ8"/>
      <c r="RER8"/>
      <c r="RES8"/>
      <c r="RET8"/>
      <c r="REU8"/>
      <c r="REV8"/>
      <c r="REW8"/>
      <c r="REX8"/>
      <c r="REY8"/>
      <c r="REZ8"/>
      <c r="RFA8"/>
      <c r="RFB8"/>
      <c r="RFC8"/>
      <c r="RFD8"/>
      <c r="RFE8"/>
      <c r="RFF8"/>
      <c r="RFG8"/>
      <c r="RFH8"/>
      <c r="RFI8"/>
      <c r="RFJ8"/>
      <c r="RFK8"/>
      <c r="RFL8"/>
      <c r="RFM8"/>
      <c r="RFN8"/>
      <c r="RFO8"/>
      <c r="RFP8"/>
      <c r="RFQ8"/>
      <c r="RFR8"/>
      <c r="RFS8"/>
      <c r="RFT8"/>
      <c r="RFU8"/>
      <c r="RFV8"/>
      <c r="RFW8"/>
      <c r="RFX8"/>
      <c r="RFY8"/>
      <c r="RFZ8"/>
      <c r="RGA8"/>
      <c r="RGB8"/>
      <c r="RGC8"/>
      <c r="RGD8"/>
      <c r="RGE8"/>
      <c r="RGF8"/>
      <c r="RGG8"/>
      <c r="RGH8"/>
      <c r="RGI8"/>
      <c r="RGJ8"/>
      <c r="RGK8"/>
      <c r="RGL8"/>
      <c r="RGM8"/>
      <c r="RGN8"/>
      <c r="RGO8"/>
      <c r="RGP8"/>
      <c r="RGQ8"/>
      <c r="RGR8"/>
      <c r="RGS8"/>
      <c r="RGT8"/>
      <c r="RGU8"/>
      <c r="RGV8"/>
      <c r="RGW8"/>
      <c r="RGX8"/>
      <c r="RGY8"/>
      <c r="RGZ8"/>
      <c r="RHA8"/>
      <c r="RHB8"/>
      <c r="RHC8"/>
      <c r="RHD8"/>
      <c r="RHE8"/>
      <c r="RHF8"/>
      <c r="RHG8"/>
      <c r="RHH8"/>
      <c r="RHI8"/>
      <c r="RHJ8"/>
      <c r="RHK8"/>
      <c r="RHL8"/>
      <c r="RHM8"/>
      <c r="RHN8"/>
      <c r="RHO8"/>
      <c r="RHP8"/>
      <c r="RHQ8"/>
      <c r="RHR8"/>
      <c r="RHS8"/>
      <c r="RHT8"/>
      <c r="RHU8"/>
      <c r="RHV8"/>
      <c r="RHW8"/>
      <c r="RHX8"/>
      <c r="RHY8"/>
      <c r="RHZ8"/>
      <c r="RIA8"/>
      <c r="RIB8"/>
      <c r="RIC8"/>
      <c r="RID8"/>
      <c r="RIE8"/>
      <c r="RIF8"/>
      <c r="RIG8"/>
      <c r="RIH8"/>
      <c r="RII8"/>
      <c r="RIJ8"/>
      <c r="RIK8"/>
      <c r="RIL8"/>
      <c r="RIM8"/>
      <c r="RIN8"/>
      <c r="RIO8"/>
      <c r="RIP8"/>
      <c r="RIQ8"/>
      <c r="RIR8"/>
      <c r="RIS8"/>
      <c r="RIT8"/>
      <c r="RIU8"/>
      <c r="RIV8"/>
      <c r="RIW8"/>
      <c r="RIX8"/>
      <c r="RIY8"/>
      <c r="RIZ8"/>
      <c r="RJA8"/>
      <c r="RJB8"/>
      <c r="RJC8"/>
      <c r="RJD8"/>
      <c r="RJE8"/>
      <c r="RJF8"/>
      <c r="RJG8"/>
      <c r="RJH8"/>
      <c r="RJI8"/>
      <c r="RJJ8"/>
      <c r="RJK8"/>
      <c r="RJL8"/>
      <c r="RJM8"/>
      <c r="RJN8"/>
      <c r="RJO8"/>
      <c r="RJP8"/>
      <c r="RJQ8"/>
      <c r="RJR8"/>
      <c r="RJS8"/>
      <c r="RJT8"/>
      <c r="RJU8"/>
      <c r="RJV8"/>
      <c r="RJW8"/>
      <c r="RJX8"/>
      <c r="RJY8"/>
      <c r="RJZ8"/>
      <c r="RKA8"/>
      <c r="RKB8"/>
      <c r="RKC8"/>
      <c r="RKD8"/>
      <c r="RKE8"/>
      <c r="RKF8"/>
      <c r="RKG8"/>
      <c r="RKH8"/>
      <c r="RKI8"/>
      <c r="RKJ8"/>
      <c r="RKK8"/>
      <c r="RKL8"/>
      <c r="RKM8"/>
      <c r="RKN8"/>
      <c r="RKO8"/>
      <c r="RKP8"/>
      <c r="RKQ8"/>
      <c r="RKR8"/>
      <c r="RKS8"/>
      <c r="RKT8"/>
      <c r="RKU8"/>
      <c r="RKV8"/>
      <c r="RKW8"/>
      <c r="RKX8"/>
      <c r="RKY8"/>
      <c r="RKZ8"/>
      <c r="RLA8"/>
      <c r="RLB8"/>
      <c r="RLC8"/>
      <c r="RLD8"/>
      <c r="RLE8"/>
      <c r="RLF8"/>
      <c r="RLG8"/>
      <c r="RLH8"/>
      <c r="RLI8"/>
      <c r="RLJ8"/>
      <c r="RLK8"/>
      <c r="RLL8"/>
      <c r="RLM8"/>
      <c r="RLN8"/>
      <c r="RLO8"/>
      <c r="RLP8"/>
      <c r="RLQ8"/>
      <c r="RLR8"/>
      <c r="RLS8"/>
      <c r="RLT8"/>
      <c r="RLU8"/>
      <c r="RLV8"/>
      <c r="RLW8"/>
      <c r="RLX8"/>
      <c r="RLY8"/>
      <c r="RLZ8"/>
      <c r="RMA8"/>
      <c r="RMB8"/>
      <c r="RMC8"/>
      <c r="RMD8"/>
      <c r="RME8"/>
      <c r="RMF8"/>
      <c r="RMG8"/>
      <c r="RMH8"/>
      <c r="RMI8"/>
      <c r="RMJ8"/>
      <c r="RMK8"/>
      <c r="RML8"/>
      <c r="RMM8"/>
      <c r="RMN8"/>
      <c r="RMO8"/>
      <c r="RMP8"/>
      <c r="RMQ8"/>
      <c r="RMR8"/>
      <c r="RMS8"/>
      <c r="RMT8"/>
      <c r="RMU8"/>
      <c r="RMV8"/>
      <c r="RMW8"/>
      <c r="RMX8"/>
      <c r="RMY8"/>
      <c r="RMZ8"/>
      <c r="RNA8"/>
      <c r="RNB8"/>
      <c r="RNC8"/>
      <c r="RND8"/>
      <c r="RNE8"/>
      <c r="RNF8"/>
      <c r="RNG8"/>
      <c r="RNH8"/>
      <c r="RNI8"/>
      <c r="RNJ8"/>
      <c r="RNK8"/>
      <c r="RNL8"/>
      <c r="RNM8"/>
      <c r="RNN8"/>
      <c r="RNO8"/>
      <c r="RNP8"/>
      <c r="RNQ8"/>
      <c r="RNR8"/>
      <c r="RNS8"/>
      <c r="RNT8"/>
      <c r="RNU8"/>
      <c r="RNV8"/>
      <c r="RNW8"/>
      <c r="RNX8"/>
      <c r="RNY8"/>
      <c r="RNZ8"/>
      <c r="ROA8"/>
      <c r="ROB8"/>
      <c r="ROC8"/>
      <c r="ROD8"/>
      <c r="ROE8"/>
      <c r="ROF8"/>
      <c r="ROG8"/>
      <c r="ROH8"/>
      <c r="ROI8"/>
      <c r="ROJ8"/>
      <c r="ROK8"/>
      <c r="ROL8"/>
      <c r="ROM8"/>
      <c r="RON8"/>
      <c r="ROO8"/>
      <c r="ROP8"/>
      <c r="ROQ8"/>
      <c r="ROR8"/>
      <c r="ROS8"/>
      <c r="ROT8"/>
      <c r="ROU8"/>
      <c r="ROV8"/>
      <c r="ROW8"/>
      <c r="ROX8"/>
      <c r="ROY8"/>
      <c r="ROZ8"/>
      <c r="RPA8"/>
      <c r="RPB8"/>
      <c r="RPC8"/>
      <c r="RPD8"/>
      <c r="RPE8"/>
      <c r="RPF8"/>
      <c r="RPG8"/>
      <c r="RPH8"/>
      <c r="RPI8"/>
      <c r="RPJ8"/>
      <c r="RPK8"/>
      <c r="RPL8"/>
      <c r="RPM8"/>
      <c r="RPN8"/>
      <c r="RPO8"/>
      <c r="RPP8"/>
      <c r="RPQ8"/>
      <c r="RPR8"/>
      <c r="RPS8"/>
      <c r="RPT8"/>
      <c r="RPU8"/>
      <c r="RPV8"/>
      <c r="RPW8"/>
      <c r="RPX8"/>
      <c r="RPY8"/>
      <c r="RPZ8"/>
      <c r="RQA8"/>
      <c r="RQB8"/>
      <c r="RQC8"/>
      <c r="RQD8"/>
      <c r="RQE8"/>
      <c r="RQF8"/>
      <c r="RQG8"/>
      <c r="RQH8"/>
      <c r="RQI8"/>
      <c r="RQJ8"/>
      <c r="RQK8"/>
      <c r="RQL8"/>
      <c r="RQM8"/>
      <c r="RQN8"/>
      <c r="RQO8"/>
      <c r="RQP8"/>
      <c r="RQQ8"/>
      <c r="RQR8"/>
      <c r="RQS8"/>
      <c r="RQT8"/>
      <c r="RQU8"/>
      <c r="RQV8"/>
      <c r="RQW8"/>
      <c r="RQX8"/>
      <c r="RQY8"/>
      <c r="RQZ8"/>
      <c r="RRA8"/>
      <c r="RRB8"/>
      <c r="RRC8"/>
      <c r="RRD8"/>
      <c r="RRE8"/>
      <c r="RRF8"/>
      <c r="RRG8"/>
      <c r="RRH8"/>
      <c r="RRI8"/>
      <c r="RRJ8"/>
      <c r="RRK8"/>
      <c r="RRL8"/>
      <c r="RRM8"/>
      <c r="RRN8"/>
      <c r="RRO8"/>
      <c r="RRP8"/>
      <c r="RRQ8"/>
      <c r="RRR8"/>
      <c r="RRS8"/>
      <c r="RRT8"/>
      <c r="RRU8"/>
      <c r="RRV8"/>
      <c r="RRW8"/>
      <c r="RRX8"/>
      <c r="RRY8"/>
      <c r="RRZ8"/>
      <c r="RSA8"/>
      <c r="RSB8"/>
      <c r="RSC8"/>
      <c r="RSD8"/>
      <c r="RSE8"/>
      <c r="RSF8"/>
      <c r="RSG8"/>
      <c r="RSH8"/>
      <c r="RSI8"/>
      <c r="RSJ8"/>
      <c r="RSK8"/>
      <c r="RSL8"/>
      <c r="RSM8"/>
      <c r="RSN8"/>
      <c r="RSO8"/>
      <c r="RSP8"/>
      <c r="RSQ8"/>
      <c r="RSR8"/>
      <c r="RSS8"/>
      <c r="RST8"/>
      <c r="RSU8"/>
      <c r="RSV8"/>
      <c r="RSW8"/>
      <c r="RSX8"/>
      <c r="RSY8"/>
      <c r="RSZ8"/>
      <c r="RTA8"/>
      <c r="RTB8"/>
      <c r="RTC8"/>
      <c r="RTD8"/>
      <c r="RTE8"/>
      <c r="RTF8"/>
      <c r="RTG8"/>
      <c r="RTH8"/>
      <c r="RTI8"/>
      <c r="RTJ8"/>
      <c r="RTK8"/>
      <c r="RTL8"/>
      <c r="RTM8"/>
      <c r="RTN8"/>
      <c r="RTO8"/>
      <c r="RTP8"/>
      <c r="RTQ8"/>
      <c r="RTR8"/>
      <c r="RTS8"/>
      <c r="RTT8"/>
      <c r="RTU8"/>
      <c r="RTV8"/>
      <c r="RTW8"/>
      <c r="RTX8"/>
      <c r="RTY8"/>
      <c r="RTZ8"/>
      <c r="RUA8"/>
      <c r="RUB8"/>
      <c r="RUC8"/>
      <c r="RUD8"/>
      <c r="RUE8"/>
      <c r="RUF8"/>
      <c r="RUG8"/>
      <c r="RUH8"/>
      <c r="RUI8"/>
      <c r="RUJ8"/>
      <c r="RUK8"/>
      <c r="RUL8"/>
      <c r="RUM8"/>
      <c r="RUN8"/>
      <c r="RUO8"/>
      <c r="RUP8"/>
      <c r="RUQ8"/>
      <c r="RUR8"/>
      <c r="RUS8"/>
      <c r="RUT8"/>
      <c r="RUU8"/>
      <c r="RUV8"/>
      <c r="RUW8"/>
      <c r="RUX8"/>
      <c r="RUY8"/>
      <c r="RUZ8"/>
      <c r="RVA8"/>
      <c r="RVB8"/>
      <c r="RVC8"/>
      <c r="RVD8"/>
      <c r="RVE8"/>
      <c r="RVF8"/>
      <c r="RVG8"/>
      <c r="RVH8"/>
      <c r="RVI8"/>
      <c r="RVJ8"/>
      <c r="RVK8"/>
      <c r="RVL8"/>
      <c r="RVM8"/>
      <c r="RVN8"/>
      <c r="RVO8"/>
      <c r="RVP8"/>
      <c r="RVQ8"/>
      <c r="RVR8"/>
      <c r="RVS8"/>
      <c r="RVT8"/>
      <c r="RVU8"/>
      <c r="RVV8"/>
      <c r="RVW8"/>
      <c r="RVX8"/>
      <c r="RVY8"/>
      <c r="RVZ8"/>
      <c r="RWA8"/>
      <c r="RWB8"/>
      <c r="RWC8"/>
      <c r="RWD8"/>
      <c r="RWE8"/>
      <c r="RWF8"/>
      <c r="RWG8"/>
      <c r="RWH8"/>
      <c r="RWI8"/>
      <c r="RWJ8"/>
      <c r="RWK8"/>
      <c r="RWL8"/>
      <c r="RWM8"/>
      <c r="RWN8"/>
      <c r="RWO8"/>
      <c r="RWP8"/>
      <c r="RWQ8"/>
      <c r="RWR8"/>
      <c r="RWS8"/>
      <c r="RWT8"/>
      <c r="RWU8"/>
      <c r="RWV8"/>
      <c r="RWW8"/>
      <c r="RWX8"/>
      <c r="RWY8"/>
      <c r="RWZ8"/>
      <c r="RXA8"/>
      <c r="RXB8"/>
      <c r="RXC8"/>
      <c r="RXD8"/>
      <c r="RXE8"/>
      <c r="RXF8"/>
      <c r="RXG8"/>
      <c r="RXH8"/>
      <c r="RXI8"/>
      <c r="RXJ8"/>
      <c r="RXK8"/>
      <c r="RXL8"/>
      <c r="RXM8"/>
      <c r="RXN8"/>
      <c r="RXO8"/>
      <c r="RXP8"/>
      <c r="RXQ8"/>
      <c r="RXR8"/>
      <c r="RXS8"/>
      <c r="RXT8"/>
      <c r="RXU8"/>
      <c r="RXV8"/>
      <c r="RXW8"/>
      <c r="RXX8"/>
      <c r="RXY8"/>
      <c r="RXZ8"/>
      <c r="RYA8"/>
      <c r="RYB8"/>
      <c r="RYC8"/>
      <c r="RYD8"/>
      <c r="RYE8"/>
      <c r="RYF8"/>
      <c r="RYG8"/>
      <c r="RYH8"/>
      <c r="RYI8"/>
      <c r="RYJ8"/>
      <c r="RYK8"/>
      <c r="RYL8"/>
      <c r="RYM8"/>
      <c r="RYN8"/>
      <c r="RYO8"/>
      <c r="RYP8"/>
      <c r="RYQ8"/>
      <c r="RYR8"/>
      <c r="RYS8"/>
      <c r="RYT8"/>
      <c r="RYU8"/>
      <c r="RYV8"/>
      <c r="RYW8"/>
      <c r="RYX8"/>
      <c r="RYY8"/>
      <c r="RYZ8"/>
      <c r="RZA8"/>
      <c r="RZB8"/>
      <c r="RZC8"/>
      <c r="RZD8"/>
      <c r="RZE8"/>
      <c r="RZF8"/>
      <c r="RZG8"/>
      <c r="RZH8"/>
      <c r="RZI8"/>
      <c r="RZJ8"/>
      <c r="RZK8"/>
      <c r="RZL8"/>
      <c r="RZM8"/>
      <c r="RZN8"/>
      <c r="RZO8"/>
      <c r="RZP8"/>
      <c r="RZQ8"/>
      <c r="RZR8"/>
      <c r="RZS8"/>
      <c r="RZT8"/>
      <c r="RZU8"/>
      <c r="RZV8"/>
      <c r="RZW8"/>
      <c r="RZX8"/>
      <c r="RZY8"/>
      <c r="RZZ8"/>
      <c r="SAA8"/>
      <c r="SAB8"/>
      <c r="SAC8"/>
      <c r="SAD8"/>
      <c r="SAE8"/>
      <c r="SAF8"/>
      <c r="SAG8"/>
      <c r="SAH8"/>
      <c r="SAI8"/>
      <c r="SAJ8"/>
      <c r="SAK8"/>
      <c r="SAL8"/>
      <c r="SAM8"/>
      <c r="SAN8"/>
      <c r="SAO8"/>
      <c r="SAP8"/>
      <c r="SAQ8"/>
      <c r="SAR8"/>
      <c r="SAS8"/>
      <c r="SAT8"/>
      <c r="SAU8"/>
      <c r="SAV8"/>
      <c r="SAW8"/>
      <c r="SAX8"/>
      <c r="SAY8"/>
      <c r="SAZ8"/>
      <c r="SBA8"/>
      <c r="SBB8"/>
      <c r="SBC8"/>
      <c r="SBD8"/>
      <c r="SBE8"/>
      <c r="SBF8"/>
      <c r="SBG8"/>
      <c r="SBH8"/>
      <c r="SBI8"/>
      <c r="SBJ8"/>
      <c r="SBK8"/>
      <c r="SBL8"/>
      <c r="SBM8"/>
      <c r="SBN8"/>
      <c r="SBO8"/>
      <c r="SBP8"/>
      <c r="SBQ8"/>
      <c r="SBR8"/>
      <c r="SBS8"/>
      <c r="SBT8"/>
      <c r="SBU8"/>
      <c r="SBV8"/>
      <c r="SBW8"/>
      <c r="SBX8"/>
      <c r="SBY8"/>
      <c r="SBZ8"/>
      <c r="SCA8"/>
      <c r="SCB8"/>
      <c r="SCC8"/>
      <c r="SCD8"/>
      <c r="SCE8"/>
      <c r="SCF8"/>
      <c r="SCG8"/>
      <c r="SCH8"/>
      <c r="SCI8"/>
      <c r="SCJ8"/>
      <c r="SCK8"/>
      <c r="SCL8"/>
      <c r="SCM8"/>
      <c r="SCN8"/>
      <c r="SCO8"/>
      <c r="SCP8"/>
      <c r="SCQ8"/>
      <c r="SCR8"/>
      <c r="SCS8"/>
      <c r="SCT8"/>
      <c r="SCU8"/>
      <c r="SCV8"/>
      <c r="SCW8"/>
      <c r="SCX8"/>
      <c r="SCY8"/>
      <c r="SCZ8"/>
      <c r="SDA8"/>
      <c r="SDB8"/>
      <c r="SDC8"/>
      <c r="SDD8"/>
      <c r="SDE8"/>
      <c r="SDF8"/>
      <c r="SDG8"/>
      <c r="SDH8"/>
      <c r="SDI8"/>
      <c r="SDJ8"/>
      <c r="SDK8"/>
      <c r="SDL8"/>
      <c r="SDM8"/>
      <c r="SDN8"/>
      <c r="SDO8"/>
      <c r="SDP8"/>
      <c r="SDQ8"/>
      <c r="SDR8"/>
      <c r="SDS8"/>
      <c r="SDT8"/>
      <c r="SDU8"/>
      <c r="SDV8"/>
      <c r="SDW8"/>
      <c r="SDX8"/>
      <c r="SDY8"/>
      <c r="SDZ8"/>
      <c r="SEA8"/>
      <c r="SEB8"/>
      <c r="SEC8"/>
      <c r="SED8"/>
      <c r="SEE8"/>
      <c r="SEF8"/>
      <c r="SEG8"/>
      <c r="SEH8"/>
      <c r="SEI8"/>
      <c r="SEJ8"/>
      <c r="SEK8"/>
      <c r="SEL8"/>
      <c r="SEM8"/>
      <c r="SEN8"/>
      <c r="SEO8"/>
      <c r="SEP8"/>
      <c r="SEQ8"/>
      <c r="SER8"/>
      <c r="SES8"/>
      <c r="SET8"/>
      <c r="SEU8"/>
      <c r="SEV8"/>
      <c r="SEW8"/>
      <c r="SEX8"/>
      <c r="SEY8"/>
      <c r="SEZ8"/>
      <c r="SFA8"/>
      <c r="SFB8"/>
      <c r="SFC8"/>
      <c r="SFD8"/>
      <c r="SFE8"/>
      <c r="SFF8"/>
      <c r="SFG8"/>
      <c r="SFH8"/>
      <c r="SFI8"/>
      <c r="SFJ8"/>
      <c r="SFK8"/>
      <c r="SFL8"/>
      <c r="SFM8"/>
      <c r="SFN8"/>
      <c r="SFO8"/>
      <c r="SFP8"/>
      <c r="SFQ8"/>
      <c r="SFR8"/>
      <c r="SFS8"/>
      <c r="SFT8"/>
      <c r="SFU8"/>
      <c r="SFV8"/>
      <c r="SFW8"/>
      <c r="SFX8"/>
      <c r="SFY8"/>
      <c r="SFZ8"/>
      <c r="SGA8"/>
      <c r="SGB8"/>
      <c r="SGC8"/>
      <c r="SGD8"/>
      <c r="SGE8"/>
      <c r="SGF8"/>
      <c r="SGG8"/>
      <c r="SGH8"/>
      <c r="SGI8"/>
      <c r="SGJ8"/>
      <c r="SGK8"/>
      <c r="SGL8"/>
      <c r="SGM8"/>
      <c r="SGN8"/>
      <c r="SGO8"/>
      <c r="SGP8"/>
      <c r="SGQ8"/>
      <c r="SGR8"/>
      <c r="SGS8"/>
      <c r="SGT8"/>
      <c r="SGU8"/>
      <c r="SGV8"/>
      <c r="SGW8"/>
      <c r="SGX8"/>
      <c r="SGY8"/>
      <c r="SGZ8"/>
      <c r="SHA8"/>
      <c r="SHB8"/>
      <c r="SHC8"/>
      <c r="SHD8"/>
      <c r="SHE8"/>
      <c r="SHF8"/>
      <c r="SHG8"/>
      <c r="SHH8"/>
      <c r="SHI8"/>
      <c r="SHJ8"/>
      <c r="SHK8"/>
      <c r="SHL8"/>
      <c r="SHM8"/>
      <c r="SHN8"/>
      <c r="SHO8"/>
      <c r="SHP8"/>
      <c r="SHQ8"/>
      <c r="SHR8"/>
      <c r="SHS8"/>
      <c r="SHT8"/>
      <c r="SHU8"/>
      <c r="SHV8"/>
      <c r="SHW8"/>
      <c r="SHX8"/>
      <c r="SHY8"/>
      <c r="SHZ8"/>
      <c r="SIA8"/>
      <c r="SIB8"/>
      <c r="SIC8"/>
      <c r="SID8"/>
      <c r="SIE8"/>
      <c r="SIF8"/>
      <c r="SIG8"/>
      <c r="SIH8"/>
      <c r="SII8"/>
      <c r="SIJ8"/>
      <c r="SIK8"/>
      <c r="SIL8"/>
      <c r="SIM8"/>
      <c r="SIN8"/>
      <c r="SIO8"/>
      <c r="SIP8"/>
      <c r="SIQ8"/>
      <c r="SIR8"/>
      <c r="SIS8"/>
      <c r="SIT8"/>
      <c r="SIU8"/>
      <c r="SIV8"/>
      <c r="SIW8"/>
      <c r="SIX8"/>
      <c r="SIY8"/>
      <c r="SIZ8"/>
      <c r="SJA8"/>
      <c r="SJB8"/>
      <c r="SJC8"/>
      <c r="SJD8"/>
      <c r="SJE8"/>
      <c r="SJF8"/>
      <c r="SJG8"/>
      <c r="SJH8"/>
      <c r="SJI8"/>
      <c r="SJJ8"/>
      <c r="SJK8"/>
      <c r="SJL8"/>
      <c r="SJM8"/>
      <c r="SJN8"/>
      <c r="SJO8"/>
      <c r="SJP8"/>
      <c r="SJQ8"/>
      <c r="SJR8"/>
      <c r="SJS8"/>
      <c r="SJT8"/>
      <c r="SJU8"/>
      <c r="SJV8"/>
      <c r="SJW8"/>
      <c r="SJX8"/>
      <c r="SJY8"/>
      <c r="SJZ8"/>
      <c r="SKA8"/>
      <c r="SKB8"/>
      <c r="SKC8"/>
      <c r="SKD8"/>
      <c r="SKE8"/>
      <c r="SKF8"/>
      <c r="SKG8"/>
      <c r="SKH8"/>
      <c r="SKI8"/>
      <c r="SKJ8"/>
      <c r="SKK8"/>
      <c r="SKL8"/>
      <c r="SKM8"/>
      <c r="SKN8"/>
      <c r="SKO8"/>
      <c r="SKP8"/>
      <c r="SKQ8"/>
      <c r="SKR8"/>
      <c r="SKS8"/>
      <c r="SKT8"/>
      <c r="SKU8"/>
      <c r="SKV8"/>
      <c r="SKW8"/>
      <c r="SKX8"/>
      <c r="SKY8"/>
      <c r="SKZ8"/>
      <c r="SLA8"/>
      <c r="SLB8"/>
      <c r="SLC8"/>
      <c r="SLD8"/>
      <c r="SLE8"/>
      <c r="SLF8"/>
      <c r="SLG8"/>
      <c r="SLH8"/>
      <c r="SLI8"/>
      <c r="SLJ8"/>
      <c r="SLK8"/>
      <c r="SLL8"/>
      <c r="SLM8"/>
      <c r="SLN8"/>
      <c r="SLO8"/>
      <c r="SLP8"/>
      <c r="SLQ8"/>
      <c r="SLR8"/>
      <c r="SLS8"/>
      <c r="SLT8"/>
      <c r="SLU8"/>
      <c r="SLV8"/>
      <c r="SLW8"/>
      <c r="SLX8"/>
      <c r="SLY8"/>
      <c r="SLZ8"/>
      <c r="SMA8"/>
      <c r="SMB8"/>
      <c r="SMC8"/>
      <c r="SMD8"/>
      <c r="SME8"/>
      <c r="SMF8"/>
      <c r="SMG8"/>
      <c r="SMH8"/>
      <c r="SMI8"/>
      <c r="SMJ8"/>
      <c r="SMK8"/>
      <c r="SML8"/>
      <c r="SMM8"/>
      <c r="SMN8"/>
      <c r="SMO8"/>
      <c r="SMP8"/>
      <c r="SMQ8"/>
      <c r="SMR8"/>
      <c r="SMS8"/>
      <c r="SMT8"/>
      <c r="SMU8"/>
      <c r="SMV8"/>
      <c r="SMW8"/>
      <c r="SMX8"/>
      <c r="SMY8"/>
      <c r="SMZ8"/>
      <c r="SNA8"/>
      <c r="SNB8"/>
      <c r="SNC8"/>
      <c r="SND8"/>
      <c r="SNE8"/>
      <c r="SNF8"/>
      <c r="SNG8"/>
      <c r="SNH8"/>
      <c r="SNI8"/>
      <c r="SNJ8"/>
      <c r="SNK8"/>
      <c r="SNL8"/>
      <c r="SNM8"/>
      <c r="SNN8"/>
      <c r="SNO8"/>
      <c r="SNP8"/>
      <c r="SNQ8"/>
      <c r="SNR8"/>
      <c r="SNS8"/>
      <c r="SNT8"/>
      <c r="SNU8"/>
      <c r="SNV8"/>
      <c r="SNW8"/>
      <c r="SNX8"/>
      <c r="SNY8"/>
      <c r="SNZ8"/>
      <c r="SOA8"/>
      <c r="SOB8"/>
      <c r="SOC8"/>
      <c r="SOD8"/>
      <c r="SOE8"/>
      <c r="SOF8"/>
      <c r="SOG8"/>
      <c r="SOH8"/>
      <c r="SOI8"/>
      <c r="SOJ8"/>
      <c r="SOK8"/>
      <c r="SOL8"/>
      <c r="SOM8"/>
      <c r="SON8"/>
      <c r="SOO8"/>
      <c r="SOP8"/>
      <c r="SOQ8"/>
      <c r="SOR8"/>
      <c r="SOS8"/>
      <c r="SOT8"/>
      <c r="SOU8"/>
      <c r="SOV8"/>
      <c r="SOW8"/>
      <c r="SOX8"/>
      <c r="SOY8"/>
      <c r="SOZ8"/>
      <c r="SPA8"/>
      <c r="SPB8"/>
      <c r="SPC8"/>
      <c r="SPD8"/>
      <c r="SPE8"/>
      <c r="SPF8"/>
      <c r="SPG8"/>
      <c r="SPH8"/>
      <c r="SPI8"/>
      <c r="SPJ8"/>
      <c r="SPK8"/>
      <c r="SPL8"/>
      <c r="SPM8"/>
      <c r="SPN8"/>
      <c r="SPO8"/>
      <c r="SPP8"/>
      <c r="SPQ8"/>
      <c r="SPR8"/>
      <c r="SPS8"/>
      <c r="SPT8"/>
      <c r="SPU8"/>
      <c r="SPV8"/>
      <c r="SPW8"/>
      <c r="SPX8"/>
      <c r="SPY8"/>
      <c r="SPZ8"/>
      <c r="SQA8"/>
      <c r="SQB8"/>
      <c r="SQC8"/>
      <c r="SQD8"/>
      <c r="SQE8"/>
      <c r="SQF8"/>
      <c r="SQG8"/>
      <c r="SQH8"/>
      <c r="SQI8"/>
      <c r="SQJ8"/>
      <c r="SQK8"/>
      <c r="SQL8"/>
      <c r="SQM8"/>
      <c r="SQN8"/>
      <c r="SQO8"/>
      <c r="SQP8"/>
      <c r="SQQ8"/>
      <c r="SQR8"/>
      <c r="SQS8"/>
      <c r="SQT8"/>
      <c r="SQU8"/>
      <c r="SQV8"/>
      <c r="SQW8"/>
      <c r="SQX8"/>
      <c r="SQY8"/>
      <c r="SQZ8"/>
      <c r="SRA8"/>
      <c r="SRB8"/>
      <c r="SRC8"/>
      <c r="SRD8"/>
      <c r="SRE8"/>
      <c r="SRF8"/>
      <c r="SRG8"/>
      <c r="SRH8"/>
      <c r="SRI8"/>
      <c r="SRJ8"/>
      <c r="SRK8"/>
      <c r="SRL8"/>
      <c r="SRM8"/>
      <c r="SRN8"/>
      <c r="SRO8"/>
      <c r="SRP8"/>
      <c r="SRQ8"/>
      <c r="SRR8"/>
      <c r="SRS8"/>
      <c r="SRT8"/>
      <c r="SRU8"/>
      <c r="SRV8"/>
      <c r="SRW8"/>
      <c r="SRX8"/>
      <c r="SRY8"/>
      <c r="SRZ8"/>
      <c r="SSA8"/>
      <c r="SSB8"/>
      <c r="SSC8"/>
      <c r="SSD8"/>
      <c r="SSE8"/>
      <c r="SSF8"/>
      <c r="SSG8"/>
      <c r="SSH8"/>
      <c r="SSI8"/>
      <c r="SSJ8"/>
      <c r="SSK8"/>
      <c r="SSL8"/>
      <c r="SSM8"/>
      <c r="SSN8"/>
      <c r="SSO8"/>
      <c r="SSP8"/>
      <c r="SSQ8"/>
      <c r="SSR8"/>
      <c r="SSS8"/>
      <c r="SST8"/>
      <c r="SSU8"/>
      <c r="SSV8"/>
      <c r="SSW8"/>
      <c r="SSX8"/>
      <c r="SSY8"/>
      <c r="SSZ8"/>
      <c r="STA8"/>
      <c r="STB8"/>
      <c r="STC8"/>
      <c r="STD8"/>
      <c r="STE8"/>
      <c r="STF8"/>
      <c r="STG8"/>
      <c r="STH8"/>
      <c r="STI8"/>
      <c r="STJ8"/>
      <c r="STK8"/>
      <c r="STL8"/>
      <c r="STM8"/>
      <c r="STN8"/>
      <c r="STO8"/>
      <c r="STP8"/>
      <c r="STQ8"/>
      <c r="STR8"/>
      <c r="STS8"/>
      <c r="STT8"/>
      <c r="STU8"/>
      <c r="STV8"/>
      <c r="STW8"/>
      <c r="STX8"/>
      <c r="STY8"/>
      <c r="STZ8"/>
      <c r="SUA8"/>
      <c r="SUB8"/>
      <c r="SUC8"/>
      <c r="SUD8"/>
      <c r="SUE8"/>
      <c r="SUF8"/>
      <c r="SUG8"/>
      <c r="SUH8"/>
      <c r="SUI8"/>
      <c r="SUJ8"/>
      <c r="SUK8"/>
      <c r="SUL8"/>
      <c r="SUM8"/>
      <c r="SUN8"/>
      <c r="SUO8"/>
      <c r="SUP8"/>
      <c r="SUQ8"/>
      <c r="SUR8"/>
      <c r="SUS8"/>
      <c r="SUT8"/>
      <c r="SUU8"/>
      <c r="SUV8"/>
      <c r="SUW8"/>
      <c r="SUX8"/>
      <c r="SUY8"/>
      <c r="SUZ8"/>
      <c r="SVA8"/>
      <c r="SVB8"/>
      <c r="SVC8"/>
      <c r="SVD8"/>
      <c r="SVE8"/>
      <c r="SVF8"/>
      <c r="SVG8"/>
      <c r="SVH8"/>
      <c r="SVI8"/>
      <c r="SVJ8"/>
      <c r="SVK8"/>
      <c r="SVL8"/>
      <c r="SVM8"/>
      <c r="SVN8"/>
      <c r="SVO8"/>
      <c r="SVP8"/>
      <c r="SVQ8"/>
      <c r="SVR8"/>
      <c r="SVS8"/>
      <c r="SVT8"/>
      <c r="SVU8"/>
      <c r="SVV8"/>
      <c r="SVW8"/>
      <c r="SVX8"/>
      <c r="SVY8"/>
      <c r="SVZ8"/>
      <c r="SWA8"/>
      <c r="SWB8"/>
      <c r="SWC8"/>
      <c r="SWD8"/>
      <c r="SWE8"/>
      <c r="SWF8"/>
      <c r="SWG8"/>
      <c r="SWH8"/>
      <c r="SWI8"/>
      <c r="SWJ8"/>
      <c r="SWK8"/>
      <c r="SWL8"/>
      <c r="SWM8"/>
      <c r="SWN8"/>
      <c r="SWO8"/>
      <c r="SWP8"/>
      <c r="SWQ8"/>
      <c r="SWR8"/>
      <c r="SWS8"/>
      <c r="SWT8"/>
      <c r="SWU8"/>
      <c r="SWV8"/>
      <c r="SWW8"/>
      <c r="SWX8"/>
      <c r="SWY8"/>
      <c r="SWZ8"/>
      <c r="SXA8"/>
      <c r="SXB8"/>
      <c r="SXC8"/>
      <c r="SXD8"/>
      <c r="SXE8"/>
      <c r="SXF8"/>
      <c r="SXG8"/>
      <c r="SXH8"/>
      <c r="SXI8"/>
      <c r="SXJ8"/>
      <c r="SXK8"/>
      <c r="SXL8"/>
      <c r="SXM8"/>
      <c r="SXN8"/>
      <c r="SXO8"/>
      <c r="SXP8"/>
      <c r="SXQ8"/>
      <c r="SXR8"/>
      <c r="SXS8"/>
      <c r="SXT8"/>
      <c r="SXU8"/>
      <c r="SXV8"/>
      <c r="SXW8"/>
      <c r="SXX8"/>
      <c r="SXY8"/>
      <c r="SXZ8"/>
      <c r="SYA8"/>
      <c r="SYB8"/>
      <c r="SYC8"/>
      <c r="SYD8"/>
      <c r="SYE8"/>
      <c r="SYF8"/>
      <c r="SYG8"/>
      <c r="SYH8"/>
      <c r="SYI8"/>
      <c r="SYJ8"/>
      <c r="SYK8"/>
      <c r="SYL8"/>
      <c r="SYM8"/>
      <c r="SYN8"/>
      <c r="SYO8"/>
      <c r="SYP8"/>
      <c r="SYQ8"/>
      <c r="SYR8"/>
      <c r="SYS8"/>
      <c r="SYT8"/>
      <c r="SYU8"/>
      <c r="SYV8"/>
      <c r="SYW8"/>
      <c r="SYX8"/>
      <c r="SYY8"/>
      <c r="SYZ8"/>
      <c r="SZA8"/>
      <c r="SZB8"/>
      <c r="SZC8"/>
      <c r="SZD8"/>
      <c r="SZE8"/>
      <c r="SZF8"/>
      <c r="SZG8"/>
      <c r="SZH8"/>
      <c r="SZI8"/>
      <c r="SZJ8"/>
      <c r="SZK8"/>
      <c r="SZL8"/>
      <c r="SZM8"/>
      <c r="SZN8"/>
      <c r="SZO8"/>
      <c r="SZP8"/>
      <c r="SZQ8"/>
      <c r="SZR8"/>
      <c r="SZS8"/>
      <c r="SZT8"/>
      <c r="SZU8"/>
      <c r="SZV8"/>
      <c r="SZW8"/>
      <c r="SZX8"/>
      <c r="SZY8"/>
      <c r="SZZ8"/>
      <c r="TAA8"/>
      <c r="TAB8"/>
      <c r="TAC8"/>
      <c r="TAD8"/>
      <c r="TAE8"/>
      <c r="TAF8"/>
      <c r="TAG8"/>
      <c r="TAH8"/>
      <c r="TAI8"/>
      <c r="TAJ8"/>
      <c r="TAK8"/>
      <c r="TAL8"/>
      <c r="TAM8"/>
      <c r="TAN8"/>
      <c r="TAO8"/>
      <c r="TAP8"/>
      <c r="TAQ8"/>
      <c r="TAR8"/>
      <c r="TAS8"/>
      <c r="TAT8"/>
      <c r="TAU8"/>
      <c r="TAV8"/>
      <c r="TAW8"/>
      <c r="TAX8"/>
      <c r="TAY8"/>
      <c r="TAZ8"/>
      <c r="TBA8"/>
      <c r="TBB8"/>
      <c r="TBC8"/>
      <c r="TBD8"/>
      <c r="TBE8"/>
      <c r="TBF8"/>
      <c r="TBG8"/>
      <c r="TBH8"/>
      <c r="TBI8"/>
      <c r="TBJ8"/>
      <c r="TBK8"/>
      <c r="TBL8"/>
      <c r="TBM8"/>
      <c r="TBN8"/>
      <c r="TBO8"/>
      <c r="TBP8"/>
      <c r="TBQ8"/>
      <c r="TBR8"/>
      <c r="TBS8"/>
      <c r="TBT8"/>
      <c r="TBU8"/>
      <c r="TBV8"/>
      <c r="TBW8"/>
      <c r="TBX8"/>
      <c r="TBY8"/>
      <c r="TBZ8"/>
      <c r="TCA8"/>
      <c r="TCB8"/>
      <c r="TCC8"/>
      <c r="TCD8"/>
      <c r="TCE8"/>
      <c r="TCF8"/>
      <c r="TCG8"/>
      <c r="TCH8"/>
      <c r="TCI8"/>
      <c r="TCJ8"/>
      <c r="TCK8"/>
      <c r="TCL8"/>
      <c r="TCM8"/>
      <c r="TCN8"/>
      <c r="TCO8"/>
      <c r="TCP8"/>
      <c r="TCQ8"/>
      <c r="TCR8"/>
      <c r="TCS8"/>
      <c r="TCT8"/>
      <c r="TCU8"/>
      <c r="TCV8"/>
      <c r="TCW8"/>
      <c r="TCX8"/>
      <c r="TCY8"/>
      <c r="TCZ8"/>
      <c r="TDA8"/>
      <c r="TDB8"/>
      <c r="TDC8"/>
      <c r="TDD8"/>
      <c r="TDE8"/>
      <c r="TDF8"/>
      <c r="TDG8"/>
      <c r="TDH8"/>
      <c r="TDI8"/>
      <c r="TDJ8"/>
      <c r="TDK8"/>
      <c r="TDL8"/>
      <c r="TDM8"/>
      <c r="TDN8"/>
      <c r="TDO8"/>
      <c r="TDP8"/>
      <c r="TDQ8"/>
      <c r="TDR8"/>
      <c r="TDS8"/>
      <c r="TDT8"/>
      <c r="TDU8"/>
      <c r="TDV8"/>
      <c r="TDW8"/>
      <c r="TDX8"/>
      <c r="TDY8"/>
      <c r="TDZ8"/>
      <c r="TEA8"/>
      <c r="TEB8"/>
      <c r="TEC8"/>
      <c r="TED8"/>
      <c r="TEE8"/>
      <c r="TEF8"/>
      <c r="TEG8"/>
      <c r="TEH8"/>
      <c r="TEI8"/>
      <c r="TEJ8"/>
      <c r="TEK8"/>
      <c r="TEL8"/>
      <c r="TEM8"/>
      <c r="TEN8"/>
      <c r="TEO8"/>
      <c r="TEP8"/>
      <c r="TEQ8"/>
      <c r="TER8"/>
      <c r="TES8"/>
      <c r="TET8"/>
      <c r="TEU8"/>
      <c r="TEV8"/>
      <c r="TEW8"/>
      <c r="TEX8"/>
      <c r="TEY8"/>
      <c r="TEZ8"/>
      <c r="TFA8"/>
      <c r="TFB8"/>
      <c r="TFC8"/>
      <c r="TFD8"/>
      <c r="TFE8"/>
      <c r="TFF8"/>
      <c r="TFG8"/>
      <c r="TFH8"/>
      <c r="TFI8"/>
      <c r="TFJ8"/>
      <c r="TFK8"/>
      <c r="TFL8"/>
      <c r="TFM8"/>
      <c r="TFN8"/>
      <c r="TFO8"/>
      <c r="TFP8"/>
      <c r="TFQ8"/>
      <c r="TFR8"/>
      <c r="TFS8"/>
      <c r="TFT8"/>
      <c r="TFU8"/>
      <c r="TFV8"/>
      <c r="TFW8"/>
      <c r="TFX8"/>
      <c r="TFY8"/>
      <c r="TFZ8"/>
      <c r="TGA8"/>
      <c r="TGB8"/>
      <c r="TGC8"/>
      <c r="TGD8"/>
      <c r="TGE8"/>
      <c r="TGF8"/>
      <c r="TGG8"/>
      <c r="TGH8"/>
      <c r="TGI8"/>
      <c r="TGJ8"/>
      <c r="TGK8"/>
      <c r="TGL8"/>
      <c r="TGM8"/>
      <c r="TGN8"/>
      <c r="TGO8"/>
      <c r="TGP8"/>
      <c r="TGQ8"/>
      <c r="TGR8"/>
      <c r="TGS8"/>
      <c r="TGT8"/>
      <c r="TGU8"/>
      <c r="TGV8"/>
      <c r="TGW8"/>
      <c r="TGX8"/>
      <c r="TGY8"/>
      <c r="TGZ8"/>
      <c r="THA8"/>
      <c r="THB8"/>
      <c r="THC8"/>
      <c r="THD8"/>
      <c r="THE8"/>
      <c r="THF8"/>
      <c r="THG8"/>
      <c r="THH8"/>
      <c r="THI8"/>
      <c r="THJ8"/>
      <c r="THK8"/>
      <c r="THL8"/>
      <c r="THM8"/>
      <c r="THN8"/>
      <c r="THO8"/>
      <c r="THP8"/>
      <c r="THQ8"/>
      <c r="THR8"/>
      <c r="THS8"/>
      <c r="THT8"/>
      <c r="THU8"/>
      <c r="THV8"/>
      <c r="THW8"/>
      <c r="THX8"/>
      <c r="THY8"/>
      <c r="THZ8"/>
      <c r="TIA8"/>
      <c r="TIB8"/>
      <c r="TIC8"/>
      <c r="TID8"/>
      <c r="TIE8"/>
      <c r="TIF8"/>
      <c r="TIG8"/>
      <c r="TIH8"/>
      <c r="TII8"/>
      <c r="TIJ8"/>
      <c r="TIK8"/>
      <c r="TIL8"/>
      <c r="TIM8"/>
      <c r="TIN8"/>
      <c r="TIO8"/>
      <c r="TIP8"/>
      <c r="TIQ8"/>
      <c r="TIR8"/>
      <c r="TIS8"/>
      <c r="TIT8"/>
      <c r="TIU8"/>
      <c r="TIV8"/>
      <c r="TIW8"/>
      <c r="TIX8"/>
      <c r="TIY8"/>
      <c r="TIZ8"/>
      <c r="TJA8"/>
      <c r="TJB8"/>
      <c r="TJC8"/>
      <c r="TJD8"/>
      <c r="TJE8"/>
      <c r="TJF8"/>
      <c r="TJG8"/>
      <c r="TJH8"/>
      <c r="TJI8"/>
      <c r="TJJ8"/>
      <c r="TJK8"/>
      <c r="TJL8"/>
      <c r="TJM8"/>
      <c r="TJN8"/>
      <c r="TJO8"/>
      <c r="TJP8"/>
      <c r="TJQ8"/>
      <c r="TJR8"/>
      <c r="TJS8"/>
      <c r="TJT8"/>
      <c r="TJU8"/>
      <c r="TJV8"/>
      <c r="TJW8"/>
      <c r="TJX8"/>
      <c r="TJY8"/>
      <c r="TJZ8"/>
      <c r="TKA8"/>
      <c r="TKB8"/>
      <c r="TKC8"/>
      <c r="TKD8"/>
      <c r="TKE8"/>
      <c r="TKF8"/>
      <c r="TKG8"/>
      <c r="TKH8"/>
      <c r="TKI8"/>
      <c r="TKJ8"/>
      <c r="TKK8"/>
      <c r="TKL8"/>
      <c r="TKM8"/>
      <c r="TKN8"/>
      <c r="TKO8"/>
      <c r="TKP8"/>
      <c r="TKQ8"/>
      <c r="TKR8"/>
      <c r="TKS8"/>
      <c r="TKT8"/>
      <c r="TKU8"/>
      <c r="TKV8"/>
      <c r="TKW8"/>
      <c r="TKX8"/>
      <c r="TKY8"/>
      <c r="TKZ8"/>
      <c r="TLA8"/>
      <c r="TLB8"/>
      <c r="TLC8"/>
      <c r="TLD8"/>
      <c r="TLE8"/>
      <c r="TLF8"/>
      <c r="TLG8"/>
      <c r="TLH8"/>
      <c r="TLI8"/>
      <c r="TLJ8"/>
      <c r="TLK8"/>
      <c r="TLL8"/>
      <c r="TLM8"/>
      <c r="TLN8"/>
      <c r="TLO8"/>
      <c r="TLP8"/>
      <c r="TLQ8"/>
      <c r="TLR8"/>
      <c r="TLS8"/>
      <c r="TLT8"/>
      <c r="TLU8"/>
      <c r="TLV8"/>
      <c r="TLW8"/>
      <c r="TLX8"/>
      <c r="TLY8"/>
      <c r="TLZ8"/>
      <c r="TMA8"/>
      <c r="TMB8"/>
      <c r="TMC8"/>
      <c r="TMD8"/>
      <c r="TME8"/>
      <c r="TMF8"/>
      <c r="TMG8"/>
      <c r="TMH8"/>
      <c r="TMI8"/>
      <c r="TMJ8"/>
      <c r="TMK8"/>
      <c r="TML8"/>
      <c r="TMM8"/>
      <c r="TMN8"/>
      <c r="TMO8"/>
      <c r="TMP8"/>
      <c r="TMQ8"/>
      <c r="TMR8"/>
      <c r="TMS8"/>
      <c r="TMT8"/>
      <c r="TMU8"/>
      <c r="TMV8"/>
      <c r="TMW8"/>
      <c r="TMX8"/>
      <c r="TMY8"/>
      <c r="TMZ8"/>
      <c r="TNA8"/>
      <c r="TNB8"/>
      <c r="TNC8"/>
      <c r="TND8"/>
      <c r="TNE8"/>
      <c r="TNF8"/>
      <c r="TNG8"/>
      <c r="TNH8"/>
      <c r="TNI8"/>
      <c r="TNJ8"/>
      <c r="TNK8"/>
      <c r="TNL8"/>
      <c r="TNM8"/>
      <c r="TNN8"/>
      <c r="TNO8"/>
      <c r="TNP8"/>
      <c r="TNQ8"/>
      <c r="TNR8"/>
      <c r="TNS8"/>
      <c r="TNT8"/>
      <c r="TNU8"/>
      <c r="TNV8"/>
      <c r="TNW8"/>
      <c r="TNX8"/>
      <c r="TNY8"/>
      <c r="TNZ8"/>
      <c r="TOA8"/>
      <c r="TOB8"/>
      <c r="TOC8"/>
      <c r="TOD8"/>
      <c r="TOE8"/>
      <c r="TOF8"/>
      <c r="TOG8"/>
      <c r="TOH8"/>
      <c r="TOI8"/>
      <c r="TOJ8"/>
      <c r="TOK8"/>
      <c r="TOL8"/>
      <c r="TOM8"/>
      <c r="TON8"/>
      <c r="TOO8"/>
      <c r="TOP8"/>
      <c r="TOQ8"/>
      <c r="TOR8"/>
      <c r="TOS8"/>
      <c r="TOT8"/>
      <c r="TOU8"/>
      <c r="TOV8"/>
      <c r="TOW8"/>
      <c r="TOX8"/>
      <c r="TOY8"/>
      <c r="TOZ8"/>
      <c r="TPA8"/>
      <c r="TPB8"/>
      <c r="TPC8"/>
      <c r="TPD8"/>
      <c r="TPE8"/>
      <c r="TPF8"/>
      <c r="TPG8"/>
      <c r="TPH8"/>
      <c r="TPI8"/>
      <c r="TPJ8"/>
      <c r="TPK8"/>
      <c r="TPL8"/>
      <c r="TPM8"/>
      <c r="TPN8"/>
      <c r="TPO8"/>
      <c r="TPP8"/>
      <c r="TPQ8"/>
      <c r="TPR8"/>
      <c r="TPS8"/>
      <c r="TPT8"/>
      <c r="TPU8"/>
      <c r="TPV8"/>
      <c r="TPW8"/>
      <c r="TPX8"/>
      <c r="TPY8"/>
      <c r="TPZ8"/>
      <c r="TQA8"/>
      <c r="TQB8"/>
      <c r="TQC8"/>
      <c r="TQD8"/>
      <c r="TQE8"/>
      <c r="TQF8"/>
      <c r="TQG8"/>
      <c r="TQH8"/>
      <c r="TQI8"/>
      <c r="TQJ8"/>
      <c r="TQK8"/>
      <c r="TQL8"/>
      <c r="TQM8"/>
      <c r="TQN8"/>
      <c r="TQO8"/>
      <c r="TQP8"/>
      <c r="TQQ8"/>
      <c r="TQR8"/>
      <c r="TQS8"/>
      <c r="TQT8"/>
      <c r="TQU8"/>
      <c r="TQV8"/>
      <c r="TQW8"/>
      <c r="TQX8"/>
      <c r="TQY8"/>
      <c r="TQZ8"/>
      <c r="TRA8"/>
      <c r="TRB8"/>
      <c r="TRC8"/>
      <c r="TRD8"/>
      <c r="TRE8"/>
      <c r="TRF8"/>
      <c r="TRG8"/>
      <c r="TRH8"/>
      <c r="TRI8"/>
      <c r="TRJ8"/>
      <c r="TRK8"/>
      <c r="TRL8"/>
      <c r="TRM8"/>
      <c r="TRN8"/>
      <c r="TRO8"/>
      <c r="TRP8"/>
      <c r="TRQ8"/>
      <c r="TRR8"/>
      <c r="TRS8"/>
      <c r="TRT8"/>
      <c r="TRU8"/>
      <c r="TRV8"/>
      <c r="TRW8"/>
      <c r="TRX8"/>
      <c r="TRY8"/>
      <c r="TRZ8"/>
      <c r="TSA8"/>
      <c r="TSB8"/>
      <c r="TSC8"/>
      <c r="TSD8"/>
      <c r="TSE8"/>
      <c r="TSF8"/>
      <c r="TSG8"/>
      <c r="TSH8"/>
      <c r="TSI8"/>
      <c r="TSJ8"/>
      <c r="TSK8"/>
      <c r="TSL8"/>
      <c r="TSM8"/>
      <c r="TSN8"/>
      <c r="TSO8"/>
      <c r="TSP8"/>
      <c r="TSQ8"/>
      <c r="TSR8"/>
      <c r="TSS8"/>
      <c r="TST8"/>
      <c r="TSU8"/>
      <c r="TSV8"/>
      <c r="TSW8"/>
      <c r="TSX8"/>
      <c r="TSY8"/>
      <c r="TSZ8"/>
      <c r="TTA8"/>
      <c r="TTB8"/>
      <c r="TTC8"/>
      <c r="TTD8"/>
      <c r="TTE8"/>
      <c r="TTF8"/>
      <c r="TTG8"/>
      <c r="TTH8"/>
      <c r="TTI8"/>
      <c r="TTJ8"/>
      <c r="TTK8"/>
      <c r="TTL8"/>
      <c r="TTM8"/>
      <c r="TTN8"/>
      <c r="TTO8"/>
      <c r="TTP8"/>
      <c r="TTQ8"/>
      <c r="TTR8"/>
      <c r="TTS8"/>
      <c r="TTT8"/>
      <c r="TTU8"/>
      <c r="TTV8"/>
      <c r="TTW8"/>
      <c r="TTX8"/>
      <c r="TTY8"/>
      <c r="TTZ8"/>
      <c r="TUA8"/>
      <c r="TUB8"/>
      <c r="TUC8"/>
      <c r="TUD8"/>
      <c r="TUE8"/>
      <c r="TUF8"/>
      <c r="TUG8"/>
      <c r="TUH8"/>
      <c r="TUI8"/>
      <c r="TUJ8"/>
      <c r="TUK8"/>
      <c r="TUL8"/>
      <c r="TUM8"/>
      <c r="TUN8"/>
      <c r="TUO8"/>
      <c r="TUP8"/>
      <c r="TUQ8"/>
      <c r="TUR8"/>
      <c r="TUS8"/>
      <c r="TUT8"/>
      <c r="TUU8"/>
      <c r="TUV8"/>
      <c r="TUW8"/>
      <c r="TUX8"/>
      <c r="TUY8"/>
      <c r="TUZ8"/>
      <c r="TVA8"/>
      <c r="TVB8"/>
      <c r="TVC8"/>
      <c r="TVD8"/>
      <c r="TVE8"/>
      <c r="TVF8"/>
      <c r="TVG8"/>
      <c r="TVH8"/>
      <c r="TVI8"/>
      <c r="TVJ8"/>
      <c r="TVK8"/>
      <c r="TVL8"/>
      <c r="TVM8"/>
      <c r="TVN8"/>
      <c r="TVO8"/>
      <c r="TVP8"/>
      <c r="TVQ8"/>
      <c r="TVR8"/>
      <c r="TVS8"/>
      <c r="TVT8"/>
      <c r="TVU8"/>
      <c r="TVV8"/>
      <c r="TVW8"/>
      <c r="TVX8"/>
      <c r="TVY8"/>
      <c r="TVZ8"/>
      <c r="TWA8"/>
      <c r="TWB8"/>
      <c r="TWC8"/>
      <c r="TWD8"/>
      <c r="TWE8"/>
      <c r="TWF8"/>
      <c r="TWG8"/>
      <c r="TWH8"/>
      <c r="TWI8"/>
      <c r="TWJ8"/>
      <c r="TWK8"/>
      <c r="TWL8"/>
      <c r="TWM8"/>
      <c r="TWN8"/>
      <c r="TWO8"/>
      <c r="TWP8"/>
      <c r="TWQ8"/>
      <c r="TWR8"/>
      <c r="TWS8"/>
      <c r="TWT8"/>
      <c r="TWU8"/>
      <c r="TWV8"/>
      <c r="TWW8"/>
      <c r="TWX8"/>
      <c r="TWY8"/>
      <c r="TWZ8"/>
      <c r="TXA8"/>
      <c r="TXB8"/>
      <c r="TXC8"/>
      <c r="TXD8"/>
      <c r="TXE8"/>
      <c r="TXF8"/>
      <c r="TXG8"/>
      <c r="TXH8"/>
      <c r="TXI8"/>
      <c r="TXJ8"/>
      <c r="TXK8"/>
      <c r="TXL8"/>
      <c r="TXM8"/>
      <c r="TXN8"/>
      <c r="TXO8"/>
      <c r="TXP8"/>
      <c r="TXQ8"/>
      <c r="TXR8"/>
      <c r="TXS8"/>
      <c r="TXT8"/>
      <c r="TXU8"/>
      <c r="TXV8"/>
      <c r="TXW8"/>
      <c r="TXX8"/>
      <c r="TXY8"/>
      <c r="TXZ8"/>
      <c r="TYA8"/>
      <c r="TYB8"/>
      <c r="TYC8"/>
      <c r="TYD8"/>
      <c r="TYE8"/>
      <c r="TYF8"/>
      <c r="TYG8"/>
      <c r="TYH8"/>
      <c r="TYI8"/>
      <c r="TYJ8"/>
      <c r="TYK8"/>
      <c r="TYL8"/>
      <c r="TYM8"/>
      <c r="TYN8"/>
      <c r="TYO8"/>
      <c r="TYP8"/>
      <c r="TYQ8"/>
      <c r="TYR8"/>
      <c r="TYS8"/>
      <c r="TYT8"/>
      <c r="TYU8"/>
      <c r="TYV8"/>
      <c r="TYW8"/>
      <c r="TYX8"/>
      <c r="TYY8"/>
      <c r="TYZ8"/>
      <c r="TZA8"/>
      <c r="TZB8"/>
      <c r="TZC8"/>
      <c r="TZD8"/>
      <c r="TZE8"/>
      <c r="TZF8"/>
      <c r="TZG8"/>
      <c r="TZH8"/>
      <c r="TZI8"/>
      <c r="TZJ8"/>
      <c r="TZK8"/>
      <c r="TZL8"/>
      <c r="TZM8"/>
      <c r="TZN8"/>
      <c r="TZO8"/>
      <c r="TZP8"/>
      <c r="TZQ8"/>
      <c r="TZR8"/>
      <c r="TZS8"/>
      <c r="TZT8"/>
      <c r="TZU8"/>
      <c r="TZV8"/>
      <c r="TZW8"/>
      <c r="TZX8"/>
      <c r="TZY8"/>
      <c r="TZZ8"/>
      <c r="UAA8"/>
      <c r="UAB8"/>
      <c r="UAC8"/>
      <c r="UAD8"/>
      <c r="UAE8"/>
      <c r="UAF8"/>
      <c r="UAG8"/>
      <c r="UAH8"/>
      <c r="UAI8"/>
      <c r="UAJ8"/>
      <c r="UAK8"/>
      <c r="UAL8"/>
      <c r="UAM8"/>
      <c r="UAN8"/>
      <c r="UAO8"/>
      <c r="UAP8"/>
      <c r="UAQ8"/>
      <c r="UAR8"/>
      <c r="UAS8"/>
      <c r="UAT8"/>
      <c r="UAU8"/>
      <c r="UAV8"/>
      <c r="UAW8"/>
      <c r="UAX8"/>
      <c r="UAY8"/>
      <c r="UAZ8"/>
      <c r="UBA8"/>
      <c r="UBB8"/>
      <c r="UBC8"/>
      <c r="UBD8"/>
      <c r="UBE8"/>
      <c r="UBF8"/>
      <c r="UBG8"/>
      <c r="UBH8"/>
      <c r="UBI8"/>
      <c r="UBJ8"/>
      <c r="UBK8"/>
      <c r="UBL8"/>
      <c r="UBM8"/>
      <c r="UBN8"/>
      <c r="UBO8"/>
      <c r="UBP8"/>
      <c r="UBQ8"/>
      <c r="UBR8"/>
      <c r="UBS8"/>
      <c r="UBT8"/>
      <c r="UBU8"/>
      <c r="UBV8"/>
      <c r="UBW8"/>
      <c r="UBX8"/>
      <c r="UBY8"/>
      <c r="UBZ8"/>
      <c r="UCA8"/>
      <c r="UCB8"/>
      <c r="UCC8"/>
      <c r="UCD8"/>
      <c r="UCE8"/>
      <c r="UCF8"/>
      <c r="UCG8"/>
      <c r="UCH8"/>
      <c r="UCI8"/>
      <c r="UCJ8"/>
      <c r="UCK8"/>
      <c r="UCL8"/>
      <c r="UCM8"/>
      <c r="UCN8"/>
      <c r="UCO8"/>
      <c r="UCP8"/>
      <c r="UCQ8"/>
      <c r="UCR8"/>
      <c r="UCS8"/>
      <c r="UCT8"/>
      <c r="UCU8"/>
      <c r="UCV8"/>
      <c r="UCW8"/>
      <c r="UCX8"/>
      <c r="UCY8"/>
      <c r="UCZ8"/>
      <c r="UDA8"/>
      <c r="UDB8"/>
      <c r="UDC8"/>
      <c r="UDD8"/>
      <c r="UDE8"/>
      <c r="UDF8"/>
      <c r="UDG8"/>
      <c r="UDH8"/>
      <c r="UDI8"/>
      <c r="UDJ8"/>
      <c r="UDK8"/>
      <c r="UDL8"/>
      <c r="UDM8"/>
      <c r="UDN8"/>
      <c r="UDO8"/>
      <c r="UDP8"/>
      <c r="UDQ8"/>
      <c r="UDR8"/>
      <c r="UDS8"/>
      <c r="UDT8"/>
      <c r="UDU8"/>
      <c r="UDV8"/>
      <c r="UDW8"/>
      <c r="UDX8"/>
      <c r="UDY8"/>
      <c r="UDZ8"/>
      <c r="UEA8"/>
      <c r="UEB8"/>
      <c r="UEC8"/>
      <c r="UED8"/>
      <c r="UEE8"/>
      <c r="UEF8"/>
      <c r="UEG8"/>
      <c r="UEH8"/>
      <c r="UEI8"/>
      <c r="UEJ8"/>
      <c r="UEK8"/>
      <c r="UEL8"/>
      <c r="UEM8"/>
      <c r="UEN8"/>
      <c r="UEO8"/>
      <c r="UEP8"/>
      <c r="UEQ8"/>
      <c r="UER8"/>
      <c r="UES8"/>
      <c r="UET8"/>
      <c r="UEU8"/>
      <c r="UEV8"/>
      <c r="UEW8"/>
      <c r="UEX8"/>
      <c r="UEY8"/>
      <c r="UEZ8"/>
      <c r="UFA8"/>
      <c r="UFB8"/>
      <c r="UFC8"/>
      <c r="UFD8"/>
      <c r="UFE8"/>
      <c r="UFF8"/>
      <c r="UFG8"/>
      <c r="UFH8"/>
      <c r="UFI8"/>
      <c r="UFJ8"/>
      <c r="UFK8"/>
      <c r="UFL8"/>
      <c r="UFM8"/>
      <c r="UFN8"/>
      <c r="UFO8"/>
      <c r="UFP8"/>
      <c r="UFQ8"/>
      <c r="UFR8"/>
      <c r="UFS8"/>
      <c r="UFT8"/>
      <c r="UFU8"/>
      <c r="UFV8"/>
      <c r="UFW8"/>
      <c r="UFX8"/>
      <c r="UFY8"/>
      <c r="UFZ8"/>
      <c r="UGA8"/>
      <c r="UGB8"/>
      <c r="UGC8"/>
      <c r="UGD8"/>
      <c r="UGE8"/>
      <c r="UGF8"/>
      <c r="UGG8"/>
      <c r="UGH8"/>
      <c r="UGI8"/>
      <c r="UGJ8"/>
      <c r="UGK8"/>
      <c r="UGL8"/>
      <c r="UGM8"/>
      <c r="UGN8"/>
      <c r="UGO8"/>
      <c r="UGP8"/>
      <c r="UGQ8"/>
      <c r="UGR8"/>
      <c r="UGS8"/>
      <c r="UGT8"/>
      <c r="UGU8"/>
      <c r="UGV8"/>
      <c r="UGW8"/>
      <c r="UGX8"/>
      <c r="UGY8"/>
      <c r="UGZ8"/>
      <c r="UHA8"/>
      <c r="UHB8"/>
      <c r="UHC8"/>
      <c r="UHD8"/>
      <c r="UHE8"/>
      <c r="UHF8"/>
      <c r="UHG8"/>
      <c r="UHH8"/>
      <c r="UHI8"/>
      <c r="UHJ8"/>
      <c r="UHK8"/>
      <c r="UHL8"/>
      <c r="UHM8"/>
      <c r="UHN8"/>
      <c r="UHO8"/>
      <c r="UHP8"/>
      <c r="UHQ8"/>
      <c r="UHR8"/>
      <c r="UHS8"/>
      <c r="UHT8"/>
      <c r="UHU8"/>
      <c r="UHV8"/>
      <c r="UHW8"/>
      <c r="UHX8"/>
      <c r="UHY8"/>
      <c r="UHZ8"/>
      <c r="UIA8"/>
      <c r="UIB8"/>
      <c r="UIC8"/>
      <c r="UID8"/>
      <c r="UIE8"/>
      <c r="UIF8"/>
      <c r="UIG8"/>
      <c r="UIH8"/>
      <c r="UII8"/>
      <c r="UIJ8"/>
      <c r="UIK8"/>
      <c r="UIL8"/>
      <c r="UIM8"/>
      <c r="UIN8"/>
      <c r="UIO8"/>
      <c r="UIP8"/>
      <c r="UIQ8"/>
      <c r="UIR8"/>
      <c r="UIS8"/>
      <c r="UIT8"/>
      <c r="UIU8"/>
      <c r="UIV8"/>
      <c r="UIW8"/>
      <c r="UIX8"/>
      <c r="UIY8"/>
      <c r="UIZ8"/>
      <c r="UJA8"/>
      <c r="UJB8"/>
      <c r="UJC8"/>
      <c r="UJD8"/>
      <c r="UJE8"/>
      <c r="UJF8"/>
      <c r="UJG8"/>
      <c r="UJH8"/>
      <c r="UJI8"/>
      <c r="UJJ8"/>
      <c r="UJK8"/>
      <c r="UJL8"/>
      <c r="UJM8"/>
      <c r="UJN8"/>
      <c r="UJO8"/>
      <c r="UJP8"/>
      <c r="UJQ8"/>
      <c r="UJR8"/>
      <c r="UJS8"/>
      <c r="UJT8"/>
      <c r="UJU8"/>
      <c r="UJV8"/>
      <c r="UJW8"/>
      <c r="UJX8"/>
      <c r="UJY8"/>
      <c r="UJZ8"/>
      <c r="UKA8"/>
      <c r="UKB8"/>
      <c r="UKC8"/>
      <c r="UKD8"/>
      <c r="UKE8"/>
      <c r="UKF8"/>
      <c r="UKG8"/>
      <c r="UKH8"/>
      <c r="UKI8"/>
      <c r="UKJ8"/>
      <c r="UKK8"/>
      <c r="UKL8"/>
      <c r="UKM8"/>
      <c r="UKN8"/>
      <c r="UKO8"/>
      <c r="UKP8"/>
      <c r="UKQ8"/>
      <c r="UKR8"/>
      <c r="UKS8"/>
      <c r="UKT8"/>
      <c r="UKU8"/>
      <c r="UKV8"/>
      <c r="UKW8"/>
      <c r="UKX8"/>
      <c r="UKY8"/>
      <c r="UKZ8"/>
      <c r="ULA8"/>
      <c r="ULB8"/>
      <c r="ULC8"/>
      <c r="ULD8"/>
      <c r="ULE8"/>
      <c r="ULF8"/>
      <c r="ULG8"/>
      <c r="ULH8"/>
      <c r="ULI8"/>
      <c r="ULJ8"/>
      <c r="ULK8"/>
      <c r="ULL8"/>
      <c r="ULM8"/>
      <c r="ULN8"/>
      <c r="ULO8"/>
      <c r="ULP8"/>
      <c r="ULQ8"/>
      <c r="ULR8"/>
      <c r="ULS8"/>
      <c r="ULT8"/>
      <c r="ULU8"/>
      <c r="ULV8"/>
      <c r="ULW8"/>
      <c r="ULX8"/>
      <c r="ULY8"/>
      <c r="ULZ8"/>
      <c r="UMA8"/>
      <c r="UMB8"/>
      <c r="UMC8"/>
      <c r="UMD8"/>
      <c r="UME8"/>
      <c r="UMF8"/>
      <c r="UMG8"/>
      <c r="UMH8"/>
      <c r="UMI8"/>
      <c r="UMJ8"/>
      <c r="UMK8"/>
      <c r="UML8"/>
      <c r="UMM8"/>
      <c r="UMN8"/>
      <c r="UMO8"/>
      <c r="UMP8"/>
      <c r="UMQ8"/>
      <c r="UMR8"/>
      <c r="UMS8"/>
      <c r="UMT8"/>
      <c r="UMU8"/>
      <c r="UMV8"/>
      <c r="UMW8"/>
      <c r="UMX8"/>
      <c r="UMY8"/>
      <c r="UMZ8"/>
      <c r="UNA8"/>
      <c r="UNB8"/>
      <c r="UNC8"/>
      <c r="UND8"/>
      <c r="UNE8"/>
      <c r="UNF8"/>
      <c r="UNG8"/>
      <c r="UNH8"/>
      <c r="UNI8"/>
      <c r="UNJ8"/>
      <c r="UNK8"/>
      <c r="UNL8"/>
      <c r="UNM8"/>
      <c r="UNN8"/>
      <c r="UNO8"/>
      <c r="UNP8"/>
      <c r="UNQ8"/>
      <c r="UNR8"/>
      <c r="UNS8"/>
      <c r="UNT8"/>
      <c r="UNU8"/>
      <c r="UNV8"/>
      <c r="UNW8"/>
      <c r="UNX8"/>
      <c r="UNY8"/>
      <c r="UNZ8"/>
      <c r="UOA8"/>
      <c r="UOB8"/>
      <c r="UOC8"/>
      <c r="UOD8"/>
      <c r="UOE8"/>
      <c r="UOF8"/>
      <c r="UOG8"/>
      <c r="UOH8"/>
      <c r="UOI8"/>
      <c r="UOJ8"/>
      <c r="UOK8"/>
      <c r="UOL8"/>
      <c r="UOM8"/>
      <c r="UON8"/>
      <c r="UOO8"/>
      <c r="UOP8"/>
      <c r="UOQ8"/>
      <c r="UOR8"/>
      <c r="UOS8"/>
      <c r="UOT8"/>
      <c r="UOU8"/>
      <c r="UOV8"/>
      <c r="UOW8"/>
      <c r="UOX8"/>
      <c r="UOY8"/>
      <c r="UOZ8"/>
      <c r="UPA8"/>
      <c r="UPB8"/>
      <c r="UPC8"/>
      <c r="UPD8"/>
      <c r="UPE8"/>
      <c r="UPF8"/>
      <c r="UPG8"/>
      <c r="UPH8"/>
      <c r="UPI8"/>
      <c r="UPJ8"/>
      <c r="UPK8"/>
      <c r="UPL8"/>
      <c r="UPM8"/>
      <c r="UPN8"/>
      <c r="UPO8"/>
      <c r="UPP8"/>
      <c r="UPQ8"/>
      <c r="UPR8"/>
      <c r="UPS8"/>
      <c r="UPT8"/>
      <c r="UPU8"/>
      <c r="UPV8"/>
      <c r="UPW8"/>
      <c r="UPX8"/>
      <c r="UPY8"/>
      <c r="UPZ8"/>
      <c r="UQA8"/>
      <c r="UQB8"/>
      <c r="UQC8"/>
      <c r="UQD8"/>
      <c r="UQE8"/>
      <c r="UQF8"/>
      <c r="UQG8"/>
      <c r="UQH8"/>
      <c r="UQI8"/>
      <c r="UQJ8"/>
      <c r="UQK8"/>
      <c r="UQL8"/>
      <c r="UQM8"/>
      <c r="UQN8"/>
      <c r="UQO8"/>
      <c r="UQP8"/>
      <c r="UQQ8"/>
      <c r="UQR8"/>
      <c r="UQS8"/>
      <c r="UQT8"/>
      <c r="UQU8"/>
      <c r="UQV8"/>
      <c r="UQW8"/>
      <c r="UQX8"/>
      <c r="UQY8"/>
      <c r="UQZ8"/>
      <c r="URA8"/>
      <c r="URB8"/>
      <c r="URC8"/>
      <c r="URD8"/>
      <c r="URE8"/>
      <c r="URF8"/>
      <c r="URG8"/>
      <c r="URH8"/>
      <c r="URI8"/>
      <c r="URJ8"/>
      <c r="URK8"/>
      <c r="URL8"/>
      <c r="URM8"/>
      <c r="URN8"/>
      <c r="URO8"/>
      <c r="URP8"/>
      <c r="URQ8"/>
      <c r="URR8"/>
      <c r="URS8"/>
      <c r="URT8"/>
      <c r="URU8"/>
      <c r="URV8"/>
      <c r="URW8"/>
      <c r="URX8"/>
      <c r="URY8"/>
      <c r="URZ8"/>
      <c r="USA8"/>
      <c r="USB8"/>
      <c r="USC8"/>
      <c r="USD8"/>
      <c r="USE8"/>
      <c r="USF8"/>
      <c r="USG8"/>
      <c r="USH8"/>
      <c r="USI8"/>
      <c r="USJ8"/>
      <c r="USK8"/>
      <c r="USL8"/>
      <c r="USM8"/>
      <c r="USN8"/>
      <c r="USO8"/>
      <c r="USP8"/>
      <c r="USQ8"/>
      <c r="USR8"/>
      <c r="USS8"/>
      <c r="UST8"/>
      <c r="USU8"/>
      <c r="USV8"/>
      <c r="USW8"/>
      <c r="USX8"/>
      <c r="USY8"/>
      <c r="USZ8"/>
      <c r="UTA8"/>
      <c r="UTB8"/>
      <c r="UTC8"/>
      <c r="UTD8"/>
      <c r="UTE8"/>
      <c r="UTF8"/>
      <c r="UTG8"/>
      <c r="UTH8"/>
      <c r="UTI8"/>
      <c r="UTJ8"/>
      <c r="UTK8"/>
      <c r="UTL8"/>
      <c r="UTM8"/>
      <c r="UTN8"/>
      <c r="UTO8"/>
      <c r="UTP8"/>
      <c r="UTQ8"/>
      <c r="UTR8"/>
      <c r="UTS8"/>
      <c r="UTT8"/>
      <c r="UTU8"/>
      <c r="UTV8"/>
      <c r="UTW8"/>
      <c r="UTX8"/>
      <c r="UTY8"/>
      <c r="UTZ8"/>
      <c r="UUA8"/>
      <c r="UUB8"/>
      <c r="UUC8"/>
      <c r="UUD8"/>
      <c r="UUE8"/>
      <c r="UUF8"/>
      <c r="UUG8"/>
      <c r="UUH8"/>
      <c r="UUI8"/>
      <c r="UUJ8"/>
      <c r="UUK8"/>
      <c r="UUL8"/>
      <c r="UUM8"/>
      <c r="UUN8"/>
      <c r="UUO8"/>
      <c r="UUP8"/>
      <c r="UUQ8"/>
      <c r="UUR8"/>
      <c r="UUS8"/>
      <c r="UUT8"/>
      <c r="UUU8"/>
      <c r="UUV8"/>
      <c r="UUW8"/>
      <c r="UUX8"/>
      <c r="UUY8"/>
      <c r="UUZ8"/>
      <c r="UVA8"/>
      <c r="UVB8"/>
      <c r="UVC8"/>
      <c r="UVD8"/>
      <c r="UVE8"/>
      <c r="UVF8"/>
      <c r="UVG8"/>
      <c r="UVH8"/>
      <c r="UVI8"/>
      <c r="UVJ8"/>
      <c r="UVK8"/>
      <c r="UVL8"/>
      <c r="UVM8"/>
      <c r="UVN8"/>
      <c r="UVO8"/>
      <c r="UVP8"/>
      <c r="UVQ8"/>
      <c r="UVR8"/>
      <c r="UVS8"/>
      <c r="UVT8"/>
      <c r="UVU8"/>
      <c r="UVV8"/>
      <c r="UVW8"/>
      <c r="UVX8"/>
      <c r="UVY8"/>
      <c r="UVZ8"/>
      <c r="UWA8"/>
      <c r="UWB8"/>
      <c r="UWC8"/>
      <c r="UWD8"/>
      <c r="UWE8"/>
      <c r="UWF8"/>
      <c r="UWG8"/>
      <c r="UWH8"/>
      <c r="UWI8"/>
      <c r="UWJ8"/>
      <c r="UWK8"/>
      <c r="UWL8"/>
      <c r="UWM8"/>
      <c r="UWN8"/>
      <c r="UWO8"/>
      <c r="UWP8"/>
      <c r="UWQ8"/>
      <c r="UWR8"/>
      <c r="UWS8"/>
      <c r="UWT8"/>
      <c r="UWU8"/>
      <c r="UWV8"/>
      <c r="UWW8"/>
      <c r="UWX8"/>
      <c r="UWY8"/>
      <c r="UWZ8"/>
      <c r="UXA8"/>
      <c r="UXB8"/>
      <c r="UXC8"/>
      <c r="UXD8"/>
      <c r="UXE8"/>
      <c r="UXF8"/>
      <c r="UXG8"/>
      <c r="UXH8"/>
      <c r="UXI8"/>
      <c r="UXJ8"/>
      <c r="UXK8"/>
      <c r="UXL8"/>
      <c r="UXM8"/>
      <c r="UXN8"/>
      <c r="UXO8"/>
      <c r="UXP8"/>
      <c r="UXQ8"/>
      <c r="UXR8"/>
      <c r="UXS8"/>
      <c r="UXT8"/>
      <c r="UXU8"/>
      <c r="UXV8"/>
      <c r="UXW8"/>
      <c r="UXX8"/>
      <c r="UXY8"/>
      <c r="UXZ8"/>
      <c r="UYA8"/>
      <c r="UYB8"/>
      <c r="UYC8"/>
      <c r="UYD8"/>
      <c r="UYE8"/>
      <c r="UYF8"/>
      <c r="UYG8"/>
      <c r="UYH8"/>
      <c r="UYI8"/>
      <c r="UYJ8"/>
      <c r="UYK8"/>
      <c r="UYL8"/>
      <c r="UYM8"/>
      <c r="UYN8"/>
      <c r="UYO8"/>
      <c r="UYP8"/>
      <c r="UYQ8"/>
      <c r="UYR8"/>
      <c r="UYS8"/>
      <c r="UYT8"/>
      <c r="UYU8"/>
      <c r="UYV8"/>
      <c r="UYW8"/>
      <c r="UYX8"/>
      <c r="UYY8"/>
      <c r="UYZ8"/>
      <c r="UZA8"/>
      <c r="UZB8"/>
      <c r="UZC8"/>
      <c r="UZD8"/>
      <c r="UZE8"/>
      <c r="UZF8"/>
      <c r="UZG8"/>
      <c r="UZH8"/>
      <c r="UZI8"/>
      <c r="UZJ8"/>
      <c r="UZK8"/>
      <c r="UZL8"/>
      <c r="UZM8"/>
      <c r="UZN8"/>
      <c r="UZO8"/>
      <c r="UZP8"/>
      <c r="UZQ8"/>
      <c r="UZR8"/>
      <c r="UZS8"/>
      <c r="UZT8"/>
      <c r="UZU8"/>
      <c r="UZV8"/>
      <c r="UZW8"/>
      <c r="UZX8"/>
      <c r="UZY8"/>
      <c r="UZZ8"/>
      <c r="VAA8"/>
      <c r="VAB8"/>
      <c r="VAC8"/>
      <c r="VAD8"/>
      <c r="VAE8"/>
      <c r="VAF8"/>
      <c r="VAG8"/>
      <c r="VAH8"/>
      <c r="VAI8"/>
      <c r="VAJ8"/>
      <c r="VAK8"/>
      <c r="VAL8"/>
      <c r="VAM8"/>
      <c r="VAN8"/>
      <c r="VAO8"/>
      <c r="VAP8"/>
      <c r="VAQ8"/>
      <c r="VAR8"/>
      <c r="VAS8"/>
      <c r="VAT8"/>
      <c r="VAU8"/>
      <c r="VAV8"/>
      <c r="VAW8"/>
      <c r="VAX8"/>
      <c r="VAY8"/>
      <c r="VAZ8"/>
      <c r="VBA8"/>
      <c r="VBB8"/>
      <c r="VBC8"/>
      <c r="VBD8"/>
      <c r="VBE8"/>
      <c r="VBF8"/>
      <c r="VBG8"/>
      <c r="VBH8"/>
      <c r="VBI8"/>
      <c r="VBJ8"/>
      <c r="VBK8"/>
      <c r="VBL8"/>
      <c r="VBM8"/>
      <c r="VBN8"/>
      <c r="VBO8"/>
      <c r="VBP8"/>
      <c r="VBQ8"/>
      <c r="VBR8"/>
      <c r="VBS8"/>
      <c r="VBT8"/>
      <c r="VBU8"/>
      <c r="VBV8"/>
      <c r="VBW8"/>
      <c r="VBX8"/>
      <c r="VBY8"/>
      <c r="VBZ8"/>
      <c r="VCA8"/>
      <c r="VCB8"/>
      <c r="VCC8"/>
      <c r="VCD8"/>
      <c r="VCE8"/>
      <c r="VCF8"/>
      <c r="VCG8"/>
      <c r="VCH8"/>
      <c r="VCI8"/>
      <c r="VCJ8"/>
      <c r="VCK8"/>
      <c r="VCL8"/>
      <c r="VCM8"/>
      <c r="VCN8"/>
      <c r="VCO8"/>
      <c r="VCP8"/>
      <c r="VCQ8"/>
      <c r="VCR8"/>
      <c r="VCS8"/>
      <c r="VCT8"/>
      <c r="VCU8"/>
      <c r="VCV8"/>
      <c r="VCW8"/>
      <c r="VCX8"/>
      <c r="VCY8"/>
      <c r="VCZ8"/>
      <c r="VDA8"/>
      <c r="VDB8"/>
      <c r="VDC8"/>
      <c r="VDD8"/>
      <c r="VDE8"/>
      <c r="VDF8"/>
      <c r="VDG8"/>
      <c r="VDH8"/>
      <c r="VDI8"/>
      <c r="VDJ8"/>
      <c r="VDK8"/>
      <c r="VDL8"/>
      <c r="VDM8"/>
      <c r="VDN8"/>
      <c r="VDO8"/>
      <c r="VDP8"/>
      <c r="VDQ8"/>
      <c r="VDR8"/>
      <c r="VDS8"/>
      <c r="VDT8"/>
      <c r="VDU8"/>
      <c r="VDV8"/>
      <c r="VDW8"/>
      <c r="VDX8"/>
      <c r="VDY8"/>
      <c r="VDZ8"/>
      <c r="VEA8"/>
      <c r="VEB8"/>
      <c r="VEC8"/>
      <c r="VED8"/>
      <c r="VEE8"/>
      <c r="VEF8"/>
      <c r="VEG8"/>
      <c r="VEH8"/>
      <c r="VEI8"/>
      <c r="VEJ8"/>
      <c r="VEK8"/>
      <c r="VEL8"/>
      <c r="VEM8"/>
      <c r="VEN8"/>
      <c r="VEO8"/>
      <c r="VEP8"/>
      <c r="VEQ8"/>
      <c r="VER8"/>
      <c r="VES8"/>
      <c r="VET8"/>
      <c r="VEU8"/>
      <c r="VEV8"/>
      <c r="VEW8"/>
      <c r="VEX8"/>
      <c r="VEY8"/>
      <c r="VEZ8"/>
      <c r="VFA8"/>
      <c r="VFB8"/>
      <c r="VFC8"/>
      <c r="VFD8"/>
      <c r="VFE8"/>
      <c r="VFF8"/>
      <c r="VFG8"/>
      <c r="VFH8"/>
      <c r="VFI8"/>
      <c r="VFJ8"/>
      <c r="VFK8"/>
      <c r="VFL8"/>
      <c r="VFM8"/>
      <c r="VFN8"/>
      <c r="VFO8"/>
      <c r="VFP8"/>
      <c r="VFQ8"/>
      <c r="VFR8"/>
      <c r="VFS8"/>
      <c r="VFT8"/>
      <c r="VFU8"/>
      <c r="VFV8"/>
      <c r="VFW8"/>
      <c r="VFX8"/>
      <c r="VFY8"/>
      <c r="VFZ8"/>
      <c r="VGA8"/>
      <c r="VGB8"/>
      <c r="VGC8"/>
      <c r="VGD8"/>
      <c r="VGE8"/>
      <c r="VGF8"/>
      <c r="VGG8"/>
      <c r="VGH8"/>
      <c r="VGI8"/>
      <c r="VGJ8"/>
      <c r="VGK8"/>
      <c r="VGL8"/>
      <c r="VGM8"/>
      <c r="VGN8"/>
      <c r="VGO8"/>
      <c r="VGP8"/>
      <c r="VGQ8"/>
      <c r="VGR8"/>
      <c r="VGS8"/>
      <c r="VGT8"/>
      <c r="VGU8"/>
      <c r="VGV8"/>
      <c r="VGW8"/>
      <c r="VGX8"/>
      <c r="VGY8"/>
      <c r="VGZ8"/>
      <c r="VHA8"/>
      <c r="VHB8"/>
      <c r="VHC8"/>
      <c r="VHD8"/>
      <c r="VHE8"/>
      <c r="VHF8"/>
      <c r="VHG8"/>
      <c r="VHH8"/>
      <c r="VHI8"/>
      <c r="VHJ8"/>
      <c r="VHK8"/>
      <c r="VHL8"/>
      <c r="VHM8"/>
      <c r="VHN8"/>
      <c r="VHO8"/>
      <c r="VHP8"/>
      <c r="VHQ8"/>
      <c r="VHR8"/>
      <c r="VHS8"/>
      <c r="VHT8"/>
      <c r="VHU8"/>
      <c r="VHV8"/>
      <c r="VHW8"/>
      <c r="VHX8"/>
      <c r="VHY8"/>
      <c r="VHZ8"/>
      <c r="VIA8"/>
      <c r="VIB8"/>
      <c r="VIC8"/>
      <c r="VID8"/>
      <c r="VIE8"/>
      <c r="VIF8"/>
      <c r="VIG8"/>
      <c r="VIH8"/>
      <c r="VII8"/>
      <c r="VIJ8"/>
      <c r="VIK8"/>
      <c r="VIL8"/>
      <c r="VIM8"/>
      <c r="VIN8"/>
      <c r="VIO8"/>
      <c r="VIP8"/>
      <c r="VIQ8"/>
      <c r="VIR8"/>
      <c r="VIS8"/>
      <c r="VIT8"/>
      <c r="VIU8"/>
      <c r="VIV8"/>
      <c r="VIW8"/>
      <c r="VIX8"/>
      <c r="VIY8"/>
      <c r="VIZ8"/>
      <c r="VJA8"/>
      <c r="VJB8"/>
      <c r="VJC8"/>
      <c r="VJD8"/>
      <c r="VJE8"/>
      <c r="VJF8"/>
      <c r="VJG8"/>
      <c r="VJH8"/>
      <c r="VJI8"/>
      <c r="VJJ8"/>
      <c r="VJK8"/>
      <c r="VJL8"/>
      <c r="VJM8"/>
      <c r="VJN8"/>
      <c r="VJO8"/>
      <c r="VJP8"/>
      <c r="VJQ8"/>
      <c r="VJR8"/>
      <c r="VJS8"/>
      <c r="VJT8"/>
      <c r="VJU8"/>
      <c r="VJV8"/>
      <c r="VJW8"/>
      <c r="VJX8"/>
      <c r="VJY8"/>
      <c r="VJZ8"/>
      <c r="VKA8"/>
      <c r="VKB8"/>
      <c r="VKC8"/>
      <c r="VKD8"/>
      <c r="VKE8"/>
      <c r="VKF8"/>
      <c r="VKG8"/>
      <c r="VKH8"/>
      <c r="VKI8"/>
      <c r="VKJ8"/>
      <c r="VKK8"/>
      <c r="VKL8"/>
      <c r="VKM8"/>
      <c r="VKN8"/>
      <c r="VKO8"/>
      <c r="VKP8"/>
      <c r="VKQ8"/>
      <c r="VKR8"/>
      <c r="VKS8"/>
      <c r="VKT8"/>
      <c r="VKU8"/>
      <c r="VKV8"/>
      <c r="VKW8"/>
      <c r="VKX8"/>
      <c r="VKY8"/>
      <c r="VKZ8"/>
      <c r="VLA8"/>
      <c r="VLB8"/>
      <c r="VLC8"/>
      <c r="VLD8"/>
      <c r="VLE8"/>
      <c r="VLF8"/>
      <c r="VLG8"/>
      <c r="VLH8"/>
      <c r="VLI8"/>
      <c r="VLJ8"/>
      <c r="VLK8"/>
      <c r="VLL8"/>
      <c r="VLM8"/>
      <c r="VLN8"/>
      <c r="VLO8"/>
      <c r="VLP8"/>
      <c r="VLQ8"/>
      <c r="VLR8"/>
      <c r="VLS8"/>
      <c r="VLT8"/>
      <c r="VLU8"/>
      <c r="VLV8"/>
      <c r="VLW8"/>
      <c r="VLX8"/>
      <c r="VLY8"/>
      <c r="VLZ8"/>
      <c r="VMA8"/>
      <c r="VMB8"/>
      <c r="VMC8"/>
      <c r="VMD8"/>
      <c r="VME8"/>
      <c r="VMF8"/>
      <c r="VMG8"/>
      <c r="VMH8"/>
      <c r="VMI8"/>
      <c r="VMJ8"/>
      <c r="VMK8"/>
      <c r="VML8"/>
      <c r="VMM8"/>
      <c r="VMN8"/>
      <c r="VMO8"/>
      <c r="VMP8"/>
      <c r="VMQ8"/>
      <c r="VMR8"/>
      <c r="VMS8"/>
      <c r="VMT8"/>
      <c r="VMU8"/>
      <c r="VMV8"/>
      <c r="VMW8"/>
      <c r="VMX8"/>
      <c r="VMY8"/>
      <c r="VMZ8"/>
      <c r="VNA8"/>
      <c r="VNB8"/>
      <c r="VNC8"/>
      <c r="VND8"/>
      <c r="VNE8"/>
      <c r="VNF8"/>
      <c r="VNG8"/>
      <c r="VNH8"/>
      <c r="VNI8"/>
      <c r="VNJ8"/>
      <c r="VNK8"/>
      <c r="VNL8"/>
      <c r="VNM8"/>
      <c r="VNN8"/>
      <c r="VNO8"/>
      <c r="VNP8"/>
      <c r="VNQ8"/>
      <c r="VNR8"/>
      <c r="VNS8"/>
      <c r="VNT8"/>
      <c r="VNU8"/>
      <c r="VNV8"/>
      <c r="VNW8"/>
      <c r="VNX8"/>
      <c r="VNY8"/>
      <c r="VNZ8"/>
      <c r="VOA8"/>
      <c r="VOB8"/>
      <c r="VOC8"/>
      <c r="VOD8"/>
      <c r="VOE8"/>
      <c r="VOF8"/>
      <c r="VOG8"/>
      <c r="VOH8"/>
      <c r="VOI8"/>
      <c r="VOJ8"/>
      <c r="VOK8"/>
      <c r="VOL8"/>
      <c r="VOM8"/>
      <c r="VON8"/>
      <c r="VOO8"/>
      <c r="VOP8"/>
      <c r="VOQ8"/>
      <c r="VOR8"/>
      <c r="VOS8"/>
      <c r="VOT8"/>
      <c r="VOU8"/>
      <c r="VOV8"/>
      <c r="VOW8"/>
      <c r="VOX8"/>
      <c r="VOY8"/>
      <c r="VOZ8"/>
      <c r="VPA8"/>
      <c r="VPB8"/>
      <c r="VPC8"/>
      <c r="VPD8"/>
      <c r="VPE8"/>
      <c r="VPF8"/>
      <c r="VPG8"/>
      <c r="VPH8"/>
      <c r="VPI8"/>
      <c r="VPJ8"/>
      <c r="VPK8"/>
      <c r="VPL8"/>
      <c r="VPM8"/>
      <c r="VPN8"/>
      <c r="VPO8"/>
      <c r="VPP8"/>
      <c r="VPQ8"/>
      <c r="VPR8"/>
      <c r="VPS8"/>
      <c r="VPT8"/>
      <c r="VPU8"/>
      <c r="VPV8"/>
      <c r="VPW8"/>
      <c r="VPX8"/>
      <c r="VPY8"/>
      <c r="VPZ8"/>
      <c r="VQA8"/>
      <c r="VQB8"/>
      <c r="VQC8"/>
      <c r="VQD8"/>
      <c r="VQE8"/>
      <c r="VQF8"/>
      <c r="VQG8"/>
      <c r="VQH8"/>
      <c r="VQI8"/>
      <c r="VQJ8"/>
      <c r="VQK8"/>
      <c r="VQL8"/>
      <c r="VQM8"/>
      <c r="VQN8"/>
      <c r="VQO8"/>
      <c r="VQP8"/>
      <c r="VQQ8"/>
      <c r="VQR8"/>
      <c r="VQS8"/>
      <c r="VQT8"/>
      <c r="VQU8"/>
      <c r="VQV8"/>
      <c r="VQW8"/>
      <c r="VQX8"/>
      <c r="VQY8"/>
      <c r="VQZ8"/>
      <c r="VRA8"/>
      <c r="VRB8"/>
      <c r="VRC8"/>
      <c r="VRD8"/>
      <c r="VRE8"/>
      <c r="VRF8"/>
      <c r="VRG8"/>
      <c r="VRH8"/>
      <c r="VRI8"/>
      <c r="VRJ8"/>
      <c r="VRK8"/>
      <c r="VRL8"/>
      <c r="VRM8"/>
      <c r="VRN8"/>
      <c r="VRO8"/>
      <c r="VRP8"/>
      <c r="VRQ8"/>
      <c r="VRR8"/>
      <c r="VRS8"/>
      <c r="VRT8"/>
      <c r="VRU8"/>
      <c r="VRV8"/>
      <c r="VRW8"/>
      <c r="VRX8"/>
      <c r="VRY8"/>
      <c r="VRZ8"/>
      <c r="VSA8"/>
      <c r="VSB8"/>
      <c r="VSC8"/>
      <c r="VSD8"/>
      <c r="VSE8"/>
      <c r="VSF8"/>
      <c r="VSG8"/>
      <c r="VSH8"/>
      <c r="VSI8"/>
      <c r="VSJ8"/>
      <c r="VSK8"/>
      <c r="VSL8"/>
      <c r="VSM8"/>
      <c r="VSN8"/>
      <c r="VSO8"/>
      <c r="VSP8"/>
      <c r="VSQ8"/>
      <c r="VSR8"/>
      <c r="VSS8"/>
      <c r="VST8"/>
      <c r="VSU8"/>
      <c r="VSV8"/>
      <c r="VSW8"/>
      <c r="VSX8"/>
      <c r="VSY8"/>
      <c r="VSZ8"/>
      <c r="VTA8"/>
      <c r="VTB8"/>
      <c r="VTC8"/>
      <c r="VTD8"/>
      <c r="VTE8"/>
      <c r="VTF8"/>
      <c r="VTG8"/>
      <c r="VTH8"/>
      <c r="VTI8"/>
      <c r="VTJ8"/>
      <c r="VTK8"/>
      <c r="VTL8"/>
      <c r="VTM8"/>
      <c r="VTN8"/>
      <c r="VTO8"/>
      <c r="VTP8"/>
      <c r="VTQ8"/>
      <c r="VTR8"/>
      <c r="VTS8"/>
      <c r="VTT8"/>
      <c r="VTU8"/>
      <c r="VTV8"/>
      <c r="VTW8"/>
      <c r="VTX8"/>
      <c r="VTY8"/>
      <c r="VTZ8"/>
      <c r="VUA8"/>
      <c r="VUB8"/>
      <c r="VUC8"/>
      <c r="VUD8"/>
      <c r="VUE8"/>
      <c r="VUF8"/>
      <c r="VUG8"/>
      <c r="VUH8"/>
      <c r="VUI8"/>
      <c r="VUJ8"/>
      <c r="VUK8"/>
      <c r="VUL8"/>
      <c r="VUM8"/>
      <c r="VUN8"/>
      <c r="VUO8"/>
      <c r="VUP8"/>
      <c r="VUQ8"/>
      <c r="VUR8"/>
      <c r="VUS8"/>
      <c r="VUT8"/>
      <c r="VUU8"/>
      <c r="VUV8"/>
      <c r="VUW8"/>
      <c r="VUX8"/>
      <c r="VUY8"/>
      <c r="VUZ8"/>
      <c r="VVA8"/>
      <c r="VVB8"/>
      <c r="VVC8"/>
      <c r="VVD8"/>
      <c r="VVE8"/>
      <c r="VVF8"/>
      <c r="VVG8"/>
      <c r="VVH8"/>
      <c r="VVI8"/>
      <c r="VVJ8"/>
      <c r="VVK8"/>
      <c r="VVL8"/>
      <c r="VVM8"/>
      <c r="VVN8"/>
      <c r="VVO8"/>
      <c r="VVP8"/>
      <c r="VVQ8"/>
      <c r="VVR8"/>
      <c r="VVS8"/>
      <c r="VVT8"/>
      <c r="VVU8"/>
      <c r="VVV8"/>
      <c r="VVW8"/>
      <c r="VVX8"/>
      <c r="VVY8"/>
      <c r="VVZ8"/>
      <c r="VWA8"/>
      <c r="VWB8"/>
      <c r="VWC8"/>
      <c r="VWD8"/>
      <c r="VWE8"/>
      <c r="VWF8"/>
      <c r="VWG8"/>
      <c r="VWH8"/>
      <c r="VWI8"/>
      <c r="VWJ8"/>
      <c r="VWK8"/>
      <c r="VWL8"/>
      <c r="VWM8"/>
      <c r="VWN8"/>
      <c r="VWO8"/>
      <c r="VWP8"/>
      <c r="VWQ8"/>
      <c r="VWR8"/>
      <c r="VWS8"/>
      <c r="VWT8"/>
      <c r="VWU8"/>
      <c r="VWV8"/>
      <c r="VWW8"/>
      <c r="VWX8"/>
      <c r="VWY8"/>
      <c r="VWZ8"/>
      <c r="VXA8"/>
      <c r="VXB8"/>
      <c r="VXC8"/>
      <c r="VXD8"/>
      <c r="VXE8"/>
      <c r="VXF8"/>
      <c r="VXG8"/>
      <c r="VXH8"/>
      <c r="VXI8"/>
      <c r="VXJ8"/>
      <c r="VXK8"/>
      <c r="VXL8"/>
      <c r="VXM8"/>
      <c r="VXN8"/>
      <c r="VXO8"/>
      <c r="VXP8"/>
      <c r="VXQ8"/>
      <c r="VXR8"/>
      <c r="VXS8"/>
      <c r="VXT8"/>
      <c r="VXU8"/>
      <c r="VXV8"/>
      <c r="VXW8"/>
      <c r="VXX8"/>
      <c r="VXY8"/>
      <c r="VXZ8"/>
      <c r="VYA8"/>
      <c r="VYB8"/>
      <c r="VYC8"/>
      <c r="VYD8"/>
      <c r="VYE8"/>
      <c r="VYF8"/>
      <c r="VYG8"/>
      <c r="VYH8"/>
      <c r="VYI8"/>
      <c r="VYJ8"/>
      <c r="VYK8"/>
      <c r="VYL8"/>
      <c r="VYM8"/>
      <c r="VYN8"/>
      <c r="VYO8"/>
      <c r="VYP8"/>
      <c r="VYQ8"/>
      <c r="VYR8"/>
      <c r="VYS8"/>
      <c r="VYT8"/>
      <c r="VYU8"/>
      <c r="VYV8"/>
      <c r="VYW8"/>
      <c r="VYX8"/>
      <c r="VYY8"/>
      <c r="VYZ8"/>
      <c r="VZA8"/>
      <c r="VZB8"/>
      <c r="VZC8"/>
      <c r="VZD8"/>
      <c r="VZE8"/>
      <c r="VZF8"/>
      <c r="VZG8"/>
      <c r="VZH8"/>
      <c r="VZI8"/>
      <c r="VZJ8"/>
      <c r="VZK8"/>
      <c r="VZL8"/>
      <c r="VZM8"/>
      <c r="VZN8"/>
      <c r="VZO8"/>
      <c r="VZP8"/>
      <c r="VZQ8"/>
      <c r="VZR8"/>
      <c r="VZS8"/>
      <c r="VZT8"/>
      <c r="VZU8"/>
      <c r="VZV8"/>
      <c r="VZW8"/>
      <c r="VZX8"/>
      <c r="VZY8"/>
      <c r="VZZ8"/>
      <c r="WAA8"/>
      <c r="WAB8"/>
      <c r="WAC8"/>
      <c r="WAD8"/>
      <c r="WAE8"/>
      <c r="WAF8"/>
      <c r="WAG8"/>
      <c r="WAH8"/>
      <c r="WAI8"/>
      <c r="WAJ8"/>
      <c r="WAK8"/>
      <c r="WAL8"/>
      <c r="WAM8"/>
      <c r="WAN8"/>
      <c r="WAO8"/>
      <c r="WAP8"/>
      <c r="WAQ8"/>
      <c r="WAR8"/>
      <c r="WAS8"/>
      <c r="WAT8"/>
      <c r="WAU8"/>
      <c r="WAV8"/>
      <c r="WAW8"/>
      <c r="WAX8"/>
      <c r="WAY8"/>
      <c r="WAZ8"/>
      <c r="WBA8"/>
      <c r="WBB8"/>
      <c r="WBC8"/>
      <c r="WBD8"/>
      <c r="WBE8"/>
      <c r="WBF8"/>
      <c r="WBG8"/>
      <c r="WBH8"/>
      <c r="WBI8"/>
      <c r="WBJ8"/>
      <c r="WBK8"/>
      <c r="WBL8"/>
      <c r="WBM8"/>
      <c r="WBN8"/>
      <c r="WBO8"/>
      <c r="WBP8"/>
      <c r="WBQ8"/>
      <c r="WBR8"/>
      <c r="WBS8"/>
      <c r="WBT8"/>
      <c r="WBU8"/>
      <c r="WBV8"/>
      <c r="WBW8"/>
      <c r="WBX8"/>
      <c r="WBY8"/>
      <c r="WBZ8"/>
      <c r="WCA8"/>
      <c r="WCB8"/>
      <c r="WCC8"/>
      <c r="WCD8"/>
      <c r="WCE8"/>
      <c r="WCF8"/>
      <c r="WCG8"/>
      <c r="WCH8"/>
      <c r="WCI8"/>
      <c r="WCJ8"/>
      <c r="WCK8"/>
      <c r="WCL8"/>
      <c r="WCM8"/>
      <c r="WCN8"/>
      <c r="WCO8"/>
      <c r="WCP8"/>
      <c r="WCQ8"/>
      <c r="WCR8"/>
      <c r="WCS8"/>
      <c r="WCT8"/>
      <c r="WCU8"/>
      <c r="WCV8"/>
      <c r="WCW8"/>
      <c r="WCX8"/>
      <c r="WCY8"/>
      <c r="WCZ8"/>
      <c r="WDA8"/>
      <c r="WDB8"/>
      <c r="WDC8"/>
      <c r="WDD8"/>
      <c r="WDE8"/>
      <c r="WDF8"/>
      <c r="WDG8"/>
      <c r="WDH8"/>
      <c r="WDI8"/>
      <c r="WDJ8"/>
      <c r="WDK8"/>
      <c r="WDL8"/>
      <c r="WDM8"/>
      <c r="WDN8"/>
      <c r="WDO8"/>
      <c r="WDP8"/>
      <c r="WDQ8"/>
      <c r="WDR8"/>
      <c r="WDS8"/>
      <c r="WDT8"/>
      <c r="WDU8"/>
      <c r="WDV8"/>
      <c r="WDW8"/>
      <c r="WDX8"/>
      <c r="WDY8"/>
      <c r="WDZ8"/>
      <c r="WEA8"/>
      <c r="WEB8"/>
      <c r="WEC8"/>
      <c r="WED8"/>
      <c r="WEE8"/>
      <c r="WEF8"/>
      <c r="WEG8"/>
      <c r="WEH8"/>
      <c r="WEI8"/>
      <c r="WEJ8"/>
      <c r="WEK8"/>
      <c r="WEL8"/>
      <c r="WEM8"/>
      <c r="WEN8"/>
      <c r="WEO8"/>
      <c r="WEP8"/>
      <c r="WEQ8"/>
      <c r="WER8"/>
      <c r="WES8"/>
      <c r="WET8"/>
      <c r="WEU8"/>
      <c r="WEV8"/>
      <c r="WEW8"/>
      <c r="WEX8"/>
      <c r="WEY8"/>
      <c r="WEZ8"/>
      <c r="WFA8"/>
      <c r="WFB8"/>
      <c r="WFC8"/>
      <c r="WFD8"/>
      <c r="WFE8"/>
      <c r="WFF8"/>
      <c r="WFG8"/>
      <c r="WFH8"/>
      <c r="WFI8"/>
      <c r="WFJ8"/>
      <c r="WFK8"/>
      <c r="WFL8"/>
      <c r="WFM8"/>
      <c r="WFN8"/>
      <c r="WFO8"/>
      <c r="WFP8"/>
      <c r="WFQ8"/>
      <c r="WFR8"/>
      <c r="WFS8"/>
      <c r="WFT8"/>
      <c r="WFU8"/>
      <c r="WFV8"/>
      <c r="WFW8"/>
      <c r="WFX8"/>
      <c r="WFY8"/>
      <c r="WFZ8"/>
      <c r="WGA8"/>
      <c r="WGB8"/>
      <c r="WGC8"/>
      <c r="WGD8"/>
      <c r="WGE8"/>
      <c r="WGF8"/>
      <c r="WGG8"/>
      <c r="WGH8"/>
      <c r="WGI8"/>
      <c r="WGJ8"/>
      <c r="WGK8"/>
      <c r="WGL8"/>
      <c r="WGM8"/>
      <c r="WGN8"/>
      <c r="WGO8"/>
      <c r="WGP8"/>
      <c r="WGQ8"/>
      <c r="WGR8"/>
      <c r="WGS8"/>
      <c r="WGT8"/>
      <c r="WGU8"/>
      <c r="WGV8"/>
      <c r="WGW8"/>
      <c r="WGX8"/>
      <c r="WGY8"/>
      <c r="WGZ8"/>
      <c r="WHA8"/>
      <c r="WHB8"/>
      <c r="WHC8"/>
      <c r="WHD8"/>
      <c r="WHE8"/>
      <c r="WHF8"/>
      <c r="WHG8"/>
      <c r="WHH8"/>
      <c r="WHI8"/>
      <c r="WHJ8"/>
      <c r="WHK8"/>
      <c r="WHL8"/>
      <c r="WHM8"/>
      <c r="WHN8"/>
      <c r="WHO8"/>
      <c r="WHP8"/>
      <c r="WHQ8"/>
      <c r="WHR8"/>
      <c r="WHS8"/>
      <c r="WHT8"/>
      <c r="WHU8"/>
      <c r="WHV8"/>
      <c r="WHW8"/>
      <c r="WHX8"/>
      <c r="WHY8"/>
      <c r="WHZ8"/>
      <c r="WIA8"/>
      <c r="WIB8"/>
      <c r="WIC8"/>
      <c r="WID8"/>
      <c r="WIE8"/>
      <c r="WIF8"/>
      <c r="WIG8"/>
      <c r="WIH8"/>
      <c r="WII8"/>
      <c r="WIJ8"/>
      <c r="WIK8"/>
      <c r="WIL8"/>
      <c r="WIM8"/>
      <c r="WIN8"/>
      <c r="WIO8"/>
      <c r="WIP8"/>
      <c r="WIQ8"/>
      <c r="WIR8"/>
      <c r="WIS8"/>
      <c r="WIT8"/>
      <c r="WIU8"/>
      <c r="WIV8"/>
      <c r="WIW8"/>
      <c r="WIX8"/>
      <c r="WIY8"/>
      <c r="WIZ8"/>
      <c r="WJA8"/>
      <c r="WJB8"/>
      <c r="WJC8"/>
      <c r="WJD8"/>
      <c r="WJE8"/>
      <c r="WJF8"/>
      <c r="WJG8"/>
      <c r="WJH8"/>
      <c r="WJI8"/>
      <c r="WJJ8"/>
      <c r="WJK8"/>
      <c r="WJL8"/>
      <c r="WJM8"/>
      <c r="WJN8"/>
      <c r="WJO8"/>
      <c r="WJP8"/>
      <c r="WJQ8"/>
      <c r="WJR8"/>
      <c r="WJS8"/>
      <c r="WJT8"/>
      <c r="WJU8"/>
      <c r="WJV8"/>
      <c r="WJW8"/>
      <c r="WJX8"/>
      <c r="WJY8"/>
      <c r="WJZ8"/>
      <c r="WKA8"/>
      <c r="WKB8"/>
      <c r="WKC8"/>
      <c r="WKD8"/>
      <c r="WKE8"/>
      <c r="WKF8"/>
      <c r="WKG8"/>
      <c r="WKH8"/>
      <c r="WKI8"/>
      <c r="WKJ8"/>
      <c r="WKK8"/>
      <c r="WKL8"/>
      <c r="WKM8"/>
      <c r="WKN8"/>
      <c r="WKO8"/>
      <c r="WKP8"/>
      <c r="WKQ8"/>
      <c r="WKR8"/>
      <c r="WKS8"/>
      <c r="WKT8"/>
      <c r="WKU8"/>
      <c r="WKV8"/>
      <c r="WKW8"/>
      <c r="WKX8"/>
      <c r="WKY8"/>
      <c r="WKZ8"/>
      <c r="WLA8"/>
      <c r="WLB8"/>
      <c r="WLC8"/>
      <c r="WLD8"/>
      <c r="WLE8"/>
      <c r="WLF8"/>
      <c r="WLG8"/>
      <c r="WLH8"/>
      <c r="WLI8"/>
      <c r="WLJ8"/>
      <c r="WLK8"/>
      <c r="WLL8"/>
      <c r="WLM8"/>
      <c r="WLN8"/>
      <c r="WLO8"/>
      <c r="WLP8"/>
      <c r="WLQ8"/>
      <c r="WLR8"/>
      <c r="WLS8"/>
      <c r="WLT8"/>
      <c r="WLU8"/>
      <c r="WLV8"/>
      <c r="WLW8"/>
      <c r="WLX8"/>
      <c r="WLY8"/>
      <c r="WLZ8"/>
      <c r="WMA8"/>
      <c r="WMB8"/>
      <c r="WMC8"/>
      <c r="WMD8"/>
      <c r="WME8"/>
      <c r="WMF8"/>
      <c r="WMG8"/>
      <c r="WMH8"/>
      <c r="WMI8"/>
      <c r="WMJ8"/>
      <c r="WMK8"/>
      <c r="WML8"/>
      <c r="WMM8"/>
      <c r="WMN8"/>
      <c r="WMO8"/>
      <c r="WMP8"/>
      <c r="WMQ8"/>
      <c r="WMR8"/>
      <c r="WMS8"/>
      <c r="WMT8"/>
      <c r="WMU8"/>
      <c r="WMV8"/>
      <c r="WMW8"/>
      <c r="WMX8"/>
      <c r="WMY8"/>
      <c r="WMZ8"/>
      <c r="WNA8"/>
      <c r="WNB8"/>
      <c r="WNC8"/>
      <c r="WND8"/>
      <c r="WNE8"/>
      <c r="WNF8"/>
      <c r="WNG8"/>
      <c r="WNH8"/>
      <c r="WNI8"/>
      <c r="WNJ8"/>
      <c r="WNK8"/>
      <c r="WNL8"/>
      <c r="WNM8"/>
      <c r="WNN8"/>
      <c r="WNO8"/>
      <c r="WNP8"/>
      <c r="WNQ8"/>
      <c r="WNR8"/>
      <c r="WNS8"/>
      <c r="WNT8"/>
      <c r="WNU8"/>
      <c r="WNV8"/>
      <c r="WNW8"/>
      <c r="WNX8"/>
      <c r="WNY8"/>
      <c r="WNZ8"/>
      <c r="WOA8"/>
      <c r="WOB8"/>
      <c r="WOC8"/>
      <c r="WOD8"/>
      <c r="WOE8"/>
      <c r="WOF8"/>
      <c r="WOG8"/>
      <c r="WOH8"/>
      <c r="WOI8"/>
      <c r="WOJ8"/>
      <c r="WOK8"/>
      <c r="WOL8"/>
      <c r="WOM8"/>
      <c r="WON8"/>
      <c r="WOO8"/>
      <c r="WOP8"/>
      <c r="WOQ8"/>
      <c r="WOR8"/>
      <c r="WOS8"/>
      <c r="WOT8"/>
      <c r="WOU8"/>
      <c r="WOV8"/>
      <c r="WOW8"/>
      <c r="WOX8"/>
      <c r="WOY8"/>
      <c r="WOZ8"/>
      <c r="WPA8"/>
      <c r="WPB8"/>
      <c r="WPC8"/>
      <c r="WPD8"/>
      <c r="WPE8"/>
      <c r="WPF8"/>
      <c r="WPG8"/>
      <c r="WPH8"/>
      <c r="WPI8"/>
      <c r="WPJ8"/>
      <c r="WPK8"/>
      <c r="WPL8"/>
      <c r="WPM8"/>
      <c r="WPN8"/>
      <c r="WPO8"/>
      <c r="WPP8"/>
      <c r="WPQ8"/>
      <c r="WPR8"/>
      <c r="WPS8"/>
      <c r="WPT8"/>
      <c r="WPU8"/>
      <c r="WPV8"/>
      <c r="WPW8"/>
      <c r="WPX8"/>
      <c r="WPY8"/>
      <c r="WPZ8"/>
      <c r="WQA8"/>
      <c r="WQB8"/>
      <c r="WQC8"/>
      <c r="WQD8"/>
      <c r="WQE8"/>
      <c r="WQF8"/>
      <c r="WQG8"/>
      <c r="WQH8"/>
      <c r="WQI8"/>
      <c r="WQJ8"/>
      <c r="WQK8"/>
      <c r="WQL8"/>
      <c r="WQM8"/>
      <c r="WQN8"/>
      <c r="WQO8"/>
      <c r="WQP8"/>
      <c r="WQQ8"/>
      <c r="WQR8"/>
      <c r="WQS8"/>
      <c r="WQT8"/>
      <c r="WQU8"/>
      <c r="WQV8"/>
      <c r="WQW8"/>
      <c r="WQX8"/>
      <c r="WQY8"/>
      <c r="WQZ8"/>
      <c r="WRA8"/>
      <c r="WRB8"/>
      <c r="WRC8"/>
      <c r="WRD8"/>
      <c r="WRE8"/>
      <c r="WRF8"/>
      <c r="WRG8"/>
      <c r="WRH8"/>
      <c r="WRI8"/>
      <c r="WRJ8"/>
      <c r="WRK8"/>
      <c r="WRL8"/>
      <c r="WRM8"/>
      <c r="WRN8"/>
      <c r="WRO8"/>
      <c r="WRP8"/>
      <c r="WRQ8"/>
      <c r="WRR8"/>
      <c r="WRS8"/>
      <c r="WRT8"/>
      <c r="WRU8"/>
      <c r="WRV8"/>
      <c r="WRW8"/>
      <c r="WRX8"/>
      <c r="WRY8"/>
      <c r="WRZ8"/>
      <c r="WSA8"/>
      <c r="WSB8"/>
      <c r="WSC8"/>
      <c r="WSD8"/>
      <c r="WSE8"/>
      <c r="WSF8"/>
      <c r="WSG8"/>
      <c r="WSH8"/>
      <c r="WSI8"/>
      <c r="WSJ8"/>
      <c r="WSK8"/>
      <c r="WSL8"/>
      <c r="WSM8"/>
      <c r="WSN8"/>
      <c r="WSO8"/>
      <c r="WSP8"/>
      <c r="WSQ8"/>
      <c r="WSR8"/>
      <c r="WSS8"/>
      <c r="WST8"/>
      <c r="WSU8"/>
      <c r="WSV8"/>
      <c r="WSW8"/>
      <c r="WSX8"/>
      <c r="WSY8"/>
      <c r="WSZ8"/>
      <c r="WTA8"/>
      <c r="WTB8"/>
      <c r="WTC8"/>
      <c r="WTD8"/>
      <c r="WTE8"/>
      <c r="WTF8"/>
      <c r="WTG8"/>
      <c r="WTH8"/>
      <c r="WTI8"/>
      <c r="WTJ8"/>
      <c r="WTK8"/>
      <c r="WTL8"/>
      <c r="WTM8"/>
      <c r="WTN8"/>
      <c r="WTO8"/>
      <c r="WTP8"/>
      <c r="WTQ8"/>
      <c r="WTR8"/>
      <c r="WTS8"/>
      <c r="WTT8"/>
      <c r="WTU8"/>
      <c r="WTV8"/>
      <c r="WTW8"/>
      <c r="WTX8"/>
      <c r="WTY8"/>
      <c r="WTZ8"/>
      <c r="WUA8"/>
      <c r="WUB8"/>
      <c r="WUC8"/>
      <c r="WUD8"/>
      <c r="WUE8"/>
      <c r="WUF8"/>
      <c r="WUG8"/>
      <c r="WUH8"/>
      <c r="WUI8"/>
      <c r="WUJ8"/>
      <c r="WUK8"/>
      <c r="WUL8"/>
      <c r="WUM8"/>
      <c r="WUN8"/>
      <c r="WUO8"/>
      <c r="WUP8"/>
      <c r="WUQ8"/>
      <c r="WUR8"/>
      <c r="WUS8"/>
      <c r="WUT8"/>
      <c r="WUU8"/>
      <c r="WUV8"/>
      <c r="WUW8"/>
      <c r="WUX8"/>
      <c r="WUY8"/>
      <c r="WUZ8"/>
      <c r="WVA8"/>
      <c r="WVB8"/>
      <c r="WVC8"/>
      <c r="WVD8"/>
      <c r="WVE8"/>
      <c r="WVF8"/>
      <c r="WVG8"/>
      <c r="WVH8"/>
      <c r="WVI8"/>
      <c r="WVJ8"/>
      <c r="WVK8"/>
      <c r="WVL8"/>
      <c r="WVM8"/>
      <c r="WVN8"/>
      <c r="WVO8"/>
      <c r="WVP8"/>
      <c r="WVQ8"/>
      <c r="WVR8"/>
      <c r="WVS8"/>
      <c r="WVT8"/>
      <c r="WVU8"/>
      <c r="WVV8"/>
      <c r="WVW8"/>
      <c r="WVX8"/>
      <c r="WVY8"/>
      <c r="WVZ8"/>
      <c r="WWA8"/>
      <c r="WWB8"/>
      <c r="WWC8"/>
      <c r="WWD8"/>
      <c r="WWE8"/>
      <c r="WWF8"/>
      <c r="WWG8"/>
      <c r="WWH8"/>
      <c r="WWI8"/>
      <c r="WWJ8"/>
      <c r="WWK8"/>
      <c r="WWL8"/>
      <c r="WWM8"/>
      <c r="WWN8"/>
      <c r="WWO8"/>
      <c r="WWP8"/>
      <c r="WWQ8"/>
      <c r="WWR8"/>
      <c r="WWS8"/>
      <c r="WWT8"/>
      <c r="WWU8"/>
      <c r="WWV8"/>
      <c r="WWW8"/>
      <c r="WWX8"/>
      <c r="WWY8"/>
      <c r="WWZ8"/>
      <c r="WXA8"/>
      <c r="WXB8"/>
      <c r="WXC8"/>
      <c r="WXD8"/>
      <c r="WXE8"/>
      <c r="WXF8"/>
      <c r="WXG8"/>
      <c r="WXH8"/>
      <c r="WXI8"/>
      <c r="WXJ8"/>
      <c r="WXK8"/>
      <c r="WXL8"/>
      <c r="WXM8"/>
      <c r="WXN8"/>
      <c r="WXO8"/>
      <c r="WXP8"/>
      <c r="WXQ8"/>
      <c r="WXR8"/>
      <c r="WXS8"/>
      <c r="WXT8"/>
      <c r="WXU8"/>
      <c r="WXV8"/>
      <c r="WXW8"/>
      <c r="WXX8"/>
      <c r="WXY8"/>
      <c r="WXZ8"/>
      <c r="WYA8"/>
      <c r="WYB8"/>
      <c r="WYC8"/>
      <c r="WYD8"/>
      <c r="WYE8"/>
      <c r="WYF8"/>
      <c r="WYG8"/>
      <c r="WYH8"/>
      <c r="WYI8"/>
      <c r="WYJ8"/>
      <c r="WYK8"/>
      <c r="WYL8"/>
      <c r="WYM8"/>
      <c r="WYN8"/>
      <c r="WYO8"/>
      <c r="WYP8"/>
      <c r="WYQ8"/>
      <c r="WYR8"/>
      <c r="WYS8"/>
      <c r="WYT8"/>
      <c r="WYU8"/>
      <c r="WYV8"/>
      <c r="WYW8"/>
      <c r="WYX8"/>
      <c r="WYY8"/>
      <c r="WYZ8"/>
      <c r="WZA8"/>
      <c r="WZB8"/>
      <c r="WZC8"/>
      <c r="WZD8"/>
      <c r="WZE8"/>
      <c r="WZF8"/>
      <c r="WZG8"/>
      <c r="WZH8"/>
      <c r="WZI8"/>
      <c r="WZJ8"/>
      <c r="WZK8"/>
      <c r="WZL8"/>
      <c r="WZM8"/>
      <c r="WZN8"/>
      <c r="WZO8"/>
      <c r="WZP8"/>
      <c r="WZQ8"/>
      <c r="WZR8"/>
      <c r="WZS8"/>
      <c r="WZT8"/>
      <c r="WZU8"/>
      <c r="WZV8"/>
      <c r="WZW8"/>
      <c r="WZX8"/>
      <c r="WZY8"/>
      <c r="WZZ8"/>
      <c r="XAA8"/>
      <c r="XAB8"/>
      <c r="XAC8"/>
      <c r="XAD8"/>
      <c r="XAE8"/>
      <c r="XAF8"/>
      <c r="XAG8"/>
      <c r="XAH8"/>
      <c r="XAI8"/>
      <c r="XAJ8"/>
      <c r="XAK8"/>
      <c r="XAL8"/>
      <c r="XAM8"/>
      <c r="XAN8"/>
      <c r="XAO8"/>
      <c r="XAP8"/>
      <c r="XAQ8"/>
      <c r="XAR8"/>
      <c r="XAS8"/>
      <c r="XAT8"/>
      <c r="XAU8"/>
      <c r="XAV8"/>
      <c r="XAW8"/>
      <c r="XAX8"/>
      <c r="XAY8"/>
      <c r="XAZ8"/>
      <c r="XBA8"/>
      <c r="XBB8"/>
      <c r="XBC8"/>
      <c r="XBD8"/>
      <c r="XBE8"/>
      <c r="XBF8"/>
      <c r="XBG8"/>
      <c r="XBH8"/>
      <c r="XBI8"/>
      <c r="XBJ8"/>
      <c r="XBK8"/>
      <c r="XBL8"/>
      <c r="XBM8"/>
      <c r="XBN8"/>
      <c r="XBO8"/>
      <c r="XBP8"/>
      <c r="XBQ8"/>
      <c r="XBR8"/>
      <c r="XBS8"/>
      <c r="XBT8"/>
      <c r="XBU8"/>
      <c r="XBV8"/>
      <c r="XBW8"/>
      <c r="XBX8"/>
      <c r="XBY8"/>
      <c r="XBZ8"/>
      <c r="XCA8"/>
      <c r="XCB8"/>
      <c r="XCC8"/>
      <c r="XCD8"/>
      <c r="XCE8"/>
      <c r="XCF8"/>
      <c r="XCG8"/>
      <c r="XCH8"/>
      <c r="XCI8"/>
      <c r="XCJ8"/>
      <c r="XCK8"/>
      <c r="XCL8"/>
      <c r="XCM8"/>
      <c r="XCN8"/>
      <c r="XCO8"/>
      <c r="XCP8"/>
      <c r="XCQ8"/>
      <c r="XCR8"/>
      <c r="XCS8"/>
      <c r="XCT8"/>
      <c r="XCU8"/>
      <c r="XCV8"/>
      <c r="XCW8"/>
      <c r="XCX8"/>
      <c r="XCY8"/>
      <c r="XCZ8"/>
      <c r="XDA8"/>
      <c r="XDB8"/>
      <c r="XDC8"/>
      <c r="XDD8"/>
      <c r="XDE8"/>
      <c r="XDF8"/>
      <c r="XDG8"/>
      <c r="XDH8"/>
      <c r="XDI8"/>
      <c r="XDJ8"/>
      <c r="XDK8"/>
      <c r="XDL8"/>
      <c r="XDM8"/>
      <c r="XDN8"/>
      <c r="XDO8"/>
      <c r="XDP8"/>
      <c r="XDQ8"/>
      <c r="XDR8"/>
      <c r="XDS8"/>
      <c r="XDT8"/>
      <c r="XDU8"/>
      <c r="XDV8"/>
      <c r="XDW8"/>
      <c r="XDX8"/>
      <c r="XDY8"/>
      <c r="XDZ8"/>
      <c r="XEA8"/>
      <c r="XEB8"/>
      <c r="XEC8"/>
      <c r="XED8"/>
      <c r="XEE8"/>
      <c r="XEF8"/>
      <c r="XEG8"/>
      <c r="XEH8"/>
      <c r="XEI8"/>
      <c r="XEJ8"/>
      <c r="XEK8"/>
      <c r="XEL8"/>
      <c r="XEM8"/>
      <c r="XEN8"/>
      <c r="XEO8"/>
      <c r="XEP8"/>
      <c r="XEQ8"/>
      <c r="XER8"/>
      <c r="XES8"/>
      <c r="XET8"/>
      <c r="XEU8"/>
      <c r="XEV8"/>
      <c r="XEW8"/>
      <c r="XEX8"/>
      <c r="XEY8"/>
      <c r="XEZ8"/>
      <c r="XFA8"/>
      <c r="XFB8"/>
      <c r="XFC8"/>
      <c r="XFD8"/>
    </row>
    <row r="9" spans="1:16384">
      <c r="A9" s="78" t="s">
        <v>656</v>
      </c>
      <c r="B9" s="88" t="e">
        <f ca="1">VLOOKUP($B$7,$D:$M,10,0)</f>
        <v>#N/A</v>
      </c>
      <c r="D9">
        <v>8</v>
      </c>
      <c r="E9">
        <f t="shared" ca="1" si="14"/>
        <v>17100</v>
      </c>
      <c r="F9">
        <f t="shared" si="2"/>
        <v>16450</v>
      </c>
      <c r="G9" s="38">
        <f t="shared" ca="1" si="3"/>
        <v>1252.5000000000002</v>
      </c>
      <c r="H9" s="38">
        <f t="shared" ca="1" si="4"/>
        <v>-31247.5</v>
      </c>
      <c r="I9" s="40">
        <f t="shared" ca="1" si="5"/>
        <v>4.0083206656532533E-2</v>
      </c>
      <c r="J9" t="e">
        <f ca="1">VLOOKUP($B$5&amp;E9&amp;F9,'Margin Schedule'!$A:$E,5,0)</f>
        <v>#N/A</v>
      </c>
      <c r="K9" s="38" t="e">
        <f ca="1">VLOOKUP($B$5&amp;E9&amp;F9,'Margin Schedule'!$A:$F,6,0)</f>
        <v>#N/A</v>
      </c>
      <c r="L9" s="40" t="e">
        <f t="shared" ca="1" si="6"/>
        <v>#N/A</v>
      </c>
      <c r="M9" s="40" t="e">
        <f t="shared" ca="1" si="7"/>
        <v>#N/A</v>
      </c>
      <c r="N9" s="84">
        <v>58</v>
      </c>
      <c r="O9" s="38" t="e">
        <f t="shared" ca="1" si="8"/>
        <v>#N/A</v>
      </c>
      <c r="P9" s="38">
        <v>58174</v>
      </c>
      <c r="Q9" s="38">
        <f t="shared" ca="1" si="9"/>
        <v>-1812355</v>
      </c>
      <c r="R9" s="90"/>
      <c r="S9" s="90">
        <f t="shared" ca="1" si="10"/>
        <v>-1826826</v>
      </c>
      <c r="T9" s="90">
        <f t="shared" ca="1" si="10"/>
        <v>-1826826</v>
      </c>
      <c r="U9" s="90">
        <f t="shared" ca="1" si="10"/>
        <v>-1826826</v>
      </c>
      <c r="V9" s="90">
        <f t="shared" ca="1" si="10"/>
        <v>-1826826</v>
      </c>
      <c r="W9" s="90">
        <f t="shared" ca="1" si="10"/>
        <v>-1826826</v>
      </c>
      <c r="X9" s="90">
        <f t="shared" ca="1" si="10"/>
        <v>-1730792.4999999953</v>
      </c>
      <c r="Y9" s="90">
        <f t="shared" ca="1" si="10"/>
        <v>-1475171.9999999942</v>
      </c>
      <c r="Z9" s="90">
        <f t="shared" ca="1" si="10"/>
        <v>-1219551.4999999928</v>
      </c>
      <c r="AA9" s="90">
        <f t="shared" ca="1" si="10"/>
        <v>-963930.99999999162</v>
      </c>
      <c r="AB9" s="90">
        <f t="shared" ca="1" si="10"/>
        <v>-708310.50000000081</v>
      </c>
      <c r="AC9" s="90">
        <f t="shared" ca="1" si="10"/>
        <v>-452689.99999999959</v>
      </c>
      <c r="AD9" s="90">
        <f t="shared" ca="1" si="11"/>
        <v>-197069.49999999831</v>
      </c>
      <c r="AE9" s="90">
        <f t="shared" ca="1" si="11"/>
        <v>58174</v>
      </c>
      <c r="AF9" s="90">
        <f t="shared" ca="1" si="11"/>
        <v>58174</v>
      </c>
      <c r="AH9" s="40">
        <f t="shared" si="13"/>
        <v>0.93312156106415567</v>
      </c>
      <c r="AI9" t="b">
        <f t="shared" si="12"/>
        <v>1</v>
      </c>
      <c r="AK9">
        <v>18350</v>
      </c>
      <c r="AL9">
        <v>1185</v>
      </c>
      <c r="AM9">
        <v>0.96</v>
      </c>
      <c r="AN9">
        <v>16450</v>
      </c>
      <c r="AO9">
        <v>20.38</v>
      </c>
      <c r="AP9" t="s">
        <v>630</v>
      </c>
      <c r="AQ9">
        <v>12.15</v>
      </c>
      <c r="AR9">
        <v>-0.04</v>
      </c>
      <c r="AS9">
        <v>70500</v>
      </c>
      <c r="AT9">
        <v>-2.25</v>
      </c>
      <c r="AU9">
        <v>3.09</v>
      </c>
      <c r="AV9">
        <v>1.2999999999999999E-4</v>
      </c>
      <c r="AY9">
        <v>405700</v>
      </c>
      <c r="AZ9">
        <v>1149</v>
      </c>
      <c r="BA9">
        <v>0.96</v>
      </c>
      <c r="BB9">
        <v>16400</v>
      </c>
      <c r="BC9">
        <v>19.100000000000001</v>
      </c>
      <c r="BD9" t="s">
        <v>630</v>
      </c>
      <c r="BE9">
        <v>11.2</v>
      </c>
      <c r="BF9">
        <v>-0.04</v>
      </c>
      <c r="BG9">
        <v>512350</v>
      </c>
      <c r="BH9">
        <v>-1.96</v>
      </c>
      <c r="BI9">
        <v>3.08</v>
      </c>
      <c r="BJ9">
        <v>1.2999999999999999E-4</v>
      </c>
      <c r="BL9">
        <v>50</v>
      </c>
      <c r="BM9">
        <v>1265.6500000000001</v>
      </c>
      <c r="BN9">
        <v>0.91</v>
      </c>
      <c r="BO9">
        <v>16350</v>
      </c>
      <c r="BP9">
        <v>15.99</v>
      </c>
      <c r="BQ9" t="s">
        <v>630</v>
      </c>
      <c r="BR9">
        <v>41.65</v>
      </c>
      <c r="BS9">
        <v>-0.09</v>
      </c>
      <c r="BT9">
        <v>5700</v>
      </c>
      <c r="BU9">
        <v>-1.83</v>
      </c>
      <c r="BV9">
        <v>9.86</v>
      </c>
      <c r="BW9">
        <v>1.7000000000000001E-4</v>
      </c>
    </row>
    <row r="10" spans="1:16384" s="37" customFormat="1">
      <c r="A10" s="78" t="s">
        <v>657</v>
      </c>
      <c r="B10" s="87" t="e">
        <f ca="1">VLOOKUP($B$7,$D:$O,12,0)</f>
        <v>#N/A</v>
      </c>
      <c r="C10" s="82"/>
      <c r="D10">
        <v>9</v>
      </c>
      <c r="E10">
        <f t="shared" ca="1" si="14"/>
        <v>17100</v>
      </c>
      <c r="F10">
        <f t="shared" si="2"/>
        <v>16500</v>
      </c>
      <c r="G10" s="38">
        <f t="shared" ca="1" si="3"/>
        <v>1207.5</v>
      </c>
      <c r="H10" s="38">
        <f t="shared" ca="1" si="4"/>
        <v>-28792.5</v>
      </c>
      <c r="I10" s="40">
        <f t="shared" ca="1" si="5"/>
        <v>4.1938004688721019E-2</v>
      </c>
      <c r="J10" t="e">
        <f ca="1">VLOOKUP($B$5&amp;E10&amp;F10,'Margin Schedule'!$A:$E,5,0)</f>
        <v>#N/A</v>
      </c>
      <c r="K10" s="38" t="e">
        <f ca="1">VLOOKUP($B$5&amp;E10&amp;F10,'Margin Schedule'!$A:$F,6,0)</f>
        <v>#N/A</v>
      </c>
      <c r="L10" s="40" t="e">
        <f t="shared" ca="1" si="6"/>
        <v>#N/A</v>
      </c>
      <c r="M10" s="40" t="e">
        <f t="shared" ca="1" si="7"/>
        <v>#N/A</v>
      </c>
      <c r="N10" s="84">
        <v>60</v>
      </c>
      <c r="O10" s="38" t="e">
        <f t="shared" ca="1" si="8"/>
        <v>#N/A</v>
      </c>
      <c r="P10" s="38">
        <v>59280</v>
      </c>
      <c r="Q10" s="38">
        <f t="shared" ca="1" si="9"/>
        <v>-1727550</v>
      </c>
      <c r="R10" s="90"/>
      <c r="S10" s="90">
        <f t="shared" ca="1" si="10"/>
        <v>-1740720</v>
      </c>
      <c r="T10" s="90">
        <f t="shared" ca="1" si="10"/>
        <v>-1740720</v>
      </c>
      <c r="U10" s="90">
        <f t="shared" ca="1" si="10"/>
        <v>-1740720</v>
      </c>
      <c r="V10" s="90">
        <f t="shared" ca="1" si="10"/>
        <v>-1740720</v>
      </c>
      <c r="W10" s="90">
        <f t="shared" ca="1" si="10"/>
        <v>-1740720</v>
      </c>
      <c r="X10" s="90">
        <f t="shared" ca="1" si="10"/>
        <v>-1740720</v>
      </c>
      <c r="Y10" s="90">
        <f t="shared" ca="1" si="10"/>
        <v>-1526939.9999999939</v>
      </c>
      <c r="Z10" s="90">
        <f t="shared" ca="1" si="10"/>
        <v>-1262504.9999999925</v>
      </c>
      <c r="AA10" s="90">
        <f t="shared" ca="1" si="10"/>
        <v>-998069.99999999115</v>
      </c>
      <c r="AB10" s="90">
        <f t="shared" ca="1" si="10"/>
        <v>-733635.00000000093</v>
      </c>
      <c r="AC10" s="90">
        <f t="shared" ca="1" si="10"/>
        <v>-469199.99999999953</v>
      </c>
      <c r="AD10" s="90">
        <f t="shared" ca="1" si="11"/>
        <v>-204764.99999999825</v>
      </c>
      <c r="AE10" s="90">
        <f t="shared" ca="1" si="11"/>
        <v>59280</v>
      </c>
      <c r="AF10" s="90">
        <f t="shared" ca="1" si="11"/>
        <v>59280</v>
      </c>
      <c r="AG10"/>
      <c r="AH10" s="40">
        <f t="shared" si="13"/>
        <v>0.93595779681207103</v>
      </c>
      <c r="AI10" t="b">
        <f t="shared" si="12"/>
        <v>1</v>
      </c>
      <c r="AJ10"/>
      <c r="AK10">
        <v>1286100</v>
      </c>
      <c r="AL10">
        <v>1123</v>
      </c>
      <c r="AM10">
        <v>0.95</v>
      </c>
      <c r="AN10">
        <v>16500</v>
      </c>
      <c r="AO10">
        <v>19.91</v>
      </c>
      <c r="AP10" t="s">
        <v>630</v>
      </c>
      <c r="AQ10">
        <v>13.05</v>
      </c>
      <c r="AR10">
        <v>-0.05</v>
      </c>
      <c r="AS10">
        <v>2360700</v>
      </c>
      <c r="AT10">
        <v>-2.35</v>
      </c>
      <c r="AU10">
        <v>3.3</v>
      </c>
      <c r="AV10">
        <v>1.3999999999999999E-4</v>
      </c>
      <c r="AW10"/>
      <c r="AX10"/>
      <c r="AY10">
        <v>18350</v>
      </c>
      <c r="AZ10">
        <v>1086.9000000000001</v>
      </c>
      <c r="BA10">
        <v>0.96</v>
      </c>
      <c r="BB10">
        <v>16450</v>
      </c>
      <c r="BC10">
        <v>18.510000000000002</v>
      </c>
      <c r="BD10" t="s">
        <v>630</v>
      </c>
      <c r="BE10">
        <v>11.6</v>
      </c>
      <c r="BF10">
        <v>-0.04</v>
      </c>
      <c r="BG10">
        <v>60800</v>
      </c>
      <c r="BH10">
        <v>-1.99</v>
      </c>
      <c r="BI10">
        <v>3.23</v>
      </c>
      <c r="BJ10">
        <v>1.3999999999999999E-4</v>
      </c>
      <c r="BK10"/>
      <c r="BL10">
        <v>19050</v>
      </c>
      <c r="BM10">
        <v>1203.25</v>
      </c>
      <c r="BN10">
        <v>0.91</v>
      </c>
      <c r="BO10">
        <v>16400</v>
      </c>
      <c r="BP10">
        <v>15.45</v>
      </c>
      <c r="BQ10" t="s">
        <v>630</v>
      </c>
      <c r="BR10">
        <v>41.3</v>
      </c>
      <c r="BS10">
        <v>-0.09</v>
      </c>
      <c r="BT10">
        <v>224400</v>
      </c>
      <c r="BU10">
        <v>-1.8</v>
      </c>
      <c r="BV10">
        <v>10.029999999999999</v>
      </c>
      <c r="BW10">
        <v>1.8000000000000001E-4</v>
      </c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  <c r="AMK10"/>
      <c r="AML10"/>
      <c r="AMM10"/>
      <c r="AMN10"/>
      <c r="AMO10"/>
      <c r="AMP10"/>
      <c r="AMQ10"/>
      <c r="AMR10"/>
      <c r="AMS10"/>
      <c r="AMT10"/>
      <c r="AMU10"/>
      <c r="AMV10"/>
      <c r="AMW10"/>
      <c r="AMX10"/>
      <c r="AMY10"/>
      <c r="AMZ10"/>
      <c r="ANA10"/>
      <c r="ANB10"/>
      <c r="ANC10"/>
      <c r="AND10"/>
      <c r="ANE10"/>
      <c r="ANF10"/>
      <c r="ANG10"/>
      <c r="ANH10"/>
      <c r="ANI10"/>
      <c r="ANJ10"/>
      <c r="ANK10"/>
      <c r="ANL10"/>
      <c r="ANM10"/>
      <c r="ANN10"/>
      <c r="ANO10"/>
      <c r="ANP10"/>
      <c r="ANQ10"/>
      <c r="ANR10"/>
      <c r="ANS10"/>
      <c r="ANT10"/>
      <c r="ANU10"/>
      <c r="ANV10"/>
      <c r="ANW10"/>
      <c r="ANX10"/>
      <c r="ANY10"/>
      <c r="ANZ10"/>
      <c r="AOA10"/>
      <c r="AOB10"/>
      <c r="AOC10"/>
      <c r="AOD10"/>
      <c r="AOE10"/>
      <c r="AOF10"/>
      <c r="AOG10"/>
      <c r="AOH10"/>
      <c r="AOI10"/>
      <c r="AOJ10"/>
      <c r="AOK10"/>
      <c r="AOL10"/>
      <c r="AOM10"/>
      <c r="AON10"/>
      <c r="AOO10"/>
      <c r="AOP10"/>
      <c r="AOQ10"/>
      <c r="AOR10"/>
      <c r="AOS10"/>
      <c r="AOT10"/>
      <c r="AOU10"/>
      <c r="AOV10"/>
      <c r="AOW10"/>
      <c r="AOX10"/>
      <c r="AOY10"/>
      <c r="AOZ10"/>
      <c r="APA10"/>
      <c r="APB10"/>
      <c r="APC10"/>
      <c r="APD10"/>
      <c r="APE10"/>
      <c r="APF10"/>
      <c r="APG10"/>
      <c r="APH10"/>
      <c r="API10"/>
      <c r="APJ10"/>
      <c r="APK10"/>
      <c r="APL10"/>
      <c r="APM10"/>
      <c r="APN10"/>
      <c r="APO10"/>
      <c r="APP10"/>
      <c r="APQ10"/>
      <c r="APR10"/>
      <c r="APS10"/>
      <c r="APT10"/>
      <c r="APU10"/>
      <c r="APV10"/>
      <c r="APW10"/>
      <c r="APX10"/>
      <c r="APY10"/>
      <c r="APZ10"/>
      <c r="AQA10"/>
      <c r="AQB10"/>
      <c r="AQC10"/>
      <c r="AQD10"/>
      <c r="AQE10"/>
      <c r="AQF10"/>
      <c r="AQG10"/>
      <c r="AQH10"/>
      <c r="AQI10"/>
      <c r="AQJ10"/>
      <c r="AQK10"/>
      <c r="AQL10"/>
      <c r="AQM10"/>
      <c r="AQN10"/>
      <c r="AQO10"/>
      <c r="AQP10"/>
      <c r="AQQ10"/>
      <c r="AQR10"/>
      <c r="AQS10"/>
      <c r="AQT10"/>
      <c r="AQU10"/>
      <c r="AQV10"/>
      <c r="AQW10"/>
      <c r="AQX10"/>
      <c r="AQY10"/>
      <c r="AQZ10"/>
      <c r="ARA10"/>
      <c r="ARB10"/>
      <c r="ARC10"/>
      <c r="ARD10"/>
      <c r="ARE10"/>
      <c r="ARF10"/>
      <c r="ARG10"/>
      <c r="ARH10"/>
      <c r="ARI10"/>
      <c r="ARJ10"/>
      <c r="ARK10"/>
      <c r="ARL10"/>
      <c r="ARM10"/>
      <c r="ARN10"/>
      <c r="ARO10"/>
      <c r="ARP10"/>
      <c r="ARQ10"/>
      <c r="ARR10"/>
      <c r="ARS10"/>
      <c r="ART10"/>
      <c r="ARU10"/>
      <c r="ARV10"/>
      <c r="ARW10"/>
      <c r="ARX10"/>
      <c r="ARY10"/>
      <c r="ARZ10"/>
      <c r="ASA10"/>
      <c r="ASB10"/>
      <c r="ASC10"/>
      <c r="ASD10"/>
      <c r="ASE10"/>
      <c r="ASF10"/>
      <c r="ASG10"/>
      <c r="ASH10"/>
      <c r="ASI10"/>
      <c r="ASJ10"/>
      <c r="ASK10"/>
      <c r="ASL10"/>
      <c r="ASM10"/>
      <c r="ASN10"/>
      <c r="ASO10"/>
      <c r="ASP10"/>
      <c r="ASQ10"/>
      <c r="ASR10"/>
      <c r="ASS10"/>
      <c r="AST10"/>
      <c r="ASU10"/>
      <c r="ASV10"/>
      <c r="ASW10"/>
      <c r="ASX10"/>
      <c r="ASY10"/>
      <c r="ASZ10"/>
      <c r="ATA10"/>
      <c r="ATB10"/>
      <c r="ATC10"/>
      <c r="ATD10"/>
      <c r="ATE10"/>
      <c r="ATF10"/>
      <c r="ATG10"/>
      <c r="ATH10"/>
      <c r="ATI10"/>
      <c r="ATJ10"/>
      <c r="ATK10"/>
      <c r="ATL10"/>
      <c r="ATM10"/>
      <c r="ATN10"/>
      <c r="ATO10"/>
      <c r="ATP10"/>
      <c r="ATQ10"/>
      <c r="ATR10"/>
      <c r="ATS10"/>
      <c r="ATT10"/>
      <c r="ATU10"/>
      <c r="ATV10"/>
      <c r="ATW10"/>
      <c r="ATX10"/>
      <c r="ATY10"/>
      <c r="ATZ10"/>
      <c r="AUA10"/>
      <c r="AUB10"/>
      <c r="AUC10"/>
      <c r="AUD10"/>
      <c r="AUE10"/>
      <c r="AUF10"/>
      <c r="AUG10"/>
      <c r="AUH10"/>
      <c r="AUI10"/>
      <c r="AUJ10"/>
      <c r="AUK10"/>
      <c r="AUL10"/>
      <c r="AUM10"/>
      <c r="AUN10"/>
      <c r="AUO10"/>
      <c r="AUP10"/>
      <c r="AUQ10"/>
      <c r="AUR10"/>
      <c r="AUS10"/>
      <c r="AUT10"/>
      <c r="AUU10"/>
      <c r="AUV10"/>
      <c r="AUW10"/>
      <c r="AUX10"/>
      <c r="AUY10"/>
      <c r="AUZ10"/>
      <c r="AVA10"/>
      <c r="AVB10"/>
      <c r="AVC10"/>
      <c r="AVD10"/>
      <c r="AVE10"/>
      <c r="AVF10"/>
      <c r="AVG10"/>
      <c r="AVH10"/>
      <c r="AVI10"/>
      <c r="AVJ10"/>
      <c r="AVK10"/>
      <c r="AVL10"/>
      <c r="AVM10"/>
      <c r="AVN10"/>
      <c r="AVO10"/>
      <c r="AVP10"/>
      <c r="AVQ10"/>
      <c r="AVR10"/>
      <c r="AVS10"/>
      <c r="AVT10"/>
      <c r="AVU10"/>
      <c r="AVV10"/>
      <c r="AVW10"/>
      <c r="AVX10"/>
      <c r="AVY10"/>
      <c r="AVZ10"/>
      <c r="AWA10"/>
      <c r="AWB10"/>
      <c r="AWC10"/>
      <c r="AWD10"/>
      <c r="AWE10"/>
      <c r="AWF10"/>
      <c r="AWG10"/>
      <c r="AWH10"/>
      <c r="AWI10"/>
      <c r="AWJ10"/>
      <c r="AWK10"/>
      <c r="AWL10"/>
      <c r="AWM10"/>
      <c r="AWN10"/>
      <c r="AWO10"/>
      <c r="AWP10"/>
      <c r="AWQ10"/>
      <c r="AWR10"/>
      <c r="AWS10"/>
      <c r="AWT10"/>
      <c r="AWU10"/>
      <c r="AWV10"/>
      <c r="AWW10"/>
      <c r="AWX10"/>
      <c r="AWY10"/>
      <c r="AWZ10"/>
      <c r="AXA10"/>
      <c r="AXB10"/>
      <c r="AXC10"/>
      <c r="AXD10"/>
      <c r="AXE10"/>
      <c r="AXF10"/>
      <c r="AXG10"/>
      <c r="AXH10"/>
      <c r="AXI10"/>
      <c r="AXJ10"/>
      <c r="AXK10"/>
      <c r="AXL10"/>
      <c r="AXM10"/>
      <c r="AXN10"/>
      <c r="AXO10"/>
      <c r="AXP10"/>
      <c r="AXQ10"/>
      <c r="AXR10"/>
      <c r="AXS10"/>
      <c r="AXT10"/>
      <c r="AXU10"/>
      <c r="AXV10"/>
      <c r="AXW10"/>
      <c r="AXX10"/>
      <c r="AXY10"/>
      <c r="AXZ10"/>
      <c r="AYA10"/>
      <c r="AYB10"/>
      <c r="AYC10"/>
      <c r="AYD10"/>
      <c r="AYE10"/>
      <c r="AYF10"/>
      <c r="AYG10"/>
      <c r="AYH10"/>
      <c r="AYI10"/>
      <c r="AYJ10"/>
      <c r="AYK10"/>
      <c r="AYL10"/>
      <c r="AYM10"/>
      <c r="AYN10"/>
      <c r="AYO10"/>
      <c r="AYP10"/>
      <c r="AYQ10"/>
      <c r="AYR10"/>
      <c r="AYS10"/>
      <c r="AYT10"/>
      <c r="AYU10"/>
      <c r="AYV10"/>
      <c r="AYW10"/>
      <c r="AYX10"/>
      <c r="AYY10"/>
      <c r="AYZ10"/>
      <c r="AZA10"/>
      <c r="AZB10"/>
      <c r="AZC10"/>
      <c r="AZD10"/>
      <c r="AZE10"/>
      <c r="AZF10"/>
      <c r="AZG10"/>
      <c r="AZH10"/>
      <c r="AZI10"/>
      <c r="AZJ10"/>
      <c r="AZK10"/>
      <c r="AZL10"/>
      <c r="AZM10"/>
      <c r="AZN10"/>
      <c r="AZO10"/>
      <c r="AZP10"/>
      <c r="AZQ10"/>
      <c r="AZR10"/>
      <c r="AZS10"/>
      <c r="AZT10"/>
      <c r="AZU10"/>
      <c r="AZV10"/>
      <c r="AZW10"/>
      <c r="AZX10"/>
      <c r="AZY10"/>
      <c r="AZZ10"/>
      <c r="BAA10"/>
      <c r="BAB10"/>
      <c r="BAC10"/>
      <c r="BAD10"/>
      <c r="BAE10"/>
      <c r="BAF10"/>
      <c r="BAG10"/>
      <c r="BAH10"/>
      <c r="BAI10"/>
      <c r="BAJ10"/>
      <c r="BAK10"/>
      <c r="BAL10"/>
      <c r="BAM10"/>
      <c r="BAN10"/>
      <c r="BAO10"/>
      <c r="BAP10"/>
      <c r="BAQ10"/>
      <c r="BAR10"/>
      <c r="BAS10"/>
      <c r="BAT10"/>
      <c r="BAU10"/>
      <c r="BAV10"/>
      <c r="BAW10"/>
      <c r="BAX10"/>
      <c r="BAY10"/>
      <c r="BAZ10"/>
      <c r="BBA10"/>
      <c r="BBB10"/>
      <c r="BBC10"/>
      <c r="BBD10"/>
      <c r="BBE10"/>
      <c r="BBF10"/>
      <c r="BBG10"/>
      <c r="BBH10"/>
      <c r="BBI10"/>
      <c r="BBJ10"/>
      <c r="BBK10"/>
      <c r="BBL10"/>
      <c r="BBM10"/>
      <c r="BBN10"/>
      <c r="BBO10"/>
      <c r="BBP10"/>
      <c r="BBQ10"/>
      <c r="BBR10"/>
      <c r="BBS10"/>
      <c r="BBT10"/>
      <c r="BBU10"/>
      <c r="BBV10"/>
      <c r="BBW10"/>
      <c r="BBX10"/>
      <c r="BBY10"/>
      <c r="BBZ10"/>
      <c r="BCA10"/>
      <c r="BCB10"/>
      <c r="BCC10"/>
      <c r="BCD10"/>
      <c r="BCE10"/>
      <c r="BCF10"/>
      <c r="BCG10"/>
      <c r="BCH10"/>
      <c r="BCI10"/>
      <c r="BCJ10"/>
      <c r="BCK10"/>
      <c r="BCL10"/>
      <c r="BCM10"/>
      <c r="BCN10"/>
      <c r="BCO10"/>
      <c r="BCP10"/>
      <c r="BCQ10"/>
      <c r="BCR10"/>
      <c r="BCS10"/>
      <c r="BCT10"/>
      <c r="BCU10"/>
      <c r="BCV10"/>
      <c r="BCW10"/>
      <c r="BCX10"/>
      <c r="BCY10"/>
      <c r="BCZ10"/>
      <c r="BDA10"/>
      <c r="BDB10"/>
      <c r="BDC10"/>
      <c r="BDD10"/>
      <c r="BDE10"/>
      <c r="BDF10"/>
      <c r="BDG10"/>
      <c r="BDH10"/>
      <c r="BDI10"/>
      <c r="BDJ10"/>
      <c r="BDK10"/>
      <c r="BDL10"/>
      <c r="BDM10"/>
      <c r="BDN10"/>
      <c r="BDO10"/>
      <c r="BDP10"/>
      <c r="BDQ10"/>
      <c r="BDR10"/>
      <c r="BDS10"/>
      <c r="BDT10"/>
      <c r="BDU10"/>
      <c r="BDV10"/>
      <c r="BDW10"/>
      <c r="BDX10"/>
      <c r="BDY10"/>
      <c r="BDZ10"/>
      <c r="BEA10"/>
      <c r="BEB10"/>
      <c r="BEC10"/>
      <c r="BED10"/>
      <c r="BEE10"/>
      <c r="BEF10"/>
      <c r="BEG10"/>
      <c r="BEH10"/>
      <c r="BEI10"/>
      <c r="BEJ10"/>
      <c r="BEK10"/>
      <c r="BEL10"/>
      <c r="BEM10"/>
      <c r="BEN10"/>
      <c r="BEO10"/>
      <c r="BEP10"/>
      <c r="BEQ10"/>
      <c r="BER10"/>
      <c r="BES10"/>
      <c r="BET10"/>
      <c r="BEU10"/>
      <c r="BEV10"/>
      <c r="BEW10"/>
      <c r="BEX10"/>
      <c r="BEY10"/>
      <c r="BEZ10"/>
      <c r="BFA10"/>
      <c r="BFB10"/>
      <c r="BFC10"/>
      <c r="BFD10"/>
      <c r="BFE10"/>
      <c r="BFF10"/>
      <c r="BFG10"/>
      <c r="BFH10"/>
      <c r="BFI10"/>
      <c r="BFJ10"/>
      <c r="BFK10"/>
      <c r="BFL10"/>
      <c r="BFM10"/>
      <c r="BFN10"/>
      <c r="BFO10"/>
      <c r="BFP10"/>
      <c r="BFQ10"/>
      <c r="BFR10"/>
      <c r="BFS10"/>
      <c r="BFT10"/>
      <c r="BFU10"/>
      <c r="BFV10"/>
      <c r="BFW10"/>
      <c r="BFX10"/>
      <c r="BFY10"/>
      <c r="BFZ10"/>
      <c r="BGA10"/>
      <c r="BGB10"/>
      <c r="BGC10"/>
      <c r="BGD10"/>
      <c r="BGE10"/>
      <c r="BGF10"/>
      <c r="BGG10"/>
      <c r="BGH10"/>
      <c r="BGI10"/>
      <c r="BGJ10"/>
      <c r="BGK10"/>
      <c r="BGL10"/>
      <c r="BGM10"/>
      <c r="BGN10"/>
      <c r="BGO10"/>
      <c r="BGP10"/>
      <c r="BGQ10"/>
      <c r="BGR10"/>
      <c r="BGS10"/>
      <c r="BGT10"/>
      <c r="BGU10"/>
      <c r="BGV10"/>
      <c r="BGW10"/>
      <c r="BGX10"/>
      <c r="BGY10"/>
      <c r="BGZ10"/>
      <c r="BHA10"/>
      <c r="BHB10"/>
      <c r="BHC10"/>
      <c r="BHD10"/>
      <c r="BHE10"/>
      <c r="BHF10"/>
      <c r="BHG10"/>
      <c r="BHH10"/>
      <c r="BHI10"/>
      <c r="BHJ10"/>
      <c r="BHK10"/>
      <c r="BHL10"/>
      <c r="BHM10"/>
      <c r="BHN10"/>
      <c r="BHO10"/>
      <c r="BHP10"/>
      <c r="BHQ10"/>
      <c r="BHR10"/>
      <c r="BHS10"/>
      <c r="BHT10"/>
      <c r="BHU10"/>
      <c r="BHV10"/>
      <c r="BHW10"/>
      <c r="BHX10"/>
      <c r="BHY10"/>
      <c r="BHZ10"/>
      <c r="BIA10"/>
      <c r="BIB10"/>
      <c r="BIC10"/>
      <c r="BID10"/>
      <c r="BIE10"/>
      <c r="BIF10"/>
      <c r="BIG10"/>
      <c r="BIH10"/>
      <c r="BII10"/>
      <c r="BIJ10"/>
      <c r="BIK10"/>
      <c r="BIL10"/>
      <c r="BIM10"/>
      <c r="BIN10"/>
      <c r="BIO10"/>
      <c r="BIP10"/>
      <c r="BIQ10"/>
      <c r="BIR10"/>
      <c r="BIS10"/>
      <c r="BIT10"/>
      <c r="BIU10"/>
      <c r="BIV10"/>
      <c r="BIW10"/>
      <c r="BIX10"/>
      <c r="BIY10"/>
      <c r="BIZ10"/>
      <c r="BJA10"/>
      <c r="BJB10"/>
      <c r="BJC10"/>
      <c r="BJD10"/>
      <c r="BJE10"/>
      <c r="BJF10"/>
      <c r="BJG10"/>
      <c r="BJH10"/>
      <c r="BJI10"/>
      <c r="BJJ10"/>
      <c r="BJK10"/>
      <c r="BJL10"/>
      <c r="BJM10"/>
      <c r="BJN10"/>
      <c r="BJO10"/>
      <c r="BJP10"/>
      <c r="BJQ10"/>
      <c r="BJR10"/>
      <c r="BJS10"/>
      <c r="BJT10"/>
      <c r="BJU10"/>
      <c r="BJV10"/>
      <c r="BJW10"/>
      <c r="BJX10"/>
      <c r="BJY10"/>
      <c r="BJZ10"/>
      <c r="BKA10"/>
      <c r="BKB10"/>
      <c r="BKC10"/>
      <c r="BKD10"/>
      <c r="BKE10"/>
      <c r="BKF10"/>
      <c r="BKG10"/>
      <c r="BKH10"/>
      <c r="BKI10"/>
      <c r="BKJ10"/>
      <c r="BKK10"/>
      <c r="BKL10"/>
      <c r="BKM10"/>
      <c r="BKN10"/>
      <c r="BKO10"/>
      <c r="BKP10"/>
      <c r="BKQ10"/>
      <c r="BKR10"/>
      <c r="BKS10"/>
      <c r="BKT10"/>
      <c r="BKU10"/>
      <c r="BKV10"/>
      <c r="BKW10"/>
      <c r="BKX10"/>
      <c r="BKY10"/>
      <c r="BKZ10"/>
      <c r="BLA10"/>
      <c r="BLB10"/>
      <c r="BLC10"/>
      <c r="BLD10"/>
      <c r="BLE10"/>
      <c r="BLF10"/>
      <c r="BLG10"/>
      <c r="BLH10"/>
      <c r="BLI10"/>
      <c r="BLJ10"/>
      <c r="BLK10"/>
      <c r="BLL10"/>
      <c r="BLM10"/>
      <c r="BLN10"/>
      <c r="BLO10"/>
      <c r="BLP10"/>
      <c r="BLQ10"/>
      <c r="BLR10"/>
      <c r="BLS10"/>
      <c r="BLT10"/>
      <c r="BLU10"/>
      <c r="BLV10"/>
      <c r="BLW10"/>
      <c r="BLX10"/>
      <c r="BLY10"/>
      <c r="BLZ10"/>
      <c r="BMA10"/>
      <c r="BMB10"/>
      <c r="BMC10"/>
      <c r="BMD10"/>
      <c r="BME10"/>
      <c r="BMF10"/>
      <c r="BMG10"/>
      <c r="BMH10"/>
      <c r="BMI10"/>
      <c r="BMJ10"/>
      <c r="BMK10"/>
      <c r="BML10"/>
      <c r="BMM10"/>
      <c r="BMN10"/>
      <c r="BMO10"/>
      <c r="BMP10"/>
      <c r="BMQ10"/>
      <c r="BMR10"/>
      <c r="BMS10"/>
      <c r="BMT10"/>
      <c r="BMU10"/>
      <c r="BMV10"/>
      <c r="BMW10"/>
      <c r="BMX10"/>
      <c r="BMY10"/>
      <c r="BMZ10"/>
      <c r="BNA10"/>
      <c r="BNB10"/>
      <c r="BNC10"/>
      <c r="BND10"/>
      <c r="BNE10"/>
      <c r="BNF10"/>
      <c r="BNG10"/>
      <c r="BNH10"/>
      <c r="BNI10"/>
      <c r="BNJ10"/>
      <c r="BNK10"/>
      <c r="BNL10"/>
      <c r="BNM10"/>
      <c r="BNN10"/>
      <c r="BNO10"/>
      <c r="BNP10"/>
      <c r="BNQ10"/>
      <c r="BNR10"/>
      <c r="BNS10"/>
      <c r="BNT10"/>
      <c r="BNU10"/>
      <c r="BNV10"/>
      <c r="BNW10"/>
      <c r="BNX10"/>
      <c r="BNY10"/>
      <c r="BNZ10"/>
      <c r="BOA10"/>
      <c r="BOB10"/>
      <c r="BOC10"/>
      <c r="BOD10"/>
      <c r="BOE10"/>
      <c r="BOF10"/>
      <c r="BOG10"/>
      <c r="BOH10"/>
      <c r="BOI10"/>
      <c r="BOJ10"/>
      <c r="BOK10"/>
      <c r="BOL10"/>
      <c r="BOM10"/>
      <c r="BON10"/>
      <c r="BOO10"/>
      <c r="BOP10"/>
      <c r="BOQ10"/>
      <c r="BOR10"/>
      <c r="BOS10"/>
      <c r="BOT10"/>
      <c r="BOU10"/>
      <c r="BOV10"/>
      <c r="BOW10"/>
      <c r="BOX10"/>
      <c r="BOY10"/>
      <c r="BOZ10"/>
      <c r="BPA10"/>
      <c r="BPB10"/>
      <c r="BPC10"/>
      <c r="BPD10"/>
      <c r="BPE10"/>
      <c r="BPF10"/>
      <c r="BPG10"/>
      <c r="BPH10"/>
      <c r="BPI10"/>
      <c r="BPJ10"/>
      <c r="BPK10"/>
      <c r="BPL10"/>
      <c r="BPM10"/>
      <c r="BPN10"/>
      <c r="BPO10"/>
      <c r="BPP10"/>
      <c r="BPQ10"/>
      <c r="BPR10"/>
      <c r="BPS10"/>
      <c r="BPT10"/>
      <c r="BPU10"/>
      <c r="BPV10"/>
      <c r="BPW10"/>
      <c r="BPX10"/>
      <c r="BPY10"/>
      <c r="BPZ10"/>
      <c r="BQA10"/>
      <c r="BQB10"/>
      <c r="BQC10"/>
      <c r="BQD10"/>
      <c r="BQE10"/>
      <c r="BQF10"/>
      <c r="BQG10"/>
      <c r="BQH10"/>
      <c r="BQI10"/>
      <c r="BQJ10"/>
      <c r="BQK10"/>
      <c r="BQL10"/>
      <c r="BQM10"/>
      <c r="BQN10"/>
      <c r="BQO10"/>
      <c r="BQP10"/>
      <c r="BQQ10"/>
      <c r="BQR10"/>
      <c r="BQS10"/>
      <c r="BQT10"/>
      <c r="BQU10"/>
      <c r="BQV10"/>
      <c r="BQW10"/>
      <c r="BQX10"/>
      <c r="BQY10"/>
      <c r="BQZ10"/>
      <c r="BRA10"/>
      <c r="BRB10"/>
      <c r="BRC10"/>
      <c r="BRD10"/>
      <c r="BRE10"/>
      <c r="BRF10"/>
      <c r="BRG10"/>
      <c r="BRH10"/>
      <c r="BRI10"/>
      <c r="BRJ10"/>
      <c r="BRK10"/>
      <c r="BRL10"/>
      <c r="BRM10"/>
      <c r="BRN10"/>
      <c r="BRO10"/>
      <c r="BRP10"/>
      <c r="BRQ10"/>
      <c r="BRR10"/>
      <c r="BRS10"/>
      <c r="BRT10"/>
      <c r="BRU10"/>
      <c r="BRV10"/>
      <c r="BRW10"/>
      <c r="BRX10"/>
      <c r="BRY10"/>
      <c r="BRZ10"/>
      <c r="BSA10"/>
      <c r="BSB10"/>
      <c r="BSC10"/>
      <c r="BSD10"/>
      <c r="BSE10"/>
      <c r="BSF10"/>
      <c r="BSG10"/>
      <c r="BSH10"/>
      <c r="BSI10"/>
      <c r="BSJ10"/>
      <c r="BSK10"/>
      <c r="BSL10"/>
      <c r="BSM10"/>
      <c r="BSN10"/>
      <c r="BSO10"/>
      <c r="BSP10"/>
      <c r="BSQ10"/>
      <c r="BSR10"/>
      <c r="BSS10"/>
      <c r="BST10"/>
      <c r="BSU10"/>
      <c r="BSV10"/>
      <c r="BSW10"/>
      <c r="BSX10"/>
      <c r="BSY10"/>
      <c r="BSZ10"/>
      <c r="BTA10"/>
      <c r="BTB10"/>
      <c r="BTC10"/>
      <c r="BTD10"/>
      <c r="BTE10"/>
      <c r="BTF10"/>
      <c r="BTG10"/>
      <c r="BTH10"/>
      <c r="BTI10"/>
      <c r="BTJ10"/>
      <c r="BTK10"/>
      <c r="BTL10"/>
      <c r="BTM10"/>
      <c r="BTN10"/>
      <c r="BTO10"/>
      <c r="BTP10"/>
      <c r="BTQ10"/>
      <c r="BTR10"/>
      <c r="BTS10"/>
      <c r="BTT10"/>
      <c r="BTU10"/>
      <c r="BTV10"/>
      <c r="BTW10"/>
      <c r="BTX10"/>
      <c r="BTY10"/>
      <c r="BTZ10"/>
      <c r="BUA10"/>
      <c r="BUB10"/>
      <c r="BUC10"/>
      <c r="BUD10"/>
      <c r="BUE10"/>
      <c r="BUF10"/>
      <c r="BUG10"/>
      <c r="BUH10"/>
      <c r="BUI10"/>
      <c r="BUJ10"/>
      <c r="BUK10"/>
      <c r="BUL10"/>
      <c r="BUM10"/>
      <c r="BUN10"/>
      <c r="BUO10"/>
      <c r="BUP10"/>
      <c r="BUQ10"/>
      <c r="BUR10"/>
      <c r="BUS10"/>
      <c r="BUT10"/>
      <c r="BUU10"/>
      <c r="BUV10"/>
      <c r="BUW10"/>
      <c r="BUX10"/>
      <c r="BUY10"/>
      <c r="BUZ10"/>
      <c r="BVA10"/>
      <c r="BVB10"/>
      <c r="BVC10"/>
      <c r="BVD10"/>
      <c r="BVE10"/>
      <c r="BVF10"/>
      <c r="BVG10"/>
      <c r="BVH10"/>
      <c r="BVI10"/>
      <c r="BVJ10"/>
      <c r="BVK10"/>
      <c r="BVL10"/>
      <c r="BVM10"/>
      <c r="BVN10"/>
      <c r="BVO10"/>
      <c r="BVP10"/>
      <c r="BVQ10"/>
      <c r="BVR10"/>
      <c r="BVS10"/>
      <c r="BVT10"/>
      <c r="BVU10"/>
      <c r="BVV10"/>
      <c r="BVW10"/>
      <c r="BVX10"/>
      <c r="BVY10"/>
      <c r="BVZ10"/>
      <c r="BWA10"/>
      <c r="BWB10"/>
      <c r="BWC10"/>
      <c r="BWD10"/>
      <c r="BWE10"/>
      <c r="BWF10"/>
      <c r="BWG10"/>
      <c r="BWH10"/>
      <c r="BWI10"/>
      <c r="BWJ10"/>
      <c r="BWK10"/>
      <c r="BWL10"/>
      <c r="BWM10"/>
      <c r="BWN10"/>
      <c r="BWO10"/>
      <c r="BWP10"/>
      <c r="BWQ10"/>
      <c r="BWR10"/>
      <c r="BWS10"/>
      <c r="BWT10"/>
      <c r="BWU10"/>
      <c r="BWV10"/>
      <c r="BWW10"/>
      <c r="BWX10"/>
      <c r="BWY10"/>
      <c r="BWZ10"/>
      <c r="BXA10"/>
      <c r="BXB10"/>
      <c r="BXC10"/>
      <c r="BXD10"/>
      <c r="BXE10"/>
      <c r="BXF10"/>
      <c r="BXG10"/>
      <c r="BXH10"/>
      <c r="BXI10"/>
      <c r="BXJ10"/>
      <c r="BXK10"/>
      <c r="BXL10"/>
      <c r="BXM10"/>
      <c r="BXN10"/>
      <c r="BXO10"/>
      <c r="BXP10"/>
      <c r="BXQ10"/>
      <c r="BXR10"/>
      <c r="BXS10"/>
      <c r="BXT10"/>
      <c r="BXU10"/>
      <c r="BXV10"/>
      <c r="BXW10"/>
      <c r="BXX10"/>
      <c r="BXY10"/>
      <c r="BXZ10"/>
      <c r="BYA10"/>
      <c r="BYB10"/>
      <c r="BYC10"/>
      <c r="BYD10"/>
      <c r="BYE10"/>
      <c r="BYF10"/>
      <c r="BYG10"/>
      <c r="BYH10"/>
      <c r="BYI10"/>
      <c r="BYJ10"/>
      <c r="BYK10"/>
      <c r="BYL10"/>
      <c r="BYM10"/>
      <c r="BYN10"/>
      <c r="BYO10"/>
      <c r="BYP10"/>
      <c r="BYQ10"/>
      <c r="BYR10"/>
      <c r="BYS10"/>
      <c r="BYT10"/>
      <c r="BYU10"/>
      <c r="BYV10"/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/>
      <c r="CQG10"/>
      <c r="CQH10"/>
      <c r="CQI10"/>
      <c r="CQJ10"/>
      <c r="CQK10"/>
      <c r="CQL10"/>
      <c r="CQM10"/>
      <c r="CQN10"/>
      <c r="CQO10"/>
      <c r="CQP10"/>
      <c r="CQQ10"/>
      <c r="CQR10"/>
      <c r="CQS10"/>
      <c r="CQT10"/>
      <c r="CQU10"/>
      <c r="CQV10"/>
      <c r="CQW10"/>
      <c r="CQX10"/>
      <c r="CQY10"/>
      <c r="CQZ10"/>
      <c r="CRA10"/>
      <c r="CRB10"/>
      <c r="CRC10"/>
      <c r="CRD10"/>
      <c r="CRE10"/>
      <c r="CRF10"/>
      <c r="CRG10"/>
      <c r="CRH10"/>
      <c r="CRI10"/>
      <c r="CRJ10"/>
      <c r="CRK10"/>
      <c r="CRL10"/>
      <c r="CRM10"/>
      <c r="CRN10"/>
      <c r="CRO10"/>
      <c r="CRP10"/>
      <c r="CRQ10"/>
      <c r="CRR10"/>
      <c r="CRS10"/>
      <c r="CRT10"/>
      <c r="CRU10"/>
      <c r="CRV10"/>
      <c r="CRW10"/>
      <c r="CRX10"/>
      <c r="CRY10"/>
      <c r="CRZ10"/>
      <c r="CSA10"/>
      <c r="CSB10"/>
      <c r="CSC10"/>
      <c r="CSD10"/>
      <c r="CSE10"/>
      <c r="CSF10"/>
      <c r="CSG10"/>
      <c r="CSH10"/>
      <c r="CSI10"/>
      <c r="CSJ10"/>
      <c r="CSK10"/>
      <c r="CSL10"/>
      <c r="CSM10"/>
      <c r="CSN10"/>
      <c r="CSO10"/>
      <c r="CSP10"/>
      <c r="CSQ10"/>
      <c r="CSR10"/>
      <c r="CSS10"/>
      <c r="CST10"/>
      <c r="CSU10"/>
      <c r="CSV10"/>
      <c r="CSW10"/>
      <c r="CSX10"/>
      <c r="CSY10"/>
      <c r="CSZ10"/>
      <c r="CTA10"/>
      <c r="CTB10"/>
      <c r="CTC10"/>
      <c r="CTD10"/>
      <c r="CTE10"/>
      <c r="CTF10"/>
      <c r="CTG10"/>
      <c r="CTH10"/>
      <c r="CTI10"/>
      <c r="CTJ10"/>
      <c r="CTK10"/>
      <c r="CTL10"/>
      <c r="CTM10"/>
      <c r="CTN10"/>
      <c r="CTO10"/>
      <c r="CTP10"/>
      <c r="CTQ10"/>
      <c r="CTR10"/>
      <c r="CTS10"/>
      <c r="CTT10"/>
      <c r="CTU10"/>
      <c r="CTV10"/>
      <c r="CTW10"/>
      <c r="CTX10"/>
      <c r="CTY10"/>
      <c r="CTZ10"/>
      <c r="CUA10"/>
      <c r="CUB10"/>
      <c r="CUC10"/>
      <c r="CUD10"/>
      <c r="CUE10"/>
      <c r="CUF10"/>
      <c r="CUG10"/>
      <c r="CUH10"/>
      <c r="CUI10"/>
      <c r="CUJ10"/>
      <c r="CUK10"/>
      <c r="CUL10"/>
      <c r="CUM10"/>
      <c r="CUN10"/>
      <c r="CUO10"/>
      <c r="CUP10"/>
      <c r="CUQ10"/>
      <c r="CUR10"/>
      <c r="CUS10"/>
      <c r="CUT10"/>
      <c r="CUU10"/>
      <c r="CUV10"/>
      <c r="CUW10"/>
      <c r="CUX10"/>
      <c r="CUY10"/>
      <c r="CUZ10"/>
      <c r="CVA10"/>
      <c r="CVB10"/>
      <c r="CVC10"/>
      <c r="CVD10"/>
      <c r="CVE10"/>
      <c r="CVF10"/>
      <c r="CVG10"/>
      <c r="CVH10"/>
      <c r="CVI10"/>
      <c r="CVJ10"/>
      <c r="CVK10"/>
      <c r="CVL10"/>
      <c r="CVM10"/>
      <c r="CVN10"/>
      <c r="CVO10"/>
      <c r="CVP10"/>
      <c r="CVQ10"/>
      <c r="CVR10"/>
      <c r="CVS10"/>
      <c r="CVT10"/>
      <c r="CVU10"/>
      <c r="CVV10"/>
      <c r="CVW10"/>
      <c r="CVX10"/>
      <c r="CVY10"/>
      <c r="CVZ10"/>
      <c r="CWA10"/>
      <c r="CWB10"/>
      <c r="CWC10"/>
      <c r="CWD10"/>
      <c r="CWE10"/>
      <c r="CWF10"/>
      <c r="CWG10"/>
      <c r="CWH10"/>
      <c r="CWI10"/>
      <c r="CWJ10"/>
      <c r="CWK10"/>
      <c r="CWL10"/>
      <c r="CWM10"/>
      <c r="CWN10"/>
      <c r="CWO10"/>
      <c r="CWP10"/>
      <c r="CWQ10"/>
      <c r="CWR10"/>
      <c r="CWS10"/>
      <c r="CWT10"/>
      <c r="CWU10"/>
      <c r="CWV10"/>
      <c r="CWW10"/>
      <c r="CWX10"/>
      <c r="CWY10"/>
      <c r="CWZ10"/>
      <c r="CXA10"/>
      <c r="CXB10"/>
      <c r="CXC10"/>
      <c r="CXD10"/>
      <c r="CXE10"/>
      <c r="CXF10"/>
      <c r="CXG10"/>
      <c r="CXH10"/>
      <c r="CXI10"/>
      <c r="CXJ10"/>
      <c r="CXK10"/>
      <c r="CXL10"/>
      <c r="CXM10"/>
      <c r="CXN10"/>
      <c r="CXO10"/>
      <c r="CXP10"/>
      <c r="CXQ10"/>
      <c r="CXR10"/>
      <c r="CXS10"/>
      <c r="CXT10"/>
      <c r="CXU10"/>
      <c r="CXV10"/>
      <c r="CXW10"/>
      <c r="CXX10"/>
      <c r="CXY10"/>
      <c r="CXZ10"/>
      <c r="CYA10"/>
      <c r="CYB10"/>
      <c r="CYC10"/>
      <c r="CYD10"/>
      <c r="CYE10"/>
      <c r="CYF10"/>
      <c r="CYG10"/>
      <c r="CYH10"/>
      <c r="CYI10"/>
      <c r="CYJ10"/>
      <c r="CYK10"/>
      <c r="CYL10"/>
      <c r="CYM10"/>
      <c r="CYN10"/>
      <c r="CYO10"/>
      <c r="CYP10"/>
      <c r="CYQ10"/>
      <c r="CYR10"/>
      <c r="CYS10"/>
      <c r="CYT10"/>
      <c r="CYU10"/>
      <c r="CYV10"/>
      <c r="CYW10"/>
      <c r="CYX10"/>
      <c r="CYY10"/>
      <c r="CYZ10"/>
      <c r="CZA10"/>
      <c r="CZB10"/>
      <c r="CZC10"/>
      <c r="CZD10"/>
      <c r="CZE10"/>
      <c r="CZF10"/>
      <c r="CZG10"/>
      <c r="CZH10"/>
      <c r="CZI10"/>
      <c r="CZJ10"/>
      <c r="CZK10"/>
      <c r="CZL10"/>
      <c r="CZM10"/>
      <c r="CZN10"/>
      <c r="CZO10"/>
      <c r="CZP10"/>
      <c r="CZQ10"/>
      <c r="CZR10"/>
      <c r="CZS10"/>
      <c r="CZT10"/>
      <c r="CZU10"/>
      <c r="CZV10"/>
      <c r="CZW10"/>
      <c r="CZX10"/>
      <c r="CZY10"/>
      <c r="CZZ10"/>
      <c r="DAA10"/>
      <c r="DAB10"/>
      <c r="DAC10"/>
      <c r="DAD10"/>
      <c r="DAE10"/>
      <c r="DAF10"/>
      <c r="DAG10"/>
      <c r="DAH10"/>
      <c r="DAI10"/>
      <c r="DAJ10"/>
      <c r="DAK10"/>
      <c r="DAL10"/>
      <c r="DAM10"/>
      <c r="DAN10"/>
      <c r="DAO10"/>
      <c r="DAP10"/>
      <c r="DAQ10"/>
      <c r="DAR10"/>
      <c r="DAS10"/>
      <c r="DAT10"/>
      <c r="DAU10"/>
      <c r="DAV10"/>
      <c r="DAW10"/>
      <c r="DAX10"/>
      <c r="DAY10"/>
      <c r="DAZ10"/>
      <c r="DBA10"/>
      <c r="DBB10"/>
      <c r="DBC10"/>
      <c r="DBD10"/>
      <c r="DBE10"/>
      <c r="DBF10"/>
      <c r="DBG10"/>
      <c r="DBH10"/>
      <c r="DBI10"/>
      <c r="DBJ10"/>
      <c r="DBK10"/>
      <c r="DBL10"/>
      <c r="DBM10"/>
      <c r="DBN10"/>
      <c r="DBO10"/>
      <c r="DBP10"/>
      <c r="DBQ10"/>
      <c r="DBR10"/>
      <c r="DBS10"/>
      <c r="DBT10"/>
      <c r="DBU10"/>
      <c r="DBV10"/>
      <c r="DBW10"/>
      <c r="DBX10"/>
      <c r="DBY10"/>
      <c r="DBZ10"/>
      <c r="DCA10"/>
      <c r="DCB10"/>
      <c r="DCC10"/>
      <c r="DCD10"/>
      <c r="DCE10"/>
      <c r="DCF10"/>
      <c r="DCG10"/>
      <c r="DCH10"/>
      <c r="DCI10"/>
      <c r="DCJ10"/>
      <c r="DCK10"/>
      <c r="DCL10"/>
      <c r="DCM10"/>
      <c r="DCN10"/>
      <c r="DCO10"/>
      <c r="DCP10"/>
      <c r="DCQ10"/>
      <c r="DCR10"/>
      <c r="DCS10"/>
      <c r="DCT10"/>
      <c r="DCU10"/>
      <c r="DCV10"/>
      <c r="DCW10"/>
      <c r="DCX10"/>
      <c r="DCY10"/>
      <c r="DCZ10"/>
      <c r="DDA10"/>
      <c r="DDB10"/>
      <c r="DDC10"/>
      <c r="DDD10"/>
      <c r="DDE10"/>
      <c r="DDF10"/>
      <c r="DDG10"/>
      <c r="DDH10"/>
      <c r="DDI10"/>
      <c r="DDJ10"/>
      <c r="DDK10"/>
      <c r="DDL10"/>
      <c r="DDM10"/>
      <c r="DDN10"/>
      <c r="DDO10"/>
      <c r="DDP10"/>
      <c r="DDQ10"/>
      <c r="DDR10"/>
      <c r="DDS10"/>
      <c r="DDT10"/>
      <c r="DDU10"/>
      <c r="DDV10"/>
      <c r="DDW10"/>
      <c r="DDX10"/>
      <c r="DDY10"/>
      <c r="DDZ10"/>
      <c r="DEA10"/>
      <c r="DEB10"/>
      <c r="DEC10"/>
      <c r="DED10"/>
      <c r="DEE10"/>
      <c r="DEF10"/>
      <c r="DEG10"/>
      <c r="DEH10"/>
      <c r="DEI10"/>
      <c r="DEJ10"/>
      <c r="DEK10"/>
      <c r="DEL10"/>
      <c r="DEM10"/>
      <c r="DEN10"/>
      <c r="DEO10"/>
      <c r="DEP10"/>
      <c r="DEQ10"/>
      <c r="DER10"/>
      <c r="DES10"/>
      <c r="DET10"/>
      <c r="DEU10"/>
      <c r="DEV10"/>
      <c r="DEW10"/>
      <c r="DEX10"/>
      <c r="DEY10"/>
      <c r="DEZ10"/>
      <c r="DFA10"/>
      <c r="DFB10"/>
      <c r="DFC10"/>
      <c r="DFD10"/>
      <c r="DFE10"/>
      <c r="DFF10"/>
      <c r="DFG10"/>
      <c r="DFH10"/>
      <c r="DFI10"/>
      <c r="DFJ10"/>
      <c r="DFK10"/>
      <c r="DFL10"/>
      <c r="DFM10"/>
      <c r="DFN10"/>
      <c r="DFO10"/>
      <c r="DFP10"/>
      <c r="DFQ10"/>
      <c r="DFR10"/>
      <c r="DFS10"/>
      <c r="DFT10"/>
      <c r="DFU10"/>
      <c r="DFV10"/>
      <c r="DFW10"/>
      <c r="DFX10"/>
      <c r="DFY10"/>
      <c r="DFZ10"/>
      <c r="DGA10"/>
      <c r="DGB10"/>
      <c r="DGC10"/>
      <c r="DGD10"/>
      <c r="DGE10"/>
      <c r="DGF10"/>
      <c r="DGG10"/>
      <c r="DGH10"/>
      <c r="DGI10"/>
      <c r="DGJ10"/>
      <c r="DGK10"/>
      <c r="DGL10"/>
      <c r="DGM10"/>
      <c r="DGN10"/>
      <c r="DGO10"/>
      <c r="DGP10"/>
      <c r="DGQ10"/>
      <c r="DGR10"/>
      <c r="DGS10"/>
      <c r="DGT10"/>
      <c r="DGU10"/>
      <c r="DGV10"/>
      <c r="DGW10"/>
      <c r="DGX10"/>
      <c r="DGY10"/>
      <c r="DGZ10"/>
      <c r="DHA10"/>
      <c r="DHB10"/>
      <c r="DHC10"/>
      <c r="DHD10"/>
      <c r="DHE10"/>
      <c r="DHF10"/>
      <c r="DHG10"/>
      <c r="DHH10"/>
      <c r="DHI10"/>
      <c r="DHJ10"/>
      <c r="DHK10"/>
      <c r="DHL10"/>
      <c r="DHM10"/>
      <c r="DHN10"/>
      <c r="DHO10"/>
      <c r="DHP10"/>
      <c r="DHQ10"/>
      <c r="DHR10"/>
      <c r="DHS10"/>
      <c r="DHT10"/>
      <c r="DHU10"/>
      <c r="DHV10"/>
      <c r="DHW10"/>
      <c r="DHX10"/>
      <c r="DHY10"/>
      <c r="DHZ10"/>
      <c r="DIA10"/>
      <c r="DIB10"/>
      <c r="DIC10"/>
      <c r="DID10"/>
      <c r="DIE10"/>
      <c r="DIF10"/>
      <c r="DIG10"/>
      <c r="DIH10"/>
      <c r="DII10"/>
      <c r="DIJ10"/>
      <c r="DIK10"/>
      <c r="DIL10"/>
      <c r="DIM10"/>
      <c r="DIN10"/>
      <c r="DIO10"/>
      <c r="DIP10"/>
      <c r="DIQ10"/>
      <c r="DIR10"/>
      <c r="DIS10"/>
      <c r="DIT10"/>
      <c r="DIU10"/>
      <c r="DIV10"/>
      <c r="DIW10"/>
      <c r="DIX10"/>
      <c r="DIY10"/>
      <c r="DIZ10"/>
      <c r="DJA10"/>
      <c r="DJB10"/>
      <c r="DJC10"/>
      <c r="DJD10"/>
      <c r="DJE10"/>
      <c r="DJF10"/>
      <c r="DJG10"/>
      <c r="DJH10"/>
      <c r="DJI10"/>
      <c r="DJJ10"/>
      <c r="DJK10"/>
      <c r="DJL10"/>
      <c r="DJM10"/>
      <c r="DJN10"/>
      <c r="DJO10"/>
      <c r="DJP10"/>
      <c r="DJQ10"/>
      <c r="DJR10"/>
      <c r="DJS10"/>
      <c r="DJT10"/>
      <c r="DJU10"/>
      <c r="DJV10"/>
      <c r="DJW10"/>
      <c r="DJX10"/>
      <c r="DJY10"/>
      <c r="DJZ10"/>
      <c r="DKA10"/>
      <c r="DKB10"/>
      <c r="DKC10"/>
      <c r="DKD10"/>
      <c r="DKE10"/>
      <c r="DKF10"/>
      <c r="DKG10"/>
      <c r="DKH10"/>
      <c r="DKI10"/>
      <c r="DKJ10"/>
      <c r="DKK10"/>
      <c r="DKL10"/>
      <c r="DKM10"/>
      <c r="DKN10"/>
      <c r="DKO10"/>
      <c r="DKP10"/>
      <c r="DKQ10"/>
      <c r="DKR10"/>
      <c r="DKS10"/>
      <c r="DKT10"/>
      <c r="DKU10"/>
      <c r="DKV10"/>
      <c r="DKW10"/>
      <c r="DKX10"/>
      <c r="DKY10"/>
      <c r="DKZ10"/>
      <c r="DLA10"/>
      <c r="DLB10"/>
      <c r="DLC10"/>
      <c r="DLD10"/>
      <c r="DLE10"/>
      <c r="DLF10"/>
      <c r="DLG10"/>
      <c r="DLH10"/>
      <c r="DLI10"/>
      <c r="DLJ10"/>
      <c r="DLK10"/>
      <c r="DLL10"/>
      <c r="DLM10"/>
      <c r="DLN10"/>
      <c r="DLO10"/>
      <c r="DLP10"/>
      <c r="DLQ10"/>
      <c r="DLR10"/>
      <c r="DLS10"/>
      <c r="DLT10"/>
      <c r="DLU10"/>
      <c r="DLV10"/>
      <c r="DLW10"/>
      <c r="DLX10"/>
      <c r="DLY10"/>
      <c r="DLZ10"/>
      <c r="DMA10"/>
      <c r="DMB10"/>
      <c r="DMC10"/>
      <c r="DMD10"/>
      <c r="DME10"/>
      <c r="DMF10"/>
      <c r="DMG10"/>
      <c r="DMH10"/>
      <c r="DMI10"/>
      <c r="DMJ10"/>
      <c r="DMK10"/>
      <c r="DML10"/>
      <c r="DMM10"/>
      <c r="DMN10"/>
      <c r="DMO10"/>
      <c r="DMP10"/>
      <c r="DMQ10"/>
      <c r="DMR10"/>
      <c r="DMS10"/>
      <c r="DMT10"/>
      <c r="DMU10"/>
      <c r="DMV10"/>
      <c r="DMW10"/>
      <c r="DMX10"/>
      <c r="DMY10"/>
      <c r="DMZ10"/>
      <c r="DNA10"/>
      <c r="DNB10"/>
      <c r="DNC10"/>
      <c r="DND10"/>
      <c r="DNE10"/>
      <c r="DNF10"/>
      <c r="DNG10"/>
      <c r="DNH10"/>
      <c r="DNI10"/>
      <c r="DNJ10"/>
      <c r="DNK10"/>
      <c r="DNL10"/>
      <c r="DNM10"/>
      <c r="DNN10"/>
      <c r="DNO10"/>
      <c r="DNP10"/>
      <c r="DNQ10"/>
      <c r="DNR10"/>
      <c r="DNS10"/>
      <c r="DNT10"/>
      <c r="DNU10"/>
      <c r="DNV10"/>
      <c r="DNW10"/>
      <c r="DNX10"/>
      <c r="DNY10"/>
      <c r="DNZ10"/>
      <c r="DOA10"/>
      <c r="DOB10"/>
      <c r="DOC10"/>
      <c r="DOD10"/>
      <c r="DOE10"/>
      <c r="DOF10"/>
      <c r="DOG10"/>
      <c r="DOH10"/>
      <c r="DOI10"/>
      <c r="DOJ10"/>
      <c r="DOK10"/>
      <c r="DOL10"/>
      <c r="DOM10"/>
      <c r="DON10"/>
      <c r="DOO10"/>
      <c r="DOP10"/>
      <c r="DOQ10"/>
      <c r="DOR10"/>
      <c r="DOS10"/>
      <c r="DOT10"/>
      <c r="DOU10"/>
      <c r="DOV10"/>
      <c r="DOW10"/>
      <c r="DOX10"/>
      <c r="DOY10"/>
      <c r="DOZ10"/>
      <c r="DPA10"/>
      <c r="DPB10"/>
      <c r="DPC10"/>
      <c r="DPD10"/>
      <c r="DPE10"/>
      <c r="DPF10"/>
      <c r="DPG10"/>
      <c r="DPH10"/>
      <c r="DPI10"/>
      <c r="DPJ10"/>
      <c r="DPK10"/>
      <c r="DPL10"/>
      <c r="DPM10"/>
      <c r="DPN10"/>
      <c r="DPO10"/>
      <c r="DPP10"/>
      <c r="DPQ10"/>
      <c r="DPR10"/>
      <c r="DPS10"/>
      <c r="DPT10"/>
      <c r="DPU10"/>
      <c r="DPV10"/>
      <c r="DPW10"/>
      <c r="DPX10"/>
      <c r="DPY10"/>
      <c r="DPZ10"/>
      <c r="DQA10"/>
      <c r="DQB10"/>
      <c r="DQC10"/>
      <c r="DQD10"/>
      <c r="DQE10"/>
      <c r="DQF10"/>
      <c r="DQG10"/>
      <c r="DQH10"/>
      <c r="DQI10"/>
      <c r="DQJ10"/>
      <c r="DQK10"/>
      <c r="DQL10"/>
      <c r="DQM10"/>
      <c r="DQN10"/>
      <c r="DQO10"/>
      <c r="DQP10"/>
      <c r="DQQ10"/>
      <c r="DQR10"/>
      <c r="DQS10"/>
      <c r="DQT10"/>
      <c r="DQU10"/>
      <c r="DQV10"/>
      <c r="DQW10"/>
      <c r="DQX10"/>
      <c r="DQY10"/>
      <c r="DQZ10"/>
      <c r="DRA10"/>
      <c r="DRB10"/>
      <c r="DRC10"/>
      <c r="DRD10"/>
      <c r="DRE10"/>
      <c r="DRF10"/>
      <c r="DRG10"/>
      <c r="DRH10"/>
      <c r="DRI10"/>
      <c r="DRJ10"/>
      <c r="DRK10"/>
      <c r="DRL10"/>
      <c r="DRM10"/>
      <c r="DRN10"/>
      <c r="DRO10"/>
      <c r="DRP10"/>
      <c r="DRQ10"/>
      <c r="DRR10"/>
      <c r="DRS10"/>
      <c r="DRT10"/>
      <c r="DRU10"/>
      <c r="DRV10"/>
      <c r="DRW10"/>
      <c r="DRX10"/>
      <c r="DRY10"/>
      <c r="DRZ10"/>
      <c r="DSA10"/>
      <c r="DSB10"/>
      <c r="DSC10"/>
      <c r="DSD10"/>
      <c r="DSE10"/>
      <c r="DSF10"/>
      <c r="DSG10"/>
      <c r="DSH10"/>
      <c r="DSI10"/>
      <c r="DSJ10"/>
      <c r="DSK10"/>
      <c r="DSL10"/>
      <c r="DSM10"/>
      <c r="DSN10"/>
      <c r="DSO10"/>
      <c r="DSP10"/>
      <c r="DSQ10"/>
      <c r="DSR10"/>
      <c r="DSS10"/>
      <c r="DST10"/>
      <c r="DSU10"/>
      <c r="DSV10"/>
      <c r="DSW10"/>
      <c r="DSX10"/>
      <c r="DSY10"/>
      <c r="DSZ10"/>
      <c r="DTA10"/>
      <c r="DTB10"/>
      <c r="DTC10"/>
      <c r="DTD10"/>
      <c r="DTE10"/>
      <c r="DTF10"/>
      <c r="DTG10"/>
      <c r="DTH10"/>
      <c r="DTI10"/>
      <c r="DTJ10"/>
      <c r="DTK10"/>
      <c r="DTL10"/>
      <c r="DTM10"/>
      <c r="DTN10"/>
      <c r="DTO10"/>
      <c r="DTP10"/>
      <c r="DTQ10"/>
      <c r="DTR10"/>
      <c r="DTS10"/>
      <c r="DTT10"/>
      <c r="DTU10"/>
      <c r="DTV10"/>
      <c r="DTW10"/>
      <c r="DTX10"/>
      <c r="DTY10"/>
      <c r="DTZ10"/>
      <c r="DUA10"/>
      <c r="DUB10"/>
      <c r="DUC10"/>
      <c r="DUD10"/>
      <c r="DUE10"/>
      <c r="DUF10"/>
      <c r="DUG10"/>
      <c r="DUH10"/>
      <c r="DUI10"/>
      <c r="DUJ10"/>
      <c r="DUK10"/>
      <c r="DUL10"/>
      <c r="DUM10"/>
      <c r="DUN10"/>
      <c r="DUO10"/>
      <c r="DUP10"/>
      <c r="DUQ10"/>
      <c r="DUR10"/>
      <c r="DUS10"/>
      <c r="DUT10"/>
      <c r="DUU10"/>
      <c r="DUV10"/>
      <c r="DUW10"/>
      <c r="DUX10"/>
      <c r="DUY10"/>
      <c r="DUZ10"/>
      <c r="DVA10"/>
      <c r="DVB10"/>
      <c r="DVC10"/>
      <c r="DVD10"/>
      <c r="DVE10"/>
      <c r="DVF10"/>
      <c r="DVG10"/>
      <c r="DVH10"/>
      <c r="DVI10"/>
      <c r="DVJ10"/>
      <c r="DVK10"/>
      <c r="DVL10"/>
      <c r="DVM10"/>
      <c r="DVN10"/>
      <c r="DVO10"/>
      <c r="DVP10"/>
      <c r="DVQ10"/>
      <c r="DVR10"/>
      <c r="DVS10"/>
      <c r="DVT10"/>
      <c r="DVU10"/>
      <c r="DVV10"/>
      <c r="DVW10"/>
      <c r="DVX10"/>
      <c r="DVY10"/>
      <c r="DVZ10"/>
      <c r="DWA10"/>
      <c r="DWB10"/>
      <c r="DWC10"/>
      <c r="DWD10"/>
      <c r="DWE10"/>
      <c r="DWF10"/>
      <c r="DWG10"/>
      <c r="DWH10"/>
      <c r="DWI10"/>
      <c r="DWJ10"/>
      <c r="DWK10"/>
      <c r="DWL10"/>
      <c r="DWM10"/>
      <c r="DWN10"/>
      <c r="DWO10"/>
      <c r="DWP10"/>
      <c r="DWQ10"/>
      <c r="DWR10"/>
      <c r="DWS10"/>
      <c r="DWT10"/>
      <c r="DWU10"/>
      <c r="DWV10"/>
      <c r="DWW10"/>
      <c r="DWX10"/>
      <c r="DWY10"/>
      <c r="DWZ10"/>
      <c r="DXA10"/>
      <c r="DXB10"/>
      <c r="DXC10"/>
      <c r="DXD10"/>
      <c r="DXE10"/>
      <c r="DXF10"/>
      <c r="DXG10"/>
      <c r="DXH10"/>
      <c r="DXI10"/>
      <c r="DXJ10"/>
      <c r="DXK10"/>
      <c r="DXL10"/>
      <c r="DXM10"/>
      <c r="DXN10"/>
      <c r="DXO10"/>
      <c r="DXP10"/>
      <c r="DXQ10"/>
      <c r="DXR10"/>
      <c r="DXS10"/>
      <c r="DXT10"/>
      <c r="DXU10"/>
      <c r="DXV10"/>
      <c r="DXW10"/>
      <c r="DXX10"/>
      <c r="DXY10"/>
      <c r="DXZ10"/>
      <c r="DYA10"/>
      <c r="DYB10"/>
      <c r="DYC10"/>
      <c r="DYD10"/>
      <c r="DYE10"/>
      <c r="DYF10"/>
      <c r="DYG10"/>
      <c r="DYH10"/>
      <c r="DYI10"/>
      <c r="DYJ10"/>
      <c r="DYK10"/>
      <c r="DYL10"/>
      <c r="DYM10"/>
      <c r="DYN10"/>
      <c r="DYO10"/>
      <c r="DYP10"/>
      <c r="DYQ10"/>
      <c r="DYR10"/>
      <c r="DYS10"/>
      <c r="DYT10"/>
      <c r="DYU10"/>
      <c r="DYV10"/>
      <c r="DYW10"/>
      <c r="DYX10"/>
      <c r="DYY10"/>
      <c r="DYZ10"/>
      <c r="DZA10"/>
      <c r="DZB10"/>
      <c r="DZC10"/>
      <c r="DZD10"/>
      <c r="DZE10"/>
      <c r="DZF10"/>
      <c r="DZG10"/>
      <c r="DZH10"/>
      <c r="DZI10"/>
      <c r="DZJ10"/>
      <c r="DZK10"/>
      <c r="DZL10"/>
      <c r="DZM10"/>
      <c r="DZN10"/>
      <c r="DZO10"/>
      <c r="DZP10"/>
      <c r="DZQ10"/>
      <c r="DZR10"/>
      <c r="DZS10"/>
      <c r="DZT10"/>
      <c r="DZU10"/>
      <c r="DZV10"/>
      <c r="DZW10"/>
      <c r="DZX10"/>
      <c r="DZY10"/>
      <c r="DZZ10"/>
      <c r="EAA10"/>
      <c r="EAB10"/>
      <c r="EAC10"/>
      <c r="EAD10"/>
      <c r="EAE10"/>
      <c r="EAF10"/>
      <c r="EAG10"/>
      <c r="EAH10"/>
      <c r="EAI10"/>
      <c r="EAJ10"/>
      <c r="EAK10"/>
      <c r="EAL10"/>
      <c r="EAM10"/>
      <c r="EAN10"/>
      <c r="EAO10"/>
      <c r="EAP10"/>
      <c r="EAQ10"/>
      <c r="EAR10"/>
      <c r="EAS10"/>
      <c r="EAT10"/>
      <c r="EAU10"/>
      <c r="EAV10"/>
      <c r="EAW10"/>
      <c r="EAX10"/>
      <c r="EAY10"/>
      <c r="EAZ10"/>
      <c r="EBA10"/>
      <c r="EBB10"/>
      <c r="EBC10"/>
      <c r="EBD10"/>
      <c r="EBE10"/>
      <c r="EBF10"/>
      <c r="EBG10"/>
      <c r="EBH10"/>
      <c r="EBI10"/>
      <c r="EBJ10"/>
      <c r="EBK10"/>
      <c r="EBL10"/>
      <c r="EBM10"/>
      <c r="EBN10"/>
      <c r="EBO10"/>
      <c r="EBP10"/>
      <c r="EBQ10"/>
      <c r="EBR10"/>
      <c r="EBS10"/>
      <c r="EBT10"/>
      <c r="EBU10"/>
      <c r="EBV10"/>
      <c r="EBW10"/>
      <c r="EBX10"/>
      <c r="EBY10"/>
      <c r="EBZ10"/>
      <c r="ECA10"/>
      <c r="ECB10"/>
      <c r="ECC10"/>
      <c r="ECD10"/>
      <c r="ECE10"/>
      <c r="ECF10"/>
      <c r="ECG10"/>
      <c r="ECH10"/>
      <c r="ECI10"/>
      <c r="ECJ10"/>
      <c r="ECK10"/>
      <c r="ECL10"/>
      <c r="ECM10"/>
      <c r="ECN10"/>
      <c r="ECO10"/>
      <c r="ECP10"/>
      <c r="ECQ10"/>
      <c r="ECR10"/>
      <c r="ECS10"/>
      <c r="ECT10"/>
      <c r="ECU10"/>
      <c r="ECV10"/>
      <c r="ECW10"/>
      <c r="ECX10"/>
      <c r="ECY10"/>
      <c r="ECZ10"/>
      <c r="EDA10"/>
      <c r="EDB10"/>
      <c r="EDC10"/>
      <c r="EDD10"/>
      <c r="EDE10"/>
      <c r="EDF10"/>
      <c r="EDG10"/>
      <c r="EDH10"/>
      <c r="EDI10"/>
      <c r="EDJ10"/>
      <c r="EDK10"/>
      <c r="EDL10"/>
      <c r="EDM10"/>
      <c r="EDN10"/>
      <c r="EDO10"/>
      <c r="EDP10"/>
      <c r="EDQ10"/>
      <c r="EDR10"/>
      <c r="EDS10"/>
      <c r="EDT10"/>
      <c r="EDU10"/>
      <c r="EDV10"/>
      <c r="EDW10"/>
      <c r="EDX10"/>
      <c r="EDY10"/>
      <c r="EDZ10"/>
      <c r="EEA10"/>
      <c r="EEB10"/>
      <c r="EEC10"/>
      <c r="EED10"/>
      <c r="EEE10"/>
      <c r="EEF10"/>
      <c r="EEG10"/>
      <c r="EEH10"/>
      <c r="EEI10"/>
      <c r="EEJ10"/>
      <c r="EEK10"/>
      <c r="EEL10"/>
      <c r="EEM10"/>
      <c r="EEN10"/>
      <c r="EEO10"/>
      <c r="EEP10"/>
      <c r="EEQ10"/>
      <c r="EER10"/>
      <c r="EES10"/>
      <c r="EET10"/>
      <c r="EEU10"/>
      <c r="EEV10"/>
      <c r="EEW10"/>
      <c r="EEX10"/>
      <c r="EEY10"/>
      <c r="EEZ10"/>
      <c r="EFA10"/>
      <c r="EFB10"/>
      <c r="EFC10"/>
      <c r="EFD10"/>
      <c r="EFE10"/>
      <c r="EFF10"/>
      <c r="EFG10"/>
      <c r="EFH10"/>
      <c r="EFI10"/>
      <c r="EFJ10"/>
      <c r="EFK10"/>
      <c r="EFL10"/>
      <c r="EFM10"/>
      <c r="EFN10"/>
      <c r="EFO10"/>
      <c r="EFP10"/>
      <c r="EFQ10"/>
      <c r="EFR10"/>
      <c r="EFS10"/>
      <c r="EFT10"/>
      <c r="EFU10"/>
      <c r="EFV10"/>
      <c r="EFW10"/>
      <c r="EFX10"/>
      <c r="EFY10"/>
      <c r="EFZ10"/>
      <c r="EGA10"/>
      <c r="EGB10"/>
      <c r="EGC10"/>
      <c r="EGD10"/>
      <c r="EGE10"/>
      <c r="EGF10"/>
      <c r="EGG10"/>
      <c r="EGH10"/>
      <c r="EGI10"/>
      <c r="EGJ10"/>
      <c r="EGK10"/>
      <c r="EGL10"/>
      <c r="EGM10"/>
      <c r="EGN10"/>
      <c r="EGO10"/>
      <c r="EGP10"/>
      <c r="EGQ10"/>
      <c r="EGR10"/>
      <c r="EGS10"/>
      <c r="EGT10"/>
      <c r="EGU10"/>
      <c r="EGV10"/>
      <c r="EGW10"/>
      <c r="EGX10"/>
      <c r="EGY10"/>
      <c r="EGZ10"/>
      <c r="EHA10"/>
      <c r="EHB10"/>
      <c r="EHC10"/>
      <c r="EHD10"/>
      <c r="EHE10"/>
      <c r="EHF10"/>
      <c r="EHG10"/>
      <c r="EHH10"/>
      <c r="EHI10"/>
      <c r="EHJ10"/>
      <c r="EHK10"/>
      <c r="EHL10"/>
      <c r="EHM10"/>
      <c r="EHN10"/>
      <c r="EHO10"/>
      <c r="EHP10"/>
      <c r="EHQ10"/>
      <c r="EHR10"/>
      <c r="EHS10"/>
      <c r="EHT10"/>
      <c r="EHU10"/>
      <c r="EHV10"/>
      <c r="EHW10"/>
      <c r="EHX10"/>
      <c r="EHY10"/>
      <c r="EHZ10"/>
      <c r="EIA10"/>
      <c r="EIB10"/>
      <c r="EIC10"/>
      <c r="EID10"/>
      <c r="EIE10"/>
      <c r="EIF10"/>
      <c r="EIG10"/>
      <c r="EIH10"/>
      <c r="EII10"/>
      <c r="EIJ10"/>
      <c r="EIK10"/>
      <c r="EIL10"/>
      <c r="EIM10"/>
      <c r="EIN10"/>
      <c r="EIO10"/>
      <c r="EIP10"/>
      <c r="EIQ10"/>
      <c r="EIR10"/>
      <c r="EIS10"/>
      <c r="EIT10"/>
      <c r="EIU10"/>
      <c r="EIV10"/>
      <c r="EIW10"/>
      <c r="EIX10"/>
      <c r="EIY10"/>
      <c r="EIZ10"/>
      <c r="EJA10"/>
      <c r="EJB10"/>
      <c r="EJC10"/>
      <c r="EJD10"/>
      <c r="EJE10"/>
      <c r="EJF10"/>
      <c r="EJG10"/>
      <c r="EJH10"/>
      <c r="EJI10"/>
      <c r="EJJ10"/>
      <c r="EJK10"/>
      <c r="EJL10"/>
      <c r="EJM10"/>
      <c r="EJN10"/>
      <c r="EJO10"/>
      <c r="EJP10"/>
      <c r="EJQ10"/>
      <c r="EJR10"/>
      <c r="EJS10"/>
      <c r="EJT10"/>
      <c r="EJU10"/>
      <c r="EJV10"/>
      <c r="EJW10"/>
      <c r="EJX10"/>
      <c r="EJY10"/>
      <c r="EJZ10"/>
      <c r="EKA10"/>
      <c r="EKB10"/>
      <c r="EKC10"/>
      <c r="EKD10"/>
      <c r="EKE10"/>
      <c r="EKF10"/>
      <c r="EKG10"/>
      <c r="EKH10"/>
      <c r="EKI10"/>
      <c r="EKJ10"/>
      <c r="EKK10"/>
      <c r="EKL10"/>
      <c r="EKM10"/>
      <c r="EKN10"/>
      <c r="EKO10"/>
      <c r="EKP10"/>
      <c r="EKQ10"/>
      <c r="EKR10"/>
      <c r="EKS10"/>
      <c r="EKT10"/>
      <c r="EKU10"/>
      <c r="EKV10"/>
      <c r="EKW10"/>
      <c r="EKX10"/>
      <c r="EKY10"/>
      <c r="EKZ10"/>
      <c r="ELA10"/>
      <c r="ELB10"/>
      <c r="ELC10"/>
      <c r="ELD10"/>
      <c r="ELE10"/>
      <c r="ELF10"/>
      <c r="ELG10"/>
      <c r="ELH10"/>
      <c r="ELI10"/>
      <c r="ELJ10"/>
      <c r="ELK10"/>
      <c r="ELL10"/>
      <c r="ELM10"/>
      <c r="ELN10"/>
      <c r="ELO10"/>
      <c r="ELP10"/>
      <c r="ELQ10"/>
      <c r="ELR10"/>
      <c r="ELS10"/>
      <c r="ELT10"/>
      <c r="ELU10"/>
      <c r="ELV10"/>
      <c r="ELW10"/>
      <c r="ELX10"/>
      <c r="ELY10"/>
      <c r="ELZ10"/>
      <c r="EMA10"/>
      <c r="EMB10"/>
      <c r="EMC10"/>
      <c r="EMD10"/>
      <c r="EME10"/>
      <c r="EMF10"/>
      <c r="EMG10"/>
      <c r="EMH10"/>
      <c r="EMI10"/>
      <c r="EMJ10"/>
      <c r="EMK10"/>
      <c r="EML10"/>
      <c r="EMM10"/>
      <c r="EMN10"/>
      <c r="EMO10"/>
      <c r="EMP10"/>
      <c r="EMQ10"/>
      <c r="EMR10"/>
      <c r="EMS10"/>
      <c r="EMT10"/>
      <c r="EMU10"/>
      <c r="EMV10"/>
      <c r="EMW10"/>
      <c r="EMX10"/>
      <c r="EMY10"/>
      <c r="EMZ10"/>
      <c r="ENA10"/>
      <c r="ENB10"/>
      <c r="ENC10"/>
      <c r="END10"/>
      <c r="ENE10"/>
      <c r="ENF10"/>
      <c r="ENG10"/>
      <c r="ENH10"/>
      <c r="ENI10"/>
      <c r="ENJ10"/>
      <c r="ENK10"/>
      <c r="ENL10"/>
      <c r="ENM10"/>
      <c r="ENN10"/>
      <c r="ENO10"/>
      <c r="ENP10"/>
      <c r="ENQ10"/>
      <c r="ENR10"/>
      <c r="ENS10"/>
      <c r="ENT10"/>
      <c r="ENU10"/>
      <c r="ENV10"/>
      <c r="ENW10"/>
      <c r="ENX10"/>
      <c r="ENY10"/>
      <c r="ENZ10"/>
      <c r="EOA10"/>
      <c r="EOB10"/>
      <c r="EOC10"/>
      <c r="EOD10"/>
      <c r="EOE10"/>
      <c r="EOF10"/>
      <c r="EOG10"/>
      <c r="EOH10"/>
      <c r="EOI10"/>
      <c r="EOJ10"/>
      <c r="EOK10"/>
      <c r="EOL10"/>
      <c r="EOM10"/>
      <c r="EON10"/>
      <c r="EOO10"/>
      <c r="EOP10"/>
      <c r="EOQ10"/>
      <c r="EOR10"/>
      <c r="EOS10"/>
      <c r="EOT10"/>
      <c r="EOU10"/>
      <c r="EOV10"/>
      <c r="EOW10"/>
      <c r="EOX10"/>
      <c r="EOY10"/>
      <c r="EOZ10"/>
      <c r="EPA10"/>
      <c r="EPB10"/>
      <c r="EPC10"/>
      <c r="EPD10"/>
      <c r="EPE10"/>
      <c r="EPF10"/>
      <c r="EPG10"/>
      <c r="EPH10"/>
      <c r="EPI10"/>
      <c r="EPJ10"/>
      <c r="EPK10"/>
      <c r="EPL10"/>
      <c r="EPM10"/>
      <c r="EPN10"/>
      <c r="EPO10"/>
      <c r="EPP10"/>
      <c r="EPQ10"/>
      <c r="EPR10"/>
      <c r="EPS10"/>
      <c r="EPT10"/>
      <c r="EPU10"/>
      <c r="EPV10"/>
      <c r="EPW10"/>
      <c r="EPX10"/>
      <c r="EPY10"/>
      <c r="EPZ10"/>
      <c r="EQA10"/>
      <c r="EQB10"/>
      <c r="EQC10"/>
      <c r="EQD10"/>
      <c r="EQE10"/>
      <c r="EQF10"/>
      <c r="EQG10"/>
      <c r="EQH10"/>
      <c r="EQI10"/>
      <c r="EQJ10"/>
      <c r="EQK10"/>
      <c r="EQL10"/>
      <c r="EQM10"/>
      <c r="EQN10"/>
      <c r="EQO10"/>
      <c r="EQP10"/>
      <c r="EQQ10"/>
      <c r="EQR10"/>
      <c r="EQS10"/>
      <c r="EQT10"/>
      <c r="EQU10"/>
      <c r="EQV10"/>
      <c r="EQW10"/>
      <c r="EQX10"/>
      <c r="EQY10"/>
      <c r="EQZ10"/>
      <c r="ERA10"/>
      <c r="ERB10"/>
      <c r="ERC10"/>
      <c r="ERD10"/>
      <c r="ERE10"/>
      <c r="ERF10"/>
      <c r="ERG10"/>
      <c r="ERH10"/>
      <c r="ERI10"/>
      <c r="ERJ10"/>
      <c r="ERK10"/>
      <c r="ERL10"/>
      <c r="ERM10"/>
      <c r="ERN10"/>
      <c r="ERO10"/>
      <c r="ERP10"/>
      <c r="ERQ10"/>
      <c r="ERR10"/>
      <c r="ERS10"/>
      <c r="ERT10"/>
      <c r="ERU10"/>
      <c r="ERV10"/>
      <c r="ERW10"/>
      <c r="ERX10"/>
      <c r="ERY10"/>
      <c r="ERZ10"/>
      <c r="ESA10"/>
      <c r="ESB10"/>
      <c r="ESC10"/>
      <c r="ESD10"/>
      <c r="ESE10"/>
      <c r="ESF10"/>
      <c r="ESG10"/>
      <c r="ESH10"/>
      <c r="ESI10"/>
      <c r="ESJ10"/>
      <c r="ESK10"/>
      <c r="ESL10"/>
      <c r="ESM10"/>
      <c r="ESN10"/>
      <c r="ESO10"/>
      <c r="ESP10"/>
      <c r="ESQ10"/>
      <c r="ESR10"/>
      <c r="ESS10"/>
      <c r="EST10"/>
      <c r="ESU10"/>
      <c r="ESV10"/>
      <c r="ESW10"/>
      <c r="ESX10"/>
      <c r="ESY10"/>
      <c r="ESZ10"/>
      <c r="ETA10"/>
      <c r="ETB10"/>
      <c r="ETC10"/>
      <c r="ETD10"/>
      <c r="ETE10"/>
      <c r="ETF10"/>
      <c r="ETG10"/>
      <c r="ETH10"/>
      <c r="ETI10"/>
      <c r="ETJ10"/>
      <c r="ETK10"/>
      <c r="ETL10"/>
      <c r="ETM10"/>
      <c r="ETN10"/>
      <c r="ETO10"/>
      <c r="ETP10"/>
      <c r="ETQ10"/>
      <c r="ETR10"/>
      <c r="ETS10"/>
      <c r="ETT10"/>
      <c r="ETU10"/>
      <c r="ETV10"/>
      <c r="ETW10"/>
      <c r="ETX10"/>
      <c r="ETY10"/>
      <c r="ETZ10"/>
      <c r="EUA10"/>
      <c r="EUB10"/>
      <c r="EUC10"/>
      <c r="EUD10"/>
      <c r="EUE10"/>
      <c r="EUF10"/>
      <c r="EUG10"/>
      <c r="EUH10"/>
      <c r="EUI10"/>
      <c r="EUJ10"/>
      <c r="EUK10"/>
      <c r="EUL10"/>
      <c r="EUM10"/>
      <c r="EUN10"/>
      <c r="EUO10"/>
      <c r="EUP10"/>
      <c r="EUQ10"/>
      <c r="EUR10"/>
      <c r="EUS10"/>
      <c r="EUT10"/>
      <c r="EUU10"/>
      <c r="EUV10"/>
      <c r="EUW10"/>
      <c r="EUX10"/>
      <c r="EUY10"/>
      <c r="EUZ10"/>
      <c r="EVA10"/>
      <c r="EVB10"/>
      <c r="EVC10"/>
      <c r="EVD10"/>
      <c r="EVE10"/>
      <c r="EVF10"/>
      <c r="EVG10"/>
      <c r="EVH10"/>
      <c r="EVI10"/>
      <c r="EVJ10"/>
      <c r="EVK10"/>
      <c r="EVL10"/>
      <c r="EVM10"/>
      <c r="EVN10"/>
      <c r="EVO10"/>
      <c r="EVP10"/>
      <c r="EVQ10"/>
      <c r="EVR10"/>
      <c r="EVS10"/>
      <c r="EVT10"/>
      <c r="EVU10"/>
      <c r="EVV10"/>
      <c r="EVW10"/>
      <c r="EVX10"/>
      <c r="EVY10"/>
      <c r="EVZ10"/>
      <c r="EWA10"/>
      <c r="EWB10"/>
      <c r="EWC10"/>
      <c r="EWD10"/>
      <c r="EWE10"/>
      <c r="EWF10"/>
      <c r="EWG10"/>
      <c r="EWH10"/>
      <c r="EWI10"/>
      <c r="EWJ10"/>
      <c r="EWK10"/>
      <c r="EWL10"/>
      <c r="EWM10"/>
      <c r="EWN10"/>
      <c r="EWO10"/>
      <c r="EWP10"/>
      <c r="EWQ10"/>
      <c r="EWR10"/>
      <c r="EWS10"/>
      <c r="EWT10"/>
      <c r="EWU10"/>
      <c r="EWV10"/>
      <c r="EWW10"/>
      <c r="EWX10"/>
      <c r="EWY10"/>
      <c r="EWZ10"/>
      <c r="EXA10"/>
      <c r="EXB10"/>
      <c r="EXC10"/>
      <c r="EXD10"/>
      <c r="EXE10"/>
      <c r="EXF10"/>
      <c r="EXG10"/>
      <c r="EXH10"/>
      <c r="EXI10"/>
      <c r="EXJ10"/>
      <c r="EXK10"/>
      <c r="EXL10"/>
      <c r="EXM10"/>
      <c r="EXN10"/>
      <c r="EXO10"/>
      <c r="EXP10"/>
      <c r="EXQ10"/>
      <c r="EXR10"/>
      <c r="EXS10"/>
      <c r="EXT10"/>
      <c r="EXU10"/>
      <c r="EXV10"/>
      <c r="EXW10"/>
      <c r="EXX10"/>
      <c r="EXY10"/>
      <c r="EXZ10"/>
      <c r="EYA10"/>
      <c r="EYB10"/>
      <c r="EYC10"/>
      <c r="EYD10"/>
      <c r="EYE10"/>
      <c r="EYF10"/>
      <c r="EYG10"/>
      <c r="EYH10"/>
      <c r="EYI10"/>
      <c r="EYJ10"/>
      <c r="EYK10"/>
      <c r="EYL10"/>
      <c r="EYM10"/>
      <c r="EYN10"/>
      <c r="EYO10"/>
      <c r="EYP10"/>
      <c r="EYQ10"/>
      <c r="EYR10"/>
      <c r="EYS10"/>
      <c r="EYT10"/>
      <c r="EYU10"/>
      <c r="EYV10"/>
      <c r="EYW10"/>
      <c r="EYX10"/>
      <c r="EYY10"/>
      <c r="EYZ10"/>
      <c r="EZA10"/>
      <c r="EZB10"/>
      <c r="EZC10"/>
      <c r="EZD10"/>
      <c r="EZE10"/>
      <c r="EZF10"/>
      <c r="EZG10"/>
      <c r="EZH10"/>
      <c r="EZI10"/>
      <c r="EZJ10"/>
      <c r="EZK10"/>
      <c r="EZL10"/>
      <c r="EZM10"/>
      <c r="EZN10"/>
      <c r="EZO10"/>
      <c r="EZP10"/>
      <c r="EZQ10"/>
      <c r="EZR10"/>
      <c r="EZS10"/>
      <c r="EZT10"/>
      <c r="EZU10"/>
      <c r="EZV10"/>
      <c r="EZW10"/>
      <c r="EZX10"/>
      <c r="EZY10"/>
      <c r="EZZ10"/>
      <c r="FAA10"/>
      <c r="FAB10"/>
      <c r="FAC10"/>
      <c r="FAD10"/>
      <c r="FAE10"/>
      <c r="FAF10"/>
      <c r="FAG10"/>
      <c r="FAH10"/>
      <c r="FAI10"/>
      <c r="FAJ10"/>
      <c r="FAK10"/>
      <c r="FAL10"/>
      <c r="FAM10"/>
      <c r="FAN10"/>
      <c r="FAO10"/>
      <c r="FAP10"/>
      <c r="FAQ10"/>
      <c r="FAR10"/>
      <c r="FAS10"/>
      <c r="FAT10"/>
      <c r="FAU10"/>
      <c r="FAV10"/>
      <c r="FAW10"/>
      <c r="FAX10"/>
      <c r="FAY10"/>
      <c r="FAZ10"/>
      <c r="FBA10"/>
      <c r="FBB10"/>
      <c r="FBC10"/>
      <c r="FBD10"/>
      <c r="FBE10"/>
      <c r="FBF10"/>
      <c r="FBG10"/>
      <c r="FBH10"/>
      <c r="FBI10"/>
      <c r="FBJ10"/>
      <c r="FBK10"/>
      <c r="FBL10"/>
      <c r="FBM10"/>
      <c r="FBN10"/>
      <c r="FBO10"/>
      <c r="FBP10"/>
      <c r="FBQ10"/>
      <c r="FBR10"/>
      <c r="FBS10"/>
      <c r="FBT10"/>
      <c r="FBU10"/>
      <c r="FBV10"/>
      <c r="FBW10"/>
      <c r="FBX10"/>
      <c r="FBY10"/>
      <c r="FBZ10"/>
      <c r="FCA10"/>
      <c r="FCB10"/>
      <c r="FCC10"/>
      <c r="FCD10"/>
      <c r="FCE10"/>
      <c r="FCF10"/>
      <c r="FCG10"/>
      <c r="FCH10"/>
      <c r="FCI10"/>
      <c r="FCJ10"/>
      <c r="FCK10"/>
      <c r="FCL10"/>
      <c r="FCM10"/>
      <c r="FCN10"/>
      <c r="FCO10"/>
      <c r="FCP10"/>
      <c r="FCQ10"/>
      <c r="FCR10"/>
      <c r="FCS10"/>
      <c r="FCT10"/>
      <c r="FCU10"/>
      <c r="FCV10"/>
      <c r="FCW10"/>
      <c r="FCX10"/>
      <c r="FCY10"/>
      <c r="FCZ10"/>
      <c r="FDA10"/>
      <c r="FDB10"/>
      <c r="FDC10"/>
      <c r="FDD10"/>
      <c r="FDE10"/>
      <c r="FDF10"/>
      <c r="FDG10"/>
      <c r="FDH10"/>
      <c r="FDI10"/>
      <c r="FDJ10"/>
      <c r="FDK10"/>
      <c r="FDL10"/>
      <c r="FDM10"/>
      <c r="FDN10"/>
      <c r="FDO10"/>
      <c r="FDP10"/>
      <c r="FDQ10"/>
      <c r="FDR10"/>
      <c r="FDS10"/>
      <c r="FDT10"/>
      <c r="FDU10"/>
      <c r="FDV10"/>
      <c r="FDW10"/>
      <c r="FDX10"/>
      <c r="FDY10"/>
      <c r="FDZ10"/>
      <c r="FEA10"/>
      <c r="FEB10"/>
      <c r="FEC10"/>
      <c r="FED10"/>
      <c r="FEE10"/>
      <c r="FEF10"/>
      <c r="FEG10"/>
      <c r="FEH10"/>
      <c r="FEI10"/>
      <c r="FEJ10"/>
      <c r="FEK10"/>
      <c r="FEL10"/>
      <c r="FEM10"/>
      <c r="FEN10"/>
      <c r="FEO10"/>
      <c r="FEP10"/>
      <c r="FEQ10"/>
      <c r="FER10"/>
      <c r="FES10"/>
      <c r="FET10"/>
      <c r="FEU10"/>
      <c r="FEV10"/>
      <c r="FEW10"/>
      <c r="FEX10"/>
      <c r="FEY10"/>
      <c r="FEZ10"/>
      <c r="FFA10"/>
      <c r="FFB10"/>
      <c r="FFC10"/>
      <c r="FFD10"/>
      <c r="FFE10"/>
      <c r="FFF10"/>
      <c r="FFG10"/>
      <c r="FFH10"/>
      <c r="FFI10"/>
      <c r="FFJ10"/>
      <c r="FFK10"/>
      <c r="FFL10"/>
      <c r="FFM10"/>
      <c r="FFN10"/>
      <c r="FFO10"/>
      <c r="FFP10"/>
      <c r="FFQ10"/>
      <c r="FFR10"/>
      <c r="FFS10"/>
      <c r="FFT10"/>
      <c r="FFU10"/>
      <c r="FFV10"/>
      <c r="FFW10"/>
      <c r="FFX10"/>
      <c r="FFY10"/>
      <c r="FFZ10"/>
      <c r="FGA10"/>
      <c r="FGB10"/>
      <c r="FGC10"/>
      <c r="FGD10"/>
      <c r="FGE10"/>
      <c r="FGF10"/>
      <c r="FGG10"/>
      <c r="FGH10"/>
      <c r="FGI10"/>
      <c r="FGJ10"/>
      <c r="FGK10"/>
      <c r="FGL10"/>
      <c r="FGM10"/>
      <c r="FGN10"/>
      <c r="FGO10"/>
      <c r="FGP10"/>
      <c r="FGQ10"/>
      <c r="FGR10"/>
      <c r="FGS10"/>
      <c r="FGT10"/>
      <c r="FGU10"/>
      <c r="FGV10"/>
      <c r="FGW10"/>
      <c r="FGX10"/>
      <c r="FGY10"/>
      <c r="FGZ10"/>
      <c r="FHA10"/>
      <c r="FHB10"/>
      <c r="FHC10"/>
      <c r="FHD10"/>
      <c r="FHE10"/>
      <c r="FHF10"/>
      <c r="FHG10"/>
      <c r="FHH10"/>
      <c r="FHI10"/>
      <c r="FHJ10"/>
      <c r="FHK10"/>
      <c r="FHL10"/>
      <c r="FHM10"/>
      <c r="FHN10"/>
      <c r="FHO10"/>
      <c r="FHP10"/>
      <c r="FHQ10"/>
      <c r="FHR10"/>
      <c r="FHS10"/>
      <c r="FHT10"/>
      <c r="FHU10"/>
      <c r="FHV10"/>
      <c r="FHW10"/>
      <c r="FHX10"/>
      <c r="FHY10"/>
      <c r="FHZ10"/>
      <c r="FIA10"/>
      <c r="FIB10"/>
      <c r="FIC10"/>
      <c r="FID10"/>
      <c r="FIE10"/>
      <c r="FIF10"/>
      <c r="FIG10"/>
      <c r="FIH10"/>
      <c r="FII10"/>
      <c r="FIJ10"/>
      <c r="FIK10"/>
      <c r="FIL10"/>
      <c r="FIM10"/>
      <c r="FIN10"/>
      <c r="FIO10"/>
      <c r="FIP10"/>
      <c r="FIQ10"/>
      <c r="FIR10"/>
      <c r="FIS10"/>
      <c r="FIT10"/>
      <c r="FIU10"/>
      <c r="FIV10"/>
      <c r="FIW10"/>
      <c r="FIX10"/>
      <c r="FIY10"/>
      <c r="FIZ10"/>
      <c r="FJA10"/>
      <c r="FJB10"/>
      <c r="FJC10"/>
      <c r="FJD10"/>
      <c r="FJE10"/>
      <c r="FJF10"/>
      <c r="FJG10"/>
      <c r="FJH10"/>
      <c r="FJI10"/>
      <c r="FJJ10"/>
      <c r="FJK10"/>
      <c r="FJL10"/>
      <c r="FJM10"/>
      <c r="FJN10"/>
      <c r="FJO10"/>
      <c r="FJP10"/>
      <c r="FJQ10"/>
      <c r="FJR10"/>
      <c r="FJS10"/>
      <c r="FJT10"/>
      <c r="FJU10"/>
      <c r="FJV10"/>
      <c r="FJW10"/>
      <c r="FJX10"/>
      <c r="FJY10"/>
      <c r="FJZ10"/>
      <c r="FKA10"/>
      <c r="FKB10"/>
      <c r="FKC10"/>
      <c r="FKD10"/>
      <c r="FKE10"/>
      <c r="FKF10"/>
      <c r="FKG10"/>
      <c r="FKH10"/>
      <c r="FKI10"/>
      <c r="FKJ10"/>
      <c r="FKK10"/>
      <c r="FKL10"/>
      <c r="FKM10"/>
      <c r="FKN10"/>
      <c r="FKO10"/>
      <c r="FKP10"/>
      <c r="FKQ10"/>
      <c r="FKR10"/>
      <c r="FKS10"/>
      <c r="FKT10"/>
      <c r="FKU10"/>
      <c r="FKV10"/>
      <c r="FKW10"/>
      <c r="FKX10"/>
      <c r="FKY10"/>
      <c r="FKZ10"/>
      <c r="FLA10"/>
      <c r="FLB10"/>
      <c r="FLC10"/>
      <c r="FLD10"/>
      <c r="FLE10"/>
      <c r="FLF10"/>
      <c r="FLG10"/>
      <c r="FLH10"/>
      <c r="FLI10"/>
      <c r="FLJ10"/>
      <c r="FLK10"/>
      <c r="FLL10"/>
      <c r="FLM10"/>
      <c r="FLN10"/>
      <c r="FLO10"/>
      <c r="FLP10"/>
      <c r="FLQ10"/>
      <c r="FLR10"/>
      <c r="FLS10"/>
      <c r="FLT10"/>
      <c r="FLU10"/>
      <c r="FLV10"/>
      <c r="FLW10"/>
      <c r="FLX10"/>
      <c r="FLY10"/>
      <c r="FLZ10"/>
      <c r="FMA10"/>
      <c r="FMB10"/>
      <c r="FMC10"/>
      <c r="FMD10"/>
      <c r="FME10"/>
      <c r="FMF10"/>
      <c r="FMG10"/>
      <c r="FMH10"/>
      <c r="FMI10"/>
      <c r="FMJ10"/>
      <c r="FMK10"/>
      <c r="FML10"/>
      <c r="FMM10"/>
      <c r="FMN10"/>
      <c r="FMO10"/>
      <c r="FMP10"/>
      <c r="FMQ10"/>
      <c r="FMR10"/>
      <c r="FMS10"/>
      <c r="FMT10"/>
      <c r="FMU10"/>
      <c r="FMV10"/>
      <c r="FMW10"/>
      <c r="FMX10"/>
      <c r="FMY10"/>
      <c r="FMZ10"/>
      <c r="FNA10"/>
      <c r="FNB10"/>
      <c r="FNC10"/>
      <c r="FND10"/>
      <c r="FNE10"/>
      <c r="FNF10"/>
      <c r="FNG10"/>
      <c r="FNH10"/>
      <c r="FNI10"/>
      <c r="FNJ10"/>
      <c r="FNK10"/>
      <c r="FNL10"/>
      <c r="FNM10"/>
      <c r="FNN10"/>
      <c r="FNO10"/>
      <c r="FNP10"/>
      <c r="FNQ10"/>
      <c r="FNR10"/>
      <c r="FNS10"/>
      <c r="FNT10"/>
      <c r="FNU10"/>
      <c r="FNV10"/>
      <c r="FNW10"/>
      <c r="FNX10"/>
      <c r="FNY10"/>
      <c r="FNZ10"/>
      <c r="FOA10"/>
      <c r="FOB10"/>
      <c r="FOC10"/>
      <c r="FOD10"/>
      <c r="FOE10"/>
      <c r="FOF10"/>
      <c r="FOG10"/>
      <c r="FOH10"/>
      <c r="FOI10"/>
      <c r="FOJ10"/>
      <c r="FOK10"/>
      <c r="FOL10"/>
      <c r="FOM10"/>
      <c r="FON10"/>
      <c r="FOO10"/>
      <c r="FOP10"/>
      <c r="FOQ10"/>
      <c r="FOR10"/>
      <c r="FOS10"/>
      <c r="FOT10"/>
      <c r="FOU10"/>
      <c r="FOV10"/>
      <c r="FOW10"/>
      <c r="FOX10"/>
      <c r="FOY10"/>
      <c r="FOZ10"/>
      <c r="FPA10"/>
      <c r="FPB10"/>
      <c r="FPC10"/>
      <c r="FPD10"/>
      <c r="FPE10"/>
      <c r="FPF10"/>
      <c r="FPG10"/>
      <c r="FPH10"/>
      <c r="FPI10"/>
      <c r="FPJ10"/>
      <c r="FPK10"/>
      <c r="FPL10"/>
      <c r="FPM10"/>
      <c r="FPN10"/>
      <c r="FPO10"/>
      <c r="FPP10"/>
      <c r="FPQ10"/>
      <c r="FPR10"/>
      <c r="FPS10"/>
      <c r="FPT10"/>
      <c r="FPU10"/>
      <c r="FPV10"/>
      <c r="FPW10"/>
      <c r="FPX10"/>
      <c r="FPY10"/>
      <c r="FPZ10"/>
      <c r="FQA10"/>
      <c r="FQB10"/>
      <c r="FQC10"/>
      <c r="FQD10"/>
      <c r="FQE10"/>
      <c r="FQF10"/>
      <c r="FQG10"/>
      <c r="FQH10"/>
      <c r="FQI10"/>
      <c r="FQJ10"/>
      <c r="FQK10"/>
      <c r="FQL10"/>
      <c r="FQM10"/>
      <c r="FQN10"/>
      <c r="FQO10"/>
      <c r="FQP10"/>
      <c r="FQQ10"/>
      <c r="FQR10"/>
      <c r="FQS10"/>
      <c r="FQT10"/>
      <c r="FQU10"/>
      <c r="FQV10"/>
      <c r="FQW10"/>
      <c r="FQX10"/>
      <c r="FQY10"/>
      <c r="FQZ10"/>
      <c r="FRA10"/>
      <c r="FRB10"/>
      <c r="FRC10"/>
      <c r="FRD10"/>
      <c r="FRE10"/>
      <c r="FRF10"/>
      <c r="FRG10"/>
      <c r="FRH10"/>
      <c r="FRI10"/>
      <c r="FRJ10"/>
      <c r="FRK10"/>
      <c r="FRL10"/>
      <c r="FRM10"/>
      <c r="FRN10"/>
      <c r="FRO10"/>
      <c r="FRP10"/>
      <c r="FRQ10"/>
      <c r="FRR10"/>
      <c r="FRS10"/>
      <c r="FRT10"/>
      <c r="FRU10"/>
      <c r="FRV10"/>
      <c r="FRW10"/>
      <c r="FRX10"/>
      <c r="FRY10"/>
      <c r="FRZ10"/>
      <c r="FSA10"/>
      <c r="FSB10"/>
      <c r="FSC10"/>
      <c r="FSD10"/>
      <c r="FSE10"/>
      <c r="FSF10"/>
      <c r="FSG10"/>
      <c r="FSH10"/>
      <c r="FSI10"/>
      <c r="FSJ10"/>
      <c r="FSK10"/>
      <c r="FSL10"/>
      <c r="FSM10"/>
      <c r="FSN10"/>
      <c r="FSO10"/>
      <c r="FSP10"/>
      <c r="FSQ10"/>
      <c r="FSR10"/>
      <c r="FSS10"/>
      <c r="FST10"/>
      <c r="FSU10"/>
      <c r="FSV10"/>
      <c r="FSW10"/>
      <c r="FSX10"/>
      <c r="FSY10"/>
      <c r="FSZ10"/>
      <c r="FTA10"/>
      <c r="FTB10"/>
      <c r="FTC10"/>
      <c r="FTD10"/>
      <c r="FTE10"/>
      <c r="FTF10"/>
      <c r="FTG10"/>
      <c r="FTH10"/>
      <c r="FTI10"/>
      <c r="FTJ10"/>
      <c r="FTK10"/>
      <c r="FTL10"/>
      <c r="FTM10"/>
      <c r="FTN10"/>
      <c r="FTO10"/>
      <c r="FTP10"/>
      <c r="FTQ10"/>
      <c r="FTR10"/>
      <c r="FTS10"/>
      <c r="FTT10"/>
      <c r="FTU10"/>
      <c r="FTV10"/>
      <c r="FTW10"/>
      <c r="FTX10"/>
      <c r="FTY10"/>
      <c r="FTZ10"/>
      <c r="FUA10"/>
      <c r="FUB10"/>
      <c r="FUC10"/>
      <c r="FUD10"/>
      <c r="FUE10"/>
      <c r="FUF10"/>
      <c r="FUG10"/>
      <c r="FUH10"/>
      <c r="FUI10"/>
      <c r="FUJ10"/>
      <c r="FUK10"/>
      <c r="FUL10"/>
      <c r="FUM10"/>
      <c r="FUN10"/>
      <c r="FUO10"/>
      <c r="FUP10"/>
      <c r="FUQ10"/>
      <c r="FUR10"/>
      <c r="FUS10"/>
      <c r="FUT10"/>
      <c r="FUU10"/>
      <c r="FUV10"/>
      <c r="FUW10"/>
      <c r="FUX10"/>
      <c r="FUY10"/>
      <c r="FUZ10"/>
      <c r="FVA10"/>
      <c r="FVB10"/>
      <c r="FVC10"/>
      <c r="FVD10"/>
      <c r="FVE10"/>
      <c r="FVF10"/>
      <c r="FVG10"/>
      <c r="FVH10"/>
      <c r="FVI10"/>
      <c r="FVJ10"/>
      <c r="FVK10"/>
      <c r="FVL10"/>
      <c r="FVM10"/>
      <c r="FVN10"/>
      <c r="FVO10"/>
      <c r="FVP10"/>
      <c r="FVQ10"/>
      <c r="FVR10"/>
      <c r="FVS10"/>
      <c r="FVT10"/>
      <c r="FVU10"/>
      <c r="FVV10"/>
      <c r="FVW10"/>
      <c r="FVX10"/>
      <c r="FVY10"/>
      <c r="FVZ10"/>
      <c r="FWA10"/>
      <c r="FWB10"/>
      <c r="FWC10"/>
      <c r="FWD10"/>
      <c r="FWE10"/>
      <c r="FWF10"/>
      <c r="FWG10"/>
      <c r="FWH10"/>
      <c r="FWI10"/>
      <c r="FWJ10"/>
      <c r="FWK10"/>
      <c r="FWL10"/>
      <c r="FWM10"/>
      <c r="FWN10"/>
      <c r="FWO10"/>
      <c r="FWP10"/>
      <c r="FWQ10"/>
      <c r="FWR10"/>
      <c r="FWS10"/>
      <c r="FWT10"/>
      <c r="FWU10"/>
      <c r="FWV10"/>
      <c r="FWW10"/>
      <c r="FWX10"/>
      <c r="FWY10"/>
      <c r="FWZ10"/>
      <c r="FXA10"/>
      <c r="FXB10"/>
      <c r="FXC10"/>
      <c r="FXD10"/>
      <c r="FXE10"/>
      <c r="FXF10"/>
      <c r="FXG10"/>
      <c r="FXH10"/>
      <c r="FXI10"/>
      <c r="FXJ10"/>
      <c r="FXK10"/>
      <c r="FXL10"/>
      <c r="FXM10"/>
      <c r="FXN10"/>
      <c r="FXO10"/>
      <c r="FXP10"/>
      <c r="FXQ10"/>
      <c r="FXR10"/>
      <c r="FXS10"/>
      <c r="FXT10"/>
      <c r="FXU10"/>
      <c r="FXV10"/>
      <c r="FXW10"/>
      <c r="FXX10"/>
      <c r="FXY10"/>
      <c r="FXZ10"/>
      <c r="FYA10"/>
      <c r="FYB10"/>
      <c r="FYC10"/>
      <c r="FYD10"/>
      <c r="FYE10"/>
      <c r="FYF10"/>
      <c r="FYG10"/>
      <c r="FYH10"/>
      <c r="FYI10"/>
      <c r="FYJ10"/>
      <c r="FYK10"/>
      <c r="FYL10"/>
      <c r="FYM10"/>
      <c r="FYN10"/>
      <c r="FYO10"/>
      <c r="FYP10"/>
      <c r="FYQ10"/>
      <c r="FYR10"/>
      <c r="FYS10"/>
      <c r="FYT10"/>
      <c r="FYU10"/>
      <c r="FYV10"/>
      <c r="FYW10"/>
      <c r="FYX10"/>
      <c r="FYY10"/>
      <c r="FYZ10"/>
      <c r="FZA10"/>
      <c r="FZB10"/>
      <c r="FZC10"/>
      <c r="FZD10"/>
      <c r="FZE10"/>
      <c r="FZF10"/>
      <c r="FZG10"/>
      <c r="FZH10"/>
      <c r="FZI10"/>
      <c r="FZJ10"/>
      <c r="FZK10"/>
      <c r="FZL10"/>
      <c r="FZM10"/>
      <c r="FZN10"/>
      <c r="FZO10"/>
      <c r="FZP10"/>
      <c r="FZQ10"/>
      <c r="FZR10"/>
      <c r="FZS10"/>
      <c r="FZT10"/>
      <c r="FZU10"/>
      <c r="FZV10"/>
      <c r="FZW10"/>
      <c r="FZX10"/>
      <c r="FZY10"/>
      <c r="FZZ10"/>
      <c r="GAA10"/>
      <c r="GAB10"/>
      <c r="GAC10"/>
      <c r="GAD10"/>
      <c r="GAE10"/>
      <c r="GAF10"/>
      <c r="GAG10"/>
      <c r="GAH10"/>
      <c r="GAI10"/>
      <c r="GAJ10"/>
      <c r="GAK10"/>
      <c r="GAL10"/>
      <c r="GAM10"/>
      <c r="GAN10"/>
      <c r="GAO10"/>
      <c r="GAP10"/>
      <c r="GAQ10"/>
      <c r="GAR10"/>
      <c r="GAS10"/>
      <c r="GAT10"/>
      <c r="GAU10"/>
      <c r="GAV10"/>
      <c r="GAW10"/>
      <c r="GAX10"/>
      <c r="GAY10"/>
      <c r="GAZ10"/>
      <c r="GBA10"/>
      <c r="GBB10"/>
      <c r="GBC10"/>
      <c r="GBD10"/>
      <c r="GBE10"/>
      <c r="GBF10"/>
      <c r="GBG10"/>
      <c r="GBH10"/>
      <c r="GBI10"/>
      <c r="GBJ10"/>
      <c r="GBK10"/>
      <c r="GBL10"/>
      <c r="GBM10"/>
      <c r="GBN10"/>
      <c r="GBO10"/>
      <c r="GBP10"/>
      <c r="GBQ10"/>
      <c r="GBR10"/>
      <c r="GBS10"/>
      <c r="GBT10"/>
      <c r="GBU10"/>
      <c r="GBV10"/>
      <c r="GBW10"/>
      <c r="GBX10"/>
      <c r="GBY10"/>
      <c r="GBZ10"/>
      <c r="GCA10"/>
      <c r="GCB10"/>
      <c r="GCC10"/>
      <c r="GCD10"/>
      <c r="GCE10"/>
      <c r="GCF10"/>
      <c r="GCG10"/>
      <c r="GCH10"/>
      <c r="GCI10"/>
      <c r="GCJ10"/>
      <c r="GCK10"/>
      <c r="GCL10"/>
      <c r="GCM10"/>
      <c r="GCN10"/>
      <c r="GCO10"/>
      <c r="GCP10"/>
      <c r="GCQ10"/>
      <c r="GCR10"/>
      <c r="GCS10"/>
      <c r="GCT10"/>
      <c r="GCU10"/>
      <c r="GCV10"/>
      <c r="GCW10"/>
      <c r="GCX10"/>
      <c r="GCY10"/>
      <c r="GCZ10"/>
      <c r="GDA10"/>
      <c r="GDB10"/>
      <c r="GDC10"/>
      <c r="GDD10"/>
      <c r="GDE10"/>
      <c r="GDF10"/>
      <c r="GDG10"/>
      <c r="GDH10"/>
      <c r="GDI10"/>
      <c r="GDJ10"/>
      <c r="GDK10"/>
      <c r="GDL10"/>
      <c r="GDM10"/>
      <c r="GDN10"/>
      <c r="GDO10"/>
      <c r="GDP10"/>
      <c r="GDQ10"/>
      <c r="GDR10"/>
      <c r="GDS10"/>
      <c r="GDT10"/>
      <c r="GDU10"/>
      <c r="GDV10"/>
      <c r="GDW10"/>
      <c r="GDX10"/>
      <c r="GDY10"/>
      <c r="GDZ10"/>
      <c r="GEA10"/>
      <c r="GEB10"/>
      <c r="GEC10"/>
      <c r="GED10"/>
      <c r="GEE10"/>
      <c r="GEF10"/>
      <c r="GEG10"/>
      <c r="GEH10"/>
      <c r="GEI10"/>
      <c r="GEJ10"/>
      <c r="GEK10"/>
      <c r="GEL10"/>
      <c r="GEM10"/>
      <c r="GEN10"/>
      <c r="GEO10"/>
      <c r="GEP10"/>
      <c r="GEQ10"/>
      <c r="GER10"/>
      <c r="GES10"/>
      <c r="GET10"/>
      <c r="GEU10"/>
      <c r="GEV10"/>
      <c r="GEW10"/>
      <c r="GEX10"/>
      <c r="GEY10"/>
      <c r="GEZ10"/>
      <c r="GFA10"/>
      <c r="GFB10"/>
      <c r="GFC10"/>
      <c r="GFD10"/>
      <c r="GFE10"/>
      <c r="GFF10"/>
      <c r="GFG10"/>
      <c r="GFH10"/>
      <c r="GFI10"/>
      <c r="GFJ10"/>
      <c r="GFK10"/>
      <c r="GFL10"/>
      <c r="GFM10"/>
      <c r="GFN10"/>
      <c r="GFO10"/>
      <c r="GFP10"/>
      <c r="GFQ10"/>
      <c r="GFR10"/>
      <c r="GFS10"/>
      <c r="GFT10"/>
      <c r="GFU10"/>
      <c r="GFV10"/>
      <c r="GFW10"/>
      <c r="GFX10"/>
      <c r="GFY10"/>
      <c r="GFZ10"/>
      <c r="GGA10"/>
      <c r="GGB10"/>
      <c r="GGC10"/>
      <c r="GGD10"/>
      <c r="GGE10"/>
      <c r="GGF10"/>
      <c r="GGG10"/>
      <c r="GGH10"/>
      <c r="GGI10"/>
      <c r="GGJ10"/>
      <c r="GGK10"/>
      <c r="GGL10"/>
      <c r="GGM10"/>
      <c r="GGN10"/>
      <c r="GGO10"/>
      <c r="GGP10"/>
      <c r="GGQ10"/>
      <c r="GGR10"/>
      <c r="GGS10"/>
      <c r="GGT10"/>
      <c r="GGU10"/>
      <c r="GGV10"/>
      <c r="GGW10"/>
      <c r="GGX10"/>
      <c r="GGY10"/>
      <c r="GGZ10"/>
      <c r="GHA10"/>
      <c r="GHB10"/>
      <c r="GHC10"/>
      <c r="GHD10"/>
      <c r="GHE10"/>
      <c r="GHF10"/>
      <c r="GHG10"/>
      <c r="GHH10"/>
      <c r="GHI10"/>
      <c r="GHJ10"/>
      <c r="GHK10"/>
      <c r="GHL10"/>
      <c r="GHM10"/>
      <c r="GHN10"/>
      <c r="GHO10"/>
      <c r="GHP10"/>
      <c r="GHQ10"/>
      <c r="GHR10"/>
      <c r="GHS10"/>
      <c r="GHT10"/>
      <c r="GHU10"/>
      <c r="GHV10"/>
      <c r="GHW10"/>
      <c r="GHX10"/>
      <c r="GHY10"/>
      <c r="GHZ10"/>
      <c r="GIA10"/>
      <c r="GIB10"/>
      <c r="GIC10"/>
      <c r="GID10"/>
      <c r="GIE10"/>
      <c r="GIF10"/>
      <c r="GIG10"/>
      <c r="GIH10"/>
      <c r="GII10"/>
      <c r="GIJ10"/>
      <c r="GIK10"/>
      <c r="GIL10"/>
      <c r="GIM10"/>
      <c r="GIN10"/>
      <c r="GIO10"/>
      <c r="GIP10"/>
      <c r="GIQ10"/>
      <c r="GIR10"/>
      <c r="GIS10"/>
      <c r="GIT10"/>
      <c r="GIU10"/>
      <c r="GIV10"/>
      <c r="GIW10"/>
      <c r="GIX10"/>
      <c r="GIY10"/>
      <c r="GIZ10"/>
      <c r="GJA10"/>
      <c r="GJB10"/>
      <c r="GJC10"/>
      <c r="GJD10"/>
      <c r="GJE10"/>
      <c r="GJF10"/>
      <c r="GJG10"/>
      <c r="GJH10"/>
      <c r="GJI10"/>
      <c r="GJJ10"/>
      <c r="GJK10"/>
      <c r="GJL10"/>
      <c r="GJM10"/>
      <c r="GJN10"/>
      <c r="GJO10"/>
      <c r="GJP10"/>
      <c r="GJQ10"/>
      <c r="GJR10"/>
      <c r="GJS10"/>
      <c r="GJT10"/>
      <c r="GJU10"/>
      <c r="GJV10"/>
      <c r="GJW10"/>
      <c r="GJX10"/>
      <c r="GJY10"/>
      <c r="GJZ10"/>
      <c r="GKA10"/>
      <c r="GKB10"/>
      <c r="GKC10"/>
      <c r="GKD10"/>
      <c r="GKE10"/>
      <c r="GKF10"/>
      <c r="GKG10"/>
      <c r="GKH10"/>
      <c r="GKI10"/>
      <c r="GKJ10"/>
      <c r="GKK10"/>
      <c r="GKL10"/>
      <c r="GKM10"/>
      <c r="GKN10"/>
      <c r="GKO10"/>
      <c r="GKP10"/>
      <c r="GKQ10"/>
      <c r="GKR10"/>
      <c r="GKS10"/>
      <c r="GKT10"/>
      <c r="GKU10"/>
      <c r="GKV10"/>
      <c r="GKW10"/>
      <c r="GKX10"/>
      <c r="GKY10"/>
      <c r="GKZ10"/>
      <c r="GLA10"/>
      <c r="GLB10"/>
      <c r="GLC10"/>
      <c r="GLD10"/>
      <c r="GLE10"/>
      <c r="GLF10"/>
      <c r="GLG10"/>
      <c r="GLH10"/>
      <c r="GLI10"/>
      <c r="GLJ10"/>
      <c r="GLK10"/>
      <c r="GLL10"/>
      <c r="GLM10"/>
      <c r="GLN10"/>
      <c r="GLO10"/>
      <c r="GLP10"/>
      <c r="GLQ10"/>
      <c r="GLR10"/>
      <c r="GLS10"/>
      <c r="GLT10"/>
      <c r="GLU10"/>
      <c r="GLV10"/>
      <c r="GLW10"/>
      <c r="GLX10"/>
      <c r="GLY10"/>
      <c r="GLZ10"/>
      <c r="GMA10"/>
      <c r="GMB10"/>
      <c r="GMC10"/>
      <c r="GMD10"/>
      <c r="GME10"/>
      <c r="GMF10"/>
      <c r="GMG10"/>
      <c r="GMH10"/>
      <c r="GMI10"/>
      <c r="GMJ10"/>
      <c r="GMK10"/>
      <c r="GML10"/>
      <c r="GMM10"/>
      <c r="GMN10"/>
      <c r="GMO10"/>
      <c r="GMP10"/>
      <c r="GMQ10"/>
      <c r="GMR10"/>
      <c r="GMS10"/>
      <c r="GMT10"/>
      <c r="GMU10"/>
      <c r="GMV10"/>
      <c r="GMW10"/>
      <c r="GMX10"/>
      <c r="GMY10"/>
      <c r="GMZ10"/>
      <c r="GNA10"/>
      <c r="GNB10"/>
      <c r="GNC10"/>
      <c r="GND10"/>
      <c r="GNE10"/>
      <c r="GNF10"/>
      <c r="GNG10"/>
      <c r="GNH10"/>
      <c r="GNI10"/>
      <c r="GNJ10"/>
      <c r="GNK10"/>
      <c r="GNL10"/>
      <c r="GNM10"/>
      <c r="GNN10"/>
      <c r="GNO10"/>
      <c r="GNP10"/>
      <c r="GNQ10"/>
      <c r="GNR10"/>
      <c r="GNS10"/>
      <c r="GNT10"/>
      <c r="GNU10"/>
      <c r="GNV10"/>
      <c r="GNW10"/>
      <c r="GNX10"/>
      <c r="GNY10"/>
      <c r="GNZ10"/>
      <c r="GOA10"/>
      <c r="GOB10"/>
      <c r="GOC10"/>
      <c r="GOD10"/>
      <c r="GOE10"/>
      <c r="GOF10"/>
      <c r="GOG10"/>
      <c r="GOH10"/>
      <c r="GOI10"/>
      <c r="GOJ10"/>
      <c r="GOK10"/>
      <c r="GOL10"/>
      <c r="GOM10"/>
      <c r="GON10"/>
      <c r="GOO10"/>
      <c r="GOP10"/>
      <c r="GOQ10"/>
      <c r="GOR10"/>
      <c r="GOS10"/>
      <c r="GOT10"/>
      <c r="GOU10"/>
      <c r="GOV10"/>
      <c r="GOW10"/>
      <c r="GOX10"/>
      <c r="GOY10"/>
      <c r="GOZ10"/>
      <c r="GPA10"/>
      <c r="GPB10"/>
      <c r="GPC10"/>
      <c r="GPD10"/>
      <c r="GPE10"/>
      <c r="GPF10"/>
      <c r="GPG10"/>
      <c r="GPH10"/>
      <c r="GPI10"/>
      <c r="GPJ10"/>
      <c r="GPK10"/>
      <c r="GPL10"/>
      <c r="GPM10"/>
      <c r="GPN10"/>
      <c r="GPO10"/>
      <c r="GPP10"/>
      <c r="GPQ10"/>
      <c r="GPR10"/>
      <c r="GPS10"/>
      <c r="GPT10"/>
      <c r="GPU10"/>
      <c r="GPV10"/>
      <c r="GPW10"/>
      <c r="GPX10"/>
      <c r="GPY10"/>
      <c r="GPZ10"/>
      <c r="GQA10"/>
      <c r="GQB10"/>
      <c r="GQC10"/>
      <c r="GQD10"/>
      <c r="GQE10"/>
      <c r="GQF10"/>
      <c r="GQG10"/>
      <c r="GQH10"/>
      <c r="GQI10"/>
      <c r="GQJ10"/>
      <c r="GQK10"/>
      <c r="GQL10"/>
      <c r="GQM10"/>
      <c r="GQN10"/>
      <c r="GQO10"/>
      <c r="GQP10"/>
      <c r="GQQ10"/>
      <c r="GQR10"/>
      <c r="GQS10"/>
      <c r="GQT10"/>
      <c r="GQU10"/>
      <c r="GQV10"/>
      <c r="GQW10"/>
      <c r="GQX10"/>
      <c r="GQY10"/>
      <c r="GQZ10"/>
      <c r="GRA10"/>
      <c r="GRB10"/>
      <c r="GRC10"/>
      <c r="GRD10"/>
      <c r="GRE10"/>
      <c r="GRF10"/>
      <c r="GRG10"/>
      <c r="GRH10"/>
      <c r="GRI10"/>
      <c r="GRJ10"/>
      <c r="GRK10"/>
      <c r="GRL10"/>
      <c r="GRM10"/>
      <c r="GRN10"/>
      <c r="GRO10"/>
      <c r="GRP10"/>
      <c r="GRQ10"/>
      <c r="GRR10"/>
      <c r="GRS10"/>
      <c r="GRT10"/>
      <c r="GRU10"/>
      <c r="GRV10"/>
      <c r="GRW10"/>
      <c r="GRX10"/>
      <c r="GRY10"/>
      <c r="GRZ10"/>
      <c r="GSA10"/>
      <c r="GSB10"/>
      <c r="GSC10"/>
      <c r="GSD10"/>
      <c r="GSE10"/>
      <c r="GSF10"/>
      <c r="GSG10"/>
      <c r="GSH10"/>
      <c r="GSI10"/>
      <c r="GSJ10"/>
      <c r="GSK10"/>
      <c r="GSL10"/>
      <c r="GSM10"/>
      <c r="GSN10"/>
      <c r="GSO10"/>
      <c r="GSP10"/>
      <c r="GSQ10"/>
      <c r="GSR10"/>
      <c r="GSS10"/>
      <c r="GST10"/>
      <c r="GSU10"/>
      <c r="GSV10"/>
      <c r="GSW10"/>
      <c r="GSX10"/>
      <c r="GSY10"/>
      <c r="GSZ10"/>
      <c r="GTA10"/>
      <c r="GTB10"/>
      <c r="GTC10"/>
      <c r="GTD10"/>
      <c r="GTE10"/>
      <c r="GTF10"/>
      <c r="GTG10"/>
      <c r="GTH10"/>
      <c r="GTI10"/>
      <c r="GTJ10"/>
      <c r="GTK10"/>
      <c r="GTL10"/>
      <c r="GTM10"/>
      <c r="GTN10"/>
      <c r="GTO10"/>
      <c r="GTP10"/>
      <c r="GTQ10"/>
      <c r="GTR10"/>
      <c r="GTS10"/>
      <c r="GTT10"/>
      <c r="GTU10"/>
      <c r="GTV10"/>
      <c r="GTW10"/>
      <c r="GTX10"/>
      <c r="GTY10"/>
      <c r="GTZ10"/>
      <c r="GUA10"/>
      <c r="GUB10"/>
      <c r="GUC10"/>
      <c r="GUD10"/>
      <c r="GUE10"/>
      <c r="GUF10"/>
      <c r="GUG10"/>
      <c r="GUH10"/>
      <c r="GUI10"/>
      <c r="GUJ10"/>
      <c r="GUK10"/>
      <c r="GUL10"/>
      <c r="GUM10"/>
      <c r="GUN10"/>
      <c r="GUO10"/>
      <c r="GUP10"/>
      <c r="GUQ10"/>
      <c r="GUR10"/>
      <c r="GUS10"/>
      <c r="GUT10"/>
      <c r="GUU10"/>
      <c r="GUV10"/>
      <c r="GUW10"/>
      <c r="GUX10"/>
      <c r="GUY10"/>
      <c r="GUZ10"/>
      <c r="GVA10"/>
      <c r="GVB10"/>
      <c r="GVC10"/>
      <c r="GVD10"/>
      <c r="GVE10"/>
      <c r="GVF10"/>
      <c r="GVG10"/>
      <c r="GVH10"/>
      <c r="GVI10"/>
      <c r="GVJ10"/>
      <c r="GVK10"/>
      <c r="GVL10"/>
      <c r="GVM10"/>
      <c r="GVN10"/>
      <c r="GVO10"/>
      <c r="GVP10"/>
      <c r="GVQ10"/>
      <c r="GVR10"/>
      <c r="GVS10"/>
      <c r="GVT10"/>
      <c r="GVU10"/>
      <c r="GVV10"/>
      <c r="GVW10"/>
      <c r="GVX10"/>
      <c r="GVY10"/>
      <c r="GVZ10"/>
      <c r="GWA10"/>
      <c r="GWB10"/>
      <c r="GWC10"/>
      <c r="GWD10"/>
      <c r="GWE10"/>
      <c r="GWF10"/>
      <c r="GWG10"/>
      <c r="GWH10"/>
      <c r="GWI10"/>
      <c r="GWJ10"/>
      <c r="GWK10"/>
      <c r="GWL10"/>
      <c r="GWM10"/>
      <c r="GWN10"/>
      <c r="GWO10"/>
      <c r="GWP10"/>
      <c r="GWQ10"/>
      <c r="GWR10"/>
      <c r="GWS10"/>
      <c r="GWT10"/>
      <c r="GWU10"/>
      <c r="GWV10"/>
      <c r="GWW10"/>
      <c r="GWX10"/>
      <c r="GWY10"/>
      <c r="GWZ10"/>
      <c r="GXA10"/>
      <c r="GXB10"/>
      <c r="GXC10"/>
      <c r="GXD10"/>
      <c r="GXE10"/>
      <c r="GXF10"/>
      <c r="GXG10"/>
      <c r="GXH10"/>
      <c r="GXI10"/>
      <c r="GXJ10"/>
      <c r="GXK10"/>
      <c r="GXL10"/>
      <c r="GXM10"/>
      <c r="GXN10"/>
      <c r="GXO10"/>
      <c r="GXP10"/>
      <c r="GXQ10"/>
      <c r="GXR10"/>
      <c r="GXS10"/>
      <c r="GXT10"/>
      <c r="GXU10"/>
      <c r="GXV10"/>
      <c r="GXW10"/>
      <c r="GXX10"/>
      <c r="GXY10"/>
      <c r="GXZ10"/>
      <c r="GYA10"/>
      <c r="GYB10"/>
      <c r="GYC10"/>
      <c r="GYD10"/>
      <c r="GYE10"/>
      <c r="GYF10"/>
      <c r="GYG10"/>
      <c r="GYH10"/>
      <c r="GYI10"/>
      <c r="GYJ10"/>
      <c r="GYK10"/>
      <c r="GYL10"/>
      <c r="GYM10"/>
      <c r="GYN10"/>
      <c r="GYO10"/>
      <c r="GYP10"/>
      <c r="GYQ10"/>
      <c r="GYR10"/>
      <c r="GYS10"/>
      <c r="GYT10"/>
      <c r="GYU10"/>
      <c r="GYV10"/>
      <c r="GYW10"/>
      <c r="GYX10"/>
      <c r="GYY10"/>
      <c r="GYZ10"/>
      <c r="GZA10"/>
      <c r="GZB10"/>
      <c r="GZC10"/>
      <c r="GZD10"/>
      <c r="GZE10"/>
      <c r="GZF10"/>
      <c r="GZG10"/>
      <c r="GZH10"/>
      <c r="GZI10"/>
      <c r="GZJ10"/>
      <c r="GZK10"/>
      <c r="GZL10"/>
      <c r="GZM10"/>
      <c r="GZN10"/>
      <c r="GZO10"/>
      <c r="GZP10"/>
      <c r="GZQ10"/>
      <c r="GZR10"/>
      <c r="GZS10"/>
      <c r="GZT10"/>
      <c r="GZU10"/>
      <c r="GZV10"/>
      <c r="GZW10"/>
      <c r="GZX10"/>
      <c r="GZY10"/>
      <c r="GZZ10"/>
      <c r="HAA10"/>
      <c r="HAB10"/>
      <c r="HAC10"/>
      <c r="HAD10"/>
      <c r="HAE10"/>
      <c r="HAF10"/>
      <c r="HAG10"/>
      <c r="HAH10"/>
      <c r="HAI10"/>
      <c r="HAJ10"/>
      <c r="HAK10"/>
      <c r="HAL10"/>
      <c r="HAM10"/>
      <c r="HAN10"/>
      <c r="HAO10"/>
      <c r="HAP10"/>
      <c r="HAQ10"/>
      <c r="HAR10"/>
      <c r="HAS10"/>
      <c r="HAT10"/>
      <c r="HAU10"/>
      <c r="HAV10"/>
      <c r="HAW10"/>
      <c r="HAX10"/>
      <c r="HAY10"/>
      <c r="HAZ10"/>
      <c r="HBA10"/>
      <c r="HBB10"/>
      <c r="HBC10"/>
      <c r="HBD10"/>
      <c r="HBE10"/>
      <c r="HBF10"/>
      <c r="HBG10"/>
      <c r="HBH10"/>
      <c r="HBI10"/>
      <c r="HBJ10"/>
      <c r="HBK10"/>
      <c r="HBL10"/>
      <c r="HBM10"/>
      <c r="HBN10"/>
      <c r="HBO10"/>
      <c r="HBP10"/>
      <c r="HBQ10"/>
      <c r="HBR10"/>
      <c r="HBS10"/>
      <c r="HBT10"/>
      <c r="HBU10"/>
      <c r="HBV10"/>
      <c r="HBW10"/>
      <c r="HBX10"/>
      <c r="HBY10"/>
      <c r="HBZ10"/>
      <c r="HCA10"/>
      <c r="HCB10"/>
      <c r="HCC10"/>
      <c r="HCD10"/>
      <c r="HCE10"/>
      <c r="HCF10"/>
      <c r="HCG10"/>
      <c r="HCH10"/>
      <c r="HCI10"/>
      <c r="HCJ10"/>
      <c r="HCK10"/>
      <c r="HCL10"/>
      <c r="HCM10"/>
      <c r="HCN10"/>
      <c r="HCO10"/>
      <c r="HCP10"/>
      <c r="HCQ10"/>
      <c r="HCR10"/>
      <c r="HCS10"/>
      <c r="HCT10"/>
      <c r="HCU10"/>
      <c r="HCV10"/>
      <c r="HCW10"/>
      <c r="HCX10"/>
      <c r="HCY10"/>
      <c r="HCZ10"/>
      <c r="HDA10"/>
      <c r="HDB10"/>
      <c r="HDC10"/>
      <c r="HDD10"/>
      <c r="HDE10"/>
      <c r="HDF10"/>
      <c r="HDG10"/>
      <c r="HDH10"/>
      <c r="HDI10"/>
      <c r="HDJ10"/>
      <c r="HDK10"/>
      <c r="HDL10"/>
      <c r="HDM10"/>
      <c r="HDN10"/>
      <c r="HDO10"/>
      <c r="HDP10"/>
      <c r="HDQ10"/>
      <c r="HDR10"/>
      <c r="HDS10"/>
      <c r="HDT10"/>
      <c r="HDU10"/>
      <c r="HDV10"/>
      <c r="HDW10"/>
      <c r="HDX10"/>
      <c r="HDY10"/>
      <c r="HDZ10"/>
      <c r="HEA10"/>
      <c r="HEB10"/>
      <c r="HEC10"/>
      <c r="HED10"/>
      <c r="HEE10"/>
      <c r="HEF10"/>
      <c r="HEG10"/>
      <c r="HEH10"/>
      <c r="HEI10"/>
      <c r="HEJ10"/>
      <c r="HEK10"/>
      <c r="HEL10"/>
      <c r="HEM10"/>
      <c r="HEN10"/>
      <c r="HEO10"/>
      <c r="HEP10"/>
      <c r="HEQ10"/>
      <c r="HER10"/>
      <c r="HES10"/>
      <c r="HET10"/>
      <c r="HEU10"/>
      <c r="HEV10"/>
      <c r="HEW10"/>
      <c r="HEX10"/>
      <c r="HEY10"/>
      <c r="HEZ10"/>
      <c r="HFA10"/>
      <c r="HFB10"/>
      <c r="HFC10"/>
      <c r="HFD10"/>
      <c r="HFE10"/>
      <c r="HFF10"/>
      <c r="HFG10"/>
      <c r="HFH10"/>
      <c r="HFI10"/>
      <c r="HFJ10"/>
      <c r="HFK10"/>
      <c r="HFL10"/>
      <c r="HFM10"/>
      <c r="HFN10"/>
      <c r="HFO10"/>
      <c r="HFP10"/>
      <c r="HFQ10"/>
      <c r="HFR10"/>
      <c r="HFS10"/>
      <c r="HFT10"/>
      <c r="HFU10"/>
      <c r="HFV10"/>
      <c r="HFW10"/>
      <c r="HFX10"/>
      <c r="HFY10"/>
      <c r="HFZ10"/>
      <c r="HGA10"/>
      <c r="HGB10"/>
      <c r="HGC10"/>
      <c r="HGD10"/>
      <c r="HGE10"/>
      <c r="HGF10"/>
      <c r="HGG10"/>
      <c r="HGH10"/>
      <c r="HGI10"/>
      <c r="HGJ10"/>
      <c r="HGK10"/>
      <c r="HGL10"/>
      <c r="HGM10"/>
      <c r="HGN10"/>
      <c r="HGO10"/>
      <c r="HGP10"/>
      <c r="HGQ10"/>
      <c r="HGR10"/>
      <c r="HGS10"/>
      <c r="HGT10"/>
      <c r="HGU10"/>
      <c r="HGV10"/>
      <c r="HGW10"/>
      <c r="HGX10"/>
      <c r="HGY10"/>
      <c r="HGZ10"/>
      <c r="HHA10"/>
      <c r="HHB10"/>
      <c r="HHC10"/>
      <c r="HHD10"/>
      <c r="HHE10"/>
      <c r="HHF10"/>
      <c r="HHG10"/>
      <c r="HHH10"/>
      <c r="HHI10"/>
      <c r="HHJ10"/>
      <c r="HHK10"/>
      <c r="HHL10"/>
      <c r="HHM10"/>
      <c r="HHN10"/>
      <c r="HHO10"/>
      <c r="HHP10"/>
      <c r="HHQ10"/>
      <c r="HHR10"/>
      <c r="HHS10"/>
      <c r="HHT10"/>
      <c r="HHU10"/>
      <c r="HHV10"/>
      <c r="HHW10"/>
      <c r="HHX10"/>
      <c r="HHY10"/>
      <c r="HHZ10"/>
      <c r="HIA10"/>
      <c r="HIB10"/>
      <c r="HIC10"/>
      <c r="HID10"/>
      <c r="HIE10"/>
      <c r="HIF10"/>
      <c r="HIG10"/>
      <c r="HIH10"/>
      <c r="HII10"/>
      <c r="HIJ10"/>
      <c r="HIK10"/>
      <c r="HIL10"/>
      <c r="HIM10"/>
      <c r="HIN10"/>
      <c r="HIO10"/>
      <c r="HIP10"/>
      <c r="HIQ10"/>
      <c r="HIR10"/>
      <c r="HIS10"/>
      <c r="HIT10"/>
      <c r="HIU10"/>
      <c r="HIV10"/>
      <c r="HIW10"/>
      <c r="HIX10"/>
      <c r="HIY10"/>
      <c r="HIZ10"/>
      <c r="HJA10"/>
      <c r="HJB10"/>
      <c r="HJC10"/>
      <c r="HJD10"/>
      <c r="HJE10"/>
      <c r="HJF10"/>
      <c r="HJG10"/>
      <c r="HJH10"/>
      <c r="HJI10"/>
      <c r="HJJ10"/>
      <c r="HJK10"/>
      <c r="HJL10"/>
      <c r="HJM10"/>
      <c r="HJN10"/>
      <c r="HJO10"/>
      <c r="HJP10"/>
      <c r="HJQ10"/>
      <c r="HJR10"/>
      <c r="HJS10"/>
      <c r="HJT10"/>
      <c r="HJU10"/>
      <c r="HJV10"/>
      <c r="HJW10"/>
      <c r="HJX10"/>
      <c r="HJY10"/>
      <c r="HJZ10"/>
      <c r="HKA10"/>
      <c r="HKB10"/>
      <c r="HKC10"/>
      <c r="HKD10"/>
      <c r="HKE10"/>
      <c r="HKF10"/>
      <c r="HKG10"/>
      <c r="HKH10"/>
      <c r="HKI10"/>
      <c r="HKJ10"/>
      <c r="HKK10"/>
      <c r="HKL10"/>
      <c r="HKM10"/>
      <c r="HKN10"/>
      <c r="HKO10"/>
      <c r="HKP10"/>
      <c r="HKQ10"/>
      <c r="HKR10"/>
      <c r="HKS10"/>
      <c r="HKT10"/>
      <c r="HKU10"/>
      <c r="HKV10"/>
      <c r="HKW10"/>
      <c r="HKX10"/>
      <c r="HKY10"/>
      <c r="HKZ10"/>
      <c r="HLA10"/>
      <c r="HLB10"/>
      <c r="HLC10"/>
      <c r="HLD10"/>
      <c r="HLE10"/>
      <c r="HLF10"/>
      <c r="HLG10"/>
      <c r="HLH10"/>
      <c r="HLI10"/>
      <c r="HLJ10"/>
      <c r="HLK10"/>
      <c r="HLL10"/>
      <c r="HLM10"/>
      <c r="HLN10"/>
      <c r="HLO10"/>
      <c r="HLP10"/>
      <c r="HLQ10"/>
      <c r="HLR10"/>
      <c r="HLS10"/>
      <c r="HLT10"/>
      <c r="HLU10"/>
      <c r="HLV10"/>
      <c r="HLW10"/>
      <c r="HLX10"/>
      <c r="HLY10"/>
      <c r="HLZ10"/>
      <c r="HMA10"/>
      <c r="HMB10"/>
      <c r="HMC10"/>
      <c r="HMD10"/>
      <c r="HME10"/>
      <c r="HMF10"/>
      <c r="HMG10"/>
      <c r="HMH10"/>
      <c r="HMI10"/>
      <c r="HMJ10"/>
      <c r="HMK10"/>
      <c r="HML10"/>
      <c r="HMM10"/>
      <c r="HMN10"/>
      <c r="HMO10"/>
      <c r="HMP10"/>
      <c r="HMQ10"/>
      <c r="HMR10"/>
      <c r="HMS10"/>
      <c r="HMT10"/>
      <c r="HMU10"/>
      <c r="HMV10"/>
      <c r="HMW10"/>
      <c r="HMX10"/>
      <c r="HMY10"/>
      <c r="HMZ10"/>
      <c r="HNA10"/>
      <c r="HNB10"/>
      <c r="HNC10"/>
      <c r="HND10"/>
      <c r="HNE10"/>
      <c r="HNF10"/>
      <c r="HNG10"/>
      <c r="HNH10"/>
      <c r="HNI10"/>
      <c r="HNJ10"/>
      <c r="HNK10"/>
      <c r="HNL10"/>
      <c r="HNM10"/>
      <c r="HNN10"/>
      <c r="HNO10"/>
      <c r="HNP10"/>
      <c r="HNQ10"/>
      <c r="HNR10"/>
      <c r="HNS10"/>
      <c r="HNT10"/>
      <c r="HNU10"/>
      <c r="HNV10"/>
      <c r="HNW10"/>
      <c r="HNX10"/>
      <c r="HNY10"/>
      <c r="HNZ10"/>
      <c r="HOA10"/>
      <c r="HOB10"/>
      <c r="HOC10"/>
      <c r="HOD10"/>
      <c r="HOE10"/>
      <c r="HOF10"/>
      <c r="HOG10"/>
      <c r="HOH10"/>
      <c r="HOI10"/>
      <c r="HOJ10"/>
      <c r="HOK10"/>
      <c r="HOL10"/>
      <c r="HOM10"/>
      <c r="HON10"/>
      <c r="HOO10"/>
      <c r="HOP10"/>
      <c r="HOQ10"/>
      <c r="HOR10"/>
      <c r="HOS10"/>
      <c r="HOT10"/>
      <c r="HOU10"/>
      <c r="HOV10"/>
      <c r="HOW10"/>
      <c r="HOX10"/>
      <c r="HOY10"/>
      <c r="HOZ10"/>
      <c r="HPA10"/>
      <c r="HPB10"/>
      <c r="HPC10"/>
      <c r="HPD10"/>
      <c r="HPE10"/>
      <c r="HPF10"/>
      <c r="HPG10"/>
      <c r="HPH10"/>
      <c r="HPI10"/>
      <c r="HPJ10"/>
      <c r="HPK10"/>
      <c r="HPL10"/>
      <c r="HPM10"/>
      <c r="HPN10"/>
      <c r="HPO10"/>
      <c r="HPP10"/>
      <c r="HPQ10"/>
      <c r="HPR10"/>
      <c r="HPS10"/>
      <c r="HPT10"/>
      <c r="HPU10"/>
      <c r="HPV10"/>
      <c r="HPW10"/>
      <c r="HPX10"/>
      <c r="HPY10"/>
      <c r="HPZ10"/>
      <c r="HQA10"/>
      <c r="HQB10"/>
      <c r="HQC10"/>
      <c r="HQD10"/>
      <c r="HQE10"/>
      <c r="HQF10"/>
      <c r="HQG10"/>
      <c r="HQH10"/>
      <c r="HQI10"/>
      <c r="HQJ10"/>
      <c r="HQK10"/>
      <c r="HQL10"/>
      <c r="HQM10"/>
      <c r="HQN10"/>
      <c r="HQO10"/>
      <c r="HQP10"/>
      <c r="HQQ10"/>
      <c r="HQR10"/>
      <c r="HQS10"/>
      <c r="HQT10"/>
      <c r="HQU10"/>
      <c r="HQV10"/>
      <c r="HQW10"/>
      <c r="HQX10"/>
      <c r="HQY10"/>
      <c r="HQZ10"/>
      <c r="HRA10"/>
      <c r="HRB10"/>
      <c r="HRC10"/>
      <c r="HRD10"/>
      <c r="HRE10"/>
      <c r="HRF10"/>
      <c r="HRG10"/>
      <c r="HRH10"/>
      <c r="HRI10"/>
      <c r="HRJ10"/>
      <c r="HRK10"/>
      <c r="HRL10"/>
      <c r="HRM10"/>
      <c r="HRN10"/>
      <c r="HRO10"/>
      <c r="HRP10"/>
      <c r="HRQ10"/>
      <c r="HRR10"/>
      <c r="HRS10"/>
      <c r="HRT10"/>
      <c r="HRU10"/>
      <c r="HRV10"/>
      <c r="HRW10"/>
      <c r="HRX10"/>
      <c r="HRY10"/>
      <c r="HRZ10"/>
      <c r="HSA10"/>
      <c r="HSB10"/>
      <c r="HSC10"/>
      <c r="HSD10"/>
      <c r="HSE10"/>
      <c r="HSF10"/>
      <c r="HSG10"/>
      <c r="HSH10"/>
      <c r="HSI10"/>
      <c r="HSJ10"/>
      <c r="HSK10"/>
      <c r="HSL10"/>
      <c r="HSM10"/>
      <c r="HSN10"/>
      <c r="HSO10"/>
      <c r="HSP10"/>
      <c r="HSQ10"/>
      <c r="HSR10"/>
      <c r="HSS10"/>
      <c r="HST10"/>
      <c r="HSU10"/>
      <c r="HSV10"/>
      <c r="HSW10"/>
      <c r="HSX10"/>
      <c r="HSY10"/>
      <c r="HSZ10"/>
      <c r="HTA10"/>
      <c r="HTB10"/>
      <c r="HTC10"/>
      <c r="HTD10"/>
      <c r="HTE10"/>
      <c r="HTF10"/>
      <c r="HTG10"/>
      <c r="HTH10"/>
      <c r="HTI10"/>
      <c r="HTJ10"/>
      <c r="HTK10"/>
      <c r="HTL10"/>
      <c r="HTM10"/>
      <c r="HTN10"/>
      <c r="HTO10"/>
      <c r="HTP10"/>
      <c r="HTQ10"/>
      <c r="HTR10"/>
      <c r="HTS10"/>
      <c r="HTT10"/>
      <c r="HTU10"/>
      <c r="HTV10"/>
      <c r="HTW10"/>
      <c r="HTX10"/>
      <c r="HTY10"/>
      <c r="HTZ10"/>
      <c r="HUA10"/>
      <c r="HUB10"/>
      <c r="HUC10"/>
      <c r="HUD10"/>
      <c r="HUE10"/>
      <c r="HUF10"/>
      <c r="HUG10"/>
      <c r="HUH10"/>
      <c r="HUI10"/>
      <c r="HUJ10"/>
      <c r="HUK10"/>
      <c r="HUL10"/>
      <c r="HUM10"/>
      <c r="HUN10"/>
      <c r="HUO10"/>
      <c r="HUP10"/>
      <c r="HUQ10"/>
      <c r="HUR10"/>
      <c r="HUS10"/>
      <c r="HUT10"/>
      <c r="HUU10"/>
      <c r="HUV10"/>
      <c r="HUW10"/>
      <c r="HUX10"/>
      <c r="HUY10"/>
      <c r="HUZ10"/>
      <c r="HVA10"/>
      <c r="HVB10"/>
      <c r="HVC10"/>
      <c r="HVD10"/>
      <c r="HVE10"/>
      <c r="HVF10"/>
      <c r="HVG10"/>
      <c r="HVH10"/>
      <c r="HVI10"/>
      <c r="HVJ10"/>
      <c r="HVK10"/>
      <c r="HVL10"/>
      <c r="HVM10"/>
      <c r="HVN10"/>
      <c r="HVO10"/>
      <c r="HVP10"/>
      <c r="HVQ10"/>
      <c r="HVR10"/>
      <c r="HVS10"/>
      <c r="HVT10"/>
      <c r="HVU10"/>
      <c r="HVV10"/>
      <c r="HVW10"/>
      <c r="HVX10"/>
      <c r="HVY10"/>
      <c r="HVZ10"/>
      <c r="HWA10"/>
      <c r="HWB10"/>
      <c r="HWC10"/>
      <c r="HWD10"/>
      <c r="HWE10"/>
      <c r="HWF10"/>
      <c r="HWG10"/>
      <c r="HWH10"/>
      <c r="HWI10"/>
      <c r="HWJ10"/>
      <c r="HWK10"/>
      <c r="HWL10"/>
      <c r="HWM10"/>
      <c r="HWN10"/>
      <c r="HWO10"/>
      <c r="HWP10"/>
      <c r="HWQ10"/>
      <c r="HWR10"/>
      <c r="HWS10"/>
      <c r="HWT10"/>
      <c r="HWU10"/>
      <c r="HWV10"/>
      <c r="HWW10"/>
      <c r="HWX10"/>
      <c r="HWY10"/>
      <c r="HWZ10"/>
      <c r="HXA10"/>
      <c r="HXB10"/>
      <c r="HXC10"/>
      <c r="HXD10"/>
      <c r="HXE10"/>
      <c r="HXF10"/>
      <c r="HXG10"/>
      <c r="HXH10"/>
      <c r="HXI10"/>
      <c r="HXJ10"/>
      <c r="HXK10"/>
      <c r="HXL10"/>
      <c r="HXM10"/>
      <c r="HXN10"/>
      <c r="HXO10"/>
      <c r="HXP10"/>
      <c r="HXQ10"/>
      <c r="HXR10"/>
      <c r="HXS10"/>
      <c r="HXT10"/>
      <c r="HXU10"/>
      <c r="HXV10"/>
      <c r="HXW10"/>
      <c r="HXX10"/>
      <c r="HXY10"/>
      <c r="HXZ10"/>
      <c r="HYA10"/>
      <c r="HYB10"/>
      <c r="HYC10"/>
      <c r="HYD10"/>
      <c r="HYE10"/>
      <c r="HYF10"/>
      <c r="HYG10"/>
      <c r="HYH10"/>
      <c r="HYI10"/>
      <c r="HYJ10"/>
      <c r="HYK10"/>
      <c r="HYL10"/>
      <c r="HYM10"/>
      <c r="HYN10"/>
      <c r="HYO10"/>
      <c r="HYP10"/>
      <c r="HYQ10"/>
      <c r="HYR10"/>
      <c r="HYS10"/>
      <c r="HYT10"/>
      <c r="HYU10"/>
      <c r="HYV10"/>
      <c r="HYW10"/>
      <c r="HYX10"/>
      <c r="HYY10"/>
      <c r="HYZ10"/>
      <c r="HZA10"/>
      <c r="HZB10"/>
      <c r="HZC10"/>
      <c r="HZD10"/>
      <c r="HZE10"/>
      <c r="HZF10"/>
      <c r="HZG10"/>
      <c r="HZH10"/>
      <c r="HZI10"/>
      <c r="HZJ10"/>
      <c r="HZK10"/>
      <c r="HZL10"/>
      <c r="HZM10"/>
      <c r="HZN10"/>
      <c r="HZO10"/>
      <c r="HZP10"/>
      <c r="HZQ10"/>
      <c r="HZR10"/>
      <c r="HZS10"/>
      <c r="HZT10"/>
      <c r="HZU10"/>
      <c r="HZV10"/>
      <c r="HZW10"/>
      <c r="HZX10"/>
      <c r="HZY10"/>
      <c r="HZZ10"/>
      <c r="IAA10"/>
      <c r="IAB10"/>
      <c r="IAC10"/>
      <c r="IAD10"/>
      <c r="IAE10"/>
      <c r="IAF10"/>
      <c r="IAG10"/>
      <c r="IAH10"/>
      <c r="IAI10"/>
      <c r="IAJ10"/>
      <c r="IAK10"/>
      <c r="IAL10"/>
      <c r="IAM10"/>
      <c r="IAN10"/>
      <c r="IAO10"/>
      <c r="IAP10"/>
      <c r="IAQ10"/>
      <c r="IAR10"/>
      <c r="IAS10"/>
      <c r="IAT10"/>
      <c r="IAU10"/>
      <c r="IAV10"/>
      <c r="IAW10"/>
      <c r="IAX10"/>
      <c r="IAY10"/>
      <c r="IAZ10"/>
      <c r="IBA10"/>
      <c r="IBB10"/>
      <c r="IBC10"/>
      <c r="IBD10"/>
      <c r="IBE10"/>
      <c r="IBF10"/>
      <c r="IBG10"/>
      <c r="IBH10"/>
      <c r="IBI10"/>
      <c r="IBJ10"/>
      <c r="IBK10"/>
      <c r="IBL10"/>
      <c r="IBM10"/>
      <c r="IBN10"/>
      <c r="IBO10"/>
      <c r="IBP10"/>
      <c r="IBQ10"/>
      <c r="IBR10"/>
      <c r="IBS10"/>
      <c r="IBT10"/>
      <c r="IBU10"/>
      <c r="IBV10"/>
      <c r="IBW10"/>
      <c r="IBX10"/>
      <c r="IBY10"/>
      <c r="IBZ10"/>
      <c r="ICA10"/>
      <c r="ICB10"/>
      <c r="ICC10"/>
      <c r="ICD10"/>
      <c r="ICE10"/>
      <c r="ICF10"/>
      <c r="ICG10"/>
      <c r="ICH10"/>
      <c r="ICI10"/>
      <c r="ICJ10"/>
      <c r="ICK10"/>
      <c r="ICL10"/>
      <c r="ICM10"/>
      <c r="ICN10"/>
      <c r="ICO10"/>
      <c r="ICP10"/>
      <c r="ICQ10"/>
      <c r="ICR10"/>
      <c r="ICS10"/>
      <c r="ICT10"/>
      <c r="ICU10"/>
      <c r="ICV10"/>
      <c r="ICW10"/>
      <c r="ICX10"/>
      <c r="ICY10"/>
      <c r="ICZ10"/>
      <c r="IDA10"/>
      <c r="IDB10"/>
      <c r="IDC10"/>
      <c r="IDD10"/>
      <c r="IDE10"/>
      <c r="IDF10"/>
      <c r="IDG10"/>
      <c r="IDH10"/>
      <c r="IDI10"/>
      <c r="IDJ10"/>
      <c r="IDK10"/>
      <c r="IDL10"/>
      <c r="IDM10"/>
      <c r="IDN10"/>
      <c r="IDO10"/>
      <c r="IDP10"/>
      <c r="IDQ10"/>
      <c r="IDR10"/>
      <c r="IDS10"/>
      <c r="IDT10"/>
      <c r="IDU10"/>
      <c r="IDV10"/>
      <c r="IDW10"/>
      <c r="IDX10"/>
      <c r="IDY10"/>
      <c r="IDZ10"/>
      <c r="IEA10"/>
      <c r="IEB10"/>
      <c r="IEC10"/>
      <c r="IED10"/>
      <c r="IEE10"/>
      <c r="IEF10"/>
      <c r="IEG10"/>
      <c r="IEH10"/>
      <c r="IEI10"/>
      <c r="IEJ10"/>
      <c r="IEK10"/>
      <c r="IEL10"/>
      <c r="IEM10"/>
      <c r="IEN10"/>
      <c r="IEO10"/>
      <c r="IEP10"/>
      <c r="IEQ10"/>
      <c r="IER10"/>
      <c r="IES10"/>
      <c r="IET10"/>
      <c r="IEU10"/>
      <c r="IEV10"/>
      <c r="IEW10"/>
      <c r="IEX10"/>
      <c r="IEY10"/>
      <c r="IEZ10"/>
      <c r="IFA10"/>
      <c r="IFB10"/>
      <c r="IFC10"/>
      <c r="IFD10"/>
      <c r="IFE10"/>
      <c r="IFF10"/>
      <c r="IFG10"/>
      <c r="IFH10"/>
      <c r="IFI10"/>
      <c r="IFJ10"/>
      <c r="IFK10"/>
      <c r="IFL10"/>
      <c r="IFM10"/>
      <c r="IFN10"/>
      <c r="IFO10"/>
      <c r="IFP10"/>
      <c r="IFQ10"/>
      <c r="IFR10"/>
      <c r="IFS10"/>
      <c r="IFT10"/>
      <c r="IFU10"/>
      <c r="IFV10"/>
      <c r="IFW10"/>
      <c r="IFX10"/>
      <c r="IFY10"/>
      <c r="IFZ10"/>
      <c r="IGA10"/>
      <c r="IGB10"/>
      <c r="IGC10"/>
      <c r="IGD10"/>
      <c r="IGE10"/>
      <c r="IGF10"/>
      <c r="IGG10"/>
      <c r="IGH10"/>
      <c r="IGI10"/>
      <c r="IGJ10"/>
      <c r="IGK10"/>
      <c r="IGL10"/>
      <c r="IGM10"/>
      <c r="IGN10"/>
      <c r="IGO10"/>
      <c r="IGP10"/>
      <c r="IGQ10"/>
      <c r="IGR10"/>
      <c r="IGS10"/>
      <c r="IGT10"/>
      <c r="IGU10"/>
      <c r="IGV10"/>
      <c r="IGW10"/>
      <c r="IGX10"/>
      <c r="IGY10"/>
      <c r="IGZ10"/>
      <c r="IHA10"/>
      <c r="IHB10"/>
      <c r="IHC10"/>
      <c r="IHD10"/>
      <c r="IHE10"/>
      <c r="IHF10"/>
      <c r="IHG10"/>
      <c r="IHH10"/>
      <c r="IHI10"/>
      <c r="IHJ10"/>
      <c r="IHK10"/>
      <c r="IHL10"/>
      <c r="IHM10"/>
      <c r="IHN10"/>
      <c r="IHO10"/>
      <c r="IHP10"/>
      <c r="IHQ10"/>
      <c r="IHR10"/>
      <c r="IHS10"/>
      <c r="IHT10"/>
      <c r="IHU10"/>
      <c r="IHV10"/>
      <c r="IHW10"/>
      <c r="IHX10"/>
      <c r="IHY10"/>
      <c r="IHZ10"/>
      <c r="IIA10"/>
      <c r="IIB10"/>
      <c r="IIC10"/>
      <c r="IID10"/>
      <c r="IIE10"/>
      <c r="IIF10"/>
      <c r="IIG10"/>
      <c r="IIH10"/>
      <c r="III10"/>
      <c r="IIJ10"/>
      <c r="IIK10"/>
      <c r="IIL10"/>
      <c r="IIM10"/>
      <c r="IIN10"/>
      <c r="IIO10"/>
      <c r="IIP10"/>
      <c r="IIQ10"/>
      <c r="IIR10"/>
      <c r="IIS10"/>
      <c r="IIT10"/>
      <c r="IIU10"/>
      <c r="IIV10"/>
      <c r="IIW10"/>
      <c r="IIX10"/>
      <c r="IIY10"/>
      <c r="IIZ10"/>
      <c r="IJA10"/>
      <c r="IJB10"/>
      <c r="IJC10"/>
      <c r="IJD10"/>
      <c r="IJE10"/>
      <c r="IJF10"/>
      <c r="IJG10"/>
      <c r="IJH10"/>
      <c r="IJI10"/>
      <c r="IJJ10"/>
      <c r="IJK10"/>
      <c r="IJL10"/>
      <c r="IJM10"/>
      <c r="IJN10"/>
      <c r="IJO10"/>
      <c r="IJP10"/>
      <c r="IJQ10"/>
      <c r="IJR10"/>
      <c r="IJS10"/>
      <c r="IJT10"/>
      <c r="IJU10"/>
      <c r="IJV10"/>
      <c r="IJW10"/>
      <c r="IJX10"/>
      <c r="IJY10"/>
      <c r="IJZ10"/>
      <c r="IKA10"/>
      <c r="IKB10"/>
      <c r="IKC10"/>
      <c r="IKD10"/>
      <c r="IKE10"/>
      <c r="IKF10"/>
      <c r="IKG10"/>
      <c r="IKH10"/>
      <c r="IKI10"/>
      <c r="IKJ10"/>
      <c r="IKK10"/>
      <c r="IKL10"/>
      <c r="IKM10"/>
      <c r="IKN10"/>
      <c r="IKO10"/>
      <c r="IKP10"/>
      <c r="IKQ10"/>
      <c r="IKR10"/>
      <c r="IKS10"/>
      <c r="IKT10"/>
      <c r="IKU10"/>
      <c r="IKV10"/>
      <c r="IKW10"/>
      <c r="IKX10"/>
      <c r="IKY10"/>
      <c r="IKZ10"/>
      <c r="ILA10"/>
      <c r="ILB10"/>
      <c r="ILC10"/>
      <c r="ILD10"/>
      <c r="ILE10"/>
      <c r="ILF10"/>
      <c r="ILG10"/>
      <c r="ILH10"/>
      <c r="ILI10"/>
      <c r="ILJ10"/>
      <c r="ILK10"/>
      <c r="ILL10"/>
      <c r="ILM10"/>
      <c r="ILN10"/>
      <c r="ILO10"/>
      <c r="ILP10"/>
      <c r="ILQ10"/>
      <c r="ILR10"/>
      <c r="ILS10"/>
      <c r="ILT10"/>
      <c r="ILU10"/>
      <c r="ILV10"/>
      <c r="ILW10"/>
      <c r="ILX10"/>
      <c r="ILY10"/>
      <c r="ILZ10"/>
      <c r="IMA10"/>
      <c r="IMB10"/>
      <c r="IMC10"/>
      <c r="IMD10"/>
      <c r="IME10"/>
      <c r="IMF10"/>
      <c r="IMG10"/>
      <c r="IMH10"/>
      <c r="IMI10"/>
      <c r="IMJ10"/>
      <c r="IMK10"/>
      <c r="IML10"/>
      <c r="IMM10"/>
      <c r="IMN10"/>
      <c r="IMO10"/>
      <c r="IMP10"/>
      <c r="IMQ10"/>
      <c r="IMR10"/>
      <c r="IMS10"/>
      <c r="IMT10"/>
      <c r="IMU10"/>
      <c r="IMV10"/>
      <c r="IMW10"/>
      <c r="IMX10"/>
      <c r="IMY10"/>
      <c r="IMZ10"/>
      <c r="INA10"/>
      <c r="INB10"/>
      <c r="INC10"/>
      <c r="IND10"/>
      <c r="INE10"/>
      <c r="INF10"/>
      <c r="ING10"/>
      <c r="INH10"/>
      <c r="INI10"/>
      <c r="INJ10"/>
      <c r="INK10"/>
      <c r="INL10"/>
      <c r="INM10"/>
      <c r="INN10"/>
      <c r="INO10"/>
      <c r="INP10"/>
      <c r="INQ10"/>
      <c r="INR10"/>
      <c r="INS10"/>
      <c r="INT10"/>
      <c r="INU10"/>
      <c r="INV10"/>
      <c r="INW10"/>
      <c r="INX10"/>
      <c r="INY10"/>
      <c r="INZ10"/>
      <c r="IOA10"/>
      <c r="IOB10"/>
      <c r="IOC10"/>
      <c r="IOD10"/>
      <c r="IOE10"/>
      <c r="IOF10"/>
      <c r="IOG10"/>
      <c r="IOH10"/>
      <c r="IOI10"/>
      <c r="IOJ10"/>
      <c r="IOK10"/>
      <c r="IOL10"/>
      <c r="IOM10"/>
      <c r="ION10"/>
      <c r="IOO10"/>
      <c r="IOP10"/>
      <c r="IOQ10"/>
      <c r="IOR10"/>
      <c r="IOS10"/>
      <c r="IOT10"/>
      <c r="IOU10"/>
      <c r="IOV10"/>
      <c r="IOW10"/>
      <c r="IOX10"/>
      <c r="IOY10"/>
      <c r="IOZ10"/>
      <c r="IPA10"/>
      <c r="IPB10"/>
      <c r="IPC10"/>
      <c r="IPD10"/>
      <c r="IPE10"/>
      <c r="IPF10"/>
      <c r="IPG10"/>
      <c r="IPH10"/>
      <c r="IPI10"/>
      <c r="IPJ10"/>
      <c r="IPK10"/>
      <c r="IPL10"/>
      <c r="IPM10"/>
      <c r="IPN10"/>
      <c r="IPO10"/>
      <c r="IPP10"/>
      <c r="IPQ10"/>
      <c r="IPR10"/>
      <c r="IPS10"/>
      <c r="IPT10"/>
      <c r="IPU10"/>
      <c r="IPV10"/>
      <c r="IPW10"/>
      <c r="IPX10"/>
      <c r="IPY10"/>
      <c r="IPZ10"/>
      <c r="IQA10"/>
      <c r="IQB10"/>
      <c r="IQC10"/>
      <c r="IQD10"/>
      <c r="IQE10"/>
      <c r="IQF10"/>
      <c r="IQG10"/>
      <c r="IQH10"/>
      <c r="IQI10"/>
      <c r="IQJ10"/>
      <c r="IQK10"/>
      <c r="IQL10"/>
      <c r="IQM10"/>
      <c r="IQN10"/>
      <c r="IQO10"/>
      <c r="IQP10"/>
      <c r="IQQ10"/>
      <c r="IQR10"/>
      <c r="IQS10"/>
      <c r="IQT10"/>
      <c r="IQU10"/>
      <c r="IQV10"/>
      <c r="IQW10"/>
      <c r="IQX10"/>
      <c r="IQY10"/>
      <c r="IQZ10"/>
      <c r="IRA10"/>
      <c r="IRB10"/>
      <c r="IRC10"/>
      <c r="IRD10"/>
      <c r="IRE10"/>
      <c r="IRF10"/>
      <c r="IRG10"/>
      <c r="IRH10"/>
      <c r="IRI10"/>
      <c r="IRJ10"/>
      <c r="IRK10"/>
      <c r="IRL10"/>
      <c r="IRM10"/>
      <c r="IRN10"/>
      <c r="IRO10"/>
      <c r="IRP10"/>
      <c r="IRQ10"/>
      <c r="IRR10"/>
      <c r="IRS10"/>
      <c r="IRT10"/>
      <c r="IRU10"/>
      <c r="IRV10"/>
      <c r="IRW10"/>
      <c r="IRX10"/>
      <c r="IRY10"/>
      <c r="IRZ10"/>
      <c r="ISA10"/>
      <c r="ISB10"/>
      <c r="ISC10"/>
      <c r="ISD10"/>
      <c r="ISE10"/>
      <c r="ISF10"/>
      <c r="ISG10"/>
      <c r="ISH10"/>
      <c r="ISI10"/>
      <c r="ISJ10"/>
      <c r="ISK10"/>
      <c r="ISL10"/>
      <c r="ISM10"/>
      <c r="ISN10"/>
      <c r="ISO10"/>
      <c r="ISP10"/>
      <c r="ISQ10"/>
      <c r="ISR10"/>
      <c r="ISS10"/>
      <c r="IST10"/>
      <c r="ISU10"/>
      <c r="ISV10"/>
      <c r="ISW10"/>
      <c r="ISX10"/>
      <c r="ISY10"/>
      <c r="ISZ10"/>
      <c r="ITA10"/>
      <c r="ITB10"/>
      <c r="ITC10"/>
      <c r="ITD10"/>
      <c r="ITE10"/>
      <c r="ITF10"/>
      <c r="ITG10"/>
      <c r="ITH10"/>
      <c r="ITI10"/>
      <c r="ITJ10"/>
      <c r="ITK10"/>
      <c r="ITL10"/>
      <c r="ITM10"/>
      <c r="ITN10"/>
      <c r="ITO10"/>
      <c r="ITP10"/>
      <c r="ITQ10"/>
      <c r="ITR10"/>
      <c r="ITS10"/>
      <c r="ITT10"/>
      <c r="ITU10"/>
      <c r="ITV10"/>
      <c r="ITW10"/>
      <c r="ITX10"/>
      <c r="ITY10"/>
      <c r="ITZ10"/>
      <c r="IUA10"/>
      <c r="IUB10"/>
      <c r="IUC10"/>
      <c r="IUD10"/>
      <c r="IUE10"/>
      <c r="IUF10"/>
      <c r="IUG10"/>
      <c r="IUH10"/>
      <c r="IUI10"/>
      <c r="IUJ10"/>
      <c r="IUK10"/>
      <c r="IUL10"/>
      <c r="IUM10"/>
      <c r="IUN10"/>
      <c r="IUO10"/>
      <c r="IUP10"/>
      <c r="IUQ10"/>
      <c r="IUR10"/>
      <c r="IUS10"/>
      <c r="IUT10"/>
      <c r="IUU10"/>
      <c r="IUV10"/>
      <c r="IUW10"/>
      <c r="IUX10"/>
      <c r="IUY10"/>
      <c r="IUZ10"/>
      <c r="IVA10"/>
      <c r="IVB10"/>
      <c r="IVC10"/>
      <c r="IVD10"/>
      <c r="IVE10"/>
      <c r="IVF10"/>
      <c r="IVG10"/>
      <c r="IVH10"/>
      <c r="IVI10"/>
      <c r="IVJ10"/>
      <c r="IVK10"/>
      <c r="IVL10"/>
      <c r="IVM10"/>
      <c r="IVN10"/>
      <c r="IVO10"/>
      <c r="IVP10"/>
      <c r="IVQ10"/>
      <c r="IVR10"/>
      <c r="IVS10"/>
      <c r="IVT10"/>
      <c r="IVU10"/>
      <c r="IVV10"/>
      <c r="IVW10"/>
      <c r="IVX10"/>
      <c r="IVY10"/>
      <c r="IVZ10"/>
      <c r="IWA10"/>
      <c r="IWB10"/>
      <c r="IWC10"/>
      <c r="IWD10"/>
      <c r="IWE10"/>
      <c r="IWF10"/>
      <c r="IWG10"/>
      <c r="IWH10"/>
      <c r="IWI10"/>
      <c r="IWJ10"/>
      <c r="IWK10"/>
      <c r="IWL10"/>
      <c r="IWM10"/>
      <c r="IWN10"/>
      <c r="IWO10"/>
      <c r="IWP10"/>
      <c r="IWQ10"/>
      <c r="IWR10"/>
      <c r="IWS10"/>
      <c r="IWT10"/>
      <c r="IWU10"/>
      <c r="IWV10"/>
      <c r="IWW10"/>
      <c r="IWX10"/>
      <c r="IWY10"/>
      <c r="IWZ10"/>
      <c r="IXA10"/>
      <c r="IXB10"/>
      <c r="IXC10"/>
      <c r="IXD10"/>
      <c r="IXE10"/>
      <c r="IXF10"/>
      <c r="IXG10"/>
      <c r="IXH10"/>
      <c r="IXI10"/>
      <c r="IXJ10"/>
      <c r="IXK10"/>
      <c r="IXL10"/>
      <c r="IXM10"/>
      <c r="IXN10"/>
      <c r="IXO10"/>
      <c r="IXP10"/>
      <c r="IXQ10"/>
      <c r="IXR10"/>
      <c r="IXS10"/>
      <c r="IXT10"/>
      <c r="IXU10"/>
      <c r="IXV10"/>
      <c r="IXW10"/>
      <c r="IXX10"/>
      <c r="IXY10"/>
      <c r="IXZ10"/>
      <c r="IYA10"/>
      <c r="IYB10"/>
      <c r="IYC10"/>
      <c r="IYD10"/>
      <c r="IYE10"/>
      <c r="IYF10"/>
      <c r="IYG10"/>
      <c r="IYH10"/>
      <c r="IYI10"/>
      <c r="IYJ10"/>
      <c r="IYK10"/>
      <c r="IYL10"/>
      <c r="IYM10"/>
      <c r="IYN10"/>
      <c r="IYO10"/>
      <c r="IYP10"/>
      <c r="IYQ10"/>
      <c r="IYR10"/>
      <c r="IYS10"/>
      <c r="IYT10"/>
      <c r="IYU10"/>
      <c r="IYV10"/>
      <c r="IYW10"/>
      <c r="IYX10"/>
      <c r="IYY10"/>
      <c r="IYZ10"/>
      <c r="IZA10"/>
      <c r="IZB10"/>
      <c r="IZC10"/>
      <c r="IZD10"/>
      <c r="IZE10"/>
      <c r="IZF10"/>
      <c r="IZG10"/>
      <c r="IZH10"/>
      <c r="IZI10"/>
      <c r="IZJ10"/>
      <c r="IZK10"/>
      <c r="IZL10"/>
      <c r="IZM10"/>
      <c r="IZN10"/>
      <c r="IZO10"/>
      <c r="IZP10"/>
      <c r="IZQ10"/>
      <c r="IZR10"/>
      <c r="IZS10"/>
      <c r="IZT10"/>
      <c r="IZU10"/>
      <c r="IZV10"/>
      <c r="IZW10"/>
      <c r="IZX10"/>
      <c r="IZY10"/>
      <c r="IZZ10"/>
      <c r="JAA10"/>
      <c r="JAB10"/>
      <c r="JAC10"/>
      <c r="JAD10"/>
      <c r="JAE10"/>
      <c r="JAF10"/>
      <c r="JAG10"/>
      <c r="JAH10"/>
      <c r="JAI10"/>
      <c r="JAJ10"/>
      <c r="JAK10"/>
      <c r="JAL10"/>
      <c r="JAM10"/>
      <c r="JAN10"/>
      <c r="JAO10"/>
      <c r="JAP10"/>
      <c r="JAQ10"/>
      <c r="JAR10"/>
      <c r="JAS10"/>
      <c r="JAT10"/>
      <c r="JAU10"/>
      <c r="JAV10"/>
      <c r="JAW10"/>
      <c r="JAX10"/>
      <c r="JAY10"/>
      <c r="JAZ10"/>
      <c r="JBA10"/>
      <c r="JBB10"/>
      <c r="JBC10"/>
      <c r="JBD10"/>
      <c r="JBE10"/>
      <c r="JBF10"/>
      <c r="JBG10"/>
      <c r="JBH10"/>
      <c r="JBI10"/>
      <c r="JBJ10"/>
      <c r="JBK10"/>
      <c r="JBL10"/>
      <c r="JBM10"/>
      <c r="JBN10"/>
      <c r="JBO10"/>
      <c r="JBP10"/>
      <c r="JBQ10"/>
      <c r="JBR10"/>
      <c r="JBS10"/>
      <c r="JBT10"/>
      <c r="JBU10"/>
      <c r="JBV10"/>
      <c r="JBW10"/>
      <c r="JBX10"/>
      <c r="JBY10"/>
      <c r="JBZ10"/>
      <c r="JCA10"/>
      <c r="JCB10"/>
      <c r="JCC10"/>
      <c r="JCD10"/>
      <c r="JCE10"/>
      <c r="JCF10"/>
      <c r="JCG10"/>
      <c r="JCH10"/>
      <c r="JCI10"/>
      <c r="JCJ10"/>
      <c r="JCK10"/>
      <c r="JCL10"/>
      <c r="JCM10"/>
      <c r="JCN10"/>
      <c r="JCO10"/>
      <c r="JCP10"/>
      <c r="JCQ10"/>
      <c r="JCR10"/>
      <c r="JCS10"/>
      <c r="JCT10"/>
      <c r="JCU10"/>
      <c r="JCV10"/>
      <c r="JCW10"/>
      <c r="JCX10"/>
      <c r="JCY10"/>
      <c r="JCZ10"/>
      <c r="JDA10"/>
      <c r="JDB10"/>
      <c r="JDC10"/>
      <c r="JDD10"/>
      <c r="JDE10"/>
      <c r="JDF10"/>
      <c r="JDG10"/>
      <c r="JDH10"/>
      <c r="JDI10"/>
      <c r="JDJ10"/>
      <c r="JDK10"/>
      <c r="JDL10"/>
      <c r="JDM10"/>
      <c r="JDN10"/>
      <c r="JDO10"/>
      <c r="JDP10"/>
      <c r="JDQ10"/>
      <c r="JDR10"/>
      <c r="JDS10"/>
      <c r="JDT10"/>
      <c r="JDU10"/>
      <c r="JDV10"/>
      <c r="JDW10"/>
      <c r="JDX10"/>
      <c r="JDY10"/>
      <c r="JDZ10"/>
      <c r="JEA10"/>
      <c r="JEB10"/>
      <c r="JEC10"/>
      <c r="JED10"/>
      <c r="JEE10"/>
      <c r="JEF10"/>
      <c r="JEG10"/>
      <c r="JEH10"/>
      <c r="JEI10"/>
      <c r="JEJ10"/>
      <c r="JEK10"/>
      <c r="JEL10"/>
      <c r="JEM10"/>
      <c r="JEN10"/>
      <c r="JEO10"/>
      <c r="JEP10"/>
      <c r="JEQ10"/>
      <c r="JER10"/>
      <c r="JES10"/>
      <c r="JET10"/>
      <c r="JEU10"/>
      <c r="JEV10"/>
      <c r="JEW10"/>
      <c r="JEX10"/>
      <c r="JEY10"/>
      <c r="JEZ10"/>
      <c r="JFA10"/>
      <c r="JFB10"/>
      <c r="JFC10"/>
      <c r="JFD10"/>
      <c r="JFE10"/>
      <c r="JFF10"/>
      <c r="JFG10"/>
      <c r="JFH10"/>
      <c r="JFI10"/>
      <c r="JFJ10"/>
      <c r="JFK10"/>
      <c r="JFL10"/>
      <c r="JFM10"/>
      <c r="JFN10"/>
      <c r="JFO10"/>
      <c r="JFP10"/>
      <c r="JFQ10"/>
      <c r="JFR10"/>
      <c r="JFS10"/>
      <c r="JFT10"/>
      <c r="JFU10"/>
      <c r="JFV10"/>
      <c r="JFW10"/>
      <c r="JFX10"/>
      <c r="JFY10"/>
      <c r="JFZ10"/>
      <c r="JGA10"/>
      <c r="JGB10"/>
      <c r="JGC10"/>
      <c r="JGD10"/>
      <c r="JGE10"/>
      <c r="JGF10"/>
      <c r="JGG10"/>
      <c r="JGH10"/>
      <c r="JGI10"/>
      <c r="JGJ10"/>
      <c r="JGK10"/>
      <c r="JGL10"/>
      <c r="JGM10"/>
      <c r="JGN10"/>
      <c r="JGO10"/>
      <c r="JGP10"/>
      <c r="JGQ10"/>
      <c r="JGR10"/>
      <c r="JGS10"/>
      <c r="JGT10"/>
      <c r="JGU10"/>
      <c r="JGV10"/>
      <c r="JGW10"/>
      <c r="JGX10"/>
      <c r="JGY10"/>
      <c r="JGZ10"/>
      <c r="JHA10"/>
      <c r="JHB10"/>
      <c r="JHC10"/>
      <c r="JHD10"/>
      <c r="JHE10"/>
      <c r="JHF10"/>
      <c r="JHG10"/>
      <c r="JHH10"/>
      <c r="JHI10"/>
      <c r="JHJ10"/>
      <c r="JHK10"/>
      <c r="JHL10"/>
      <c r="JHM10"/>
      <c r="JHN10"/>
      <c r="JHO10"/>
      <c r="JHP10"/>
      <c r="JHQ10"/>
      <c r="JHR10"/>
      <c r="JHS10"/>
      <c r="JHT10"/>
      <c r="JHU10"/>
      <c r="JHV10"/>
      <c r="JHW10"/>
      <c r="JHX10"/>
      <c r="JHY10"/>
      <c r="JHZ10"/>
      <c r="JIA10"/>
      <c r="JIB10"/>
      <c r="JIC10"/>
      <c r="JID10"/>
      <c r="JIE10"/>
      <c r="JIF10"/>
      <c r="JIG10"/>
      <c r="JIH10"/>
      <c r="JII10"/>
      <c r="JIJ10"/>
      <c r="JIK10"/>
      <c r="JIL10"/>
      <c r="JIM10"/>
      <c r="JIN10"/>
      <c r="JIO10"/>
      <c r="JIP10"/>
      <c r="JIQ10"/>
      <c r="JIR10"/>
      <c r="JIS10"/>
      <c r="JIT10"/>
      <c r="JIU10"/>
      <c r="JIV10"/>
      <c r="JIW10"/>
      <c r="JIX10"/>
      <c r="JIY10"/>
      <c r="JIZ10"/>
      <c r="JJA10"/>
      <c r="JJB10"/>
      <c r="JJC10"/>
      <c r="JJD10"/>
      <c r="JJE10"/>
      <c r="JJF10"/>
      <c r="JJG10"/>
      <c r="JJH10"/>
      <c r="JJI10"/>
      <c r="JJJ10"/>
      <c r="JJK10"/>
      <c r="JJL10"/>
      <c r="JJM10"/>
      <c r="JJN10"/>
      <c r="JJO10"/>
      <c r="JJP10"/>
      <c r="JJQ10"/>
      <c r="JJR10"/>
      <c r="JJS10"/>
      <c r="JJT10"/>
      <c r="JJU10"/>
      <c r="JJV10"/>
      <c r="JJW10"/>
      <c r="JJX10"/>
      <c r="JJY10"/>
      <c r="JJZ10"/>
      <c r="JKA10"/>
      <c r="JKB10"/>
      <c r="JKC10"/>
      <c r="JKD10"/>
      <c r="JKE10"/>
      <c r="JKF10"/>
      <c r="JKG10"/>
      <c r="JKH10"/>
      <c r="JKI10"/>
      <c r="JKJ10"/>
      <c r="JKK10"/>
      <c r="JKL10"/>
      <c r="JKM10"/>
      <c r="JKN10"/>
      <c r="JKO10"/>
      <c r="JKP10"/>
      <c r="JKQ10"/>
      <c r="JKR10"/>
      <c r="JKS10"/>
      <c r="JKT10"/>
      <c r="JKU10"/>
      <c r="JKV10"/>
      <c r="JKW10"/>
      <c r="JKX10"/>
      <c r="JKY10"/>
      <c r="JKZ10"/>
      <c r="JLA10"/>
      <c r="JLB10"/>
      <c r="JLC10"/>
      <c r="JLD10"/>
      <c r="JLE10"/>
      <c r="JLF10"/>
      <c r="JLG10"/>
      <c r="JLH10"/>
      <c r="JLI10"/>
      <c r="JLJ10"/>
      <c r="JLK10"/>
      <c r="JLL10"/>
      <c r="JLM10"/>
      <c r="JLN10"/>
      <c r="JLO10"/>
      <c r="JLP10"/>
      <c r="JLQ10"/>
      <c r="JLR10"/>
      <c r="JLS10"/>
      <c r="JLT10"/>
      <c r="JLU10"/>
      <c r="JLV10"/>
      <c r="JLW10"/>
      <c r="JLX10"/>
      <c r="JLY10"/>
      <c r="JLZ10"/>
      <c r="JMA10"/>
      <c r="JMB10"/>
      <c r="JMC10"/>
      <c r="JMD10"/>
      <c r="JME10"/>
      <c r="JMF10"/>
      <c r="JMG10"/>
      <c r="JMH10"/>
      <c r="JMI10"/>
      <c r="JMJ10"/>
      <c r="JMK10"/>
      <c r="JML10"/>
      <c r="JMM10"/>
      <c r="JMN10"/>
      <c r="JMO10"/>
      <c r="JMP10"/>
      <c r="JMQ10"/>
      <c r="JMR10"/>
      <c r="JMS10"/>
      <c r="JMT10"/>
      <c r="JMU10"/>
      <c r="JMV10"/>
      <c r="JMW10"/>
      <c r="JMX10"/>
      <c r="JMY10"/>
      <c r="JMZ10"/>
      <c r="JNA10"/>
      <c r="JNB10"/>
      <c r="JNC10"/>
      <c r="JND10"/>
      <c r="JNE10"/>
      <c r="JNF10"/>
      <c r="JNG10"/>
      <c r="JNH10"/>
      <c r="JNI10"/>
      <c r="JNJ10"/>
      <c r="JNK10"/>
      <c r="JNL10"/>
      <c r="JNM10"/>
      <c r="JNN10"/>
      <c r="JNO10"/>
      <c r="JNP10"/>
      <c r="JNQ10"/>
      <c r="JNR10"/>
      <c r="JNS10"/>
      <c r="JNT10"/>
      <c r="JNU10"/>
      <c r="JNV10"/>
      <c r="JNW10"/>
      <c r="JNX10"/>
      <c r="JNY10"/>
      <c r="JNZ10"/>
      <c r="JOA10"/>
      <c r="JOB10"/>
      <c r="JOC10"/>
      <c r="JOD10"/>
      <c r="JOE10"/>
      <c r="JOF10"/>
      <c r="JOG10"/>
      <c r="JOH10"/>
      <c r="JOI10"/>
      <c r="JOJ10"/>
      <c r="JOK10"/>
      <c r="JOL10"/>
      <c r="JOM10"/>
      <c r="JON10"/>
      <c r="JOO10"/>
      <c r="JOP10"/>
      <c r="JOQ10"/>
      <c r="JOR10"/>
      <c r="JOS10"/>
      <c r="JOT10"/>
      <c r="JOU10"/>
      <c r="JOV10"/>
      <c r="JOW10"/>
      <c r="JOX10"/>
      <c r="JOY10"/>
      <c r="JOZ10"/>
      <c r="JPA10"/>
      <c r="JPB10"/>
      <c r="JPC10"/>
      <c r="JPD10"/>
      <c r="JPE10"/>
      <c r="JPF10"/>
      <c r="JPG10"/>
      <c r="JPH10"/>
      <c r="JPI10"/>
      <c r="JPJ10"/>
      <c r="JPK10"/>
      <c r="JPL10"/>
      <c r="JPM10"/>
      <c r="JPN10"/>
      <c r="JPO10"/>
      <c r="JPP10"/>
      <c r="JPQ10"/>
      <c r="JPR10"/>
      <c r="JPS10"/>
      <c r="JPT10"/>
      <c r="JPU10"/>
      <c r="JPV10"/>
      <c r="JPW10"/>
      <c r="JPX10"/>
      <c r="JPY10"/>
      <c r="JPZ10"/>
      <c r="JQA10"/>
      <c r="JQB10"/>
      <c r="JQC10"/>
      <c r="JQD10"/>
      <c r="JQE10"/>
      <c r="JQF10"/>
      <c r="JQG10"/>
      <c r="JQH10"/>
      <c r="JQI10"/>
      <c r="JQJ10"/>
      <c r="JQK10"/>
      <c r="JQL10"/>
      <c r="JQM10"/>
      <c r="JQN10"/>
      <c r="JQO10"/>
      <c r="JQP10"/>
      <c r="JQQ10"/>
      <c r="JQR10"/>
      <c r="JQS10"/>
      <c r="JQT10"/>
      <c r="JQU10"/>
      <c r="JQV10"/>
      <c r="JQW10"/>
      <c r="JQX10"/>
      <c r="JQY10"/>
      <c r="JQZ10"/>
      <c r="JRA10"/>
      <c r="JRB10"/>
      <c r="JRC10"/>
      <c r="JRD10"/>
      <c r="JRE10"/>
      <c r="JRF10"/>
      <c r="JRG10"/>
      <c r="JRH10"/>
      <c r="JRI10"/>
      <c r="JRJ10"/>
      <c r="JRK10"/>
      <c r="JRL10"/>
      <c r="JRM10"/>
      <c r="JRN10"/>
      <c r="JRO10"/>
      <c r="JRP10"/>
      <c r="JRQ10"/>
      <c r="JRR10"/>
      <c r="JRS10"/>
      <c r="JRT10"/>
      <c r="JRU10"/>
      <c r="JRV10"/>
      <c r="JRW10"/>
      <c r="JRX10"/>
      <c r="JRY10"/>
      <c r="JRZ10"/>
      <c r="JSA10"/>
      <c r="JSB10"/>
      <c r="JSC10"/>
      <c r="JSD10"/>
      <c r="JSE10"/>
      <c r="JSF10"/>
      <c r="JSG10"/>
      <c r="JSH10"/>
      <c r="JSI10"/>
      <c r="JSJ10"/>
      <c r="JSK10"/>
      <c r="JSL10"/>
      <c r="JSM10"/>
      <c r="JSN10"/>
      <c r="JSO10"/>
      <c r="JSP10"/>
      <c r="JSQ10"/>
      <c r="JSR10"/>
      <c r="JSS10"/>
      <c r="JST10"/>
      <c r="JSU10"/>
      <c r="JSV10"/>
      <c r="JSW10"/>
      <c r="JSX10"/>
      <c r="JSY10"/>
      <c r="JSZ10"/>
      <c r="JTA10"/>
      <c r="JTB10"/>
      <c r="JTC10"/>
      <c r="JTD10"/>
      <c r="JTE10"/>
      <c r="JTF10"/>
      <c r="JTG10"/>
      <c r="JTH10"/>
      <c r="JTI10"/>
      <c r="JTJ10"/>
      <c r="JTK10"/>
      <c r="JTL10"/>
      <c r="JTM10"/>
      <c r="JTN10"/>
      <c r="JTO10"/>
      <c r="JTP10"/>
      <c r="JTQ10"/>
      <c r="JTR10"/>
      <c r="JTS10"/>
      <c r="JTT10"/>
      <c r="JTU10"/>
      <c r="JTV10"/>
      <c r="JTW10"/>
      <c r="JTX10"/>
      <c r="JTY10"/>
      <c r="JTZ10"/>
      <c r="JUA10"/>
      <c r="JUB10"/>
      <c r="JUC10"/>
      <c r="JUD10"/>
      <c r="JUE10"/>
      <c r="JUF10"/>
      <c r="JUG10"/>
      <c r="JUH10"/>
      <c r="JUI10"/>
      <c r="JUJ10"/>
      <c r="JUK10"/>
      <c r="JUL10"/>
      <c r="JUM10"/>
      <c r="JUN10"/>
      <c r="JUO10"/>
      <c r="JUP10"/>
      <c r="JUQ10"/>
      <c r="JUR10"/>
      <c r="JUS10"/>
      <c r="JUT10"/>
      <c r="JUU10"/>
      <c r="JUV10"/>
      <c r="JUW10"/>
      <c r="JUX10"/>
      <c r="JUY10"/>
      <c r="JUZ10"/>
      <c r="JVA10"/>
      <c r="JVB10"/>
      <c r="JVC10"/>
      <c r="JVD10"/>
      <c r="JVE10"/>
      <c r="JVF10"/>
      <c r="JVG10"/>
      <c r="JVH10"/>
      <c r="JVI10"/>
      <c r="JVJ10"/>
      <c r="JVK10"/>
      <c r="JVL10"/>
      <c r="JVM10"/>
      <c r="JVN10"/>
      <c r="JVO10"/>
      <c r="JVP10"/>
      <c r="JVQ10"/>
      <c r="JVR10"/>
      <c r="JVS10"/>
      <c r="JVT10"/>
      <c r="JVU10"/>
      <c r="JVV10"/>
      <c r="JVW10"/>
      <c r="JVX10"/>
      <c r="JVY10"/>
      <c r="JVZ10"/>
      <c r="JWA10"/>
      <c r="JWB10"/>
      <c r="JWC10"/>
      <c r="JWD10"/>
      <c r="JWE10"/>
      <c r="JWF10"/>
      <c r="JWG10"/>
      <c r="JWH10"/>
      <c r="JWI10"/>
      <c r="JWJ10"/>
      <c r="JWK10"/>
      <c r="JWL10"/>
      <c r="JWM10"/>
      <c r="JWN10"/>
      <c r="JWO10"/>
      <c r="JWP10"/>
      <c r="JWQ10"/>
      <c r="JWR10"/>
      <c r="JWS10"/>
      <c r="JWT10"/>
      <c r="JWU10"/>
      <c r="JWV10"/>
      <c r="JWW10"/>
      <c r="JWX10"/>
      <c r="JWY10"/>
      <c r="JWZ10"/>
      <c r="JXA10"/>
      <c r="JXB10"/>
      <c r="JXC10"/>
      <c r="JXD10"/>
      <c r="JXE10"/>
      <c r="JXF10"/>
      <c r="JXG10"/>
      <c r="JXH10"/>
      <c r="JXI10"/>
      <c r="JXJ10"/>
      <c r="JXK10"/>
      <c r="JXL10"/>
      <c r="JXM10"/>
      <c r="JXN10"/>
      <c r="JXO10"/>
      <c r="JXP10"/>
      <c r="JXQ10"/>
      <c r="JXR10"/>
      <c r="JXS10"/>
      <c r="JXT10"/>
      <c r="JXU10"/>
      <c r="JXV10"/>
      <c r="JXW10"/>
      <c r="JXX10"/>
      <c r="JXY10"/>
      <c r="JXZ10"/>
      <c r="JYA10"/>
      <c r="JYB10"/>
      <c r="JYC10"/>
      <c r="JYD10"/>
      <c r="JYE10"/>
      <c r="JYF10"/>
      <c r="JYG10"/>
      <c r="JYH10"/>
      <c r="JYI10"/>
      <c r="JYJ10"/>
      <c r="JYK10"/>
      <c r="JYL10"/>
      <c r="JYM10"/>
      <c r="JYN10"/>
      <c r="JYO10"/>
      <c r="JYP10"/>
      <c r="JYQ10"/>
      <c r="JYR10"/>
      <c r="JYS10"/>
      <c r="JYT10"/>
      <c r="JYU10"/>
      <c r="JYV10"/>
      <c r="JYW10"/>
      <c r="JYX10"/>
      <c r="JYY10"/>
      <c r="JYZ10"/>
      <c r="JZA10"/>
      <c r="JZB10"/>
      <c r="JZC10"/>
      <c r="JZD10"/>
      <c r="JZE10"/>
      <c r="JZF10"/>
      <c r="JZG10"/>
      <c r="JZH10"/>
      <c r="JZI10"/>
      <c r="JZJ10"/>
      <c r="JZK10"/>
      <c r="JZL10"/>
      <c r="JZM10"/>
      <c r="JZN10"/>
      <c r="JZO10"/>
      <c r="JZP10"/>
      <c r="JZQ10"/>
      <c r="JZR10"/>
      <c r="JZS10"/>
      <c r="JZT10"/>
      <c r="JZU10"/>
      <c r="JZV10"/>
      <c r="JZW10"/>
      <c r="JZX10"/>
      <c r="JZY10"/>
      <c r="JZZ10"/>
      <c r="KAA10"/>
      <c r="KAB10"/>
      <c r="KAC10"/>
      <c r="KAD10"/>
      <c r="KAE10"/>
      <c r="KAF10"/>
      <c r="KAG10"/>
      <c r="KAH10"/>
      <c r="KAI10"/>
      <c r="KAJ10"/>
      <c r="KAK10"/>
      <c r="KAL10"/>
      <c r="KAM10"/>
      <c r="KAN10"/>
      <c r="KAO10"/>
      <c r="KAP10"/>
      <c r="KAQ10"/>
      <c r="KAR10"/>
      <c r="KAS10"/>
      <c r="KAT10"/>
      <c r="KAU10"/>
      <c r="KAV10"/>
      <c r="KAW10"/>
      <c r="KAX10"/>
      <c r="KAY10"/>
      <c r="KAZ10"/>
      <c r="KBA10"/>
      <c r="KBB10"/>
      <c r="KBC10"/>
      <c r="KBD10"/>
      <c r="KBE10"/>
      <c r="KBF10"/>
      <c r="KBG10"/>
      <c r="KBH10"/>
      <c r="KBI10"/>
      <c r="KBJ10"/>
      <c r="KBK10"/>
      <c r="KBL10"/>
      <c r="KBM10"/>
      <c r="KBN10"/>
      <c r="KBO10"/>
      <c r="KBP10"/>
      <c r="KBQ10"/>
      <c r="KBR10"/>
      <c r="KBS10"/>
      <c r="KBT10"/>
      <c r="KBU10"/>
      <c r="KBV10"/>
      <c r="KBW10"/>
      <c r="KBX10"/>
      <c r="KBY10"/>
      <c r="KBZ10"/>
      <c r="KCA10"/>
      <c r="KCB10"/>
      <c r="KCC10"/>
      <c r="KCD10"/>
      <c r="KCE10"/>
      <c r="KCF10"/>
      <c r="KCG10"/>
      <c r="KCH10"/>
      <c r="KCI10"/>
      <c r="KCJ10"/>
      <c r="KCK10"/>
      <c r="KCL10"/>
      <c r="KCM10"/>
      <c r="KCN10"/>
      <c r="KCO10"/>
      <c r="KCP10"/>
      <c r="KCQ10"/>
      <c r="KCR10"/>
      <c r="KCS10"/>
      <c r="KCT10"/>
      <c r="KCU10"/>
      <c r="KCV10"/>
      <c r="KCW10"/>
      <c r="KCX10"/>
      <c r="KCY10"/>
      <c r="KCZ10"/>
      <c r="KDA10"/>
      <c r="KDB10"/>
      <c r="KDC10"/>
      <c r="KDD10"/>
      <c r="KDE10"/>
      <c r="KDF10"/>
      <c r="KDG10"/>
      <c r="KDH10"/>
      <c r="KDI10"/>
      <c r="KDJ10"/>
      <c r="KDK10"/>
      <c r="KDL10"/>
      <c r="KDM10"/>
      <c r="KDN10"/>
      <c r="KDO10"/>
      <c r="KDP10"/>
      <c r="KDQ10"/>
      <c r="KDR10"/>
      <c r="KDS10"/>
      <c r="KDT10"/>
      <c r="KDU10"/>
      <c r="KDV10"/>
      <c r="KDW10"/>
      <c r="KDX10"/>
      <c r="KDY10"/>
      <c r="KDZ10"/>
      <c r="KEA10"/>
      <c r="KEB10"/>
      <c r="KEC10"/>
      <c r="KED10"/>
      <c r="KEE10"/>
      <c r="KEF10"/>
      <c r="KEG10"/>
      <c r="KEH10"/>
      <c r="KEI10"/>
      <c r="KEJ10"/>
      <c r="KEK10"/>
      <c r="KEL10"/>
      <c r="KEM10"/>
      <c r="KEN10"/>
      <c r="KEO10"/>
      <c r="KEP10"/>
      <c r="KEQ10"/>
      <c r="KER10"/>
      <c r="KES10"/>
      <c r="KET10"/>
      <c r="KEU10"/>
      <c r="KEV10"/>
      <c r="KEW10"/>
      <c r="KEX10"/>
      <c r="KEY10"/>
      <c r="KEZ10"/>
      <c r="KFA10"/>
      <c r="KFB10"/>
      <c r="KFC10"/>
      <c r="KFD10"/>
      <c r="KFE10"/>
      <c r="KFF10"/>
      <c r="KFG10"/>
      <c r="KFH10"/>
      <c r="KFI10"/>
      <c r="KFJ10"/>
      <c r="KFK10"/>
      <c r="KFL10"/>
      <c r="KFM10"/>
      <c r="KFN10"/>
      <c r="KFO10"/>
      <c r="KFP10"/>
      <c r="KFQ10"/>
      <c r="KFR10"/>
      <c r="KFS10"/>
      <c r="KFT10"/>
      <c r="KFU10"/>
      <c r="KFV10"/>
      <c r="KFW10"/>
      <c r="KFX10"/>
      <c r="KFY10"/>
      <c r="KFZ10"/>
      <c r="KGA10"/>
      <c r="KGB10"/>
      <c r="KGC10"/>
      <c r="KGD10"/>
      <c r="KGE10"/>
      <c r="KGF10"/>
      <c r="KGG10"/>
      <c r="KGH10"/>
      <c r="KGI10"/>
      <c r="KGJ10"/>
      <c r="KGK10"/>
      <c r="KGL10"/>
      <c r="KGM10"/>
      <c r="KGN10"/>
      <c r="KGO10"/>
      <c r="KGP10"/>
      <c r="KGQ10"/>
      <c r="KGR10"/>
      <c r="KGS10"/>
      <c r="KGT10"/>
      <c r="KGU10"/>
      <c r="KGV10"/>
      <c r="KGW10"/>
      <c r="KGX10"/>
      <c r="KGY10"/>
      <c r="KGZ10"/>
      <c r="KHA10"/>
      <c r="KHB10"/>
      <c r="KHC10"/>
      <c r="KHD10"/>
      <c r="KHE10"/>
      <c r="KHF10"/>
      <c r="KHG10"/>
      <c r="KHH10"/>
      <c r="KHI10"/>
      <c r="KHJ10"/>
      <c r="KHK10"/>
      <c r="KHL10"/>
      <c r="KHM10"/>
      <c r="KHN10"/>
      <c r="KHO10"/>
      <c r="KHP10"/>
      <c r="KHQ10"/>
      <c r="KHR10"/>
      <c r="KHS10"/>
      <c r="KHT10"/>
      <c r="KHU10"/>
      <c r="KHV10"/>
      <c r="KHW10"/>
      <c r="KHX10"/>
      <c r="KHY10"/>
      <c r="KHZ10"/>
      <c r="KIA10"/>
      <c r="KIB10"/>
      <c r="KIC10"/>
      <c r="KID10"/>
      <c r="KIE10"/>
      <c r="KIF10"/>
      <c r="KIG10"/>
      <c r="KIH10"/>
      <c r="KII10"/>
      <c r="KIJ10"/>
      <c r="KIK10"/>
      <c r="KIL10"/>
      <c r="KIM10"/>
      <c r="KIN10"/>
      <c r="KIO10"/>
      <c r="KIP10"/>
      <c r="KIQ10"/>
      <c r="KIR10"/>
      <c r="KIS10"/>
      <c r="KIT10"/>
      <c r="KIU10"/>
      <c r="KIV10"/>
      <c r="KIW10"/>
      <c r="KIX10"/>
      <c r="KIY10"/>
      <c r="KIZ10"/>
      <c r="KJA10"/>
      <c r="KJB10"/>
      <c r="KJC10"/>
      <c r="KJD10"/>
      <c r="KJE10"/>
      <c r="KJF10"/>
      <c r="KJG10"/>
      <c r="KJH10"/>
      <c r="KJI10"/>
      <c r="KJJ10"/>
      <c r="KJK10"/>
      <c r="KJL10"/>
      <c r="KJM10"/>
      <c r="KJN10"/>
      <c r="KJO10"/>
      <c r="KJP10"/>
      <c r="KJQ10"/>
      <c r="KJR10"/>
      <c r="KJS10"/>
      <c r="KJT10"/>
      <c r="KJU10"/>
      <c r="KJV10"/>
      <c r="KJW10"/>
      <c r="KJX10"/>
      <c r="KJY10"/>
      <c r="KJZ10"/>
      <c r="KKA10"/>
      <c r="KKB10"/>
      <c r="KKC10"/>
      <c r="KKD10"/>
      <c r="KKE10"/>
      <c r="KKF10"/>
      <c r="KKG10"/>
      <c r="KKH10"/>
      <c r="KKI10"/>
      <c r="KKJ10"/>
      <c r="KKK10"/>
      <c r="KKL10"/>
      <c r="KKM10"/>
      <c r="KKN10"/>
      <c r="KKO10"/>
      <c r="KKP10"/>
      <c r="KKQ10"/>
      <c r="KKR10"/>
      <c r="KKS10"/>
      <c r="KKT10"/>
      <c r="KKU10"/>
      <c r="KKV10"/>
      <c r="KKW10"/>
      <c r="KKX10"/>
      <c r="KKY10"/>
      <c r="KKZ10"/>
      <c r="KLA10"/>
      <c r="KLB10"/>
      <c r="KLC10"/>
      <c r="KLD10"/>
      <c r="KLE10"/>
      <c r="KLF10"/>
      <c r="KLG10"/>
      <c r="KLH10"/>
      <c r="KLI10"/>
      <c r="KLJ10"/>
      <c r="KLK10"/>
      <c r="KLL10"/>
      <c r="KLM10"/>
      <c r="KLN10"/>
      <c r="KLO10"/>
      <c r="KLP10"/>
      <c r="KLQ10"/>
      <c r="KLR10"/>
      <c r="KLS10"/>
      <c r="KLT10"/>
      <c r="KLU10"/>
      <c r="KLV10"/>
      <c r="KLW10"/>
      <c r="KLX10"/>
      <c r="KLY10"/>
      <c r="KLZ10"/>
      <c r="KMA10"/>
      <c r="KMB10"/>
      <c r="KMC10"/>
      <c r="KMD10"/>
      <c r="KME10"/>
      <c r="KMF10"/>
      <c r="KMG10"/>
      <c r="KMH10"/>
      <c r="KMI10"/>
      <c r="KMJ10"/>
      <c r="KMK10"/>
      <c r="KML10"/>
      <c r="KMM10"/>
      <c r="KMN10"/>
      <c r="KMO10"/>
      <c r="KMP10"/>
      <c r="KMQ10"/>
      <c r="KMR10"/>
      <c r="KMS10"/>
      <c r="KMT10"/>
      <c r="KMU10"/>
      <c r="KMV10"/>
      <c r="KMW10"/>
      <c r="KMX10"/>
      <c r="KMY10"/>
      <c r="KMZ10"/>
      <c r="KNA10"/>
      <c r="KNB10"/>
      <c r="KNC10"/>
      <c r="KND10"/>
      <c r="KNE10"/>
      <c r="KNF10"/>
      <c r="KNG10"/>
      <c r="KNH10"/>
      <c r="KNI10"/>
      <c r="KNJ10"/>
      <c r="KNK10"/>
      <c r="KNL10"/>
      <c r="KNM10"/>
      <c r="KNN10"/>
      <c r="KNO10"/>
      <c r="KNP10"/>
      <c r="KNQ10"/>
      <c r="KNR10"/>
      <c r="KNS10"/>
      <c r="KNT10"/>
      <c r="KNU10"/>
      <c r="KNV10"/>
      <c r="KNW10"/>
      <c r="KNX10"/>
      <c r="KNY10"/>
      <c r="KNZ10"/>
      <c r="KOA10"/>
      <c r="KOB10"/>
      <c r="KOC10"/>
      <c r="KOD10"/>
      <c r="KOE10"/>
      <c r="KOF10"/>
      <c r="KOG10"/>
      <c r="KOH10"/>
      <c r="KOI10"/>
      <c r="KOJ10"/>
      <c r="KOK10"/>
      <c r="KOL10"/>
      <c r="KOM10"/>
      <c r="KON10"/>
      <c r="KOO10"/>
      <c r="KOP10"/>
      <c r="KOQ10"/>
      <c r="KOR10"/>
      <c r="KOS10"/>
      <c r="KOT10"/>
      <c r="KOU10"/>
      <c r="KOV10"/>
      <c r="KOW10"/>
      <c r="KOX10"/>
      <c r="KOY10"/>
      <c r="KOZ10"/>
      <c r="KPA10"/>
      <c r="KPB10"/>
      <c r="KPC10"/>
      <c r="KPD10"/>
      <c r="KPE10"/>
      <c r="KPF10"/>
      <c r="KPG10"/>
      <c r="KPH10"/>
      <c r="KPI10"/>
      <c r="KPJ10"/>
      <c r="KPK10"/>
      <c r="KPL10"/>
      <c r="KPM10"/>
      <c r="KPN10"/>
      <c r="KPO10"/>
      <c r="KPP10"/>
      <c r="KPQ10"/>
      <c r="KPR10"/>
      <c r="KPS10"/>
      <c r="KPT10"/>
      <c r="KPU10"/>
      <c r="KPV10"/>
      <c r="KPW10"/>
      <c r="KPX10"/>
      <c r="KPY10"/>
      <c r="KPZ10"/>
      <c r="KQA10"/>
      <c r="KQB10"/>
      <c r="KQC10"/>
      <c r="KQD10"/>
      <c r="KQE10"/>
      <c r="KQF10"/>
      <c r="KQG10"/>
      <c r="KQH10"/>
      <c r="KQI10"/>
      <c r="KQJ10"/>
      <c r="KQK10"/>
      <c r="KQL10"/>
      <c r="KQM10"/>
      <c r="KQN10"/>
      <c r="KQO10"/>
      <c r="KQP10"/>
      <c r="KQQ10"/>
      <c r="KQR10"/>
      <c r="KQS10"/>
      <c r="KQT10"/>
      <c r="KQU10"/>
      <c r="KQV10"/>
      <c r="KQW10"/>
      <c r="KQX10"/>
      <c r="KQY10"/>
      <c r="KQZ10"/>
      <c r="KRA10"/>
      <c r="KRB10"/>
      <c r="KRC10"/>
      <c r="KRD10"/>
      <c r="KRE10"/>
      <c r="KRF10"/>
      <c r="KRG10"/>
      <c r="KRH10"/>
      <c r="KRI10"/>
      <c r="KRJ10"/>
      <c r="KRK10"/>
      <c r="KRL10"/>
      <c r="KRM10"/>
      <c r="KRN10"/>
      <c r="KRO10"/>
      <c r="KRP10"/>
      <c r="KRQ10"/>
      <c r="KRR10"/>
      <c r="KRS10"/>
      <c r="KRT10"/>
      <c r="KRU10"/>
      <c r="KRV10"/>
      <c r="KRW10"/>
      <c r="KRX10"/>
      <c r="KRY10"/>
      <c r="KRZ10"/>
      <c r="KSA10"/>
      <c r="KSB10"/>
      <c r="KSC10"/>
      <c r="KSD10"/>
      <c r="KSE10"/>
      <c r="KSF10"/>
      <c r="KSG10"/>
      <c r="KSH10"/>
      <c r="KSI10"/>
      <c r="KSJ10"/>
      <c r="KSK10"/>
      <c r="KSL10"/>
      <c r="KSM10"/>
      <c r="KSN10"/>
      <c r="KSO10"/>
      <c r="KSP10"/>
      <c r="KSQ10"/>
      <c r="KSR10"/>
      <c r="KSS10"/>
      <c r="KST10"/>
      <c r="KSU10"/>
      <c r="KSV10"/>
      <c r="KSW10"/>
      <c r="KSX10"/>
      <c r="KSY10"/>
      <c r="KSZ10"/>
      <c r="KTA10"/>
      <c r="KTB10"/>
      <c r="KTC10"/>
      <c r="KTD10"/>
      <c r="KTE10"/>
      <c r="KTF10"/>
      <c r="KTG10"/>
      <c r="KTH10"/>
      <c r="KTI10"/>
      <c r="KTJ10"/>
      <c r="KTK10"/>
      <c r="KTL10"/>
      <c r="KTM10"/>
      <c r="KTN10"/>
      <c r="KTO10"/>
      <c r="KTP10"/>
      <c r="KTQ10"/>
      <c r="KTR10"/>
      <c r="KTS10"/>
      <c r="KTT10"/>
      <c r="KTU10"/>
      <c r="KTV10"/>
      <c r="KTW10"/>
      <c r="KTX10"/>
      <c r="KTY10"/>
      <c r="KTZ10"/>
      <c r="KUA10"/>
      <c r="KUB10"/>
      <c r="KUC10"/>
      <c r="KUD10"/>
      <c r="KUE10"/>
      <c r="KUF10"/>
      <c r="KUG10"/>
      <c r="KUH10"/>
      <c r="KUI10"/>
      <c r="KUJ10"/>
      <c r="KUK10"/>
      <c r="KUL10"/>
      <c r="KUM10"/>
      <c r="KUN10"/>
      <c r="KUO10"/>
      <c r="KUP10"/>
      <c r="KUQ10"/>
      <c r="KUR10"/>
      <c r="KUS10"/>
      <c r="KUT10"/>
      <c r="KUU10"/>
      <c r="KUV10"/>
      <c r="KUW10"/>
      <c r="KUX10"/>
      <c r="KUY10"/>
      <c r="KUZ10"/>
      <c r="KVA10"/>
      <c r="KVB10"/>
      <c r="KVC10"/>
      <c r="KVD10"/>
      <c r="KVE10"/>
      <c r="KVF10"/>
      <c r="KVG10"/>
      <c r="KVH10"/>
      <c r="KVI10"/>
      <c r="KVJ10"/>
      <c r="KVK10"/>
      <c r="KVL10"/>
      <c r="KVM10"/>
      <c r="KVN10"/>
      <c r="KVO10"/>
      <c r="KVP10"/>
      <c r="KVQ10"/>
      <c r="KVR10"/>
      <c r="KVS10"/>
      <c r="KVT10"/>
      <c r="KVU10"/>
      <c r="KVV10"/>
      <c r="KVW10"/>
      <c r="KVX10"/>
      <c r="KVY10"/>
      <c r="KVZ10"/>
      <c r="KWA10"/>
      <c r="KWB10"/>
      <c r="KWC10"/>
      <c r="KWD10"/>
      <c r="KWE10"/>
      <c r="KWF10"/>
      <c r="KWG10"/>
      <c r="KWH10"/>
      <c r="KWI10"/>
      <c r="KWJ10"/>
      <c r="KWK10"/>
      <c r="KWL10"/>
      <c r="KWM10"/>
      <c r="KWN10"/>
      <c r="KWO10"/>
      <c r="KWP10"/>
      <c r="KWQ10"/>
      <c r="KWR10"/>
      <c r="KWS10"/>
      <c r="KWT10"/>
      <c r="KWU10"/>
      <c r="KWV10"/>
      <c r="KWW10"/>
      <c r="KWX10"/>
      <c r="KWY10"/>
      <c r="KWZ10"/>
      <c r="KXA10"/>
      <c r="KXB10"/>
      <c r="KXC10"/>
      <c r="KXD10"/>
      <c r="KXE10"/>
      <c r="KXF10"/>
      <c r="KXG10"/>
      <c r="KXH10"/>
      <c r="KXI10"/>
      <c r="KXJ10"/>
      <c r="KXK10"/>
      <c r="KXL10"/>
      <c r="KXM10"/>
      <c r="KXN10"/>
      <c r="KXO10"/>
      <c r="KXP10"/>
      <c r="KXQ10"/>
      <c r="KXR10"/>
      <c r="KXS10"/>
      <c r="KXT10"/>
      <c r="KXU10"/>
      <c r="KXV10"/>
      <c r="KXW10"/>
      <c r="KXX10"/>
      <c r="KXY10"/>
      <c r="KXZ10"/>
      <c r="KYA10"/>
      <c r="KYB10"/>
      <c r="KYC10"/>
      <c r="KYD10"/>
      <c r="KYE10"/>
      <c r="KYF10"/>
      <c r="KYG10"/>
      <c r="KYH10"/>
      <c r="KYI10"/>
      <c r="KYJ10"/>
      <c r="KYK10"/>
      <c r="KYL10"/>
      <c r="KYM10"/>
      <c r="KYN10"/>
      <c r="KYO10"/>
      <c r="KYP10"/>
      <c r="KYQ10"/>
      <c r="KYR10"/>
      <c r="KYS10"/>
      <c r="KYT10"/>
      <c r="KYU10"/>
      <c r="KYV10"/>
      <c r="KYW10"/>
      <c r="KYX10"/>
      <c r="KYY10"/>
      <c r="KYZ10"/>
      <c r="KZA10"/>
      <c r="KZB10"/>
      <c r="KZC10"/>
      <c r="KZD10"/>
      <c r="KZE10"/>
      <c r="KZF10"/>
      <c r="KZG10"/>
      <c r="KZH10"/>
      <c r="KZI10"/>
      <c r="KZJ10"/>
      <c r="KZK10"/>
      <c r="KZL10"/>
      <c r="KZM10"/>
      <c r="KZN10"/>
      <c r="KZO10"/>
      <c r="KZP10"/>
      <c r="KZQ10"/>
      <c r="KZR10"/>
      <c r="KZS10"/>
      <c r="KZT10"/>
      <c r="KZU10"/>
      <c r="KZV10"/>
      <c r="KZW10"/>
      <c r="KZX10"/>
      <c r="KZY10"/>
      <c r="KZZ10"/>
      <c r="LAA10"/>
      <c r="LAB10"/>
      <c r="LAC10"/>
      <c r="LAD10"/>
      <c r="LAE10"/>
      <c r="LAF10"/>
      <c r="LAG10"/>
      <c r="LAH10"/>
      <c r="LAI10"/>
      <c r="LAJ10"/>
      <c r="LAK10"/>
      <c r="LAL10"/>
      <c r="LAM10"/>
      <c r="LAN10"/>
      <c r="LAO10"/>
      <c r="LAP10"/>
      <c r="LAQ10"/>
      <c r="LAR10"/>
      <c r="LAS10"/>
      <c r="LAT10"/>
      <c r="LAU10"/>
      <c r="LAV10"/>
      <c r="LAW10"/>
      <c r="LAX10"/>
      <c r="LAY10"/>
      <c r="LAZ10"/>
      <c r="LBA10"/>
      <c r="LBB10"/>
      <c r="LBC10"/>
      <c r="LBD10"/>
      <c r="LBE10"/>
      <c r="LBF10"/>
      <c r="LBG10"/>
      <c r="LBH10"/>
      <c r="LBI10"/>
      <c r="LBJ10"/>
      <c r="LBK10"/>
      <c r="LBL10"/>
      <c r="LBM10"/>
      <c r="LBN10"/>
      <c r="LBO10"/>
      <c r="LBP10"/>
      <c r="LBQ10"/>
      <c r="LBR10"/>
      <c r="LBS10"/>
      <c r="LBT10"/>
      <c r="LBU10"/>
      <c r="LBV10"/>
      <c r="LBW10"/>
      <c r="LBX10"/>
      <c r="LBY10"/>
      <c r="LBZ10"/>
      <c r="LCA10"/>
      <c r="LCB10"/>
      <c r="LCC10"/>
      <c r="LCD10"/>
      <c r="LCE10"/>
      <c r="LCF10"/>
      <c r="LCG10"/>
      <c r="LCH10"/>
      <c r="LCI10"/>
      <c r="LCJ10"/>
      <c r="LCK10"/>
      <c r="LCL10"/>
      <c r="LCM10"/>
      <c r="LCN10"/>
      <c r="LCO10"/>
      <c r="LCP10"/>
      <c r="LCQ10"/>
      <c r="LCR10"/>
      <c r="LCS10"/>
      <c r="LCT10"/>
      <c r="LCU10"/>
      <c r="LCV10"/>
      <c r="LCW10"/>
      <c r="LCX10"/>
      <c r="LCY10"/>
      <c r="LCZ10"/>
      <c r="LDA10"/>
      <c r="LDB10"/>
      <c r="LDC10"/>
      <c r="LDD10"/>
      <c r="LDE10"/>
      <c r="LDF10"/>
      <c r="LDG10"/>
      <c r="LDH10"/>
      <c r="LDI10"/>
      <c r="LDJ10"/>
      <c r="LDK10"/>
      <c r="LDL10"/>
      <c r="LDM10"/>
      <c r="LDN10"/>
      <c r="LDO10"/>
      <c r="LDP10"/>
      <c r="LDQ10"/>
      <c r="LDR10"/>
      <c r="LDS10"/>
      <c r="LDT10"/>
      <c r="LDU10"/>
      <c r="LDV10"/>
      <c r="LDW10"/>
      <c r="LDX10"/>
      <c r="LDY10"/>
      <c r="LDZ10"/>
      <c r="LEA10"/>
      <c r="LEB10"/>
      <c r="LEC10"/>
      <c r="LED10"/>
      <c r="LEE10"/>
      <c r="LEF10"/>
      <c r="LEG10"/>
      <c r="LEH10"/>
      <c r="LEI10"/>
      <c r="LEJ10"/>
      <c r="LEK10"/>
      <c r="LEL10"/>
      <c r="LEM10"/>
      <c r="LEN10"/>
      <c r="LEO10"/>
      <c r="LEP10"/>
      <c r="LEQ10"/>
      <c r="LER10"/>
      <c r="LES10"/>
      <c r="LET10"/>
      <c r="LEU10"/>
      <c r="LEV10"/>
      <c r="LEW10"/>
      <c r="LEX10"/>
      <c r="LEY10"/>
      <c r="LEZ10"/>
      <c r="LFA10"/>
      <c r="LFB10"/>
      <c r="LFC10"/>
      <c r="LFD10"/>
      <c r="LFE10"/>
      <c r="LFF10"/>
      <c r="LFG10"/>
      <c r="LFH10"/>
      <c r="LFI10"/>
      <c r="LFJ10"/>
      <c r="LFK10"/>
      <c r="LFL10"/>
      <c r="LFM10"/>
      <c r="LFN10"/>
      <c r="LFO10"/>
      <c r="LFP10"/>
      <c r="LFQ10"/>
      <c r="LFR10"/>
      <c r="LFS10"/>
      <c r="LFT10"/>
      <c r="LFU10"/>
      <c r="LFV10"/>
      <c r="LFW10"/>
      <c r="LFX10"/>
      <c r="LFY10"/>
      <c r="LFZ10"/>
      <c r="LGA10"/>
      <c r="LGB10"/>
      <c r="LGC10"/>
      <c r="LGD10"/>
      <c r="LGE10"/>
      <c r="LGF10"/>
      <c r="LGG10"/>
      <c r="LGH10"/>
      <c r="LGI10"/>
      <c r="LGJ10"/>
      <c r="LGK10"/>
      <c r="LGL10"/>
      <c r="LGM10"/>
      <c r="LGN10"/>
      <c r="LGO10"/>
      <c r="LGP10"/>
      <c r="LGQ10"/>
      <c r="LGR10"/>
      <c r="LGS10"/>
      <c r="LGT10"/>
      <c r="LGU10"/>
      <c r="LGV10"/>
      <c r="LGW10"/>
      <c r="LGX10"/>
      <c r="LGY10"/>
      <c r="LGZ10"/>
      <c r="LHA10"/>
      <c r="LHB10"/>
      <c r="LHC10"/>
      <c r="LHD10"/>
      <c r="LHE10"/>
      <c r="LHF10"/>
      <c r="LHG10"/>
      <c r="LHH10"/>
      <c r="LHI10"/>
      <c r="LHJ10"/>
      <c r="LHK10"/>
      <c r="LHL10"/>
      <c r="LHM10"/>
      <c r="LHN10"/>
      <c r="LHO10"/>
      <c r="LHP10"/>
      <c r="LHQ10"/>
      <c r="LHR10"/>
      <c r="LHS10"/>
      <c r="LHT10"/>
      <c r="LHU10"/>
      <c r="LHV10"/>
      <c r="LHW10"/>
      <c r="LHX10"/>
      <c r="LHY10"/>
      <c r="LHZ10"/>
      <c r="LIA10"/>
      <c r="LIB10"/>
      <c r="LIC10"/>
      <c r="LID10"/>
      <c r="LIE10"/>
      <c r="LIF10"/>
      <c r="LIG10"/>
      <c r="LIH10"/>
      <c r="LII10"/>
      <c r="LIJ10"/>
      <c r="LIK10"/>
      <c r="LIL10"/>
      <c r="LIM10"/>
      <c r="LIN10"/>
      <c r="LIO10"/>
      <c r="LIP10"/>
      <c r="LIQ10"/>
      <c r="LIR10"/>
      <c r="LIS10"/>
      <c r="LIT10"/>
      <c r="LIU10"/>
      <c r="LIV10"/>
      <c r="LIW10"/>
      <c r="LIX10"/>
      <c r="LIY10"/>
      <c r="LIZ10"/>
      <c r="LJA10"/>
      <c r="LJB10"/>
      <c r="LJC10"/>
      <c r="LJD10"/>
      <c r="LJE10"/>
      <c r="LJF10"/>
      <c r="LJG10"/>
      <c r="LJH10"/>
      <c r="LJI10"/>
      <c r="LJJ10"/>
      <c r="LJK10"/>
      <c r="LJL10"/>
      <c r="LJM10"/>
      <c r="LJN10"/>
      <c r="LJO10"/>
      <c r="LJP10"/>
      <c r="LJQ10"/>
      <c r="LJR10"/>
      <c r="LJS10"/>
      <c r="LJT10"/>
      <c r="LJU10"/>
      <c r="LJV10"/>
      <c r="LJW10"/>
      <c r="LJX10"/>
      <c r="LJY10"/>
      <c r="LJZ10"/>
      <c r="LKA10"/>
      <c r="LKB10"/>
      <c r="LKC10"/>
      <c r="LKD10"/>
      <c r="LKE10"/>
      <c r="LKF10"/>
      <c r="LKG10"/>
      <c r="LKH10"/>
      <c r="LKI10"/>
      <c r="LKJ10"/>
      <c r="LKK10"/>
      <c r="LKL10"/>
      <c r="LKM10"/>
      <c r="LKN10"/>
      <c r="LKO10"/>
      <c r="LKP10"/>
      <c r="LKQ10"/>
      <c r="LKR10"/>
      <c r="LKS10"/>
      <c r="LKT10"/>
      <c r="LKU10"/>
      <c r="LKV10"/>
      <c r="LKW10"/>
      <c r="LKX10"/>
      <c r="LKY10"/>
      <c r="LKZ10"/>
      <c r="LLA10"/>
      <c r="LLB10"/>
      <c r="LLC10"/>
      <c r="LLD10"/>
      <c r="LLE10"/>
      <c r="LLF10"/>
      <c r="LLG10"/>
      <c r="LLH10"/>
      <c r="LLI10"/>
      <c r="LLJ10"/>
      <c r="LLK10"/>
      <c r="LLL10"/>
      <c r="LLM10"/>
      <c r="LLN10"/>
      <c r="LLO10"/>
      <c r="LLP10"/>
      <c r="LLQ10"/>
      <c r="LLR10"/>
      <c r="LLS10"/>
      <c r="LLT10"/>
      <c r="LLU10"/>
      <c r="LLV10"/>
      <c r="LLW10"/>
      <c r="LLX10"/>
      <c r="LLY10"/>
      <c r="LLZ10"/>
      <c r="LMA10"/>
      <c r="LMB10"/>
      <c r="LMC10"/>
      <c r="LMD10"/>
      <c r="LME10"/>
      <c r="LMF10"/>
      <c r="LMG10"/>
      <c r="LMH10"/>
      <c r="LMI10"/>
      <c r="LMJ10"/>
      <c r="LMK10"/>
      <c r="LML10"/>
      <c r="LMM10"/>
      <c r="LMN10"/>
      <c r="LMO10"/>
      <c r="LMP10"/>
      <c r="LMQ10"/>
      <c r="LMR10"/>
      <c r="LMS10"/>
      <c r="LMT10"/>
      <c r="LMU10"/>
      <c r="LMV10"/>
      <c r="LMW10"/>
      <c r="LMX10"/>
      <c r="LMY10"/>
      <c r="LMZ10"/>
      <c r="LNA10"/>
      <c r="LNB10"/>
      <c r="LNC10"/>
      <c r="LND10"/>
      <c r="LNE10"/>
      <c r="LNF10"/>
      <c r="LNG10"/>
      <c r="LNH10"/>
      <c r="LNI10"/>
      <c r="LNJ10"/>
      <c r="LNK10"/>
      <c r="LNL10"/>
      <c r="LNM10"/>
      <c r="LNN10"/>
      <c r="LNO10"/>
      <c r="LNP10"/>
      <c r="LNQ10"/>
      <c r="LNR10"/>
      <c r="LNS10"/>
      <c r="LNT10"/>
      <c r="LNU10"/>
      <c r="LNV10"/>
      <c r="LNW10"/>
      <c r="LNX10"/>
      <c r="LNY10"/>
      <c r="LNZ10"/>
      <c r="LOA10"/>
      <c r="LOB10"/>
      <c r="LOC10"/>
      <c r="LOD10"/>
      <c r="LOE10"/>
      <c r="LOF10"/>
      <c r="LOG10"/>
      <c r="LOH10"/>
      <c r="LOI10"/>
      <c r="LOJ10"/>
      <c r="LOK10"/>
      <c r="LOL10"/>
      <c r="LOM10"/>
      <c r="LON10"/>
      <c r="LOO10"/>
      <c r="LOP10"/>
      <c r="LOQ10"/>
      <c r="LOR10"/>
      <c r="LOS10"/>
      <c r="LOT10"/>
      <c r="LOU10"/>
      <c r="LOV10"/>
      <c r="LOW10"/>
      <c r="LOX10"/>
      <c r="LOY10"/>
      <c r="LOZ10"/>
      <c r="LPA10"/>
      <c r="LPB10"/>
      <c r="LPC10"/>
      <c r="LPD10"/>
      <c r="LPE10"/>
      <c r="LPF10"/>
      <c r="LPG10"/>
      <c r="LPH10"/>
      <c r="LPI10"/>
      <c r="LPJ10"/>
      <c r="LPK10"/>
      <c r="LPL10"/>
      <c r="LPM10"/>
      <c r="LPN10"/>
      <c r="LPO10"/>
      <c r="LPP10"/>
      <c r="LPQ10"/>
      <c r="LPR10"/>
      <c r="LPS10"/>
      <c r="LPT10"/>
      <c r="LPU10"/>
      <c r="LPV10"/>
      <c r="LPW10"/>
      <c r="LPX10"/>
      <c r="LPY10"/>
      <c r="LPZ10"/>
      <c r="LQA10"/>
      <c r="LQB10"/>
      <c r="LQC10"/>
      <c r="LQD10"/>
      <c r="LQE10"/>
      <c r="LQF10"/>
      <c r="LQG10"/>
      <c r="LQH10"/>
      <c r="LQI10"/>
      <c r="LQJ10"/>
      <c r="LQK10"/>
      <c r="LQL10"/>
      <c r="LQM10"/>
      <c r="LQN10"/>
      <c r="LQO10"/>
      <c r="LQP10"/>
      <c r="LQQ10"/>
      <c r="LQR10"/>
      <c r="LQS10"/>
      <c r="LQT10"/>
      <c r="LQU10"/>
      <c r="LQV10"/>
      <c r="LQW10"/>
      <c r="LQX10"/>
      <c r="LQY10"/>
      <c r="LQZ10"/>
      <c r="LRA10"/>
      <c r="LRB10"/>
      <c r="LRC10"/>
      <c r="LRD10"/>
      <c r="LRE10"/>
      <c r="LRF10"/>
      <c r="LRG10"/>
      <c r="LRH10"/>
      <c r="LRI10"/>
      <c r="LRJ10"/>
      <c r="LRK10"/>
      <c r="LRL10"/>
      <c r="LRM10"/>
      <c r="LRN10"/>
      <c r="LRO10"/>
      <c r="LRP10"/>
      <c r="LRQ10"/>
      <c r="LRR10"/>
      <c r="LRS10"/>
      <c r="LRT10"/>
      <c r="LRU10"/>
      <c r="LRV10"/>
      <c r="LRW10"/>
      <c r="LRX10"/>
      <c r="LRY10"/>
      <c r="LRZ10"/>
      <c r="LSA10"/>
      <c r="LSB10"/>
      <c r="LSC10"/>
      <c r="LSD10"/>
      <c r="LSE10"/>
      <c r="LSF10"/>
      <c r="LSG10"/>
      <c r="LSH10"/>
      <c r="LSI10"/>
      <c r="LSJ10"/>
      <c r="LSK10"/>
      <c r="LSL10"/>
      <c r="LSM10"/>
      <c r="LSN10"/>
      <c r="LSO10"/>
      <c r="LSP10"/>
      <c r="LSQ10"/>
      <c r="LSR10"/>
      <c r="LSS10"/>
      <c r="LST10"/>
      <c r="LSU10"/>
      <c r="LSV10"/>
      <c r="LSW10"/>
      <c r="LSX10"/>
      <c r="LSY10"/>
      <c r="LSZ10"/>
      <c r="LTA10"/>
      <c r="LTB10"/>
      <c r="LTC10"/>
      <c r="LTD10"/>
      <c r="LTE10"/>
      <c r="LTF10"/>
      <c r="LTG10"/>
      <c r="LTH10"/>
      <c r="LTI10"/>
      <c r="LTJ10"/>
      <c r="LTK10"/>
      <c r="LTL10"/>
      <c r="LTM10"/>
      <c r="LTN10"/>
      <c r="LTO10"/>
      <c r="LTP10"/>
      <c r="LTQ10"/>
      <c r="LTR10"/>
      <c r="LTS10"/>
      <c r="LTT10"/>
      <c r="LTU10"/>
      <c r="LTV10"/>
      <c r="LTW10"/>
      <c r="LTX10"/>
      <c r="LTY10"/>
      <c r="LTZ10"/>
      <c r="LUA10"/>
      <c r="LUB10"/>
      <c r="LUC10"/>
      <c r="LUD10"/>
      <c r="LUE10"/>
      <c r="LUF10"/>
      <c r="LUG10"/>
      <c r="LUH10"/>
      <c r="LUI10"/>
      <c r="LUJ10"/>
      <c r="LUK10"/>
      <c r="LUL10"/>
      <c r="LUM10"/>
      <c r="LUN10"/>
      <c r="LUO10"/>
      <c r="LUP10"/>
      <c r="LUQ10"/>
      <c r="LUR10"/>
      <c r="LUS10"/>
      <c r="LUT10"/>
      <c r="LUU10"/>
      <c r="LUV10"/>
      <c r="LUW10"/>
      <c r="LUX10"/>
      <c r="LUY10"/>
      <c r="LUZ10"/>
      <c r="LVA10"/>
      <c r="LVB10"/>
      <c r="LVC10"/>
      <c r="LVD10"/>
      <c r="LVE10"/>
      <c r="LVF10"/>
      <c r="LVG10"/>
      <c r="LVH10"/>
      <c r="LVI10"/>
      <c r="LVJ10"/>
      <c r="LVK10"/>
      <c r="LVL10"/>
      <c r="LVM10"/>
      <c r="LVN10"/>
      <c r="LVO10"/>
      <c r="LVP10"/>
      <c r="LVQ10"/>
      <c r="LVR10"/>
      <c r="LVS10"/>
      <c r="LVT10"/>
      <c r="LVU10"/>
      <c r="LVV10"/>
      <c r="LVW10"/>
      <c r="LVX10"/>
      <c r="LVY10"/>
      <c r="LVZ10"/>
      <c r="LWA10"/>
      <c r="LWB10"/>
      <c r="LWC10"/>
      <c r="LWD10"/>
      <c r="LWE10"/>
      <c r="LWF10"/>
      <c r="LWG10"/>
      <c r="LWH10"/>
      <c r="LWI10"/>
      <c r="LWJ10"/>
      <c r="LWK10"/>
      <c r="LWL10"/>
      <c r="LWM10"/>
      <c r="LWN10"/>
      <c r="LWO10"/>
      <c r="LWP10"/>
      <c r="LWQ10"/>
      <c r="LWR10"/>
      <c r="LWS10"/>
      <c r="LWT10"/>
      <c r="LWU10"/>
      <c r="LWV10"/>
      <c r="LWW10"/>
      <c r="LWX10"/>
      <c r="LWY10"/>
      <c r="LWZ10"/>
      <c r="LXA10"/>
      <c r="LXB10"/>
      <c r="LXC10"/>
      <c r="LXD10"/>
      <c r="LXE10"/>
      <c r="LXF10"/>
      <c r="LXG10"/>
      <c r="LXH10"/>
      <c r="LXI10"/>
      <c r="LXJ10"/>
      <c r="LXK10"/>
      <c r="LXL10"/>
      <c r="LXM10"/>
      <c r="LXN10"/>
      <c r="LXO10"/>
      <c r="LXP10"/>
      <c r="LXQ10"/>
      <c r="LXR10"/>
      <c r="LXS10"/>
      <c r="LXT10"/>
      <c r="LXU10"/>
      <c r="LXV10"/>
      <c r="LXW10"/>
      <c r="LXX10"/>
      <c r="LXY10"/>
      <c r="LXZ10"/>
      <c r="LYA10"/>
      <c r="LYB10"/>
      <c r="LYC10"/>
      <c r="LYD10"/>
      <c r="LYE10"/>
      <c r="LYF10"/>
      <c r="LYG10"/>
      <c r="LYH10"/>
      <c r="LYI10"/>
      <c r="LYJ10"/>
      <c r="LYK10"/>
      <c r="LYL10"/>
      <c r="LYM10"/>
      <c r="LYN10"/>
      <c r="LYO10"/>
      <c r="LYP10"/>
      <c r="LYQ10"/>
      <c r="LYR10"/>
      <c r="LYS10"/>
      <c r="LYT10"/>
      <c r="LYU10"/>
      <c r="LYV10"/>
      <c r="LYW10"/>
      <c r="LYX10"/>
      <c r="LYY10"/>
      <c r="LYZ10"/>
      <c r="LZA10"/>
      <c r="LZB10"/>
      <c r="LZC10"/>
      <c r="LZD10"/>
      <c r="LZE10"/>
      <c r="LZF10"/>
      <c r="LZG10"/>
      <c r="LZH10"/>
      <c r="LZI10"/>
      <c r="LZJ10"/>
      <c r="LZK10"/>
      <c r="LZL10"/>
      <c r="LZM10"/>
      <c r="LZN10"/>
      <c r="LZO10"/>
      <c r="LZP10"/>
      <c r="LZQ10"/>
      <c r="LZR10"/>
      <c r="LZS10"/>
      <c r="LZT10"/>
      <c r="LZU10"/>
      <c r="LZV10"/>
      <c r="LZW10"/>
      <c r="LZX10"/>
      <c r="LZY10"/>
      <c r="LZZ10"/>
      <c r="MAA10"/>
      <c r="MAB10"/>
      <c r="MAC10"/>
      <c r="MAD10"/>
      <c r="MAE10"/>
      <c r="MAF10"/>
      <c r="MAG10"/>
      <c r="MAH10"/>
      <c r="MAI10"/>
      <c r="MAJ10"/>
      <c r="MAK10"/>
      <c r="MAL10"/>
      <c r="MAM10"/>
      <c r="MAN10"/>
      <c r="MAO10"/>
      <c r="MAP10"/>
      <c r="MAQ10"/>
      <c r="MAR10"/>
      <c r="MAS10"/>
      <c r="MAT10"/>
      <c r="MAU10"/>
      <c r="MAV10"/>
      <c r="MAW10"/>
      <c r="MAX10"/>
      <c r="MAY10"/>
      <c r="MAZ10"/>
      <c r="MBA10"/>
      <c r="MBB10"/>
      <c r="MBC10"/>
      <c r="MBD10"/>
      <c r="MBE10"/>
      <c r="MBF10"/>
      <c r="MBG10"/>
      <c r="MBH10"/>
      <c r="MBI10"/>
      <c r="MBJ10"/>
      <c r="MBK10"/>
      <c r="MBL10"/>
      <c r="MBM10"/>
      <c r="MBN10"/>
      <c r="MBO10"/>
      <c r="MBP10"/>
      <c r="MBQ10"/>
      <c r="MBR10"/>
      <c r="MBS10"/>
      <c r="MBT10"/>
      <c r="MBU10"/>
      <c r="MBV10"/>
      <c r="MBW10"/>
      <c r="MBX10"/>
      <c r="MBY10"/>
      <c r="MBZ10"/>
      <c r="MCA10"/>
      <c r="MCB10"/>
      <c r="MCC10"/>
      <c r="MCD10"/>
      <c r="MCE10"/>
      <c r="MCF10"/>
      <c r="MCG10"/>
      <c r="MCH10"/>
      <c r="MCI10"/>
      <c r="MCJ10"/>
      <c r="MCK10"/>
      <c r="MCL10"/>
      <c r="MCM10"/>
      <c r="MCN10"/>
      <c r="MCO10"/>
      <c r="MCP10"/>
      <c r="MCQ10"/>
      <c r="MCR10"/>
      <c r="MCS10"/>
      <c r="MCT10"/>
      <c r="MCU10"/>
      <c r="MCV10"/>
      <c r="MCW10"/>
      <c r="MCX10"/>
      <c r="MCY10"/>
      <c r="MCZ10"/>
      <c r="MDA10"/>
      <c r="MDB10"/>
      <c r="MDC10"/>
      <c r="MDD10"/>
      <c r="MDE10"/>
      <c r="MDF10"/>
      <c r="MDG10"/>
      <c r="MDH10"/>
      <c r="MDI10"/>
      <c r="MDJ10"/>
      <c r="MDK10"/>
      <c r="MDL10"/>
      <c r="MDM10"/>
      <c r="MDN10"/>
      <c r="MDO10"/>
      <c r="MDP10"/>
      <c r="MDQ10"/>
      <c r="MDR10"/>
      <c r="MDS10"/>
      <c r="MDT10"/>
      <c r="MDU10"/>
      <c r="MDV10"/>
      <c r="MDW10"/>
      <c r="MDX10"/>
      <c r="MDY10"/>
      <c r="MDZ10"/>
      <c r="MEA10"/>
      <c r="MEB10"/>
      <c r="MEC10"/>
      <c r="MED10"/>
      <c r="MEE10"/>
      <c r="MEF10"/>
      <c r="MEG10"/>
      <c r="MEH10"/>
      <c r="MEI10"/>
      <c r="MEJ10"/>
      <c r="MEK10"/>
      <c r="MEL10"/>
      <c r="MEM10"/>
      <c r="MEN10"/>
      <c r="MEO10"/>
      <c r="MEP10"/>
      <c r="MEQ10"/>
      <c r="MER10"/>
      <c r="MES10"/>
      <c r="MET10"/>
      <c r="MEU10"/>
      <c r="MEV10"/>
      <c r="MEW10"/>
      <c r="MEX10"/>
      <c r="MEY10"/>
      <c r="MEZ10"/>
      <c r="MFA10"/>
      <c r="MFB10"/>
      <c r="MFC10"/>
      <c r="MFD10"/>
      <c r="MFE10"/>
      <c r="MFF10"/>
      <c r="MFG10"/>
      <c r="MFH10"/>
      <c r="MFI10"/>
      <c r="MFJ10"/>
      <c r="MFK10"/>
      <c r="MFL10"/>
      <c r="MFM10"/>
      <c r="MFN10"/>
      <c r="MFO10"/>
      <c r="MFP10"/>
      <c r="MFQ10"/>
      <c r="MFR10"/>
      <c r="MFS10"/>
      <c r="MFT10"/>
      <c r="MFU10"/>
      <c r="MFV10"/>
      <c r="MFW10"/>
      <c r="MFX10"/>
      <c r="MFY10"/>
      <c r="MFZ10"/>
      <c r="MGA10"/>
      <c r="MGB10"/>
      <c r="MGC10"/>
      <c r="MGD10"/>
      <c r="MGE10"/>
      <c r="MGF10"/>
      <c r="MGG10"/>
      <c r="MGH10"/>
      <c r="MGI10"/>
      <c r="MGJ10"/>
      <c r="MGK10"/>
      <c r="MGL10"/>
      <c r="MGM10"/>
      <c r="MGN10"/>
      <c r="MGO10"/>
      <c r="MGP10"/>
      <c r="MGQ10"/>
      <c r="MGR10"/>
      <c r="MGS10"/>
      <c r="MGT10"/>
      <c r="MGU10"/>
      <c r="MGV10"/>
      <c r="MGW10"/>
      <c r="MGX10"/>
      <c r="MGY10"/>
      <c r="MGZ10"/>
      <c r="MHA10"/>
      <c r="MHB10"/>
      <c r="MHC10"/>
      <c r="MHD10"/>
      <c r="MHE10"/>
      <c r="MHF10"/>
      <c r="MHG10"/>
      <c r="MHH10"/>
      <c r="MHI10"/>
      <c r="MHJ10"/>
      <c r="MHK10"/>
      <c r="MHL10"/>
      <c r="MHM10"/>
      <c r="MHN10"/>
      <c r="MHO10"/>
      <c r="MHP10"/>
      <c r="MHQ10"/>
      <c r="MHR10"/>
      <c r="MHS10"/>
      <c r="MHT10"/>
      <c r="MHU10"/>
      <c r="MHV10"/>
      <c r="MHW10"/>
      <c r="MHX10"/>
      <c r="MHY10"/>
      <c r="MHZ10"/>
      <c r="MIA10"/>
      <c r="MIB10"/>
      <c r="MIC10"/>
      <c r="MID10"/>
      <c r="MIE10"/>
      <c r="MIF10"/>
      <c r="MIG10"/>
      <c r="MIH10"/>
      <c r="MII10"/>
      <c r="MIJ10"/>
      <c r="MIK10"/>
      <c r="MIL10"/>
      <c r="MIM10"/>
      <c r="MIN10"/>
      <c r="MIO10"/>
      <c r="MIP10"/>
      <c r="MIQ10"/>
      <c r="MIR10"/>
      <c r="MIS10"/>
      <c r="MIT10"/>
      <c r="MIU10"/>
      <c r="MIV10"/>
      <c r="MIW10"/>
      <c r="MIX10"/>
      <c r="MIY10"/>
      <c r="MIZ10"/>
      <c r="MJA10"/>
      <c r="MJB10"/>
      <c r="MJC10"/>
      <c r="MJD10"/>
      <c r="MJE10"/>
      <c r="MJF10"/>
      <c r="MJG10"/>
      <c r="MJH10"/>
      <c r="MJI10"/>
      <c r="MJJ10"/>
      <c r="MJK10"/>
      <c r="MJL10"/>
      <c r="MJM10"/>
      <c r="MJN10"/>
      <c r="MJO10"/>
      <c r="MJP10"/>
      <c r="MJQ10"/>
      <c r="MJR10"/>
      <c r="MJS10"/>
      <c r="MJT10"/>
      <c r="MJU10"/>
      <c r="MJV10"/>
      <c r="MJW10"/>
      <c r="MJX10"/>
      <c r="MJY10"/>
      <c r="MJZ10"/>
      <c r="MKA10"/>
      <c r="MKB10"/>
      <c r="MKC10"/>
      <c r="MKD10"/>
      <c r="MKE10"/>
      <c r="MKF10"/>
      <c r="MKG10"/>
      <c r="MKH10"/>
      <c r="MKI10"/>
      <c r="MKJ10"/>
      <c r="MKK10"/>
      <c r="MKL10"/>
      <c r="MKM10"/>
      <c r="MKN10"/>
      <c r="MKO10"/>
      <c r="MKP10"/>
      <c r="MKQ10"/>
      <c r="MKR10"/>
      <c r="MKS10"/>
      <c r="MKT10"/>
      <c r="MKU10"/>
      <c r="MKV10"/>
      <c r="MKW10"/>
      <c r="MKX10"/>
      <c r="MKY10"/>
      <c r="MKZ10"/>
      <c r="MLA10"/>
      <c r="MLB10"/>
      <c r="MLC10"/>
      <c r="MLD10"/>
      <c r="MLE10"/>
      <c r="MLF10"/>
      <c r="MLG10"/>
      <c r="MLH10"/>
      <c r="MLI10"/>
      <c r="MLJ10"/>
      <c r="MLK10"/>
      <c r="MLL10"/>
      <c r="MLM10"/>
      <c r="MLN10"/>
      <c r="MLO10"/>
      <c r="MLP10"/>
      <c r="MLQ10"/>
      <c r="MLR10"/>
      <c r="MLS10"/>
      <c r="MLT10"/>
      <c r="MLU10"/>
      <c r="MLV10"/>
      <c r="MLW10"/>
      <c r="MLX10"/>
      <c r="MLY10"/>
      <c r="MLZ10"/>
      <c r="MMA10"/>
      <c r="MMB10"/>
      <c r="MMC10"/>
      <c r="MMD10"/>
      <c r="MME10"/>
      <c r="MMF10"/>
      <c r="MMG10"/>
      <c r="MMH10"/>
      <c r="MMI10"/>
      <c r="MMJ10"/>
      <c r="MMK10"/>
      <c r="MML10"/>
      <c r="MMM10"/>
      <c r="MMN10"/>
      <c r="MMO10"/>
      <c r="MMP10"/>
      <c r="MMQ10"/>
      <c r="MMR10"/>
      <c r="MMS10"/>
      <c r="MMT10"/>
      <c r="MMU10"/>
      <c r="MMV10"/>
      <c r="MMW10"/>
      <c r="MMX10"/>
      <c r="MMY10"/>
      <c r="MMZ10"/>
      <c r="MNA10"/>
      <c r="MNB10"/>
      <c r="MNC10"/>
      <c r="MND10"/>
      <c r="MNE10"/>
      <c r="MNF10"/>
      <c r="MNG10"/>
      <c r="MNH10"/>
      <c r="MNI10"/>
      <c r="MNJ10"/>
      <c r="MNK10"/>
      <c r="MNL10"/>
      <c r="MNM10"/>
      <c r="MNN10"/>
      <c r="MNO10"/>
      <c r="MNP10"/>
      <c r="MNQ10"/>
      <c r="MNR10"/>
      <c r="MNS10"/>
      <c r="MNT10"/>
      <c r="MNU10"/>
      <c r="MNV10"/>
      <c r="MNW10"/>
      <c r="MNX10"/>
      <c r="MNY10"/>
      <c r="MNZ10"/>
      <c r="MOA10"/>
      <c r="MOB10"/>
      <c r="MOC10"/>
      <c r="MOD10"/>
      <c r="MOE10"/>
      <c r="MOF10"/>
      <c r="MOG10"/>
      <c r="MOH10"/>
      <c r="MOI10"/>
      <c r="MOJ10"/>
      <c r="MOK10"/>
      <c r="MOL10"/>
      <c r="MOM10"/>
      <c r="MON10"/>
      <c r="MOO10"/>
      <c r="MOP10"/>
      <c r="MOQ10"/>
      <c r="MOR10"/>
      <c r="MOS10"/>
      <c r="MOT10"/>
      <c r="MOU10"/>
      <c r="MOV10"/>
      <c r="MOW10"/>
      <c r="MOX10"/>
      <c r="MOY10"/>
      <c r="MOZ10"/>
      <c r="MPA10"/>
      <c r="MPB10"/>
      <c r="MPC10"/>
      <c r="MPD10"/>
      <c r="MPE10"/>
      <c r="MPF10"/>
      <c r="MPG10"/>
      <c r="MPH10"/>
      <c r="MPI10"/>
      <c r="MPJ10"/>
      <c r="MPK10"/>
      <c r="MPL10"/>
      <c r="MPM10"/>
      <c r="MPN10"/>
      <c r="MPO10"/>
      <c r="MPP10"/>
      <c r="MPQ10"/>
      <c r="MPR10"/>
      <c r="MPS10"/>
      <c r="MPT10"/>
      <c r="MPU10"/>
      <c r="MPV10"/>
      <c r="MPW10"/>
      <c r="MPX10"/>
      <c r="MPY10"/>
      <c r="MPZ10"/>
      <c r="MQA10"/>
      <c r="MQB10"/>
      <c r="MQC10"/>
      <c r="MQD10"/>
      <c r="MQE10"/>
      <c r="MQF10"/>
      <c r="MQG10"/>
      <c r="MQH10"/>
      <c r="MQI10"/>
      <c r="MQJ10"/>
      <c r="MQK10"/>
      <c r="MQL10"/>
      <c r="MQM10"/>
      <c r="MQN10"/>
      <c r="MQO10"/>
      <c r="MQP10"/>
      <c r="MQQ10"/>
      <c r="MQR10"/>
      <c r="MQS10"/>
      <c r="MQT10"/>
      <c r="MQU10"/>
      <c r="MQV10"/>
      <c r="MQW10"/>
      <c r="MQX10"/>
      <c r="MQY10"/>
      <c r="MQZ10"/>
      <c r="MRA10"/>
      <c r="MRB10"/>
      <c r="MRC10"/>
      <c r="MRD10"/>
      <c r="MRE10"/>
      <c r="MRF10"/>
      <c r="MRG10"/>
      <c r="MRH10"/>
      <c r="MRI10"/>
      <c r="MRJ10"/>
      <c r="MRK10"/>
      <c r="MRL10"/>
      <c r="MRM10"/>
      <c r="MRN10"/>
      <c r="MRO10"/>
      <c r="MRP10"/>
      <c r="MRQ10"/>
      <c r="MRR10"/>
      <c r="MRS10"/>
      <c r="MRT10"/>
      <c r="MRU10"/>
      <c r="MRV10"/>
      <c r="MRW10"/>
      <c r="MRX10"/>
      <c r="MRY10"/>
      <c r="MRZ10"/>
      <c r="MSA10"/>
      <c r="MSB10"/>
      <c r="MSC10"/>
      <c r="MSD10"/>
      <c r="MSE10"/>
      <c r="MSF10"/>
      <c r="MSG10"/>
      <c r="MSH10"/>
      <c r="MSI10"/>
      <c r="MSJ10"/>
      <c r="MSK10"/>
      <c r="MSL10"/>
      <c r="MSM10"/>
      <c r="MSN10"/>
      <c r="MSO10"/>
      <c r="MSP10"/>
      <c r="MSQ10"/>
      <c r="MSR10"/>
      <c r="MSS10"/>
      <c r="MST10"/>
      <c r="MSU10"/>
      <c r="MSV10"/>
      <c r="MSW10"/>
      <c r="MSX10"/>
      <c r="MSY10"/>
      <c r="MSZ10"/>
      <c r="MTA10"/>
      <c r="MTB10"/>
      <c r="MTC10"/>
      <c r="MTD10"/>
      <c r="MTE10"/>
      <c r="MTF10"/>
      <c r="MTG10"/>
      <c r="MTH10"/>
      <c r="MTI10"/>
      <c r="MTJ10"/>
      <c r="MTK10"/>
      <c r="MTL10"/>
      <c r="MTM10"/>
      <c r="MTN10"/>
      <c r="MTO10"/>
      <c r="MTP10"/>
      <c r="MTQ10"/>
      <c r="MTR10"/>
      <c r="MTS10"/>
      <c r="MTT10"/>
      <c r="MTU10"/>
      <c r="MTV10"/>
      <c r="MTW10"/>
      <c r="MTX10"/>
      <c r="MTY10"/>
      <c r="MTZ10"/>
      <c r="MUA10"/>
      <c r="MUB10"/>
      <c r="MUC10"/>
      <c r="MUD10"/>
      <c r="MUE10"/>
      <c r="MUF10"/>
      <c r="MUG10"/>
      <c r="MUH10"/>
      <c r="MUI10"/>
      <c r="MUJ10"/>
      <c r="MUK10"/>
      <c r="MUL10"/>
      <c r="MUM10"/>
      <c r="MUN10"/>
      <c r="MUO10"/>
      <c r="MUP10"/>
      <c r="MUQ10"/>
      <c r="MUR10"/>
      <c r="MUS10"/>
      <c r="MUT10"/>
      <c r="MUU10"/>
      <c r="MUV10"/>
      <c r="MUW10"/>
      <c r="MUX10"/>
      <c r="MUY10"/>
      <c r="MUZ10"/>
      <c r="MVA10"/>
      <c r="MVB10"/>
      <c r="MVC10"/>
      <c r="MVD10"/>
      <c r="MVE10"/>
      <c r="MVF10"/>
      <c r="MVG10"/>
      <c r="MVH10"/>
      <c r="MVI10"/>
      <c r="MVJ10"/>
      <c r="MVK10"/>
      <c r="MVL10"/>
      <c r="MVM10"/>
      <c r="MVN10"/>
      <c r="MVO10"/>
      <c r="MVP10"/>
      <c r="MVQ10"/>
      <c r="MVR10"/>
      <c r="MVS10"/>
      <c r="MVT10"/>
      <c r="MVU10"/>
      <c r="MVV10"/>
      <c r="MVW10"/>
      <c r="MVX10"/>
      <c r="MVY10"/>
      <c r="MVZ10"/>
      <c r="MWA10"/>
      <c r="MWB10"/>
      <c r="MWC10"/>
      <c r="MWD10"/>
      <c r="MWE10"/>
      <c r="MWF10"/>
      <c r="MWG10"/>
      <c r="MWH10"/>
      <c r="MWI10"/>
      <c r="MWJ10"/>
      <c r="MWK10"/>
      <c r="MWL10"/>
      <c r="MWM10"/>
      <c r="MWN10"/>
      <c r="MWO10"/>
      <c r="MWP10"/>
      <c r="MWQ10"/>
      <c r="MWR10"/>
      <c r="MWS10"/>
      <c r="MWT10"/>
      <c r="MWU10"/>
      <c r="MWV10"/>
      <c r="MWW10"/>
      <c r="MWX10"/>
      <c r="MWY10"/>
      <c r="MWZ10"/>
      <c r="MXA10"/>
      <c r="MXB10"/>
      <c r="MXC10"/>
      <c r="MXD10"/>
      <c r="MXE10"/>
      <c r="MXF10"/>
      <c r="MXG10"/>
      <c r="MXH10"/>
      <c r="MXI10"/>
      <c r="MXJ10"/>
      <c r="MXK10"/>
      <c r="MXL10"/>
      <c r="MXM10"/>
      <c r="MXN10"/>
      <c r="MXO10"/>
      <c r="MXP10"/>
      <c r="MXQ10"/>
      <c r="MXR10"/>
      <c r="MXS10"/>
      <c r="MXT10"/>
      <c r="MXU10"/>
      <c r="MXV10"/>
      <c r="MXW10"/>
      <c r="MXX10"/>
      <c r="MXY10"/>
      <c r="MXZ10"/>
      <c r="MYA10"/>
      <c r="MYB10"/>
      <c r="MYC10"/>
      <c r="MYD10"/>
      <c r="MYE10"/>
      <c r="MYF10"/>
      <c r="MYG10"/>
      <c r="MYH10"/>
      <c r="MYI10"/>
      <c r="MYJ10"/>
      <c r="MYK10"/>
      <c r="MYL10"/>
      <c r="MYM10"/>
      <c r="MYN10"/>
      <c r="MYO10"/>
      <c r="MYP10"/>
      <c r="MYQ10"/>
      <c r="MYR10"/>
      <c r="MYS10"/>
      <c r="MYT10"/>
      <c r="MYU10"/>
      <c r="MYV10"/>
      <c r="MYW10"/>
      <c r="MYX10"/>
      <c r="MYY10"/>
      <c r="MYZ10"/>
      <c r="MZA10"/>
      <c r="MZB10"/>
      <c r="MZC10"/>
      <c r="MZD10"/>
      <c r="MZE10"/>
      <c r="MZF10"/>
      <c r="MZG10"/>
      <c r="MZH10"/>
      <c r="MZI10"/>
      <c r="MZJ10"/>
      <c r="MZK10"/>
      <c r="MZL10"/>
      <c r="MZM10"/>
      <c r="MZN10"/>
      <c r="MZO10"/>
      <c r="MZP10"/>
      <c r="MZQ10"/>
      <c r="MZR10"/>
      <c r="MZS10"/>
      <c r="MZT10"/>
      <c r="MZU10"/>
      <c r="MZV10"/>
      <c r="MZW10"/>
      <c r="MZX10"/>
      <c r="MZY10"/>
      <c r="MZZ10"/>
      <c r="NAA10"/>
      <c r="NAB10"/>
      <c r="NAC10"/>
      <c r="NAD10"/>
      <c r="NAE10"/>
      <c r="NAF10"/>
      <c r="NAG10"/>
      <c r="NAH10"/>
      <c r="NAI10"/>
      <c r="NAJ10"/>
      <c r="NAK10"/>
      <c r="NAL10"/>
      <c r="NAM10"/>
      <c r="NAN10"/>
      <c r="NAO10"/>
      <c r="NAP10"/>
      <c r="NAQ10"/>
      <c r="NAR10"/>
      <c r="NAS10"/>
      <c r="NAT10"/>
      <c r="NAU10"/>
      <c r="NAV10"/>
      <c r="NAW10"/>
      <c r="NAX10"/>
      <c r="NAY10"/>
      <c r="NAZ10"/>
      <c r="NBA10"/>
      <c r="NBB10"/>
      <c r="NBC10"/>
      <c r="NBD10"/>
      <c r="NBE10"/>
      <c r="NBF10"/>
      <c r="NBG10"/>
      <c r="NBH10"/>
      <c r="NBI10"/>
      <c r="NBJ10"/>
      <c r="NBK10"/>
      <c r="NBL10"/>
      <c r="NBM10"/>
      <c r="NBN10"/>
      <c r="NBO10"/>
      <c r="NBP10"/>
      <c r="NBQ10"/>
      <c r="NBR10"/>
      <c r="NBS10"/>
      <c r="NBT10"/>
      <c r="NBU10"/>
      <c r="NBV10"/>
      <c r="NBW10"/>
      <c r="NBX10"/>
      <c r="NBY10"/>
      <c r="NBZ10"/>
      <c r="NCA10"/>
      <c r="NCB10"/>
      <c r="NCC10"/>
      <c r="NCD10"/>
      <c r="NCE10"/>
      <c r="NCF10"/>
      <c r="NCG10"/>
      <c r="NCH10"/>
      <c r="NCI10"/>
      <c r="NCJ10"/>
      <c r="NCK10"/>
      <c r="NCL10"/>
      <c r="NCM10"/>
      <c r="NCN10"/>
      <c r="NCO10"/>
      <c r="NCP10"/>
      <c r="NCQ10"/>
      <c r="NCR10"/>
      <c r="NCS10"/>
      <c r="NCT10"/>
      <c r="NCU10"/>
      <c r="NCV10"/>
      <c r="NCW10"/>
      <c r="NCX10"/>
      <c r="NCY10"/>
      <c r="NCZ10"/>
      <c r="NDA10"/>
      <c r="NDB10"/>
      <c r="NDC10"/>
      <c r="NDD10"/>
      <c r="NDE10"/>
      <c r="NDF10"/>
      <c r="NDG10"/>
      <c r="NDH10"/>
      <c r="NDI10"/>
      <c r="NDJ10"/>
      <c r="NDK10"/>
      <c r="NDL10"/>
      <c r="NDM10"/>
      <c r="NDN10"/>
      <c r="NDO10"/>
      <c r="NDP10"/>
      <c r="NDQ10"/>
      <c r="NDR10"/>
      <c r="NDS10"/>
      <c r="NDT10"/>
      <c r="NDU10"/>
      <c r="NDV10"/>
      <c r="NDW10"/>
      <c r="NDX10"/>
      <c r="NDY10"/>
      <c r="NDZ10"/>
      <c r="NEA10"/>
      <c r="NEB10"/>
      <c r="NEC10"/>
      <c r="NED10"/>
      <c r="NEE10"/>
      <c r="NEF10"/>
      <c r="NEG10"/>
      <c r="NEH10"/>
      <c r="NEI10"/>
      <c r="NEJ10"/>
      <c r="NEK10"/>
      <c r="NEL10"/>
      <c r="NEM10"/>
      <c r="NEN10"/>
      <c r="NEO10"/>
      <c r="NEP10"/>
      <c r="NEQ10"/>
      <c r="NER10"/>
      <c r="NES10"/>
      <c r="NET10"/>
      <c r="NEU10"/>
      <c r="NEV10"/>
      <c r="NEW10"/>
      <c r="NEX10"/>
      <c r="NEY10"/>
      <c r="NEZ10"/>
      <c r="NFA10"/>
      <c r="NFB10"/>
      <c r="NFC10"/>
      <c r="NFD10"/>
      <c r="NFE10"/>
      <c r="NFF10"/>
      <c r="NFG10"/>
      <c r="NFH10"/>
      <c r="NFI10"/>
      <c r="NFJ10"/>
      <c r="NFK10"/>
      <c r="NFL10"/>
      <c r="NFM10"/>
      <c r="NFN10"/>
      <c r="NFO10"/>
      <c r="NFP10"/>
      <c r="NFQ10"/>
      <c r="NFR10"/>
      <c r="NFS10"/>
      <c r="NFT10"/>
      <c r="NFU10"/>
      <c r="NFV10"/>
      <c r="NFW10"/>
      <c r="NFX10"/>
      <c r="NFY10"/>
      <c r="NFZ10"/>
      <c r="NGA10"/>
      <c r="NGB10"/>
      <c r="NGC10"/>
      <c r="NGD10"/>
      <c r="NGE10"/>
      <c r="NGF10"/>
      <c r="NGG10"/>
      <c r="NGH10"/>
      <c r="NGI10"/>
      <c r="NGJ10"/>
      <c r="NGK10"/>
      <c r="NGL10"/>
      <c r="NGM10"/>
      <c r="NGN10"/>
      <c r="NGO10"/>
      <c r="NGP10"/>
      <c r="NGQ10"/>
      <c r="NGR10"/>
      <c r="NGS10"/>
      <c r="NGT10"/>
      <c r="NGU10"/>
      <c r="NGV10"/>
      <c r="NGW10"/>
      <c r="NGX10"/>
      <c r="NGY10"/>
      <c r="NGZ10"/>
      <c r="NHA10"/>
      <c r="NHB10"/>
      <c r="NHC10"/>
      <c r="NHD10"/>
      <c r="NHE10"/>
      <c r="NHF10"/>
      <c r="NHG10"/>
      <c r="NHH10"/>
      <c r="NHI10"/>
      <c r="NHJ10"/>
      <c r="NHK10"/>
      <c r="NHL10"/>
      <c r="NHM10"/>
      <c r="NHN10"/>
      <c r="NHO10"/>
      <c r="NHP10"/>
      <c r="NHQ10"/>
      <c r="NHR10"/>
      <c r="NHS10"/>
      <c r="NHT10"/>
      <c r="NHU10"/>
      <c r="NHV10"/>
      <c r="NHW10"/>
      <c r="NHX10"/>
      <c r="NHY10"/>
      <c r="NHZ10"/>
      <c r="NIA10"/>
      <c r="NIB10"/>
      <c r="NIC10"/>
      <c r="NID10"/>
      <c r="NIE10"/>
      <c r="NIF10"/>
      <c r="NIG10"/>
      <c r="NIH10"/>
      <c r="NII10"/>
      <c r="NIJ10"/>
      <c r="NIK10"/>
      <c r="NIL10"/>
      <c r="NIM10"/>
      <c r="NIN10"/>
      <c r="NIO10"/>
      <c r="NIP10"/>
      <c r="NIQ10"/>
      <c r="NIR10"/>
      <c r="NIS10"/>
      <c r="NIT10"/>
      <c r="NIU10"/>
      <c r="NIV10"/>
      <c r="NIW10"/>
      <c r="NIX10"/>
      <c r="NIY10"/>
      <c r="NIZ10"/>
      <c r="NJA10"/>
      <c r="NJB10"/>
      <c r="NJC10"/>
      <c r="NJD10"/>
      <c r="NJE10"/>
      <c r="NJF10"/>
      <c r="NJG10"/>
      <c r="NJH10"/>
      <c r="NJI10"/>
      <c r="NJJ10"/>
      <c r="NJK10"/>
      <c r="NJL10"/>
      <c r="NJM10"/>
      <c r="NJN10"/>
      <c r="NJO10"/>
      <c r="NJP10"/>
      <c r="NJQ10"/>
      <c r="NJR10"/>
      <c r="NJS10"/>
      <c r="NJT10"/>
      <c r="NJU10"/>
      <c r="NJV10"/>
      <c r="NJW10"/>
      <c r="NJX10"/>
      <c r="NJY10"/>
      <c r="NJZ10"/>
      <c r="NKA10"/>
      <c r="NKB10"/>
      <c r="NKC10"/>
      <c r="NKD10"/>
      <c r="NKE10"/>
      <c r="NKF10"/>
      <c r="NKG10"/>
      <c r="NKH10"/>
      <c r="NKI10"/>
      <c r="NKJ10"/>
      <c r="NKK10"/>
      <c r="NKL10"/>
      <c r="NKM10"/>
      <c r="NKN10"/>
      <c r="NKO10"/>
      <c r="NKP10"/>
      <c r="NKQ10"/>
      <c r="NKR10"/>
      <c r="NKS10"/>
      <c r="NKT10"/>
      <c r="NKU10"/>
      <c r="NKV10"/>
      <c r="NKW10"/>
      <c r="NKX10"/>
      <c r="NKY10"/>
      <c r="NKZ10"/>
      <c r="NLA10"/>
      <c r="NLB10"/>
      <c r="NLC10"/>
      <c r="NLD10"/>
      <c r="NLE10"/>
      <c r="NLF10"/>
      <c r="NLG10"/>
      <c r="NLH10"/>
      <c r="NLI10"/>
      <c r="NLJ10"/>
      <c r="NLK10"/>
      <c r="NLL10"/>
      <c r="NLM10"/>
      <c r="NLN10"/>
      <c r="NLO10"/>
      <c r="NLP10"/>
      <c r="NLQ10"/>
      <c r="NLR10"/>
      <c r="NLS10"/>
      <c r="NLT10"/>
      <c r="NLU10"/>
      <c r="NLV10"/>
      <c r="NLW10"/>
      <c r="NLX10"/>
      <c r="NLY10"/>
      <c r="NLZ10"/>
      <c r="NMA10"/>
      <c r="NMB10"/>
      <c r="NMC10"/>
      <c r="NMD10"/>
      <c r="NME10"/>
      <c r="NMF10"/>
      <c r="NMG10"/>
      <c r="NMH10"/>
      <c r="NMI10"/>
      <c r="NMJ10"/>
      <c r="NMK10"/>
      <c r="NML10"/>
      <c r="NMM10"/>
      <c r="NMN10"/>
      <c r="NMO10"/>
      <c r="NMP10"/>
      <c r="NMQ10"/>
      <c r="NMR10"/>
      <c r="NMS10"/>
      <c r="NMT10"/>
      <c r="NMU10"/>
      <c r="NMV10"/>
      <c r="NMW10"/>
      <c r="NMX10"/>
      <c r="NMY10"/>
      <c r="NMZ10"/>
      <c r="NNA10"/>
      <c r="NNB10"/>
      <c r="NNC10"/>
      <c r="NND10"/>
      <c r="NNE10"/>
      <c r="NNF10"/>
      <c r="NNG10"/>
      <c r="NNH10"/>
      <c r="NNI10"/>
      <c r="NNJ10"/>
      <c r="NNK10"/>
      <c r="NNL10"/>
      <c r="NNM10"/>
      <c r="NNN10"/>
      <c r="NNO10"/>
      <c r="NNP10"/>
      <c r="NNQ10"/>
      <c r="NNR10"/>
      <c r="NNS10"/>
      <c r="NNT10"/>
      <c r="NNU10"/>
      <c r="NNV10"/>
      <c r="NNW10"/>
      <c r="NNX10"/>
      <c r="NNY10"/>
      <c r="NNZ10"/>
      <c r="NOA10"/>
      <c r="NOB10"/>
      <c r="NOC10"/>
      <c r="NOD10"/>
      <c r="NOE10"/>
      <c r="NOF10"/>
      <c r="NOG10"/>
      <c r="NOH10"/>
      <c r="NOI10"/>
      <c r="NOJ10"/>
      <c r="NOK10"/>
      <c r="NOL10"/>
      <c r="NOM10"/>
      <c r="NON10"/>
      <c r="NOO10"/>
      <c r="NOP10"/>
      <c r="NOQ10"/>
      <c r="NOR10"/>
      <c r="NOS10"/>
      <c r="NOT10"/>
      <c r="NOU10"/>
      <c r="NOV10"/>
      <c r="NOW10"/>
      <c r="NOX10"/>
      <c r="NOY10"/>
      <c r="NOZ10"/>
      <c r="NPA10"/>
      <c r="NPB10"/>
      <c r="NPC10"/>
      <c r="NPD10"/>
      <c r="NPE10"/>
      <c r="NPF10"/>
      <c r="NPG10"/>
      <c r="NPH10"/>
      <c r="NPI10"/>
      <c r="NPJ10"/>
      <c r="NPK10"/>
      <c r="NPL10"/>
      <c r="NPM10"/>
      <c r="NPN10"/>
      <c r="NPO10"/>
      <c r="NPP10"/>
      <c r="NPQ10"/>
      <c r="NPR10"/>
      <c r="NPS10"/>
      <c r="NPT10"/>
      <c r="NPU10"/>
      <c r="NPV10"/>
      <c r="NPW10"/>
      <c r="NPX10"/>
      <c r="NPY10"/>
      <c r="NPZ10"/>
      <c r="NQA10"/>
      <c r="NQB10"/>
      <c r="NQC10"/>
      <c r="NQD10"/>
      <c r="NQE10"/>
      <c r="NQF10"/>
      <c r="NQG10"/>
      <c r="NQH10"/>
      <c r="NQI10"/>
      <c r="NQJ10"/>
      <c r="NQK10"/>
      <c r="NQL10"/>
      <c r="NQM10"/>
      <c r="NQN10"/>
      <c r="NQO10"/>
      <c r="NQP10"/>
      <c r="NQQ10"/>
      <c r="NQR10"/>
      <c r="NQS10"/>
      <c r="NQT10"/>
      <c r="NQU10"/>
      <c r="NQV10"/>
      <c r="NQW10"/>
      <c r="NQX10"/>
      <c r="NQY10"/>
      <c r="NQZ10"/>
      <c r="NRA10"/>
      <c r="NRB10"/>
      <c r="NRC10"/>
      <c r="NRD10"/>
      <c r="NRE10"/>
      <c r="NRF10"/>
      <c r="NRG10"/>
      <c r="NRH10"/>
      <c r="NRI10"/>
      <c r="NRJ10"/>
      <c r="NRK10"/>
      <c r="NRL10"/>
      <c r="NRM10"/>
      <c r="NRN10"/>
      <c r="NRO10"/>
      <c r="NRP10"/>
      <c r="NRQ10"/>
      <c r="NRR10"/>
      <c r="NRS10"/>
      <c r="NRT10"/>
      <c r="NRU10"/>
      <c r="NRV10"/>
      <c r="NRW10"/>
      <c r="NRX10"/>
      <c r="NRY10"/>
      <c r="NRZ10"/>
      <c r="NSA10"/>
      <c r="NSB10"/>
      <c r="NSC10"/>
      <c r="NSD10"/>
      <c r="NSE10"/>
      <c r="NSF10"/>
      <c r="NSG10"/>
      <c r="NSH10"/>
      <c r="NSI10"/>
      <c r="NSJ10"/>
      <c r="NSK10"/>
      <c r="NSL10"/>
      <c r="NSM10"/>
      <c r="NSN10"/>
      <c r="NSO10"/>
      <c r="NSP10"/>
      <c r="NSQ10"/>
      <c r="NSR10"/>
      <c r="NSS10"/>
      <c r="NST10"/>
      <c r="NSU10"/>
      <c r="NSV10"/>
      <c r="NSW10"/>
      <c r="NSX10"/>
      <c r="NSY10"/>
      <c r="NSZ10"/>
      <c r="NTA10"/>
      <c r="NTB10"/>
      <c r="NTC10"/>
      <c r="NTD10"/>
      <c r="NTE10"/>
      <c r="NTF10"/>
      <c r="NTG10"/>
      <c r="NTH10"/>
      <c r="NTI10"/>
      <c r="NTJ10"/>
      <c r="NTK10"/>
      <c r="NTL10"/>
      <c r="NTM10"/>
      <c r="NTN10"/>
      <c r="NTO10"/>
      <c r="NTP10"/>
      <c r="NTQ10"/>
      <c r="NTR10"/>
      <c r="NTS10"/>
      <c r="NTT10"/>
      <c r="NTU10"/>
      <c r="NTV10"/>
      <c r="NTW10"/>
      <c r="NTX10"/>
      <c r="NTY10"/>
      <c r="NTZ10"/>
      <c r="NUA10"/>
      <c r="NUB10"/>
      <c r="NUC10"/>
      <c r="NUD10"/>
      <c r="NUE10"/>
      <c r="NUF10"/>
      <c r="NUG10"/>
      <c r="NUH10"/>
      <c r="NUI10"/>
      <c r="NUJ10"/>
      <c r="NUK10"/>
      <c r="NUL10"/>
      <c r="NUM10"/>
      <c r="NUN10"/>
      <c r="NUO10"/>
      <c r="NUP10"/>
      <c r="NUQ10"/>
      <c r="NUR10"/>
      <c r="NUS10"/>
      <c r="NUT10"/>
      <c r="NUU10"/>
      <c r="NUV10"/>
      <c r="NUW10"/>
      <c r="NUX10"/>
      <c r="NUY10"/>
      <c r="NUZ10"/>
      <c r="NVA10"/>
      <c r="NVB10"/>
      <c r="NVC10"/>
      <c r="NVD10"/>
      <c r="NVE10"/>
      <c r="NVF10"/>
      <c r="NVG10"/>
      <c r="NVH10"/>
      <c r="NVI10"/>
      <c r="NVJ10"/>
      <c r="NVK10"/>
      <c r="NVL10"/>
      <c r="NVM10"/>
      <c r="NVN10"/>
      <c r="NVO10"/>
      <c r="NVP10"/>
      <c r="NVQ10"/>
      <c r="NVR10"/>
      <c r="NVS10"/>
      <c r="NVT10"/>
      <c r="NVU10"/>
      <c r="NVV10"/>
      <c r="NVW10"/>
      <c r="NVX10"/>
      <c r="NVY10"/>
      <c r="NVZ10"/>
      <c r="NWA10"/>
      <c r="NWB10"/>
      <c r="NWC10"/>
      <c r="NWD10"/>
      <c r="NWE10"/>
      <c r="NWF10"/>
      <c r="NWG10"/>
      <c r="NWH10"/>
      <c r="NWI10"/>
      <c r="NWJ10"/>
      <c r="NWK10"/>
      <c r="NWL10"/>
      <c r="NWM10"/>
      <c r="NWN10"/>
      <c r="NWO10"/>
      <c r="NWP10"/>
      <c r="NWQ10"/>
      <c r="NWR10"/>
      <c r="NWS10"/>
      <c r="NWT10"/>
      <c r="NWU10"/>
      <c r="NWV10"/>
      <c r="NWW10"/>
      <c r="NWX10"/>
      <c r="NWY10"/>
      <c r="NWZ10"/>
      <c r="NXA10"/>
      <c r="NXB10"/>
      <c r="NXC10"/>
      <c r="NXD10"/>
      <c r="NXE10"/>
      <c r="NXF10"/>
      <c r="NXG10"/>
      <c r="NXH10"/>
      <c r="NXI10"/>
      <c r="NXJ10"/>
      <c r="NXK10"/>
      <c r="NXL10"/>
      <c r="NXM10"/>
      <c r="NXN10"/>
      <c r="NXO10"/>
      <c r="NXP10"/>
      <c r="NXQ10"/>
      <c r="NXR10"/>
      <c r="NXS10"/>
      <c r="NXT10"/>
      <c r="NXU10"/>
      <c r="NXV10"/>
      <c r="NXW10"/>
      <c r="NXX10"/>
      <c r="NXY10"/>
      <c r="NXZ10"/>
      <c r="NYA10"/>
      <c r="NYB10"/>
      <c r="NYC10"/>
      <c r="NYD10"/>
      <c r="NYE10"/>
      <c r="NYF10"/>
      <c r="NYG10"/>
      <c r="NYH10"/>
      <c r="NYI10"/>
      <c r="NYJ10"/>
      <c r="NYK10"/>
      <c r="NYL10"/>
      <c r="NYM10"/>
      <c r="NYN10"/>
      <c r="NYO10"/>
      <c r="NYP10"/>
      <c r="NYQ10"/>
      <c r="NYR10"/>
      <c r="NYS10"/>
      <c r="NYT10"/>
      <c r="NYU10"/>
      <c r="NYV10"/>
      <c r="NYW10"/>
      <c r="NYX10"/>
      <c r="NYY10"/>
      <c r="NYZ10"/>
      <c r="NZA10"/>
      <c r="NZB10"/>
      <c r="NZC10"/>
      <c r="NZD10"/>
      <c r="NZE10"/>
      <c r="NZF10"/>
      <c r="NZG10"/>
      <c r="NZH10"/>
      <c r="NZI10"/>
      <c r="NZJ10"/>
      <c r="NZK10"/>
      <c r="NZL10"/>
      <c r="NZM10"/>
      <c r="NZN10"/>
      <c r="NZO10"/>
      <c r="NZP10"/>
      <c r="NZQ10"/>
      <c r="NZR10"/>
      <c r="NZS10"/>
      <c r="NZT10"/>
      <c r="NZU10"/>
      <c r="NZV10"/>
      <c r="NZW10"/>
      <c r="NZX10"/>
      <c r="NZY10"/>
      <c r="NZZ10"/>
      <c r="OAA10"/>
      <c r="OAB10"/>
      <c r="OAC10"/>
      <c r="OAD10"/>
      <c r="OAE10"/>
      <c r="OAF10"/>
      <c r="OAG10"/>
      <c r="OAH10"/>
      <c r="OAI10"/>
      <c r="OAJ10"/>
      <c r="OAK10"/>
      <c r="OAL10"/>
      <c r="OAM10"/>
      <c r="OAN10"/>
      <c r="OAO10"/>
      <c r="OAP10"/>
      <c r="OAQ10"/>
      <c r="OAR10"/>
      <c r="OAS10"/>
      <c r="OAT10"/>
      <c r="OAU10"/>
      <c r="OAV10"/>
      <c r="OAW10"/>
      <c r="OAX10"/>
      <c r="OAY10"/>
      <c r="OAZ10"/>
      <c r="OBA10"/>
      <c r="OBB10"/>
      <c r="OBC10"/>
      <c r="OBD10"/>
      <c r="OBE10"/>
      <c r="OBF10"/>
      <c r="OBG10"/>
      <c r="OBH10"/>
      <c r="OBI10"/>
      <c r="OBJ10"/>
      <c r="OBK10"/>
      <c r="OBL10"/>
      <c r="OBM10"/>
      <c r="OBN10"/>
      <c r="OBO10"/>
      <c r="OBP10"/>
      <c r="OBQ10"/>
      <c r="OBR10"/>
      <c r="OBS10"/>
      <c r="OBT10"/>
      <c r="OBU10"/>
      <c r="OBV10"/>
      <c r="OBW10"/>
      <c r="OBX10"/>
      <c r="OBY10"/>
      <c r="OBZ10"/>
      <c r="OCA10"/>
      <c r="OCB10"/>
      <c r="OCC10"/>
      <c r="OCD10"/>
      <c r="OCE10"/>
      <c r="OCF10"/>
      <c r="OCG10"/>
      <c r="OCH10"/>
      <c r="OCI10"/>
      <c r="OCJ10"/>
      <c r="OCK10"/>
      <c r="OCL10"/>
      <c r="OCM10"/>
      <c r="OCN10"/>
      <c r="OCO10"/>
      <c r="OCP10"/>
      <c r="OCQ10"/>
      <c r="OCR10"/>
      <c r="OCS10"/>
      <c r="OCT10"/>
      <c r="OCU10"/>
      <c r="OCV10"/>
      <c r="OCW10"/>
      <c r="OCX10"/>
      <c r="OCY10"/>
      <c r="OCZ10"/>
      <c r="ODA10"/>
      <c r="ODB10"/>
      <c r="ODC10"/>
      <c r="ODD10"/>
      <c r="ODE10"/>
      <c r="ODF10"/>
      <c r="ODG10"/>
      <c r="ODH10"/>
      <c r="ODI10"/>
      <c r="ODJ10"/>
      <c r="ODK10"/>
      <c r="ODL10"/>
      <c r="ODM10"/>
      <c r="ODN10"/>
      <c r="ODO10"/>
      <c r="ODP10"/>
      <c r="ODQ10"/>
      <c r="ODR10"/>
      <c r="ODS10"/>
      <c r="ODT10"/>
      <c r="ODU10"/>
      <c r="ODV10"/>
      <c r="ODW10"/>
      <c r="ODX10"/>
      <c r="ODY10"/>
      <c r="ODZ10"/>
      <c r="OEA10"/>
      <c r="OEB10"/>
      <c r="OEC10"/>
      <c r="OED10"/>
      <c r="OEE10"/>
      <c r="OEF10"/>
      <c r="OEG10"/>
      <c r="OEH10"/>
      <c r="OEI10"/>
      <c r="OEJ10"/>
      <c r="OEK10"/>
      <c r="OEL10"/>
      <c r="OEM10"/>
      <c r="OEN10"/>
      <c r="OEO10"/>
      <c r="OEP10"/>
      <c r="OEQ10"/>
      <c r="OER10"/>
      <c r="OES10"/>
      <c r="OET10"/>
      <c r="OEU10"/>
      <c r="OEV10"/>
      <c r="OEW10"/>
      <c r="OEX10"/>
      <c r="OEY10"/>
      <c r="OEZ10"/>
      <c r="OFA10"/>
      <c r="OFB10"/>
      <c r="OFC10"/>
      <c r="OFD10"/>
      <c r="OFE10"/>
      <c r="OFF10"/>
      <c r="OFG10"/>
      <c r="OFH10"/>
      <c r="OFI10"/>
      <c r="OFJ10"/>
      <c r="OFK10"/>
      <c r="OFL10"/>
      <c r="OFM10"/>
      <c r="OFN10"/>
      <c r="OFO10"/>
      <c r="OFP10"/>
      <c r="OFQ10"/>
      <c r="OFR10"/>
      <c r="OFS10"/>
      <c r="OFT10"/>
      <c r="OFU10"/>
      <c r="OFV10"/>
      <c r="OFW10"/>
      <c r="OFX10"/>
      <c r="OFY10"/>
      <c r="OFZ10"/>
      <c r="OGA10"/>
      <c r="OGB10"/>
      <c r="OGC10"/>
      <c r="OGD10"/>
      <c r="OGE10"/>
      <c r="OGF10"/>
      <c r="OGG10"/>
      <c r="OGH10"/>
      <c r="OGI10"/>
      <c r="OGJ10"/>
      <c r="OGK10"/>
      <c r="OGL10"/>
      <c r="OGM10"/>
      <c r="OGN10"/>
      <c r="OGO10"/>
      <c r="OGP10"/>
      <c r="OGQ10"/>
      <c r="OGR10"/>
      <c r="OGS10"/>
      <c r="OGT10"/>
      <c r="OGU10"/>
      <c r="OGV10"/>
      <c r="OGW10"/>
      <c r="OGX10"/>
      <c r="OGY10"/>
      <c r="OGZ10"/>
      <c r="OHA10"/>
      <c r="OHB10"/>
      <c r="OHC10"/>
      <c r="OHD10"/>
      <c r="OHE10"/>
      <c r="OHF10"/>
      <c r="OHG10"/>
      <c r="OHH10"/>
      <c r="OHI10"/>
      <c r="OHJ10"/>
      <c r="OHK10"/>
      <c r="OHL10"/>
      <c r="OHM10"/>
      <c r="OHN10"/>
      <c r="OHO10"/>
      <c r="OHP10"/>
      <c r="OHQ10"/>
      <c r="OHR10"/>
      <c r="OHS10"/>
      <c r="OHT10"/>
      <c r="OHU10"/>
      <c r="OHV10"/>
      <c r="OHW10"/>
      <c r="OHX10"/>
      <c r="OHY10"/>
      <c r="OHZ10"/>
      <c r="OIA10"/>
      <c r="OIB10"/>
      <c r="OIC10"/>
      <c r="OID10"/>
      <c r="OIE10"/>
      <c r="OIF10"/>
      <c r="OIG10"/>
      <c r="OIH10"/>
      <c r="OII10"/>
      <c r="OIJ10"/>
      <c r="OIK10"/>
      <c r="OIL10"/>
      <c r="OIM10"/>
      <c r="OIN10"/>
      <c r="OIO10"/>
      <c r="OIP10"/>
      <c r="OIQ10"/>
      <c r="OIR10"/>
      <c r="OIS10"/>
      <c r="OIT10"/>
      <c r="OIU10"/>
      <c r="OIV10"/>
      <c r="OIW10"/>
      <c r="OIX10"/>
      <c r="OIY10"/>
      <c r="OIZ10"/>
      <c r="OJA10"/>
      <c r="OJB10"/>
      <c r="OJC10"/>
      <c r="OJD10"/>
      <c r="OJE10"/>
      <c r="OJF10"/>
      <c r="OJG10"/>
      <c r="OJH10"/>
      <c r="OJI10"/>
      <c r="OJJ10"/>
      <c r="OJK10"/>
      <c r="OJL10"/>
      <c r="OJM10"/>
      <c r="OJN10"/>
      <c r="OJO10"/>
      <c r="OJP10"/>
      <c r="OJQ10"/>
      <c r="OJR10"/>
      <c r="OJS10"/>
      <c r="OJT10"/>
      <c r="OJU10"/>
      <c r="OJV10"/>
      <c r="OJW10"/>
      <c r="OJX10"/>
      <c r="OJY10"/>
      <c r="OJZ10"/>
      <c r="OKA10"/>
      <c r="OKB10"/>
      <c r="OKC10"/>
      <c r="OKD10"/>
      <c r="OKE10"/>
      <c r="OKF10"/>
      <c r="OKG10"/>
      <c r="OKH10"/>
      <c r="OKI10"/>
      <c r="OKJ10"/>
      <c r="OKK10"/>
      <c r="OKL10"/>
      <c r="OKM10"/>
      <c r="OKN10"/>
      <c r="OKO10"/>
      <c r="OKP10"/>
      <c r="OKQ10"/>
      <c r="OKR10"/>
      <c r="OKS10"/>
      <c r="OKT10"/>
      <c r="OKU10"/>
      <c r="OKV10"/>
      <c r="OKW10"/>
      <c r="OKX10"/>
      <c r="OKY10"/>
      <c r="OKZ10"/>
      <c r="OLA10"/>
      <c r="OLB10"/>
      <c r="OLC10"/>
      <c r="OLD10"/>
      <c r="OLE10"/>
      <c r="OLF10"/>
      <c r="OLG10"/>
      <c r="OLH10"/>
      <c r="OLI10"/>
      <c r="OLJ10"/>
      <c r="OLK10"/>
      <c r="OLL10"/>
      <c r="OLM10"/>
      <c r="OLN10"/>
      <c r="OLO10"/>
      <c r="OLP10"/>
      <c r="OLQ10"/>
      <c r="OLR10"/>
      <c r="OLS10"/>
      <c r="OLT10"/>
      <c r="OLU10"/>
      <c r="OLV10"/>
      <c r="OLW10"/>
      <c r="OLX10"/>
      <c r="OLY10"/>
      <c r="OLZ10"/>
      <c r="OMA10"/>
      <c r="OMB10"/>
      <c r="OMC10"/>
      <c r="OMD10"/>
      <c r="OME10"/>
      <c r="OMF10"/>
      <c r="OMG10"/>
      <c r="OMH10"/>
      <c r="OMI10"/>
      <c r="OMJ10"/>
      <c r="OMK10"/>
      <c r="OML10"/>
      <c r="OMM10"/>
      <c r="OMN10"/>
      <c r="OMO10"/>
      <c r="OMP10"/>
      <c r="OMQ10"/>
      <c r="OMR10"/>
      <c r="OMS10"/>
      <c r="OMT10"/>
      <c r="OMU10"/>
      <c r="OMV10"/>
      <c r="OMW10"/>
      <c r="OMX10"/>
      <c r="OMY10"/>
      <c r="OMZ10"/>
      <c r="ONA10"/>
      <c r="ONB10"/>
      <c r="ONC10"/>
      <c r="OND10"/>
      <c r="ONE10"/>
      <c r="ONF10"/>
      <c r="ONG10"/>
      <c r="ONH10"/>
      <c r="ONI10"/>
      <c r="ONJ10"/>
      <c r="ONK10"/>
      <c r="ONL10"/>
      <c r="ONM10"/>
      <c r="ONN10"/>
      <c r="ONO10"/>
      <c r="ONP10"/>
      <c r="ONQ10"/>
      <c r="ONR10"/>
      <c r="ONS10"/>
      <c r="ONT10"/>
      <c r="ONU10"/>
      <c r="ONV10"/>
      <c r="ONW10"/>
      <c r="ONX10"/>
      <c r="ONY10"/>
      <c r="ONZ10"/>
      <c r="OOA10"/>
      <c r="OOB10"/>
      <c r="OOC10"/>
      <c r="OOD10"/>
      <c r="OOE10"/>
      <c r="OOF10"/>
      <c r="OOG10"/>
      <c r="OOH10"/>
      <c r="OOI10"/>
      <c r="OOJ10"/>
      <c r="OOK10"/>
      <c r="OOL10"/>
      <c r="OOM10"/>
      <c r="OON10"/>
      <c r="OOO10"/>
      <c r="OOP10"/>
      <c r="OOQ10"/>
      <c r="OOR10"/>
      <c r="OOS10"/>
      <c r="OOT10"/>
      <c r="OOU10"/>
      <c r="OOV10"/>
      <c r="OOW10"/>
      <c r="OOX10"/>
      <c r="OOY10"/>
      <c r="OOZ10"/>
      <c r="OPA10"/>
      <c r="OPB10"/>
      <c r="OPC10"/>
      <c r="OPD10"/>
      <c r="OPE10"/>
      <c r="OPF10"/>
      <c r="OPG10"/>
      <c r="OPH10"/>
      <c r="OPI10"/>
      <c r="OPJ10"/>
      <c r="OPK10"/>
      <c r="OPL10"/>
      <c r="OPM10"/>
      <c r="OPN10"/>
      <c r="OPO10"/>
      <c r="OPP10"/>
      <c r="OPQ10"/>
      <c r="OPR10"/>
      <c r="OPS10"/>
      <c r="OPT10"/>
      <c r="OPU10"/>
      <c r="OPV10"/>
      <c r="OPW10"/>
      <c r="OPX10"/>
      <c r="OPY10"/>
      <c r="OPZ10"/>
      <c r="OQA10"/>
      <c r="OQB10"/>
      <c r="OQC10"/>
      <c r="OQD10"/>
      <c r="OQE10"/>
      <c r="OQF10"/>
      <c r="OQG10"/>
      <c r="OQH10"/>
      <c r="OQI10"/>
      <c r="OQJ10"/>
      <c r="OQK10"/>
      <c r="OQL10"/>
      <c r="OQM10"/>
      <c r="OQN10"/>
      <c r="OQO10"/>
      <c r="OQP10"/>
      <c r="OQQ10"/>
      <c r="OQR10"/>
      <c r="OQS10"/>
      <c r="OQT10"/>
      <c r="OQU10"/>
      <c r="OQV10"/>
      <c r="OQW10"/>
      <c r="OQX10"/>
      <c r="OQY10"/>
      <c r="OQZ10"/>
      <c r="ORA10"/>
      <c r="ORB10"/>
      <c r="ORC10"/>
      <c r="ORD10"/>
      <c r="ORE10"/>
      <c r="ORF10"/>
      <c r="ORG10"/>
      <c r="ORH10"/>
      <c r="ORI10"/>
      <c r="ORJ10"/>
      <c r="ORK10"/>
      <c r="ORL10"/>
      <c r="ORM10"/>
      <c r="ORN10"/>
      <c r="ORO10"/>
      <c r="ORP10"/>
      <c r="ORQ10"/>
      <c r="ORR10"/>
      <c r="ORS10"/>
      <c r="ORT10"/>
      <c r="ORU10"/>
      <c r="ORV10"/>
      <c r="ORW10"/>
      <c r="ORX10"/>
      <c r="ORY10"/>
      <c r="ORZ10"/>
      <c r="OSA10"/>
      <c r="OSB10"/>
      <c r="OSC10"/>
      <c r="OSD10"/>
      <c r="OSE10"/>
      <c r="OSF10"/>
      <c r="OSG10"/>
      <c r="OSH10"/>
      <c r="OSI10"/>
      <c r="OSJ10"/>
      <c r="OSK10"/>
      <c r="OSL10"/>
      <c r="OSM10"/>
      <c r="OSN10"/>
      <c r="OSO10"/>
      <c r="OSP10"/>
      <c r="OSQ10"/>
      <c r="OSR10"/>
      <c r="OSS10"/>
      <c r="OST10"/>
      <c r="OSU10"/>
      <c r="OSV10"/>
      <c r="OSW10"/>
      <c r="OSX10"/>
      <c r="OSY10"/>
      <c r="OSZ10"/>
      <c r="OTA10"/>
      <c r="OTB10"/>
      <c r="OTC10"/>
      <c r="OTD10"/>
      <c r="OTE10"/>
      <c r="OTF10"/>
      <c r="OTG10"/>
      <c r="OTH10"/>
      <c r="OTI10"/>
      <c r="OTJ10"/>
      <c r="OTK10"/>
      <c r="OTL10"/>
      <c r="OTM10"/>
      <c r="OTN10"/>
      <c r="OTO10"/>
      <c r="OTP10"/>
      <c r="OTQ10"/>
      <c r="OTR10"/>
      <c r="OTS10"/>
      <c r="OTT10"/>
      <c r="OTU10"/>
      <c r="OTV10"/>
      <c r="OTW10"/>
      <c r="OTX10"/>
      <c r="OTY10"/>
      <c r="OTZ10"/>
      <c r="OUA10"/>
      <c r="OUB10"/>
      <c r="OUC10"/>
      <c r="OUD10"/>
      <c r="OUE10"/>
      <c r="OUF10"/>
      <c r="OUG10"/>
      <c r="OUH10"/>
      <c r="OUI10"/>
      <c r="OUJ10"/>
      <c r="OUK10"/>
      <c r="OUL10"/>
      <c r="OUM10"/>
      <c r="OUN10"/>
      <c r="OUO10"/>
      <c r="OUP10"/>
      <c r="OUQ10"/>
      <c r="OUR10"/>
      <c r="OUS10"/>
      <c r="OUT10"/>
      <c r="OUU10"/>
      <c r="OUV10"/>
      <c r="OUW10"/>
      <c r="OUX10"/>
      <c r="OUY10"/>
      <c r="OUZ10"/>
      <c r="OVA10"/>
      <c r="OVB10"/>
      <c r="OVC10"/>
      <c r="OVD10"/>
      <c r="OVE10"/>
      <c r="OVF10"/>
      <c r="OVG10"/>
      <c r="OVH10"/>
      <c r="OVI10"/>
      <c r="OVJ10"/>
      <c r="OVK10"/>
      <c r="OVL10"/>
      <c r="OVM10"/>
      <c r="OVN10"/>
      <c r="OVO10"/>
      <c r="OVP10"/>
      <c r="OVQ10"/>
      <c r="OVR10"/>
      <c r="OVS10"/>
      <c r="OVT10"/>
      <c r="OVU10"/>
      <c r="OVV10"/>
      <c r="OVW10"/>
      <c r="OVX10"/>
      <c r="OVY10"/>
      <c r="OVZ10"/>
      <c r="OWA10"/>
      <c r="OWB10"/>
      <c r="OWC10"/>
      <c r="OWD10"/>
      <c r="OWE10"/>
      <c r="OWF10"/>
      <c r="OWG10"/>
      <c r="OWH10"/>
      <c r="OWI10"/>
      <c r="OWJ10"/>
      <c r="OWK10"/>
      <c r="OWL10"/>
      <c r="OWM10"/>
      <c r="OWN10"/>
      <c r="OWO10"/>
      <c r="OWP10"/>
      <c r="OWQ10"/>
      <c r="OWR10"/>
      <c r="OWS10"/>
      <c r="OWT10"/>
      <c r="OWU10"/>
      <c r="OWV10"/>
      <c r="OWW10"/>
      <c r="OWX10"/>
      <c r="OWY10"/>
      <c r="OWZ10"/>
      <c r="OXA10"/>
      <c r="OXB10"/>
      <c r="OXC10"/>
      <c r="OXD10"/>
      <c r="OXE10"/>
      <c r="OXF10"/>
      <c r="OXG10"/>
      <c r="OXH10"/>
      <c r="OXI10"/>
      <c r="OXJ10"/>
      <c r="OXK10"/>
      <c r="OXL10"/>
      <c r="OXM10"/>
      <c r="OXN10"/>
      <c r="OXO10"/>
      <c r="OXP10"/>
      <c r="OXQ10"/>
      <c r="OXR10"/>
      <c r="OXS10"/>
      <c r="OXT10"/>
      <c r="OXU10"/>
      <c r="OXV10"/>
      <c r="OXW10"/>
      <c r="OXX10"/>
      <c r="OXY10"/>
      <c r="OXZ10"/>
      <c r="OYA10"/>
      <c r="OYB10"/>
      <c r="OYC10"/>
      <c r="OYD10"/>
      <c r="OYE10"/>
      <c r="OYF10"/>
      <c r="OYG10"/>
      <c r="OYH10"/>
      <c r="OYI10"/>
      <c r="OYJ10"/>
      <c r="OYK10"/>
      <c r="OYL10"/>
      <c r="OYM10"/>
      <c r="OYN10"/>
      <c r="OYO10"/>
      <c r="OYP10"/>
      <c r="OYQ10"/>
      <c r="OYR10"/>
      <c r="OYS10"/>
      <c r="OYT10"/>
      <c r="OYU10"/>
      <c r="OYV10"/>
      <c r="OYW10"/>
      <c r="OYX10"/>
      <c r="OYY10"/>
      <c r="OYZ10"/>
      <c r="OZA10"/>
      <c r="OZB10"/>
      <c r="OZC10"/>
      <c r="OZD10"/>
      <c r="OZE10"/>
      <c r="OZF10"/>
      <c r="OZG10"/>
      <c r="OZH10"/>
      <c r="OZI10"/>
      <c r="OZJ10"/>
      <c r="OZK10"/>
      <c r="OZL10"/>
      <c r="OZM10"/>
      <c r="OZN10"/>
      <c r="OZO10"/>
      <c r="OZP10"/>
      <c r="OZQ10"/>
      <c r="OZR10"/>
      <c r="OZS10"/>
      <c r="OZT10"/>
      <c r="OZU10"/>
      <c r="OZV10"/>
      <c r="OZW10"/>
      <c r="OZX10"/>
      <c r="OZY10"/>
      <c r="OZZ10"/>
      <c r="PAA10"/>
      <c r="PAB10"/>
      <c r="PAC10"/>
      <c r="PAD10"/>
      <c r="PAE10"/>
      <c r="PAF10"/>
      <c r="PAG10"/>
      <c r="PAH10"/>
      <c r="PAI10"/>
      <c r="PAJ10"/>
      <c r="PAK10"/>
      <c r="PAL10"/>
      <c r="PAM10"/>
      <c r="PAN10"/>
      <c r="PAO10"/>
      <c r="PAP10"/>
      <c r="PAQ10"/>
      <c r="PAR10"/>
      <c r="PAS10"/>
      <c r="PAT10"/>
      <c r="PAU10"/>
      <c r="PAV10"/>
      <c r="PAW10"/>
      <c r="PAX10"/>
      <c r="PAY10"/>
      <c r="PAZ10"/>
      <c r="PBA10"/>
      <c r="PBB10"/>
      <c r="PBC10"/>
      <c r="PBD10"/>
      <c r="PBE10"/>
      <c r="PBF10"/>
      <c r="PBG10"/>
      <c r="PBH10"/>
      <c r="PBI10"/>
      <c r="PBJ10"/>
      <c r="PBK10"/>
      <c r="PBL10"/>
      <c r="PBM10"/>
      <c r="PBN10"/>
      <c r="PBO10"/>
      <c r="PBP10"/>
      <c r="PBQ10"/>
      <c r="PBR10"/>
      <c r="PBS10"/>
      <c r="PBT10"/>
      <c r="PBU10"/>
      <c r="PBV10"/>
      <c r="PBW10"/>
      <c r="PBX10"/>
      <c r="PBY10"/>
      <c r="PBZ10"/>
      <c r="PCA10"/>
      <c r="PCB10"/>
      <c r="PCC10"/>
      <c r="PCD10"/>
      <c r="PCE10"/>
      <c r="PCF10"/>
      <c r="PCG10"/>
      <c r="PCH10"/>
      <c r="PCI10"/>
      <c r="PCJ10"/>
      <c r="PCK10"/>
      <c r="PCL10"/>
      <c r="PCM10"/>
      <c r="PCN10"/>
      <c r="PCO10"/>
      <c r="PCP10"/>
      <c r="PCQ10"/>
      <c r="PCR10"/>
      <c r="PCS10"/>
      <c r="PCT10"/>
      <c r="PCU10"/>
      <c r="PCV10"/>
      <c r="PCW10"/>
      <c r="PCX10"/>
      <c r="PCY10"/>
      <c r="PCZ10"/>
      <c r="PDA10"/>
      <c r="PDB10"/>
      <c r="PDC10"/>
      <c r="PDD10"/>
      <c r="PDE10"/>
      <c r="PDF10"/>
      <c r="PDG10"/>
      <c r="PDH10"/>
      <c r="PDI10"/>
      <c r="PDJ10"/>
      <c r="PDK10"/>
      <c r="PDL10"/>
      <c r="PDM10"/>
      <c r="PDN10"/>
      <c r="PDO10"/>
      <c r="PDP10"/>
      <c r="PDQ10"/>
      <c r="PDR10"/>
      <c r="PDS10"/>
      <c r="PDT10"/>
      <c r="PDU10"/>
      <c r="PDV10"/>
      <c r="PDW10"/>
      <c r="PDX10"/>
      <c r="PDY10"/>
      <c r="PDZ10"/>
      <c r="PEA10"/>
      <c r="PEB10"/>
      <c r="PEC10"/>
      <c r="PED10"/>
      <c r="PEE10"/>
      <c r="PEF10"/>
      <c r="PEG10"/>
      <c r="PEH10"/>
      <c r="PEI10"/>
      <c r="PEJ10"/>
      <c r="PEK10"/>
      <c r="PEL10"/>
      <c r="PEM10"/>
      <c r="PEN10"/>
      <c r="PEO10"/>
      <c r="PEP10"/>
      <c r="PEQ10"/>
      <c r="PER10"/>
      <c r="PES10"/>
      <c r="PET10"/>
      <c r="PEU10"/>
      <c r="PEV10"/>
      <c r="PEW10"/>
      <c r="PEX10"/>
      <c r="PEY10"/>
      <c r="PEZ10"/>
      <c r="PFA10"/>
      <c r="PFB10"/>
      <c r="PFC10"/>
      <c r="PFD10"/>
      <c r="PFE10"/>
      <c r="PFF10"/>
      <c r="PFG10"/>
      <c r="PFH10"/>
      <c r="PFI10"/>
      <c r="PFJ10"/>
      <c r="PFK10"/>
      <c r="PFL10"/>
      <c r="PFM10"/>
      <c r="PFN10"/>
      <c r="PFO10"/>
      <c r="PFP10"/>
      <c r="PFQ10"/>
      <c r="PFR10"/>
      <c r="PFS10"/>
      <c r="PFT10"/>
      <c r="PFU10"/>
      <c r="PFV10"/>
      <c r="PFW10"/>
      <c r="PFX10"/>
      <c r="PFY10"/>
      <c r="PFZ10"/>
      <c r="PGA10"/>
      <c r="PGB10"/>
      <c r="PGC10"/>
      <c r="PGD10"/>
      <c r="PGE10"/>
      <c r="PGF10"/>
      <c r="PGG10"/>
      <c r="PGH10"/>
      <c r="PGI10"/>
      <c r="PGJ10"/>
      <c r="PGK10"/>
      <c r="PGL10"/>
      <c r="PGM10"/>
      <c r="PGN10"/>
      <c r="PGO10"/>
      <c r="PGP10"/>
      <c r="PGQ10"/>
      <c r="PGR10"/>
      <c r="PGS10"/>
      <c r="PGT10"/>
      <c r="PGU10"/>
      <c r="PGV10"/>
      <c r="PGW10"/>
      <c r="PGX10"/>
      <c r="PGY10"/>
      <c r="PGZ10"/>
      <c r="PHA10"/>
      <c r="PHB10"/>
      <c r="PHC10"/>
      <c r="PHD10"/>
      <c r="PHE10"/>
      <c r="PHF10"/>
      <c r="PHG10"/>
      <c r="PHH10"/>
      <c r="PHI10"/>
      <c r="PHJ10"/>
      <c r="PHK10"/>
      <c r="PHL10"/>
      <c r="PHM10"/>
      <c r="PHN10"/>
      <c r="PHO10"/>
      <c r="PHP10"/>
      <c r="PHQ10"/>
      <c r="PHR10"/>
      <c r="PHS10"/>
      <c r="PHT10"/>
      <c r="PHU10"/>
      <c r="PHV10"/>
      <c r="PHW10"/>
      <c r="PHX10"/>
      <c r="PHY10"/>
      <c r="PHZ10"/>
      <c r="PIA10"/>
      <c r="PIB10"/>
      <c r="PIC10"/>
      <c r="PID10"/>
      <c r="PIE10"/>
      <c r="PIF10"/>
      <c r="PIG10"/>
      <c r="PIH10"/>
      <c r="PII10"/>
      <c r="PIJ10"/>
      <c r="PIK10"/>
      <c r="PIL10"/>
      <c r="PIM10"/>
      <c r="PIN10"/>
      <c r="PIO10"/>
      <c r="PIP10"/>
      <c r="PIQ10"/>
      <c r="PIR10"/>
      <c r="PIS10"/>
      <c r="PIT10"/>
      <c r="PIU10"/>
      <c r="PIV10"/>
      <c r="PIW10"/>
      <c r="PIX10"/>
      <c r="PIY10"/>
      <c r="PIZ10"/>
      <c r="PJA10"/>
      <c r="PJB10"/>
      <c r="PJC10"/>
      <c r="PJD10"/>
      <c r="PJE10"/>
      <c r="PJF10"/>
      <c r="PJG10"/>
      <c r="PJH10"/>
      <c r="PJI10"/>
      <c r="PJJ10"/>
      <c r="PJK10"/>
      <c r="PJL10"/>
      <c r="PJM10"/>
      <c r="PJN10"/>
      <c r="PJO10"/>
      <c r="PJP10"/>
      <c r="PJQ10"/>
      <c r="PJR10"/>
      <c r="PJS10"/>
      <c r="PJT10"/>
      <c r="PJU10"/>
      <c r="PJV10"/>
      <c r="PJW10"/>
      <c r="PJX10"/>
      <c r="PJY10"/>
      <c r="PJZ10"/>
      <c r="PKA10"/>
      <c r="PKB10"/>
      <c r="PKC10"/>
      <c r="PKD10"/>
      <c r="PKE10"/>
      <c r="PKF10"/>
      <c r="PKG10"/>
      <c r="PKH10"/>
      <c r="PKI10"/>
      <c r="PKJ10"/>
      <c r="PKK10"/>
      <c r="PKL10"/>
      <c r="PKM10"/>
      <c r="PKN10"/>
      <c r="PKO10"/>
      <c r="PKP10"/>
      <c r="PKQ10"/>
      <c r="PKR10"/>
      <c r="PKS10"/>
      <c r="PKT10"/>
      <c r="PKU10"/>
      <c r="PKV10"/>
      <c r="PKW10"/>
      <c r="PKX10"/>
      <c r="PKY10"/>
      <c r="PKZ10"/>
      <c r="PLA10"/>
      <c r="PLB10"/>
      <c r="PLC10"/>
      <c r="PLD10"/>
      <c r="PLE10"/>
      <c r="PLF10"/>
      <c r="PLG10"/>
      <c r="PLH10"/>
      <c r="PLI10"/>
      <c r="PLJ10"/>
      <c r="PLK10"/>
      <c r="PLL10"/>
      <c r="PLM10"/>
      <c r="PLN10"/>
      <c r="PLO10"/>
      <c r="PLP10"/>
      <c r="PLQ10"/>
      <c r="PLR10"/>
      <c r="PLS10"/>
      <c r="PLT10"/>
      <c r="PLU10"/>
      <c r="PLV10"/>
      <c r="PLW10"/>
      <c r="PLX10"/>
      <c r="PLY10"/>
      <c r="PLZ10"/>
      <c r="PMA10"/>
      <c r="PMB10"/>
      <c r="PMC10"/>
      <c r="PMD10"/>
      <c r="PME10"/>
      <c r="PMF10"/>
      <c r="PMG10"/>
      <c r="PMH10"/>
      <c r="PMI10"/>
      <c r="PMJ10"/>
      <c r="PMK10"/>
      <c r="PML10"/>
      <c r="PMM10"/>
      <c r="PMN10"/>
      <c r="PMO10"/>
      <c r="PMP10"/>
      <c r="PMQ10"/>
      <c r="PMR10"/>
      <c r="PMS10"/>
      <c r="PMT10"/>
      <c r="PMU10"/>
      <c r="PMV10"/>
      <c r="PMW10"/>
      <c r="PMX10"/>
      <c r="PMY10"/>
      <c r="PMZ10"/>
      <c r="PNA10"/>
      <c r="PNB10"/>
      <c r="PNC10"/>
      <c r="PND10"/>
      <c r="PNE10"/>
      <c r="PNF10"/>
      <c r="PNG10"/>
      <c r="PNH10"/>
      <c r="PNI10"/>
      <c r="PNJ10"/>
      <c r="PNK10"/>
      <c r="PNL10"/>
      <c r="PNM10"/>
      <c r="PNN10"/>
      <c r="PNO10"/>
      <c r="PNP10"/>
      <c r="PNQ10"/>
      <c r="PNR10"/>
      <c r="PNS10"/>
      <c r="PNT10"/>
      <c r="PNU10"/>
      <c r="PNV10"/>
      <c r="PNW10"/>
      <c r="PNX10"/>
      <c r="PNY10"/>
      <c r="PNZ10"/>
      <c r="POA10"/>
      <c r="POB10"/>
      <c r="POC10"/>
      <c r="POD10"/>
      <c r="POE10"/>
      <c r="POF10"/>
      <c r="POG10"/>
      <c r="POH10"/>
      <c r="POI10"/>
      <c r="POJ10"/>
      <c r="POK10"/>
      <c r="POL10"/>
      <c r="POM10"/>
      <c r="PON10"/>
      <c r="POO10"/>
      <c r="POP10"/>
      <c r="POQ10"/>
      <c r="POR10"/>
      <c r="POS10"/>
      <c r="POT10"/>
      <c r="POU10"/>
      <c r="POV10"/>
      <c r="POW10"/>
      <c r="POX10"/>
      <c r="POY10"/>
      <c r="POZ10"/>
      <c r="PPA10"/>
      <c r="PPB10"/>
      <c r="PPC10"/>
      <c r="PPD10"/>
      <c r="PPE10"/>
      <c r="PPF10"/>
      <c r="PPG10"/>
      <c r="PPH10"/>
      <c r="PPI10"/>
      <c r="PPJ10"/>
      <c r="PPK10"/>
      <c r="PPL10"/>
      <c r="PPM10"/>
      <c r="PPN10"/>
      <c r="PPO10"/>
      <c r="PPP10"/>
      <c r="PPQ10"/>
      <c r="PPR10"/>
      <c r="PPS10"/>
      <c r="PPT10"/>
      <c r="PPU10"/>
      <c r="PPV10"/>
      <c r="PPW10"/>
      <c r="PPX10"/>
      <c r="PPY10"/>
      <c r="PPZ10"/>
      <c r="PQA10"/>
      <c r="PQB10"/>
      <c r="PQC10"/>
      <c r="PQD10"/>
      <c r="PQE10"/>
      <c r="PQF10"/>
      <c r="PQG10"/>
      <c r="PQH10"/>
      <c r="PQI10"/>
      <c r="PQJ10"/>
      <c r="PQK10"/>
      <c r="PQL10"/>
      <c r="PQM10"/>
      <c r="PQN10"/>
      <c r="PQO10"/>
      <c r="PQP10"/>
      <c r="PQQ10"/>
      <c r="PQR10"/>
      <c r="PQS10"/>
      <c r="PQT10"/>
      <c r="PQU10"/>
      <c r="PQV10"/>
      <c r="PQW10"/>
      <c r="PQX10"/>
      <c r="PQY10"/>
      <c r="PQZ10"/>
      <c r="PRA10"/>
      <c r="PRB10"/>
      <c r="PRC10"/>
      <c r="PRD10"/>
      <c r="PRE10"/>
      <c r="PRF10"/>
      <c r="PRG10"/>
      <c r="PRH10"/>
      <c r="PRI10"/>
      <c r="PRJ10"/>
      <c r="PRK10"/>
      <c r="PRL10"/>
      <c r="PRM10"/>
      <c r="PRN10"/>
      <c r="PRO10"/>
      <c r="PRP10"/>
      <c r="PRQ10"/>
      <c r="PRR10"/>
      <c r="PRS10"/>
      <c r="PRT10"/>
      <c r="PRU10"/>
      <c r="PRV10"/>
      <c r="PRW10"/>
      <c r="PRX10"/>
      <c r="PRY10"/>
      <c r="PRZ10"/>
      <c r="PSA10"/>
      <c r="PSB10"/>
      <c r="PSC10"/>
      <c r="PSD10"/>
      <c r="PSE10"/>
      <c r="PSF10"/>
      <c r="PSG10"/>
      <c r="PSH10"/>
      <c r="PSI10"/>
      <c r="PSJ10"/>
      <c r="PSK10"/>
      <c r="PSL10"/>
      <c r="PSM10"/>
      <c r="PSN10"/>
      <c r="PSO10"/>
      <c r="PSP10"/>
      <c r="PSQ10"/>
      <c r="PSR10"/>
      <c r="PSS10"/>
      <c r="PST10"/>
      <c r="PSU10"/>
      <c r="PSV10"/>
      <c r="PSW10"/>
      <c r="PSX10"/>
      <c r="PSY10"/>
      <c r="PSZ10"/>
      <c r="PTA10"/>
      <c r="PTB10"/>
      <c r="PTC10"/>
      <c r="PTD10"/>
      <c r="PTE10"/>
      <c r="PTF10"/>
      <c r="PTG10"/>
      <c r="PTH10"/>
      <c r="PTI10"/>
      <c r="PTJ10"/>
      <c r="PTK10"/>
      <c r="PTL10"/>
      <c r="PTM10"/>
      <c r="PTN10"/>
      <c r="PTO10"/>
      <c r="PTP10"/>
      <c r="PTQ10"/>
      <c r="PTR10"/>
      <c r="PTS10"/>
      <c r="PTT10"/>
      <c r="PTU10"/>
      <c r="PTV10"/>
      <c r="PTW10"/>
      <c r="PTX10"/>
      <c r="PTY10"/>
      <c r="PTZ10"/>
      <c r="PUA10"/>
      <c r="PUB10"/>
      <c r="PUC10"/>
      <c r="PUD10"/>
      <c r="PUE10"/>
      <c r="PUF10"/>
      <c r="PUG10"/>
      <c r="PUH10"/>
      <c r="PUI10"/>
      <c r="PUJ10"/>
      <c r="PUK10"/>
      <c r="PUL10"/>
      <c r="PUM10"/>
      <c r="PUN10"/>
      <c r="PUO10"/>
      <c r="PUP10"/>
      <c r="PUQ10"/>
      <c r="PUR10"/>
      <c r="PUS10"/>
      <c r="PUT10"/>
      <c r="PUU10"/>
      <c r="PUV10"/>
      <c r="PUW10"/>
      <c r="PUX10"/>
      <c r="PUY10"/>
      <c r="PUZ10"/>
      <c r="PVA10"/>
      <c r="PVB10"/>
      <c r="PVC10"/>
      <c r="PVD10"/>
      <c r="PVE10"/>
      <c r="PVF10"/>
      <c r="PVG10"/>
      <c r="PVH10"/>
      <c r="PVI10"/>
      <c r="PVJ10"/>
      <c r="PVK10"/>
      <c r="PVL10"/>
      <c r="PVM10"/>
      <c r="PVN10"/>
      <c r="PVO10"/>
      <c r="PVP10"/>
      <c r="PVQ10"/>
      <c r="PVR10"/>
      <c r="PVS10"/>
      <c r="PVT10"/>
      <c r="PVU10"/>
      <c r="PVV10"/>
      <c r="PVW10"/>
      <c r="PVX10"/>
      <c r="PVY10"/>
      <c r="PVZ10"/>
      <c r="PWA10"/>
      <c r="PWB10"/>
      <c r="PWC10"/>
      <c r="PWD10"/>
      <c r="PWE10"/>
      <c r="PWF10"/>
      <c r="PWG10"/>
      <c r="PWH10"/>
      <c r="PWI10"/>
      <c r="PWJ10"/>
      <c r="PWK10"/>
      <c r="PWL10"/>
      <c r="PWM10"/>
      <c r="PWN10"/>
      <c r="PWO10"/>
      <c r="PWP10"/>
      <c r="PWQ10"/>
      <c r="PWR10"/>
      <c r="PWS10"/>
      <c r="PWT10"/>
      <c r="PWU10"/>
      <c r="PWV10"/>
      <c r="PWW10"/>
      <c r="PWX10"/>
      <c r="PWY10"/>
      <c r="PWZ10"/>
      <c r="PXA10"/>
      <c r="PXB10"/>
      <c r="PXC10"/>
      <c r="PXD10"/>
      <c r="PXE10"/>
      <c r="PXF10"/>
      <c r="PXG10"/>
      <c r="PXH10"/>
      <c r="PXI10"/>
      <c r="PXJ10"/>
      <c r="PXK10"/>
      <c r="PXL10"/>
      <c r="PXM10"/>
      <c r="PXN10"/>
      <c r="PXO10"/>
      <c r="PXP10"/>
      <c r="PXQ10"/>
      <c r="PXR10"/>
      <c r="PXS10"/>
      <c r="PXT10"/>
      <c r="PXU10"/>
      <c r="PXV10"/>
      <c r="PXW10"/>
      <c r="PXX10"/>
      <c r="PXY10"/>
      <c r="PXZ10"/>
      <c r="PYA10"/>
      <c r="PYB10"/>
      <c r="PYC10"/>
      <c r="PYD10"/>
      <c r="PYE10"/>
      <c r="PYF10"/>
      <c r="PYG10"/>
      <c r="PYH10"/>
      <c r="PYI10"/>
      <c r="PYJ10"/>
      <c r="PYK10"/>
      <c r="PYL10"/>
      <c r="PYM10"/>
      <c r="PYN10"/>
      <c r="PYO10"/>
      <c r="PYP10"/>
      <c r="PYQ10"/>
      <c r="PYR10"/>
      <c r="PYS10"/>
      <c r="PYT10"/>
      <c r="PYU10"/>
      <c r="PYV10"/>
      <c r="PYW10"/>
      <c r="PYX10"/>
      <c r="PYY10"/>
      <c r="PYZ10"/>
      <c r="PZA10"/>
      <c r="PZB10"/>
      <c r="PZC10"/>
      <c r="PZD10"/>
      <c r="PZE10"/>
      <c r="PZF10"/>
      <c r="PZG10"/>
      <c r="PZH10"/>
      <c r="PZI10"/>
      <c r="PZJ10"/>
      <c r="PZK10"/>
      <c r="PZL10"/>
      <c r="PZM10"/>
      <c r="PZN10"/>
      <c r="PZO10"/>
      <c r="PZP10"/>
      <c r="PZQ10"/>
      <c r="PZR10"/>
      <c r="PZS10"/>
      <c r="PZT10"/>
      <c r="PZU10"/>
      <c r="PZV10"/>
      <c r="PZW10"/>
      <c r="PZX10"/>
      <c r="PZY10"/>
      <c r="PZZ10"/>
      <c r="QAA10"/>
      <c r="QAB10"/>
      <c r="QAC10"/>
      <c r="QAD10"/>
      <c r="QAE10"/>
      <c r="QAF10"/>
      <c r="QAG10"/>
      <c r="QAH10"/>
      <c r="QAI10"/>
      <c r="QAJ10"/>
      <c r="QAK10"/>
      <c r="QAL10"/>
      <c r="QAM10"/>
      <c r="QAN10"/>
      <c r="QAO10"/>
      <c r="QAP10"/>
      <c r="QAQ10"/>
      <c r="QAR10"/>
      <c r="QAS10"/>
      <c r="QAT10"/>
      <c r="QAU10"/>
      <c r="QAV10"/>
      <c r="QAW10"/>
      <c r="QAX10"/>
      <c r="QAY10"/>
      <c r="QAZ10"/>
      <c r="QBA10"/>
      <c r="QBB10"/>
      <c r="QBC10"/>
      <c r="QBD10"/>
      <c r="QBE10"/>
      <c r="QBF10"/>
      <c r="QBG10"/>
      <c r="QBH10"/>
      <c r="QBI10"/>
      <c r="QBJ10"/>
      <c r="QBK10"/>
      <c r="QBL10"/>
      <c r="QBM10"/>
      <c r="QBN10"/>
      <c r="QBO10"/>
      <c r="QBP10"/>
      <c r="QBQ10"/>
      <c r="QBR10"/>
      <c r="QBS10"/>
      <c r="QBT10"/>
      <c r="QBU10"/>
      <c r="QBV10"/>
      <c r="QBW10"/>
      <c r="QBX10"/>
      <c r="QBY10"/>
      <c r="QBZ10"/>
      <c r="QCA10"/>
      <c r="QCB10"/>
      <c r="QCC10"/>
      <c r="QCD10"/>
      <c r="QCE10"/>
      <c r="QCF10"/>
      <c r="QCG10"/>
      <c r="QCH10"/>
      <c r="QCI10"/>
      <c r="QCJ10"/>
      <c r="QCK10"/>
      <c r="QCL10"/>
      <c r="QCM10"/>
      <c r="QCN10"/>
      <c r="QCO10"/>
      <c r="QCP10"/>
      <c r="QCQ10"/>
      <c r="QCR10"/>
      <c r="QCS10"/>
      <c r="QCT10"/>
      <c r="QCU10"/>
      <c r="QCV10"/>
      <c r="QCW10"/>
      <c r="QCX10"/>
      <c r="QCY10"/>
      <c r="QCZ10"/>
      <c r="QDA10"/>
      <c r="QDB10"/>
      <c r="QDC10"/>
      <c r="QDD10"/>
      <c r="QDE10"/>
      <c r="QDF10"/>
      <c r="QDG10"/>
      <c r="QDH10"/>
      <c r="QDI10"/>
      <c r="QDJ10"/>
      <c r="QDK10"/>
      <c r="QDL10"/>
      <c r="QDM10"/>
      <c r="QDN10"/>
      <c r="QDO10"/>
      <c r="QDP10"/>
      <c r="QDQ10"/>
      <c r="QDR10"/>
      <c r="QDS10"/>
      <c r="QDT10"/>
      <c r="QDU10"/>
      <c r="QDV10"/>
      <c r="QDW10"/>
      <c r="QDX10"/>
      <c r="QDY10"/>
      <c r="QDZ10"/>
      <c r="QEA10"/>
      <c r="QEB10"/>
      <c r="QEC10"/>
      <c r="QED10"/>
      <c r="QEE10"/>
      <c r="QEF10"/>
      <c r="QEG10"/>
      <c r="QEH10"/>
      <c r="QEI10"/>
      <c r="QEJ10"/>
      <c r="QEK10"/>
      <c r="QEL10"/>
      <c r="QEM10"/>
      <c r="QEN10"/>
      <c r="QEO10"/>
      <c r="QEP10"/>
      <c r="QEQ10"/>
      <c r="QER10"/>
      <c r="QES10"/>
      <c r="QET10"/>
      <c r="QEU10"/>
      <c r="QEV10"/>
      <c r="QEW10"/>
      <c r="QEX10"/>
      <c r="QEY10"/>
      <c r="QEZ10"/>
      <c r="QFA10"/>
      <c r="QFB10"/>
      <c r="QFC10"/>
      <c r="QFD10"/>
      <c r="QFE10"/>
      <c r="QFF10"/>
      <c r="QFG10"/>
      <c r="QFH10"/>
      <c r="QFI10"/>
      <c r="QFJ10"/>
      <c r="QFK10"/>
      <c r="QFL10"/>
      <c r="QFM10"/>
      <c r="QFN10"/>
      <c r="QFO10"/>
      <c r="QFP10"/>
      <c r="QFQ10"/>
      <c r="QFR10"/>
      <c r="QFS10"/>
      <c r="QFT10"/>
      <c r="QFU10"/>
      <c r="QFV10"/>
      <c r="QFW10"/>
      <c r="QFX10"/>
      <c r="QFY10"/>
      <c r="QFZ10"/>
      <c r="QGA10"/>
      <c r="QGB10"/>
      <c r="QGC10"/>
      <c r="QGD10"/>
      <c r="QGE10"/>
      <c r="QGF10"/>
      <c r="QGG10"/>
      <c r="QGH10"/>
      <c r="QGI10"/>
      <c r="QGJ10"/>
      <c r="QGK10"/>
      <c r="QGL10"/>
      <c r="QGM10"/>
      <c r="QGN10"/>
      <c r="QGO10"/>
      <c r="QGP10"/>
      <c r="QGQ10"/>
      <c r="QGR10"/>
      <c r="QGS10"/>
      <c r="QGT10"/>
      <c r="QGU10"/>
      <c r="QGV10"/>
      <c r="QGW10"/>
      <c r="QGX10"/>
      <c r="QGY10"/>
      <c r="QGZ10"/>
      <c r="QHA10"/>
      <c r="QHB10"/>
      <c r="QHC10"/>
      <c r="QHD10"/>
      <c r="QHE10"/>
      <c r="QHF10"/>
      <c r="QHG10"/>
      <c r="QHH10"/>
      <c r="QHI10"/>
      <c r="QHJ10"/>
      <c r="QHK10"/>
      <c r="QHL10"/>
      <c r="QHM10"/>
      <c r="QHN10"/>
      <c r="QHO10"/>
      <c r="QHP10"/>
      <c r="QHQ10"/>
      <c r="QHR10"/>
      <c r="QHS10"/>
      <c r="QHT10"/>
      <c r="QHU10"/>
      <c r="QHV10"/>
      <c r="QHW10"/>
      <c r="QHX10"/>
      <c r="QHY10"/>
      <c r="QHZ10"/>
      <c r="QIA10"/>
      <c r="QIB10"/>
      <c r="QIC10"/>
      <c r="QID10"/>
      <c r="QIE10"/>
      <c r="QIF10"/>
      <c r="QIG10"/>
      <c r="QIH10"/>
      <c r="QII10"/>
      <c r="QIJ10"/>
      <c r="QIK10"/>
      <c r="QIL10"/>
      <c r="QIM10"/>
      <c r="QIN10"/>
      <c r="QIO10"/>
      <c r="QIP10"/>
      <c r="QIQ10"/>
      <c r="QIR10"/>
      <c r="QIS10"/>
      <c r="QIT10"/>
      <c r="QIU10"/>
      <c r="QIV10"/>
      <c r="QIW10"/>
      <c r="QIX10"/>
      <c r="QIY10"/>
      <c r="QIZ10"/>
      <c r="QJA10"/>
      <c r="QJB10"/>
      <c r="QJC10"/>
      <c r="QJD10"/>
      <c r="QJE10"/>
      <c r="QJF10"/>
      <c r="QJG10"/>
      <c r="QJH10"/>
      <c r="QJI10"/>
      <c r="QJJ10"/>
      <c r="QJK10"/>
      <c r="QJL10"/>
      <c r="QJM10"/>
      <c r="QJN10"/>
      <c r="QJO10"/>
      <c r="QJP10"/>
      <c r="QJQ10"/>
      <c r="QJR10"/>
      <c r="QJS10"/>
      <c r="QJT10"/>
      <c r="QJU10"/>
      <c r="QJV10"/>
      <c r="QJW10"/>
      <c r="QJX10"/>
      <c r="QJY10"/>
      <c r="QJZ10"/>
      <c r="QKA10"/>
      <c r="QKB10"/>
      <c r="QKC10"/>
      <c r="QKD10"/>
      <c r="QKE10"/>
      <c r="QKF10"/>
      <c r="QKG10"/>
      <c r="QKH10"/>
      <c r="QKI10"/>
      <c r="QKJ10"/>
      <c r="QKK10"/>
      <c r="QKL10"/>
      <c r="QKM10"/>
      <c r="QKN10"/>
      <c r="QKO10"/>
      <c r="QKP10"/>
      <c r="QKQ10"/>
      <c r="QKR10"/>
      <c r="QKS10"/>
      <c r="QKT10"/>
      <c r="QKU10"/>
      <c r="QKV10"/>
      <c r="QKW10"/>
      <c r="QKX10"/>
      <c r="QKY10"/>
      <c r="QKZ10"/>
      <c r="QLA10"/>
      <c r="QLB10"/>
      <c r="QLC10"/>
      <c r="QLD10"/>
      <c r="QLE10"/>
      <c r="QLF10"/>
      <c r="QLG10"/>
      <c r="QLH10"/>
      <c r="QLI10"/>
      <c r="QLJ10"/>
      <c r="QLK10"/>
      <c r="QLL10"/>
      <c r="QLM10"/>
      <c r="QLN10"/>
      <c r="QLO10"/>
      <c r="QLP10"/>
      <c r="QLQ10"/>
      <c r="QLR10"/>
      <c r="QLS10"/>
      <c r="QLT10"/>
      <c r="QLU10"/>
      <c r="QLV10"/>
      <c r="QLW10"/>
      <c r="QLX10"/>
      <c r="QLY10"/>
      <c r="QLZ10"/>
      <c r="QMA10"/>
      <c r="QMB10"/>
      <c r="QMC10"/>
      <c r="QMD10"/>
      <c r="QME10"/>
      <c r="QMF10"/>
      <c r="QMG10"/>
      <c r="QMH10"/>
      <c r="QMI10"/>
      <c r="QMJ10"/>
      <c r="QMK10"/>
      <c r="QML10"/>
      <c r="QMM10"/>
      <c r="QMN10"/>
      <c r="QMO10"/>
      <c r="QMP10"/>
      <c r="QMQ10"/>
      <c r="QMR10"/>
      <c r="QMS10"/>
      <c r="QMT10"/>
      <c r="QMU10"/>
      <c r="QMV10"/>
      <c r="QMW10"/>
      <c r="QMX10"/>
      <c r="QMY10"/>
      <c r="QMZ10"/>
      <c r="QNA10"/>
      <c r="QNB10"/>
      <c r="QNC10"/>
      <c r="QND10"/>
      <c r="QNE10"/>
      <c r="QNF10"/>
      <c r="QNG10"/>
      <c r="QNH10"/>
      <c r="QNI10"/>
      <c r="QNJ10"/>
      <c r="QNK10"/>
      <c r="QNL10"/>
      <c r="QNM10"/>
      <c r="QNN10"/>
      <c r="QNO10"/>
      <c r="QNP10"/>
      <c r="QNQ10"/>
      <c r="QNR10"/>
      <c r="QNS10"/>
      <c r="QNT10"/>
      <c r="QNU10"/>
      <c r="QNV10"/>
      <c r="QNW10"/>
      <c r="QNX10"/>
      <c r="QNY10"/>
      <c r="QNZ10"/>
      <c r="QOA10"/>
      <c r="QOB10"/>
      <c r="QOC10"/>
      <c r="QOD10"/>
      <c r="QOE10"/>
      <c r="QOF10"/>
      <c r="QOG10"/>
      <c r="QOH10"/>
      <c r="QOI10"/>
      <c r="QOJ10"/>
      <c r="QOK10"/>
      <c r="QOL10"/>
      <c r="QOM10"/>
      <c r="QON10"/>
      <c r="QOO10"/>
      <c r="QOP10"/>
      <c r="QOQ10"/>
      <c r="QOR10"/>
      <c r="QOS10"/>
      <c r="QOT10"/>
      <c r="QOU10"/>
      <c r="QOV10"/>
      <c r="QOW10"/>
      <c r="QOX10"/>
      <c r="QOY10"/>
      <c r="QOZ10"/>
      <c r="QPA10"/>
      <c r="QPB10"/>
      <c r="QPC10"/>
      <c r="QPD10"/>
      <c r="QPE10"/>
      <c r="QPF10"/>
      <c r="QPG10"/>
      <c r="QPH10"/>
      <c r="QPI10"/>
      <c r="QPJ10"/>
      <c r="QPK10"/>
      <c r="QPL10"/>
      <c r="QPM10"/>
      <c r="QPN10"/>
      <c r="QPO10"/>
      <c r="QPP10"/>
      <c r="QPQ10"/>
      <c r="QPR10"/>
      <c r="QPS10"/>
      <c r="QPT10"/>
      <c r="QPU10"/>
      <c r="QPV10"/>
      <c r="QPW10"/>
      <c r="QPX10"/>
      <c r="QPY10"/>
      <c r="QPZ10"/>
      <c r="QQA10"/>
      <c r="QQB10"/>
      <c r="QQC10"/>
      <c r="QQD10"/>
      <c r="QQE10"/>
      <c r="QQF10"/>
      <c r="QQG10"/>
      <c r="QQH10"/>
      <c r="QQI10"/>
      <c r="QQJ10"/>
      <c r="QQK10"/>
      <c r="QQL10"/>
      <c r="QQM10"/>
      <c r="QQN10"/>
      <c r="QQO10"/>
      <c r="QQP10"/>
      <c r="QQQ10"/>
      <c r="QQR10"/>
      <c r="QQS10"/>
      <c r="QQT10"/>
      <c r="QQU10"/>
      <c r="QQV10"/>
      <c r="QQW10"/>
      <c r="QQX10"/>
      <c r="QQY10"/>
      <c r="QQZ10"/>
      <c r="QRA10"/>
      <c r="QRB10"/>
      <c r="QRC10"/>
      <c r="QRD10"/>
      <c r="QRE10"/>
      <c r="QRF10"/>
      <c r="QRG10"/>
      <c r="QRH10"/>
      <c r="QRI10"/>
      <c r="QRJ10"/>
      <c r="QRK10"/>
      <c r="QRL10"/>
      <c r="QRM10"/>
      <c r="QRN10"/>
      <c r="QRO10"/>
      <c r="QRP10"/>
      <c r="QRQ10"/>
      <c r="QRR10"/>
      <c r="QRS10"/>
      <c r="QRT10"/>
      <c r="QRU10"/>
      <c r="QRV10"/>
      <c r="QRW10"/>
      <c r="QRX10"/>
      <c r="QRY10"/>
      <c r="QRZ10"/>
      <c r="QSA10"/>
      <c r="QSB10"/>
      <c r="QSC10"/>
      <c r="QSD10"/>
      <c r="QSE10"/>
      <c r="QSF10"/>
      <c r="QSG10"/>
      <c r="QSH10"/>
      <c r="QSI10"/>
      <c r="QSJ10"/>
      <c r="QSK10"/>
      <c r="QSL10"/>
      <c r="QSM10"/>
      <c r="QSN10"/>
      <c r="QSO10"/>
      <c r="QSP10"/>
      <c r="QSQ10"/>
      <c r="QSR10"/>
      <c r="QSS10"/>
      <c r="QST10"/>
      <c r="QSU10"/>
      <c r="QSV10"/>
      <c r="QSW10"/>
      <c r="QSX10"/>
      <c r="QSY10"/>
      <c r="QSZ10"/>
      <c r="QTA10"/>
      <c r="QTB10"/>
      <c r="QTC10"/>
      <c r="QTD10"/>
      <c r="QTE10"/>
      <c r="QTF10"/>
      <c r="QTG10"/>
      <c r="QTH10"/>
      <c r="QTI10"/>
      <c r="QTJ10"/>
      <c r="QTK10"/>
      <c r="QTL10"/>
      <c r="QTM10"/>
      <c r="QTN10"/>
      <c r="QTO10"/>
      <c r="QTP10"/>
      <c r="QTQ10"/>
      <c r="QTR10"/>
      <c r="QTS10"/>
      <c r="QTT10"/>
      <c r="QTU10"/>
      <c r="QTV10"/>
      <c r="QTW10"/>
      <c r="QTX10"/>
      <c r="QTY10"/>
      <c r="QTZ10"/>
      <c r="QUA10"/>
      <c r="QUB10"/>
      <c r="QUC10"/>
      <c r="QUD10"/>
      <c r="QUE10"/>
      <c r="QUF10"/>
      <c r="QUG10"/>
      <c r="QUH10"/>
      <c r="QUI10"/>
      <c r="QUJ10"/>
      <c r="QUK10"/>
      <c r="QUL10"/>
      <c r="QUM10"/>
      <c r="QUN10"/>
      <c r="QUO10"/>
      <c r="QUP10"/>
      <c r="QUQ10"/>
      <c r="QUR10"/>
      <c r="QUS10"/>
      <c r="QUT10"/>
      <c r="QUU10"/>
      <c r="QUV10"/>
      <c r="QUW10"/>
      <c r="QUX10"/>
      <c r="QUY10"/>
      <c r="QUZ10"/>
      <c r="QVA10"/>
      <c r="QVB10"/>
      <c r="QVC10"/>
      <c r="QVD10"/>
      <c r="QVE10"/>
      <c r="QVF10"/>
      <c r="QVG10"/>
      <c r="QVH10"/>
      <c r="QVI10"/>
      <c r="QVJ10"/>
      <c r="QVK10"/>
      <c r="QVL10"/>
      <c r="QVM10"/>
      <c r="QVN10"/>
      <c r="QVO10"/>
      <c r="QVP10"/>
      <c r="QVQ10"/>
      <c r="QVR10"/>
      <c r="QVS10"/>
      <c r="QVT10"/>
      <c r="QVU10"/>
      <c r="QVV10"/>
      <c r="QVW10"/>
      <c r="QVX10"/>
      <c r="QVY10"/>
      <c r="QVZ10"/>
      <c r="QWA10"/>
      <c r="QWB10"/>
      <c r="QWC10"/>
      <c r="QWD10"/>
      <c r="QWE10"/>
      <c r="QWF10"/>
      <c r="QWG10"/>
      <c r="QWH10"/>
      <c r="QWI10"/>
      <c r="QWJ10"/>
      <c r="QWK10"/>
      <c r="QWL10"/>
      <c r="QWM10"/>
      <c r="QWN10"/>
      <c r="QWO10"/>
      <c r="QWP10"/>
      <c r="QWQ10"/>
      <c r="QWR10"/>
      <c r="QWS10"/>
      <c r="QWT10"/>
      <c r="QWU10"/>
      <c r="QWV10"/>
      <c r="QWW10"/>
      <c r="QWX10"/>
      <c r="QWY10"/>
      <c r="QWZ10"/>
      <c r="QXA10"/>
      <c r="QXB10"/>
      <c r="QXC10"/>
      <c r="QXD10"/>
      <c r="QXE10"/>
      <c r="QXF10"/>
      <c r="QXG10"/>
      <c r="QXH10"/>
      <c r="QXI10"/>
      <c r="QXJ10"/>
      <c r="QXK10"/>
      <c r="QXL10"/>
      <c r="QXM10"/>
      <c r="QXN10"/>
      <c r="QXO10"/>
      <c r="QXP10"/>
      <c r="QXQ10"/>
      <c r="QXR10"/>
      <c r="QXS10"/>
      <c r="QXT10"/>
      <c r="QXU10"/>
      <c r="QXV10"/>
      <c r="QXW10"/>
      <c r="QXX10"/>
      <c r="QXY10"/>
      <c r="QXZ10"/>
      <c r="QYA10"/>
      <c r="QYB10"/>
      <c r="QYC10"/>
      <c r="QYD10"/>
      <c r="QYE10"/>
      <c r="QYF10"/>
      <c r="QYG10"/>
      <c r="QYH10"/>
      <c r="QYI10"/>
      <c r="QYJ10"/>
      <c r="QYK10"/>
      <c r="QYL10"/>
      <c r="QYM10"/>
      <c r="QYN10"/>
      <c r="QYO10"/>
      <c r="QYP10"/>
      <c r="QYQ10"/>
      <c r="QYR10"/>
      <c r="QYS10"/>
      <c r="QYT10"/>
      <c r="QYU10"/>
      <c r="QYV10"/>
      <c r="QYW10"/>
      <c r="QYX10"/>
      <c r="QYY10"/>
      <c r="QYZ10"/>
      <c r="QZA10"/>
      <c r="QZB10"/>
      <c r="QZC10"/>
      <c r="QZD10"/>
      <c r="QZE10"/>
      <c r="QZF10"/>
      <c r="QZG10"/>
      <c r="QZH10"/>
      <c r="QZI10"/>
      <c r="QZJ10"/>
      <c r="QZK10"/>
      <c r="QZL10"/>
      <c r="QZM10"/>
      <c r="QZN10"/>
      <c r="QZO10"/>
      <c r="QZP10"/>
      <c r="QZQ10"/>
      <c r="QZR10"/>
      <c r="QZS10"/>
      <c r="QZT10"/>
      <c r="QZU10"/>
      <c r="QZV10"/>
      <c r="QZW10"/>
      <c r="QZX10"/>
      <c r="QZY10"/>
      <c r="QZZ10"/>
      <c r="RAA10"/>
      <c r="RAB10"/>
      <c r="RAC10"/>
      <c r="RAD10"/>
      <c r="RAE10"/>
      <c r="RAF10"/>
      <c r="RAG10"/>
      <c r="RAH10"/>
      <c r="RAI10"/>
      <c r="RAJ10"/>
      <c r="RAK10"/>
      <c r="RAL10"/>
      <c r="RAM10"/>
      <c r="RAN10"/>
      <c r="RAO10"/>
      <c r="RAP10"/>
      <c r="RAQ10"/>
      <c r="RAR10"/>
      <c r="RAS10"/>
      <c r="RAT10"/>
      <c r="RAU10"/>
      <c r="RAV10"/>
      <c r="RAW10"/>
      <c r="RAX10"/>
      <c r="RAY10"/>
      <c r="RAZ10"/>
      <c r="RBA10"/>
      <c r="RBB10"/>
      <c r="RBC10"/>
      <c r="RBD10"/>
      <c r="RBE10"/>
      <c r="RBF10"/>
      <c r="RBG10"/>
      <c r="RBH10"/>
      <c r="RBI10"/>
      <c r="RBJ10"/>
      <c r="RBK10"/>
      <c r="RBL10"/>
      <c r="RBM10"/>
      <c r="RBN10"/>
      <c r="RBO10"/>
      <c r="RBP10"/>
      <c r="RBQ10"/>
      <c r="RBR10"/>
      <c r="RBS10"/>
      <c r="RBT10"/>
      <c r="RBU10"/>
      <c r="RBV10"/>
      <c r="RBW10"/>
      <c r="RBX10"/>
      <c r="RBY10"/>
      <c r="RBZ10"/>
      <c r="RCA10"/>
      <c r="RCB10"/>
      <c r="RCC10"/>
      <c r="RCD10"/>
      <c r="RCE10"/>
      <c r="RCF10"/>
      <c r="RCG10"/>
      <c r="RCH10"/>
      <c r="RCI10"/>
      <c r="RCJ10"/>
      <c r="RCK10"/>
      <c r="RCL10"/>
      <c r="RCM10"/>
      <c r="RCN10"/>
      <c r="RCO10"/>
      <c r="RCP10"/>
      <c r="RCQ10"/>
      <c r="RCR10"/>
      <c r="RCS10"/>
      <c r="RCT10"/>
      <c r="RCU10"/>
      <c r="RCV10"/>
      <c r="RCW10"/>
      <c r="RCX10"/>
      <c r="RCY10"/>
      <c r="RCZ10"/>
      <c r="RDA10"/>
      <c r="RDB10"/>
      <c r="RDC10"/>
      <c r="RDD10"/>
      <c r="RDE10"/>
      <c r="RDF10"/>
      <c r="RDG10"/>
      <c r="RDH10"/>
      <c r="RDI10"/>
      <c r="RDJ10"/>
      <c r="RDK10"/>
      <c r="RDL10"/>
      <c r="RDM10"/>
      <c r="RDN10"/>
      <c r="RDO10"/>
      <c r="RDP10"/>
      <c r="RDQ10"/>
      <c r="RDR10"/>
      <c r="RDS10"/>
      <c r="RDT10"/>
      <c r="RDU10"/>
      <c r="RDV10"/>
      <c r="RDW10"/>
      <c r="RDX10"/>
      <c r="RDY10"/>
      <c r="RDZ10"/>
      <c r="REA10"/>
      <c r="REB10"/>
      <c r="REC10"/>
      <c r="RED10"/>
      <c r="REE10"/>
      <c r="REF10"/>
      <c r="REG10"/>
      <c r="REH10"/>
      <c r="REI10"/>
      <c r="REJ10"/>
      <c r="REK10"/>
      <c r="REL10"/>
      <c r="REM10"/>
      <c r="REN10"/>
      <c r="REO10"/>
      <c r="REP10"/>
      <c r="REQ10"/>
      <c r="RER10"/>
      <c r="RES10"/>
      <c r="RET10"/>
      <c r="REU10"/>
      <c r="REV10"/>
      <c r="REW10"/>
      <c r="REX10"/>
      <c r="REY10"/>
      <c r="REZ10"/>
      <c r="RFA10"/>
      <c r="RFB10"/>
      <c r="RFC10"/>
      <c r="RFD10"/>
      <c r="RFE10"/>
      <c r="RFF10"/>
      <c r="RFG10"/>
      <c r="RFH10"/>
      <c r="RFI10"/>
      <c r="RFJ10"/>
      <c r="RFK10"/>
      <c r="RFL10"/>
      <c r="RFM10"/>
      <c r="RFN10"/>
      <c r="RFO10"/>
      <c r="RFP10"/>
      <c r="RFQ10"/>
      <c r="RFR10"/>
      <c r="RFS10"/>
      <c r="RFT10"/>
      <c r="RFU10"/>
      <c r="RFV10"/>
      <c r="RFW10"/>
      <c r="RFX10"/>
      <c r="RFY10"/>
      <c r="RFZ10"/>
      <c r="RGA10"/>
      <c r="RGB10"/>
      <c r="RGC10"/>
      <c r="RGD10"/>
      <c r="RGE10"/>
      <c r="RGF10"/>
      <c r="RGG10"/>
      <c r="RGH10"/>
      <c r="RGI10"/>
      <c r="RGJ10"/>
      <c r="RGK10"/>
      <c r="RGL10"/>
      <c r="RGM10"/>
      <c r="RGN10"/>
      <c r="RGO10"/>
      <c r="RGP10"/>
      <c r="RGQ10"/>
      <c r="RGR10"/>
      <c r="RGS10"/>
      <c r="RGT10"/>
      <c r="RGU10"/>
      <c r="RGV10"/>
      <c r="RGW10"/>
      <c r="RGX10"/>
      <c r="RGY10"/>
      <c r="RGZ10"/>
      <c r="RHA10"/>
      <c r="RHB10"/>
      <c r="RHC10"/>
      <c r="RHD10"/>
      <c r="RHE10"/>
      <c r="RHF10"/>
      <c r="RHG10"/>
      <c r="RHH10"/>
      <c r="RHI10"/>
      <c r="RHJ10"/>
      <c r="RHK10"/>
      <c r="RHL10"/>
      <c r="RHM10"/>
      <c r="RHN10"/>
      <c r="RHO10"/>
      <c r="RHP10"/>
      <c r="RHQ10"/>
      <c r="RHR10"/>
      <c r="RHS10"/>
      <c r="RHT10"/>
      <c r="RHU10"/>
      <c r="RHV10"/>
      <c r="RHW10"/>
      <c r="RHX10"/>
      <c r="RHY10"/>
      <c r="RHZ10"/>
      <c r="RIA10"/>
      <c r="RIB10"/>
      <c r="RIC10"/>
      <c r="RID10"/>
      <c r="RIE10"/>
      <c r="RIF10"/>
      <c r="RIG10"/>
      <c r="RIH10"/>
      <c r="RII10"/>
      <c r="RIJ10"/>
      <c r="RIK10"/>
      <c r="RIL10"/>
      <c r="RIM10"/>
      <c r="RIN10"/>
      <c r="RIO10"/>
      <c r="RIP10"/>
      <c r="RIQ10"/>
      <c r="RIR10"/>
      <c r="RIS10"/>
      <c r="RIT10"/>
      <c r="RIU10"/>
      <c r="RIV10"/>
      <c r="RIW10"/>
      <c r="RIX10"/>
      <c r="RIY10"/>
      <c r="RIZ10"/>
      <c r="RJA10"/>
      <c r="RJB10"/>
      <c r="RJC10"/>
      <c r="RJD10"/>
      <c r="RJE10"/>
      <c r="RJF10"/>
      <c r="RJG10"/>
      <c r="RJH10"/>
      <c r="RJI10"/>
      <c r="RJJ10"/>
      <c r="RJK10"/>
      <c r="RJL10"/>
      <c r="RJM10"/>
      <c r="RJN10"/>
      <c r="RJO10"/>
      <c r="RJP10"/>
      <c r="RJQ10"/>
      <c r="RJR10"/>
      <c r="RJS10"/>
      <c r="RJT10"/>
      <c r="RJU10"/>
      <c r="RJV10"/>
      <c r="RJW10"/>
      <c r="RJX10"/>
      <c r="RJY10"/>
      <c r="RJZ10"/>
      <c r="RKA10"/>
      <c r="RKB10"/>
      <c r="RKC10"/>
      <c r="RKD10"/>
      <c r="RKE10"/>
      <c r="RKF10"/>
      <c r="RKG10"/>
      <c r="RKH10"/>
      <c r="RKI10"/>
      <c r="RKJ10"/>
      <c r="RKK10"/>
      <c r="RKL10"/>
      <c r="RKM10"/>
      <c r="RKN10"/>
      <c r="RKO10"/>
      <c r="RKP10"/>
      <c r="RKQ10"/>
      <c r="RKR10"/>
      <c r="RKS10"/>
      <c r="RKT10"/>
      <c r="RKU10"/>
      <c r="RKV10"/>
      <c r="RKW10"/>
      <c r="RKX10"/>
      <c r="RKY10"/>
      <c r="RKZ10"/>
      <c r="RLA10"/>
      <c r="RLB10"/>
      <c r="RLC10"/>
      <c r="RLD10"/>
      <c r="RLE10"/>
      <c r="RLF10"/>
      <c r="RLG10"/>
      <c r="RLH10"/>
      <c r="RLI10"/>
      <c r="RLJ10"/>
      <c r="RLK10"/>
      <c r="RLL10"/>
      <c r="RLM10"/>
      <c r="RLN10"/>
      <c r="RLO10"/>
      <c r="RLP10"/>
      <c r="RLQ10"/>
      <c r="RLR10"/>
      <c r="RLS10"/>
      <c r="RLT10"/>
      <c r="RLU10"/>
      <c r="RLV10"/>
      <c r="RLW10"/>
      <c r="RLX10"/>
      <c r="RLY10"/>
      <c r="RLZ10"/>
      <c r="RMA10"/>
      <c r="RMB10"/>
      <c r="RMC10"/>
      <c r="RMD10"/>
      <c r="RME10"/>
      <c r="RMF10"/>
      <c r="RMG10"/>
      <c r="RMH10"/>
      <c r="RMI10"/>
      <c r="RMJ10"/>
      <c r="RMK10"/>
      <c r="RML10"/>
      <c r="RMM10"/>
      <c r="RMN10"/>
      <c r="RMO10"/>
      <c r="RMP10"/>
      <c r="RMQ10"/>
      <c r="RMR10"/>
      <c r="RMS10"/>
      <c r="RMT10"/>
      <c r="RMU10"/>
      <c r="RMV10"/>
      <c r="RMW10"/>
      <c r="RMX10"/>
      <c r="RMY10"/>
      <c r="RMZ10"/>
      <c r="RNA10"/>
      <c r="RNB10"/>
      <c r="RNC10"/>
      <c r="RND10"/>
      <c r="RNE10"/>
      <c r="RNF10"/>
      <c r="RNG10"/>
      <c r="RNH10"/>
      <c r="RNI10"/>
      <c r="RNJ10"/>
      <c r="RNK10"/>
      <c r="RNL10"/>
      <c r="RNM10"/>
      <c r="RNN10"/>
      <c r="RNO10"/>
      <c r="RNP10"/>
      <c r="RNQ10"/>
      <c r="RNR10"/>
      <c r="RNS10"/>
      <c r="RNT10"/>
      <c r="RNU10"/>
      <c r="RNV10"/>
      <c r="RNW10"/>
      <c r="RNX10"/>
      <c r="RNY10"/>
      <c r="RNZ10"/>
      <c r="ROA10"/>
      <c r="ROB10"/>
      <c r="ROC10"/>
      <c r="ROD10"/>
      <c r="ROE10"/>
      <c r="ROF10"/>
      <c r="ROG10"/>
      <c r="ROH10"/>
      <c r="ROI10"/>
      <c r="ROJ10"/>
      <c r="ROK10"/>
      <c r="ROL10"/>
      <c r="ROM10"/>
      <c r="RON10"/>
      <c r="ROO10"/>
      <c r="ROP10"/>
      <c r="ROQ10"/>
      <c r="ROR10"/>
      <c r="ROS10"/>
      <c r="ROT10"/>
      <c r="ROU10"/>
      <c r="ROV10"/>
      <c r="ROW10"/>
      <c r="ROX10"/>
      <c r="ROY10"/>
      <c r="ROZ10"/>
      <c r="RPA10"/>
      <c r="RPB10"/>
      <c r="RPC10"/>
      <c r="RPD10"/>
      <c r="RPE10"/>
      <c r="RPF10"/>
      <c r="RPG10"/>
      <c r="RPH10"/>
      <c r="RPI10"/>
      <c r="RPJ10"/>
      <c r="RPK10"/>
      <c r="RPL10"/>
      <c r="RPM10"/>
      <c r="RPN10"/>
      <c r="RPO10"/>
      <c r="RPP10"/>
      <c r="RPQ10"/>
      <c r="RPR10"/>
      <c r="RPS10"/>
      <c r="RPT10"/>
      <c r="RPU10"/>
      <c r="RPV10"/>
      <c r="RPW10"/>
      <c r="RPX10"/>
      <c r="RPY10"/>
      <c r="RPZ10"/>
      <c r="RQA10"/>
      <c r="RQB10"/>
      <c r="RQC10"/>
      <c r="RQD10"/>
      <c r="RQE10"/>
      <c r="RQF10"/>
      <c r="RQG10"/>
      <c r="RQH10"/>
      <c r="RQI10"/>
      <c r="RQJ10"/>
      <c r="RQK10"/>
      <c r="RQL10"/>
      <c r="RQM10"/>
      <c r="RQN10"/>
      <c r="RQO10"/>
      <c r="RQP10"/>
      <c r="RQQ10"/>
      <c r="RQR10"/>
      <c r="RQS10"/>
      <c r="RQT10"/>
      <c r="RQU10"/>
      <c r="RQV10"/>
      <c r="RQW10"/>
      <c r="RQX10"/>
      <c r="RQY10"/>
      <c r="RQZ10"/>
      <c r="RRA10"/>
      <c r="RRB10"/>
      <c r="RRC10"/>
      <c r="RRD10"/>
      <c r="RRE10"/>
      <c r="RRF10"/>
      <c r="RRG10"/>
      <c r="RRH10"/>
      <c r="RRI10"/>
      <c r="RRJ10"/>
      <c r="RRK10"/>
      <c r="RRL10"/>
      <c r="RRM10"/>
      <c r="RRN10"/>
      <c r="RRO10"/>
      <c r="RRP10"/>
      <c r="RRQ10"/>
      <c r="RRR10"/>
      <c r="RRS10"/>
      <c r="RRT10"/>
      <c r="RRU10"/>
      <c r="RRV10"/>
      <c r="RRW10"/>
      <c r="RRX10"/>
      <c r="RRY10"/>
      <c r="RRZ10"/>
      <c r="RSA10"/>
      <c r="RSB10"/>
      <c r="RSC10"/>
      <c r="RSD10"/>
      <c r="RSE10"/>
      <c r="RSF10"/>
      <c r="RSG10"/>
      <c r="RSH10"/>
      <c r="RSI10"/>
      <c r="RSJ10"/>
      <c r="RSK10"/>
      <c r="RSL10"/>
      <c r="RSM10"/>
      <c r="RSN10"/>
      <c r="RSO10"/>
      <c r="RSP10"/>
      <c r="RSQ10"/>
      <c r="RSR10"/>
      <c r="RSS10"/>
      <c r="RST10"/>
      <c r="RSU10"/>
      <c r="RSV10"/>
      <c r="RSW10"/>
      <c r="RSX10"/>
      <c r="RSY10"/>
      <c r="RSZ10"/>
      <c r="RTA10"/>
      <c r="RTB10"/>
      <c r="RTC10"/>
      <c r="RTD10"/>
      <c r="RTE10"/>
      <c r="RTF10"/>
      <c r="RTG10"/>
      <c r="RTH10"/>
      <c r="RTI10"/>
      <c r="RTJ10"/>
      <c r="RTK10"/>
      <c r="RTL10"/>
      <c r="RTM10"/>
      <c r="RTN10"/>
      <c r="RTO10"/>
      <c r="RTP10"/>
      <c r="RTQ10"/>
      <c r="RTR10"/>
      <c r="RTS10"/>
      <c r="RTT10"/>
      <c r="RTU10"/>
      <c r="RTV10"/>
      <c r="RTW10"/>
      <c r="RTX10"/>
      <c r="RTY10"/>
      <c r="RTZ10"/>
      <c r="RUA10"/>
      <c r="RUB10"/>
      <c r="RUC10"/>
      <c r="RUD10"/>
      <c r="RUE10"/>
      <c r="RUF10"/>
      <c r="RUG10"/>
      <c r="RUH10"/>
      <c r="RUI10"/>
      <c r="RUJ10"/>
      <c r="RUK10"/>
      <c r="RUL10"/>
      <c r="RUM10"/>
      <c r="RUN10"/>
      <c r="RUO10"/>
      <c r="RUP10"/>
      <c r="RUQ10"/>
      <c r="RUR10"/>
      <c r="RUS10"/>
      <c r="RUT10"/>
      <c r="RUU10"/>
      <c r="RUV10"/>
      <c r="RUW10"/>
      <c r="RUX10"/>
      <c r="RUY10"/>
      <c r="RUZ10"/>
      <c r="RVA10"/>
      <c r="RVB10"/>
      <c r="RVC10"/>
      <c r="RVD10"/>
      <c r="RVE10"/>
      <c r="RVF10"/>
      <c r="RVG10"/>
      <c r="RVH10"/>
      <c r="RVI10"/>
      <c r="RVJ10"/>
      <c r="RVK10"/>
      <c r="RVL10"/>
      <c r="RVM10"/>
      <c r="RVN10"/>
      <c r="RVO10"/>
      <c r="RVP10"/>
      <c r="RVQ10"/>
      <c r="RVR10"/>
      <c r="RVS10"/>
      <c r="RVT10"/>
      <c r="RVU10"/>
      <c r="RVV10"/>
      <c r="RVW10"/>
      <c r="RVX10"/>
      <c r="RVY10"/>
      <c r="RVZ10"/>
      <c r="RWA10"/>
      <c r="RWB10"/>
      <c r="RWC10"/>
      <c r="RWD10"/>
      <c r="RWE10"/>
      <c r="RWF10"/>
      <c r="RWG10"/>
      <c r="RWH10"/>
      <c r="RWI10"/>
      <c r="RWJ10"/>
      <c r="RWK10"/>
      <c r="RWL10"/>
      <c r="RWM10"/>
      <c r="RWN10"/>
      <c r="RWO10"/>
      <c r="RWP10"/>
      <c r="RWQ10"/>
      <c r="RWR10"/>
      <c r="RWS10"/>
      <c r="RWT10"/>
      <c r="RWU10"/>
      <c r="RWV10"/>
      <c r="RWW10"/>
      <c r="RWX10"/>
      <c r="RWY10"/>
      <c r="RWZ10"/>
      <c r="RXA10"/>
      <c r="RXB10"/>
      <c r="RXC10"/>
      <c r="RXD10"/>
      <c r="RXE10"/>
      <c r="RXF10"/>
      <c r="RXG10"/>
      <c r="RXH10"/>
      <c r="RXI10"/>
      <c r="RXJ10"/>
      <c r="RXK10"/>
      <c r="RXL10"/>
      <c r="RXM10"/>
      <c r="RXN10"/>
      <c r="RXO10"/>
      <c r="RXP10"/>
      <c r="RXQ10"/>
      <c r="RXR10"/>
      <c r="RXS10"/>
      <c r="RXT10"/>
      <c r="RXU10"/>
      <c r="RXV10"/>
      <c r="RXW10"/>
      <c r="RXX10"/>
      <c r="RXY10"/>
      <c r="RXZ10"/>
      <c r="RYA10"/>
      <c r="RYB10"/>
      <c r="RYC10"/>
      <c r="RYD10"/>
      <c r="RYE10"/>
      <c r="RYF10"/>
      <c r="RYG10"/>
      <c r="RYH10"/>
      <c r="RYI10"/>
      <c r="RYJ10"/>
      <c r="RYK10"/>
      <c r="RYL10"/>
      <c r="RYM10"/>
      <c r="RYN10"/>
      <c r="RYO10"/>
      <c r="RYP10"/>
      <c r="RYQ10"/>
      <c r="RYR10"/>
      <c r="RYS10"/>
      <c r="RYT10"/>
      <c r="RYU10"/>
      <c r="RYV10"/>
      <c r="RYW10"/>
      <c r="RYX10"/>
      <c r="RYY10"/>
      <c r="RYZ10"/>
      <c r="RZA10"/>
      <c r="RZB10"/>
      <c r="RZC10"/>
      <c r="RZD10"/>
      <c r="RZE10"/>
      <c r="RZF10"/>
      <c r="RZG10"/>
      <c r="RZH10"/>
      <c r="RZI10"/>
      <c r="RZJ10"/>
      <c r="RZK10"/>
      <c r="RZL10"/>
      <c r="RZM10"/>
      <c r="RZN10"/>
      <c r="RZO10"/>
      <c r="RZP10"/>
      <c r="RZQ10"/>
      <c r="RZR10"/>
      <c r="RZS10"/>
      <c r="RZT10"/>
      <c r="RZU10"/>
      <c r="RZV10"/>
      <c r="RZW10"/>
      <c r="RZX10"/>
      <c r="RZY10"/>
      <c r="RZZ10"/>
      <c r="SAA10"/>
      <c r="SAB10"/>
      <c r="SAC10"/>
      <c r="SAD10"/>
      <c r="SAE10"/>
      <c r="SAF10"/>
      <c r="SAG10"/>
      <c r="SAH10"/>
      <c r="SAI10"/>
      <c r="SAJ10"/>
      <c r="SAK10"/>
      <c r="SAL10"/>
      <c r="SAM10"/>
      <c r="SAN10"/>
      <c r="SAO10"/>
      <c r="SAP10"/>
      <c r="SAQ10"/>
      <c r="SAR10"/>
      <c r="SAS10"/>
      <c r="SAT10"/>
      <c r="SAU10"/>
      <c r="SAV10"/>
      <c r="SAW10"/>
      <c r="SAX10"/>
      <c r="SAY10"/>
      <c r="SAZ10"/>
      <c r="SBA10"/>
      <c r="SBB10"/>
      <c r="SBC10"/>
      <c r="SBD10"/>
      <c r="SBE10"/>
      <c r="SBF10"/>
      <c r="SBG10"/>
      <c r="SBH10"/>
      <c r="SBI10"/>
      <c r="SBJ10"/>
      <c r="SBK10"/>
      <c r="SBL10"/>
      <c r="SBM10"/>
      <c r="SBN10"/>
      <c r="SBO10"/>
      <c r="SBP10"/>
      <c r="SBQ10"/>
      <c r="SBR10"/>
      <c r="SBS10"/>
      <c r="SBT10"/>
      <c r="SBU10"/>
      <c r="SBV10"/>
      <c r="SBW10"/>
      <c r="SBX10"/>
      <c r="SBY10"/>
      <c r="SBZ10"/>
      <c r="SCA10"/>
      <c r="SCB10"/>
      <c r="SCC10"/>
      <c r="SCD10"/>
      <c r="SCE10"/>
      <c r="SCF10"/>
      <c r="SCG10"/>
      <c r="SCH10"/>
      <c r="SCI10"/>
      <c r="SCJ10"/>
      <c r="SCK10"/>
      <c r="SCL10"/>
      <c r="SCM10"/>
      <c r="SCN10"/>
      <c r="SCO10"/>
      <c r="SCP10"/>
      <c r="SCQ10"/>
      <c r="SCR10"/>
      <c r="SCS10"/>
      <c r="SCT10"/>
      <c r="SCU10"/>
      <c r="SCV10"/>
      <c r="SCW10"/>
      <c r="SCX10"/>
      <c r="SCY10"/>
      <c r="SCZ10"/>
      <c r="SDA10"/>
      <c r="SDB10"/>
      <c r="SDC10"/>
      <c r="SDD10"/>
      <c r="SDE10"/>
      <c r="SDF10"/>
      <c r="SDG10"/>
      <c r="SDH10"/>
      <c r="SDI10"/>
      <c r="SDJ10"/>
      <c r="SDK10"/>
      <c r="SDL10"/>
      <c r="SDM10"/>
      <c r="SDN10"/>
      <c r="SDO10"/>
      <c r="SDP10"/>
      <c r="SDQ10"/>
      <c r="SDR10"/>
      <c r="SDS10"/>
      <c r="SDT10"/>
      <c r="SDU10"/>
      <c r="SDV10"/>
      <c r="SDW10"/>
      <c r="SDX10"/>
      <c r="SDY10"/>
      <c r="SDZ10"/>
      <c r="SEA10"/>
      <c r="SEB10"/>
      <c r="SEC10"/>
      <c r="SED10"/>
      <c r="SEE10"/>
      <c r="SEF10"/>
      <c r="SEG10"/>
      <c r="SEH10"/>
      <c r="SEI10"/>
      <c r="SEJ10"/>
      <c r="SEK10"/>
      <c r="SEL10"/>
      <c r="SEM10"/>
      <c r="SEN10"/>
      <c r="SEO10"/>
      <c r="SEP10"/>
      <c r="SEQ10"/>
      <c r="SER10"/>
      <c r="SES10"/>
      <c r="SET10"/>
      <c r="SEU10"/>
      <c r="SEV10"/>
      <c r="SEW10"/>
      <c r="SEX10"/>
      <c r="SEY10"/>
      <c r="SEZ10"/>
      <c r="SFA10"/>
      <c r="SFB10"/>
      <c r="SFC10"/>
      <c r="SFD10"/>
      <c r="SFE10"/>
      <c r="SFF10"/>
      <c r="SFG10"/>
      <c r="SFH10"/>
      <c r="SFI10"/>
      <c r="SFJ10"/>
      <c r="SFK10"/>
      <c r="SFL10"/>
      <c r="SFM10"/>
      <c r="SFN10"/>
      <c r="SFO10"/>
      <c r="SFP10"/>
      <c r="SFQ10"/>
      <c r="SFR10"/>
      <c r="SFS10"/>
      <c r="SFT10"/>
      <c r="SFU10"/>
      <c r="SFV10"/>
      <c r="SFW10"/>
      <c r="SFX10"/>
      <c r="SFY10"/>
      <c r="SFZ10"/>
      <c r="SGA10"/>
      <c r="SGB10"/>
      <c r="SGC10"/>
      <c r="SGD10"/>
      <c r="SGE10"/>
      <c r="SGF10"/>
      <c r="SGG10"/>
      <c r="SGH10"/>
      <c r="SGI10"/>
      <c r="SGJ10"/>
      <c r="SGK10"/>
      <c r="SGL10"/>
      <c r="SGM10"/>
      <c r="SGN10"/>
      <c r="SGO10"/>
      <c r="SGP10"/>
      <c r="SGQ10"/>
      <c r="SGR10"/>
      <c r="SGS10"/>
      <c r="SGT10"/>
      <c r="SGU10"/>
      <c r="SGV10"/>
      <c r="SGW10"/>
      <c r="SGX10"/>
      <c r="SGY10"/>
      <c r="SGZ10"/>
      <c r="SHA10"/>
      <c r="SHB10"/>
      <c r="SHC10"/>
      <c r="SHD10"/>
      <c r="SHE10"/>
      <c r="SHF10"/>
      <c r="SHG10"/>
      <c r="SHH10"/>
      <c r="SHI10"/>
      <c r="SHJ10"/>
      <c r="SHK10"/>
      <c r="SHL10"/>
      <c r="SHM10"/>
      <c r="SHN10"/>
      <c r="SHO10"/>
      <c r="SHP10"/>
      <c r="SHQ10"/>
      <c r="SHR10"/>
      <c r="SHS10"/>
      <c r="SHT10"/>
      <c r="SHU10"/>
      <c r="SHV10"/>
      <c r="SHW10"/>
      <c r="SHX10"/>
      <c r="SHY10"/>
      <c r="SHZ10"/>
      <c r="SIA10"/>
      <c r="SIB10"/>
      <c r="SIC10"/>
      <c r="SID10"/>
      <c r="SIE10"/>
      <c r="SIF10"/>
      <c r="SIG10"/>
      <c r="SIH10"/>
      <c r="SII10"/>
      <c r="SIJ10"/>
      <c r="SIK10"/>
      <c r="SIL10"/>
      <c r="SIM10"/>
      <c r="SIN10"/>
      <c r="SIO10"/>
      <c r="SIP10"/>
      <c r="SIQ10"/>
      <c r="SIR10"/>
      <c r="SIS10"/>
      <c r="SIT10"/>
      <c r="SIU10"/>
      <c r="SIV10"/>
      <c r="SIW10"/>
      <c r="SIX10"/>
      <c r="SIY10"/>
      <c r="SIZ10"/>
      <c r="SJA10"/>
      <c r="SJB10"/>
      <c r="SJC10"/>
      <c r="SJD10"/>
      <c r="SJE10"/>
      <c r="SJF10"/>
      <c r="SJG10"/>
      <c r="SJH10"/>
      <c r="SJI10"/>
      <c r="SJJ10"/>
      <c r="SJK10"/>
      <c r="SJL10"/>
      <c r="SJM10"/>
      <c r="SJN10"/>
      <c r="SJO10"/>
      <c r="SJP10"/>
      <c r="SJQ10"/>
      <c r="SJR10"/>
      <c r="SJS10"/>
      <c r="SJT10"/>
      <c r="SJU10"/>
      <c r="SJV10"/>
      <c r="SJW10"/>
      <c r="SJX10"/>
      <c r="SJY10"/>
      <c r="SJZ10"/>
      <c r="SKA10"/>
      <c r="SKB10"/>
      <c r="SKC10"/>
      <c r="SKD10"/>
      <c r="SKE10"/>
      <c r="SKF10"/>
      <c r="SKG10"/>
      <c r="SKH10"/>
      <c r="SKI10"/>
      <c r="SKJ10"/>
      <c r="SKK10"/>
      <c r="SKL10"/>
      <c r="SKM10"/>
      <c r="SKN10"/>
      <c r="SKO10"/>
      <c r="SKP10"/>
      <c r="SKQ10"/>
      <c r="SKR10"/>
      <c r="SKS10"/>
      <c r="SKT10"/>
      <c r="SKU10"/>
      <c r="SKV10"/>
      <c r="SKW10"/>
      <c r="SKX10"/>
      <c r="SKY10"/>
      <c r="SKZ10"/>
      <c r="SLA10"/>
      <c r="SLB10"/>
      <c r="SLC10"/>
      <c r="SLD10"/>
      <c r="SLE10"/>
      <c r="SLF10"/>
      <c r="SLG10"/>
      <c r="SLH10"/>
      <c r="SLI10"/>
      <c r="SLJ10"/>
      <c r="SLK10"/>
      <c r="SLL10"/>
      <c r="SLM10"/>
      <c r="SLN10"/>
      <c r="SLO10"/>
      <c r="SLP10"/>
      <c r="SLQ10"/>
      <c r="SLR10"/>
      <c r="SLS10"/>
      <c r="SLT10"/>
      <c r="SLU10"/>
      <c r="SLV10"/>
      <c r="SLW10"/>
      <c r="SLX10"/>
      <c r="SLY10"/>
      <c r="SLZ10"/>
      <c r="SMA10"/>
      <c r="SMB10"/>
      <c r="SMC10"/>
      <c r="SMD10"/>
      <c r="SME10"/>
      <c r="SMF10"/>
      <c r="SMG10"/>
      <c r="SMH10"/>
      <c r="SMI10"/>
      <c r="SMJ10"/>
      <c r="SMK10"/>
      <c r="SML10"/>
      <c r="SMM10"/>
      <c r="SMN10"/>
      <c r="SMO10"/>
      <c r="SMP10"/>
      <c r="SMQ10"/>
      <c r="SMR10"/>
      <c r="SMS10"/>
      <c r="SMT10"/>
      <c r="SMU10"/>
      <c r="SMV10"/>
      <c r="SMW10"/>
      <c r="SMX10"/>
      <c r="SMY10"/>
      <c r="SMZ10"/>
      <c r="SNA10"/>
      <c r="SNB10"/>
      <c r="SNC10"/>
      <c r="SND10"/>
      <c r="SNE10"/>
      <c r="SNF10"/>
      <c r="SNG10"/>
      <c r="SNH10"/>
      <c r="SNI10"/>
      <c r="SNJ10"/>
      <c r="SNK10"/>
      <c r="SNL10"/>
      <c r="SNM10"/>
      <c r="SNN10"/>
      <c r="SNO10"/>
      <c r="SNP10"/>
      <c r="SNQ10"/>
      <c r="SNR10"/>
      <c r="SNS10"/>
      <c r="SNT10"/>
      <c r="SNU10"/>
      <c r="SNV10"/>
      <c r="SNW10"/>
      <c r="SNX10"/>
      <c r="SNY10"/>
      <c r="SNZ10"/>
      <c r="SOA10"/>
      <c r="SOB10"/>
      <c r="SOC10"/>
      <c r="SOD10"/>
      <c r="SOE10"/>
      <c r="SOF10"/>
      <c r="SOG10"/>
      <c r="SOH10"/>
      <c r="SOI10"/>
      <c r="SOJ10"/>
      <c r="SOK10"/>
      <c r="SOL10"/>
      <c r="SOM10"/>
      <c r="SON10"/>
      <c r="SOO10"/>
      <c r="SOP10"/>
      <c r="SOQ10"/>
      <c r="SOR10"/>
      <c r="SOS10"/>
      <c r="SOT10"/>
      <c r="SOU10"/>
      <c r="SOV10"/>
      <c r="SOW10"/>
      <c r="SOX10"/>
      <c r="SOY10"/>
      <c r="SOZ10"/>
      <c r="SPA10"/>
      <c r="SPB10"/>
      <c r="SPC10"/>
      <c r="SPD10"/>
      <c r="SPE10"/>
      <c r="SPF10"/>
      <c r="SPG10"/>
      <c r="SPH10"/>
      <c r="SPI10"/>
      <c r="SPJ10"/>
      <c r="SPK10"/>
      <c r="SPL10"/>
      <c r="SPM10"/>
      <c r="SPN10"/>
      <c r="SPO10"/>
      <c r="SPP10"/>
      <c r="SPQ10"/>
      <c r="SPR10"/>
      <c r="SPS10"/>
      <c r="SPT10"/>
      <c r="SPU10"/>
      <c r="SPV10"/>
      <c r="SPW10"/>
      <c r="SPX10"/>
      <c r="SPY10"/>
      <c r="SPZ10"/>
      <c r="SQA10"/>
      <c r="SQB10"/>
      <c r="SQC10"/>
      <c r="SQD10"/>
      <c r="SQE10"/>
      <c r="SQF10"/>
      <c r="SQG10"/>
      <c r="SQH10"/>
      <c r="SQI10"/>
      <c r="SQJ10"/>
      <c r="SQK10"/>
      <c r="SQL10"/>
      <c r="SQM10"/>
      <c r="SQN10"/>
      <c r="SQO10"/>
      <c r="SQP10"/>
      <c r="SQQ10"/>
      <c r="SQR10"/>
      <c r="SQS10"/>
      <c r="SQT10"/>
      <c r="SQU10"/>
      <c r="SQV10"/>
      <c r="SQW10"/>
      <c r="SQX10"/>
      <c r="SQY10"/>
      <c r="SQZ10"/>
      <c r="SRA10"/>
      <c r="SRB10"/>
      <c r="SRC10"/>
      <c r="SRD10"/>
      <c r="SRE10"/>
      <c r="SRF10"/>
      <c r="SRG10"/>
      <c r="SRH10"/>
      <c r="SRI10"/>
      <c r="SRJ10"/>
      <c r="SRK10"/>
      <c r="SRL10"/>
      <c r="SRM10"/>
      <c r="SRN10"/>
      <c r="SRO10"/>
      <c r="SRP10"/>
      <c r="SRQ10"/>
      <c r="SRR10"/>
      <c r="SRS10"/>
      <c r="SRT10"/>
      <c r="SRU10"/>
      <c r="SRV10"/>
      <c r="SRW10"/>
      <c r="SRX10"/>
      <c r="SRY10"/>
      <c r="SRZ10"/>
      <c r="SSA10"/>
      <c r="SSB10"/>
      <c r="SSC10"/>
      <c r="SSD10"/>
      <c r="SSE10"/>
      <c r="SSF10"/>
      <c r="SSG10"/>
      <c r="SSH10"/>
      <c r="SSI10"/>
      <c r="SSJ10"/>
      <c r="SSK10"/>
      <c r="SSL10"/>
      <c r="SSM10"/>
      <c r="SSN10"/>
      <c r="SSO10"/>
      <c r="SSP10"/>
      <c r="SSQ10"/>
      <c r="SSR10"/>
      <c r="SSS10"/>
      <c r="SST10"/>
      <c r="SSU10"/>
      <c r="SSV10"/>
      <c r="SSW10"/>
      <c r="SSX10"/>
      <c r="SSY10"/>
      <c r="SSZ10"/>
      <c r="STA10"/>
      <c r="STB10"/>
      <c r="STC10"/>
      <c r="STD10"/>
      <c r="STE10"/>
      <c r="STF10"/>
      <c r="STG10"/>
      <c r="STH10"/>
      <c r="STI10"/>
      <c r="STJ10"/>
      <c r="STK10"/>
      <c r="STL10"/>
      <c r="STM10"/>
      <c r="STN10"/>
      <c r="STO10"/>
      <c r="STP10"/>
      <c r="STQ10"/>
      <c r="STR10"/>
      <c r="STS10"/>
      <c r="STT10"/>
      <c r="STU10"/>
      <c r="STV10"/>
      <c r="STW10"/>
      <c r="STX10"/>
      <c r="STY10"/>
      <c r="STZ10"/>
      <c r="SUA10"/>
      <c r="SUB10"/>
      <c r="SUC10"/>
      <c r="SUD10"/>
      <c r="SUE10"/>
      <c r="SUF10"/>
      <c r="SUG10"/>
      <c r="SUH10"/>
      <c r="SUI10"/>
      <c r="SUJ10"/>
      <c r="SUK10"/>
      <c r="SUL10"/>
      <c r="SUM10"/>
      <c r="SUN10"/>
      <c r="SUO10"/>
      <c r="SUP10"/>
      <c r="SUQ10"/>
      <c r="SUR10"/>
      <c r="SUS10"/>
      <c r="SUT10"/>
      <c r="SUU10"/>
      <c r="SUV10"/>
      <c r="SUW10"/>
      <c r="SUX10"/>
      <c r="SUY10"/>
      <c r="SUZ10"/>
      <c r="SVA10"/>
      <c r="SVB10"/>
      <c r="SVC10"/>
      <c r="SVD10"/>
      <c r="SVE10"/>
      <c r="SVF10"/>
      <c r="SVG10"/>
      <c r="SVH10"/>
      <c r="SVI10"/>
      <c r="SVJ10"/>
      <c r="SVK10"/>
      <c r="SVL10"/>
      <c r="SVM10"/>
      <c r="SVN10"/>
      <c r="SVO10"/>
      <c r="SVP10"/>
      <c r="SVQ10"/>
      <c r="SVR10"/>
      <c r="SVS10"/>
      <c r="SVT10"/>
      <c r="SVU10"/>
      <c r="SVV10"/>
      <c r="SVW10"/>
      <c r="SVX10"/>
      <c r="SVY10"/>
      <c r="SVZ10"/>
      <c r="SWA10"/>
      <c r="SWB10"/>
      <c r="SWC10"/>
      <c r="SWD10"/>
      <c r="SWE10"/>
      <c r="SWF10"/>
      <c r="SWG10"/>
      <c r="SWH10"/>
      <c r="SWI10"/>
      <c r="SWJ10"/>
      <c r="SWK10"/>
      <c r="SWL10"/>
      <c r="SWM10"/>
      <c r="SWN10"/>
      <c r="SWO10"/>
      <c r="SWP10"/>
      <c r="SWQ10"/>
      <c r="SWR10"/>
      <c r="SWS10"/>
      <c r="SWT10"/>
      <c r="SWU10"/>
      <c r="SWV10"/>
      <c r="SWW10"/>
      <c r="SWX10"/>
      <c r="SWY10"/>
      <c r="SWZ10"/>
      <c r="SXA10"/>
      <c r="SXB10"/>
      <c r="SXC10"/>
      <c r="SXD10"/>
      <c r="SXE10"/>
      <c r="SXF10"/>
      <c r="SXG10"/>
      <c r="SXH10"/>
      <c r="SXI10"/>
      <c r="SXJ10"/>
      <c r="SXK10"/>
      <c r="SXL10"/>
      <c r="SXM10"/>
      <c r="SXN10"/>
      <c r="SXO10"/>
      <c r="SXP10"/>
      <c r="SXQ10"/>
      <c r="SXR10"/>
      <c r="SXS10"/>
      <c r="SXT10"/>
      <c r="SXU10"/>
      <c r="SXV10"/>
      <c r="SXW10"/>
      <c r="SXX10"/>
      <c r="SXY10"/>
      <c r="SXZ10"/>
      <c r="SYA10"/>
      <c r="SYB10"/>
      <c r="SYC10"/>
      <c r="SYD10"/>
      <c r="SYE10"/>
      <c r="SYF10"/>
      <c r="SYG10"/>
      <c r="SYH10"/>
      <c r="SYI10"/>
      <c r="SYJ10"/>
      <c r="SYK10"/>
      <c r="SYL10"/>
      <c r="SYM10"/>
      <c r="SYN10"/>
      <c r="SYO10"/>
      <c r="SYP10"/>
      <c r="SYQ10"/>
      <c r="SYR10"/>
      <c r="SYS10"/>
      <c r="SYT10"/>
      <c r="SYU10"/>
      <c r="SYV10"/>
      <c r="SYW10"/>
      <c r="SYX10"/>
      <c r="SYY10"/>
      <c r="SYZ10"/>
      <c r="SZA10"/>
      <c r="SZB10"/>
      <c r="SZC10"/>
      <c r="SZD10"/>
      <c r="SZE10"/>
      <c r="SZF10"/>
      <c r="SZG10"/>
      <c r="SZH10"/>
      <c r="SZI10"/>
      <c r="SZJ10"/>
      <c r="SZK10"/>
      <c r="SZL10"/>
      <c r="SZM10"/>
      <c r="SZN10"/>
      <c r="SZO10"/>
      <c r="SZP10"/>
      <c r="SZQ10"/>
      <c r="SZR10"/>
      <c r="SZS10"/>
      <c r="SZT10"/>
      <c r="SZU10"/>
      <c r="SZV10"/>
      <c r="SZW10"/>
      <c r="SZX10"/>
      <c r="SZY10"/>
      <c r="SZZ10"/>
      <c r="TAA10"/>
      <c r="TAB10"/>
      <c r="TAC10"/>
      <c r="TAD10"/>
      <c r="TAE10"/>
      <c r="TAF10"/>
      <c r="TAG10"/>
      <c r="TAH10"/>
      <c r="TAI10"/>
      <c r="TAJ10"/>
      <c r="TAK10"/>
      <c r="TAL10"/>
      <c r="TAM10"/>
      <c r="TAN10"/>
      <c r="TAO10"/>
      <c r="TAP10"/>
      <c r="TAQ10"/>
      <c r="TAR10"/>
      <c r="TAS10"/>
      <c r="TAT10"/>
      <c r="TAU10"/>
      <c r="TAV10"/>
      <c r="TAW10"/>
      <c r="TAX10"/>
      <c r="TAY10"/>
      <c r="TAZ10"/>
      <c r="TBA10"/>
      <c r="TBB10"/>
      <c r="TBC10"/>
      <c r="TBD10"/>
      <c r="TBE10"/>
      <c r="TBF10"/>
      <c r="TBG10"/>
      <c r="TBH10"/>
      <c r="TBI10"/>
      <c r="TBJ10"/>
      <c r="TBK10"/>
      <c r="TBL10"/>
      <c r="TBM10"/>
      <c r="TBN10"/>
      <c r="TBO10"/>
      <c r="TBP10"/>
      <c r="TBQ10"/>
      <c r="TBR10"/>
      <c r="TBS10"/>
      <c r="TBT10"/>
      <c r="TBU10"/>
      <c r="TBV10"/>
      <c r="TBW10"/>
      <c r="TBX10"/>
      <c r="TBY10"/>
      <c r="TBZ10"/>
      <c r="TCA10"/>
      <c r="TCB10"/>
      <c r="TCC10"/>
      <c r="TCD10"/>
      <c r="TCE10"/>
      <c r="TCF10"/>
      <c r="TCG10"/>
      <c r="TCH10"/>
      <c r="TCI10"/>
      <c r="TCJ10"/>
      <c r="TCK10"/>
      <c r="TCL10"/>
      <c r="TCM10"/>
      <c r="TCN10"/>
      <c r="TCO10"/>
      <c r="TCP10"/>
      <c r="TCQ10"/>
      <c r="TCR10"/>
      <c r="TCS10"/>
      <c r="TCT10"/>
      <c r="TCU10"/>
      <c r="TCV10"/>
      <c r="TCW10"/>
      <c r="TCX10"/>
      <c r="TCY10"/>
      <c r="TCZ10"/>
      <c r="TDA10"/>
      <c r="TDB10"/>
      <c r="TDC10"/>
      <c r="TDD10"/>
      <c r="TDE10"/>
      <c r="TDF10"/>
      <c r="TDG10"/>
      <c r="TDH10"/>
      <c r="TDI10"/>
      <c r="TDJ10"/>
      <c r="TDK10"/>
      <c r="TDL10"/>
      <c r="TDM10"/>
      <c r="TDN10"/>
      <c r="TDO10"/>
      <c r="TDP10"/>
      <c r="TDQ10"/>
      <c r="TDR10"/>
      <c r="TDS10"/>
      <c r="TDT10"/>
      <c r="TDU10"/>
      <c r="TDV10"/>
      <c r="TDW10"/>
      <c r="TDX10"/>
      <c r="TDY10"/>
      <c r="TDZ10"/>
      <c r="TEA10"/>
      <c r="TEB10"/>
      <c r="TEC10"/>
      <c r="TED10"/>
      <c r="TEE10"/>
      <c r="TEF10"/>
      <c r="TEG10"/>
      <c r="TEH10"/>
      <c r="TEI10"/>
      <c r="TEJ10"/>
      <c r="TEK10"/>
      <c r="TEL10"/>
      <c r="TEM10"/>
      <c r="TEN10"/>
      <c r="TEO10"/>
      <c r="TEP10"/>
      <c r="TEQ10"/>
      <c r="TER10"/>
      <c r="TES10"/>
      <c r="TET10"/>
      <c r="TEU10"/>
      <c r="TEV10"/>
      <c r="TEW10"/>
      <c r="TEX10"/>
      <c r="TEY10"/>
      <c r="TEZ10"/>
      <c r="TFA10"/>
      <c r="TFB10"/>
      <c r="TFC10"/>
      <c r="TFD10"/>
      <c r="TFE10"/>
      <c r="TFF10"/>
      <c r="TFG10"/>
      <c r="TFH10"/>
      <c r="TFI10"/>
      <c r="TFJ10"/>
      <c r="TFK10"/>
      <c r="TFL10"/>
      <c r="TFM10"/>
      <c r="TFN10"/>
      <c r="TFO10"/>
      <c r="TFP10"/>
      <c r="TFQ10"/>
      <c r="TFR10"/>
      <c r="TFS10"/>
      <c r="TFT10"/>
      <c r="TFU10"/>
      <c r="TFV10"/>
      <c r="TFW10"/>
      <c r="TFX10"/>
      <c r="TFY10"/>
      <c r="TFZ10"/>
      <c r="TGA10"/>
      <c r="TGB10"/>
      <c r="TGC10"/>
      <c r="TGD10"/>
      <c r="TGE10"/>
      <c r="TGF10"/>
      <c r="TGG10"/>
      <c r="TGH10"/>
      <c r="TGI10"/>
      <c r="TGJ10"/>
      <c r="TGK10"/>
      <c r="TGL10"/>
      <c r="TGM10"/>
      <c r="TGN10"/>
      <c r="TGO10"/>
      <c r="TGP10"/>
      <c r="TGQ10"/>
      <c r="TGR10"/>
      <c r="TGS10"/>
      <c r="TGT10"/>
      <c r="TGU10"/>
      <c r="TGV10"/>
      <c r="TGW10"/>
      <c r="TGX10"/>
      <c r="TGY10"/>
      <c r="TGZ10"/>
      <c r="THA10"/>
      <c r="THB10"/>
      <c r="THC10"/>
      <c r="THD10"/>
      <c r="THE10"/>
      <c r="THF10"/>
      <c r="THG10"/>
      <c r="THH10"/>
      <c r="THI10"/>
      <c r="THJ10"/>
      <c r="THK10"/>
      <c r="THL10"/>
      <c r="THM10"/>
      <c r="THN10"/>
      <c r="THO10"/>
      <c r="THP10"/>
      <c r="THQ10"/>
      <c r="THR10"/>
      <c r="THS10"/>
      <c r="THT10"/>
      <c r="THU10"/>
      <c r="THV10"/>
      <c r="THW10"/>
      <c r="THX10"/>
      <c r="THY10"/>
      <c r="THZ10"/>
      <c r="TIA10"/>
      <c r="TIB10"/>
      <c r="TIC10"/>
      <c r="TID10"/>
      <c r="TIE10"/>
      <c r="TIF10"/>
      <c r="TIG10"/>
      <c r="TIH10"/>
      <c r="TII10"/>
      <c r="TIJ10"/>
      <c r="TIK10"/>
      <c r="TIL10"/>
      <c r="TIM10"/>
      <c r="TIN10"/>
      <c r="TIO10"/>
      <c r="TIP10"/>
      <c r="TIQ10"/>
      <c r="TIR10"/>
      <c r="TIS10"/>
      <c r="TIT10"/>
      <c r="TIU10"/>
      <c r="TIV10"/>
      <c r="TIW10"/>
      <c r="TIX10"/>
      <c r="TIY10"/>
      <c r="TIZ10"/>
      <c r="TJA10"/>
      <c r="TJB10"/>
      <c r="TJC10"/>
      <c r="TJD10"/>
      <c r="TJE10"/>
      <c r="TJF10"/>
      <c r="TJG10"/>
      <c r="TJH10"/>
      <c r="TJI10"/>
      <c r="TJJ10"/>
      <c r="TJK10"/>
      <c r="TJL10"/>
      <c r="TJM10"/>
      <c r="TJN10"/>
      <c r="TJO10"/>
      <c r="TJP10"/>
      <c r="TJQ10"/>
      <c r="TJR10"/>
      <c r="TJS10"/>
      <c r="TJT10"/>
      <c r="TJU10"/>
      <c r="TJV10"/>
      <c r="TJW10"/>
      <c r="TJX10"/>
      <c r="TJY10"/>
      <c r="TJZ10"/>
      <c r="TKA10"/>
      <c r="TKB10"/>
      <c r="TKC10"/>
      <c r="TKD10"/>
      <c r="TKE10"/>
      <c r="TKF10"/>
      <c r="TKG10"/>
      <c r="TKH10"/>
      <c r="TKI10"/>
      <c r="TKJ10"/>
      <c r="TKK10"/>
      <c r="TKL10"/>
      <c r="TKM10"/>
      <c r="TKN10"/>
      <c r="TKO10"/>
      <c r="TKP10"/>
      <c r="TKQ10"/>
      <c r="TKR10"/>
      <c r="TKS10"/>
      <c r="TKT10"/>
      <c r="TKU10"/>
      <c r="TKV10"/>
      <c r="TKW10"/>
      <c r="TKX10"/>
      <c r="TKY10"/>
      <c r="TKZ10"/>
      <c r="TLA10"/>
      <c r="TLB10"/>
      <c r="TLC10"/>
      <c r="TLD10"/>
      <c r="TLE10"/>
      <c r="TLF10"/>
      <c r="TLG10"/>
      <c r="TLH10"/>
      <c r="TLI10"/>
      <c r="TLJ10"/>
      <c r="TLK10"/>
      <c r="TLL10"/>
      <c r="TLM10"/>
      <c r="TLN10"/>
      <c r="TLO10"/>
      <c r="TLP10"/>
      <c r="TLQ10"/>
      <c r="TLR10"/>
      <c r="TLS10"/>
      <c r="TLT10"/>
      <c r="TLU10"/>
      <c r="TLV10"/>
      <c r="TLW10"/>
      <c r="TLX10"/>
      <c r="TLY10"/>
      <c r="TLZ10"/>
      <c r="TMA10"/>
      <c r="TMB10"/>
      <c r="TMC10"/>
      <c r="TMD10"/>
      <c r="TME10"/>
      <c r="TMF10"/>
      <c r="TMG10"/>
      <c r="TMH10"/>
      <c r="TMI10"/>
      <c r="TMJ10"/>
      <c r="TMK10"/>
      <c r="TML10"/>
      <c r="TMM10"/>
      <c r="TMN10"/>
      <c r="TMO10"/>
      <c r="TMP10"/>
      <c r="TMQ10"/>
      <c r="TMR10"/>
      <c r="TMS10"/>
      <c r="TMT10"/>
      <c r="TMU10"/>
      <c r="TMV10"/>
      <c r="TMW10"/>
      <c r="TMX10"/>
      <c r="TMY10"/>
      <c r="TMZ10"/>
      <c r="TNA10"/>
      <c r="TNB10"/>
      <c r="TNC10"/>
      <c r="TND10"/>
      <c r="TNE10"/>
      <c r="TNF10"/>
      <c r="TNG10"/>
      <c r="TNH10"/>
      <c r="TNI10"/>
      <c r="TNJ10"/>
      <c r="TNK10"/>
      <c r="TNL10"/>
      <c r="TNM10"/>
      <c r="TNN10"/>
      <c r="TNO10"/>
      <c r="TNP10"/>
      <c r="TNQ10"/>
      <c r="TNR10"/>
      <c r="TNS10"/>
      <c r="TNT10"/>
      <c r="TNU10"/>
      <c r="TNV10"/>
      <c r="TNW10"/>
      <c r="TNX10"/>
      <c r="TNY10"/>
      <c r="TNZ10"/>
      <c r="TOA10"/>
      <c r="TOB10"/>
      <c r="TOC10"/>
      <c r="TOD10"/>
      <c r="TOE10"/>
      <c r="TOF10"/>
      <c r="TOG10"/>
      <c r="TOH10"/>
      <c r="TOI10"/>
      <c r="TOJ10"/>
      <c r="TOK10"/>
      <c r="TOL10"/>
      <c r="TOM10"/>
      <c r="TON10"/>
      <c r="TOO10"/>
      <c r="TOP10"/>
      <c r="TOQ10"/>
      <c r="TOR10"/>
      <c r="TOS10"/>
      <c r="TOT10"/>
      <c r="TOU10"/>
      <c r="TOV10"/>
      <c r="TOW10"/>
      <c r="TOX10"/>
      <c r="TOY10"/>
      <c r="TOZ10"/>
      <c r="TPA10"/>
      <c r="TPB10"/>
      <c r="TPC10"/>
      <c r="TPD10"/>
      <c r="TPE10"/>
      <c r="TPF10"/>
      <c r="TPG10"/>
      <c r="TPH10"/>
      <c r="TPI10"/>
      <c r="TPJ10"/>
      <c r="TPK10"/>
      <c r="TPL10"/>
      <c r="TPM10"/>
      <c r="TPN10"/>
      <c r="TPO10"/>
      <c r="TPP10"/>
      <c r="TPQ10"/>
      <c r="TPR10"/>
      <c r="TPS10"/>
      <c r="TPT10"/>
      <c r="TPU10"/>
      <c r="TPV10"/>
      <c r="TPW10"/>
      <c r="TPX10"/>
      <c r="TPY10"/>
      <c r="TPZ10"/>
      <c r="TQA10"/>
      <c r="TQB10"/>
      <c r="TQC10"/>
      <c r="TQD10"/>
      <c r="TQE10"/>
      <c r="TQF10"/>
      <c r="TQG10"/>
      <c r="TQH10"/>
      <c r="TQI10"/>
      <c r="TQJ10"/>
      <c r="TQK10"/>
      <c r="TQL10"/>
      <c r="TQM10"/>
      <c r="TQN10"/>
      <c r="TQO10"/>
      <c r="TQP10"/>
      <c r="TQQ10"/>
      <c r="TQR10"/>
      <c r="TQS10"/>
      <c r="TQT10"/>
      <c r="TQU10"/>
      <c r="TQV10"/>
      <c r="TQW10"/>
      <c r="TQX10"/>
      <c r="TQY10"/>
      <c r="TQZ10"/>
      <c r="TRA10"/>
      <c r="TRB10"/>
      <c r="TRC10"/>
      <c r="TRD10"/>
      <c r="TRE10"/>
      <c r="TRF10"/>
      <c r="TRG10"/>
      <c r="TRH10"/>
      <c r="TRI10"/>
      <c r="TRJ10"/>
      <c r="TRK10"/>
      <c r="TRL10"/>
      <c r="TRM10"/>
      <c r="TRN10"/>
      <c r="TRO10"/>
      <c r="TRP10"/>
      <c r="TRQ10"/>
      <c r="TRR10"/>
      <c r="TRS10"/>
      <c r="TRT10"/>
      <c r="TRU10"/>
      <c r="TRV10"/>
      <c r="TRW10"/>
      <c r="TRX10"/>
      <c r="TRY10"/>
      <c r="TRZ10"/>
      <c r="TSA10"/>
      <c r="TSB10"/>
      <c r="TSC10"/>
      <c r="TSD10"/>
      <c r="TSE10"/>
      <c r="TSF10"/>
      <c r="TSG10"/>
      <c r="TSH10"/>
      <c r="TSI10"/>
      <c r="TSJ10"/>
      <c r="TSK10"/>
      <c r="TSL10"/>
      <c r="TSM10"/>
      <c r="TSN10"/>
      <c r="TSO10"/>
      <c r="TSP10"/>
      <c r="TSQ10"/>
      <c r="TSR10"/>
      <c r="TSS10"/>
      <c r="TST10"/>
      <c r="TSU10"/>
      <c r="TSV10"/>
      <c r="TSW10"/>
      <c r="TSX10"/>
      <c r="TSY10"/>
      <c r="TSZ10"/>
      <c r="TTA10"/>
      <c r="TTB10"/>
      <c r="TTC10"/>
      <c r="TTD10"/>
      <c r="TTE10"/>
      <c r="TTF10"/>
      <c r="TTG10"/>
      <c r="TTH10"/>
      <c r="TTI10"/>
      <c r="TTJ10"/>
      <c r="TTK10"/>
      <c r="TTL10"/>
      <c r="TTM10"/>
      <c r="TTN10"/>
      <c r="TTO10"/>
      <c r="TTP10"/>
      <c r="TTQ10"/>
      <c r="TTR10"/>
      <c r="TTS10"/>
      <c r="TTT10"/>
      <c r="TTU10"/>
      <c r="TTV10"/>
      <c r="TTW10"/>
      <c r="TTX10"/>
      <c r="TTY10"/>
      <c r="TTZ10"/>
      <c r="TUA10"/>
      <c r="TUB10"/>
      <c r="TUC10"/>
      <c r="TUD10"/>
      <c r="TUE10"/>
      <c r="TUF10"/>
      <c r="TUG10"/>
      <c r="TUH10"/>
      <c r="TUI10"/>
      <c r="TUJ10"/>
      <c r="TUK10"/>
      <c r="TUL10"/>
      <c r="TUM10"/>
      <c r="TUN10"/>
      <c r="TUO10"/>
      <c r="TUP10"/>
      <c r="TUQ10"/>
      <c r="TUR10"/>
      <c r="TUS10"/>
      <c r="TUT10"/>
      <c r="TUU10"/>
      <c r="TUV10"/>
      <c r="TUW10"/>
      <c r="TUX10"/>
      <c r="TUY10"/>
      <c r="TUZ10"/>
      <c r="TVA10"/>
      <c r="TVB10"/>
      <c r="TVC10"/>
      <c r="TVD10"/>
      <c r="TVE10"/>
      <c r="TVF10"/>
      <c r="TVG10"/>
      <c r="TVH10"/>
      <c r="TVI10"/>
      <c r="TVJ10"/>
      <c r="TVK10"/>
      <c r="TVL10"/>
      <c r="TVM10"/>
      <c r="TVN10"/>
      <c r="TVO10"/>
      <c r="TVP10"/>
      <c r="TVQ10"/>
      <c r="TVR10"/>
      <c r="TVS10"/>
      <c r="TVT10"/>
      <c r="TVU10"/>
      <c r="TVV10"/>
      <c r="TVW10"/>
      <c r="TVX10"/>
      <c r="TVY10"/>
      <c r="TVZ10"/>
      <c r="TWA10"/>
      <c r="TWB10"/>
      <c r="TWC10"/>
      <c r="TWD10"/>
      <c r="TWE10"/>
      <c r="TWF10"/>
      <c r="TWG10"/>
      <c r="TWH10"/>
      <c r="TWI10"/>
      <c r="TWJ10"/>
      <c r="TWK10"/>
      <c r="TWL10"/>
      <c r="TWM10"/>
      <c r="TWN10"/>
      <c r="TWO10"/>
      <c r="TWP10"/>
      <c r="TWQ10"/>
      <c r="TWR10"/>
      <c r="TWS10"/>
      <c r="TWT10"/>
      <c r="TWU10"/>
      <c r="TWV10"/>
      <c r="TWW10"/>
      <c r="TWX10"/>
      <c r="TWY10"/>
      <c r="TWZ10"/>
      <c r="TXA10"/>
      <c r="TXB10"/>
      <c r="TXC10"/>
      <c r="TXD10"/>
      <c r="TXE10"/>
      <c r="TXF10"/>
      <c r="TXG10"/>
      <c r="TXH10"/>
      <c r="TXI10"/>
      <c r="TXJ10"/>
      <c r="TXK10"/>
      <c r="TXL10"/>
      <c r="TXM10"/>
      <c r="TXN10"/>
      <c r="TXO10"/>
      <c r="TXP10"/>
      <c r="TXQ10"/>
      <c r="TXR10"/>
      <c r="TXS10"/>
      <c r="TXT10"/>
      <c r="TXU10"/>
      <c r="TXV10"/>
      <c r="TXW10"/>
      <c r="TXX10"/>
      <c r="TXY10"/>
      <c r="TXZ10"/>
      <c r="TYA10"/>
      <c r="TYB10"/>
      <c r="TYC10"/>
      <c r="TYD10"/>
      <c r="TYE10"/>
      <c r="TYF10"/>
      <c r="TYG10"/>
      <c r="TYH10"/>
      <c r="TYI10"/>
      <c r="TYJ10"/>
      <c r="TYK10"/>
      <c r="TYL10"/>
      <c r="TYM10"/>
      <c r="TYN10"/>
      <c r="TYO10"/>
      <c r="TYP10"/>
      <c r="TYQ10"/>
      <c r="TYR10"/>
      <c r="TYS10"/>
      <c r="TYT10"/>
      <c r="TYU10"/>
      <c r="TYV10"/>
      <c r="TYW10"/>
      <c r="TYX10"/>
      <c r="TYY10"/>
      <c r="TYZ10"/>
      <c r="TZA10"/>
      <c r="TZB10"/>
      <c r="TZC10"/>
      <c r="TZD10"/>
      <c r="TZE10"/>
      <c r="TZF10"/>
      <c r="TZG10"/>
      <c r="TZH10"/>
      <c r="TZI10"/>
      <c r="TZJ10"/>
      <c r="TZK10"/>
      <c r="TZL10"/>
      <c r="TZM10"/>
      <c r="TZN10"/>
      <c r="TZO10"/>
      <c r="TZP10"/>
      <c r="TZQ10"/>
      <c r="TZR10"/>
      <c r="TZS10"/>
      <c r="TZT10"/>
      <c r="TZU10"/>
      <c r="TZV10"/>
      <c r="TZW10"/>
      <c r="TZX10"/>
      <c r="TZY10"/>
      <c r="TZZ10"/>
      <c r="UAA10"/>
      <c r="UAB10"/>
      <c r="UAC10"/>
      <c r="UAD10"/>
      <c r="UAE10"/>
      <c r="UAF10"/>
      <c r="UAG10"/>
      <c r="UAH10"/>
      <c r="UAI10"/>
      <c r="UAJ10"/>
      <c r="UAK10"/>
      <c r="UAL10"/>
      <c r="UAM10"/>
      <c r="UAN10"/>
      <c r="UAO10"/>
      <c r="UAP10"/>
      <c r="UAQ10"/>
      <c r="UAR10"/>
      <c r="UAS10"/>
      <c r="UAT10"/>
      <c r="UAU10"/>
      <c r="UAV10"/>
      <c r="UAW10"/>
      <c r="UAX10"/>
      <c r="UAY10"/>
      <c r="UAZ10"/>
      <c r="UBA10"/>
      <c r="UBB10"/>
      <c r="UBC10"/>
      <c r="UBD10"/>
      <c r="UBE10"/>
      <c r="UBF10"/>
      <c r="UBG10"/>
      <c r="UBH10"/>
      <c r="UBI10"/>
      <c r="UBJ10"/>
      <c r="UBK10"/>
      <c r="UBL10"/>
      <c r="UBM10"/>
      <c r="UBN10"/>
      <c r="UBO10"/>
      <c r="UBP10"/>
      <c r="UBQ10"/>
      <c r="UBR10"/>
      <c r="UBS10"/>
      <c r="UBT10"/>
      <c r="UBU10"/>
      <c r="UBV10"/>
      <c r="UBW10"/>
      <c r="UBX10"/>
      <c r="UBY10"/>
      <c r="UBZ10"/>
      <c r="UCA10"/>
      <c r="UCB10"/>
      <c r="UCC10"/>
      <c r="UCD10"/>
      <c r="UCE10"/>
      <c r="UCF10"/>
      <c r="UCG10"/>
      <c r="UCH10"/>
      <c r="UCI10"/>
      <c r="UCJ10"/>
      <c r="UCK10"/>
      <c r="UCL10"/>
      <c r="UCM10"/>
      <c r="UCN10"/>
      <c r="UCO10"/>
      <c r="UCP10"/>
      <c r="UCQ10"/>
      <c r="UCR10"/>
      <c r="UCS10"/>
      <c r="UCT10"/>
      <c r="UCU10"/>
      <c r="UCV10"/>
      <c r="UCW10"/>
      <c r="UCX10"/>
      <c r="UCY10"/>
      <c r="UCZ10"/>
      <c r="UDA10"/>
      <c r="UDB10"/>
      <c r="UDC10"/>
      <c r="UDD10"/>
      <c r="UDE10"/>
      <c r="UDF10"/>
      <c r="UDG10"/>
      <c r="UDH10"/>
      <c r="UDI10"/>
      <c r="UDJ10"/>
      <c r="UDK10"/>
      <c r="UDL10"/>
      <c r="UDM10"/>
      <c r="UDN10"/>
      <c r="UDO10"/>
      <c r="UDP10"/>
      <c r="UDQ10"/>
      <c r="UDR10"/>
      <c r="UDS10"/>
      <c r="UDT10"/>
      <c r="UDU10"/>
      <c r="UDV10"/>
      <c r="UDW10"/>
      <c r="UDX10"/>
      <c r="UDY10"/>
      <c r="UDZ10"/>
      <c r="UEA10"/>
      <c r="UEB10"/>
      <c r="UEC10"/>
      <c r="UED10"/>
      <c r="UEE10"/>
      <c r="UEF10"/>
      <c r="UEG10"/>
      <c r="UEH10"/>
      <c r="UEI10"/>
      <c r="UEJ10"/>
      <c r="UEK10"/>
      <c r="UEL10"/>
      <c r="UEM10"/>
      <c r="UEN10"/>
      <c r="UEO10"/>
      <c r="UEP10"/>
      <c r="UEQ10"/>
      <c r="UER10"/>
      <c r="UES10"/>
      <c r="UET10"/>
      <c r="UEU10"/>
      <c r="UEV10"/>
      <c r="UEW10"/>
      <c r="UEX10"/>
      <c r="UEY10"/>
      <c r="UEZ10"/>
      <c r="UFA10"/>
      <c r="UFB10"/>
      <c r="UFC10"/>
      <c r="UFD10"/>
      <c r="UFE10"/>
      <c r="UFF10"/>
      <c r="UFG10"/>
      <c r="UFH10"/>
      <c r="UFI10"/>
      <c r="UFJ10"/>
      <c r="UFK10"/>
      <c r="UFL10"/>
      <c r="UFM10"/>
      <c r="UFN10"/>
      <c r="UFO10"/>
      <c r="UFP10"/>
      <c r="UFQ10"/>
      <c r="UFR10"/>
      <c r="UFS10"/>
      <c r="UFT10"/>
      <c r="UFU10"/>
      <c r="UFV10"/>
      <c r="UFW10"/>
      <c r="UFX10"/>
      <c r="UFY10"/>
      <c r="UFZ10"/>
      <c r="UGA10"/>
      <c r="UGB10"/>
      <c r="UGC10"/>
      <c r="UGD10"/>
      <c r="UGE10"/>
      <c r="UGF10"/>
      <c r="UGG10"/>
      <c r="UGH10"/>
      <c r="UGI10"/>
      <c r="UGJ10"/>
      <c r="UGK10"/>
      <c r="UGL10"/>
      <c r="UGM10"/>
      <c r="UGN10"/>
      <c r="UGO10"/>
      <c r="UGP10"/>
      <c r="UGQ10"/>
      <c r="UGR10"/>
      <c r="UGS10"/>
      <c r="UGT10"/>
      <c r="UGU10"/>
      <c r="UGV10"/>
      <c r="UGW10"/>
      <c r="UGX10"/>
      <c r="UGY10"/>
      <c r="UGZ10"/>
      <c r="UHA10"/>
      <c r="UHB10"/>
      <c r="UHC10"/>
      <c r="UHD10"/>
      <c r="UHE10"/>
      <c r="UHF10"/>
      <c r="UHG10"/>
      <c r="UHH10"/>
      <c r="UHI10"/>
      <c r="UHJ10"/>
      <c r="UHK10"/>
      <c r="UHL10"/>
      <c r="UHM10"/>
      <c r="UHN10"/>
      <c r="UHO10"/>
      <c r="UHP10"/>
      <c r="UHQ10"/>
      <c r="UHR10"/>
      <c r="UHS10"/>
      <c r="UHT10"/>
      <c r="UHU10"/>
      <c r="UHV10"/>
      <c r="UHW10"/>
      <c r="UHX10"/>
      <c r="UHY10"/>
      <c r="UHZ10"/>
      <c r="UIA10"/>
      <c r="UIB10"/>
      <c r="UIC10"/>
      <c r="UID10"/>
      <c r="UIE10"/>
      <c r="UIF10"/>
      <c r="UIG10"/>
      <c r="UIH10"/>
      <c r="UII10"/>
      <c r="UIJ10"/>
      <c r="UIK10"/>
      <c r="UIL10"/>
      <c r="UIM10"/>
      <c r="UIN10"/>
      <c r="UIO10"/>
      <c r="UIP10"/>
      <c r="UIQ10"/>
      <c r="UIR10"/>
      <c r="UIS10"/>
      <c r="UIT10"/>
      <c r="UIU10"/>
      <c r="UIV10"/>
      <c r="UIW10"/>
      <c r="UIX10"/>
      <c r="UIY10"/>
      <c r="UIZ10"/>
      <c r="UJA10"/>
      <c r="UJB10"/>
      <c r="UJC10"/>
      <c r="UJD10"/>
      <c r="UJE10"/>
      <c r="UJF10"/>
      <c r="UJG10"/>
      <c r="UJH10"/>
      <c r="UJI10"/>
      <c r="UJJ10"/>
      <c r="UJK10"/>
      <c r="UJL10"/>
      <c r="UJM10"/>
      <c r="UJN10"/>
      <c r="UJO10"/>
      <c r="UJP10"/>
      <c r="UJQ10"/>
      <c r="UJR10"/>
      <c r="UJS10"/>
      <c r="UJT10"/>
      <c r="UJU10"/>
      <c r="UJV10"/>
      <c r="UJW10"/>
      <c r="UJX10"/>
      <c r="UJY10"/>
      <c r="UJZ10"/>
      <c r="UKA10"/>
      <c r="UKB10"/>
      <c r="UKC10"/>
      <c r="UKD10"/>
      <c r="UKE10"/>
      <c r="UKF10"/>
      <c r="UKG10"/>
      <c r="UKH10"/>
      <c r="UKI10"/>
      <c r="UKJ10"/>
      <c r="UKK10"/>
      <c r="UKL10"/>
      <c r="UKM10"/>
      <c r="UKN10"/>
      <c r="UKO10"/>
      <c r="UKP10"/>
      <c r="UKQ10"/>
      <c r="UKR10"/>
      <c r="UKS10"/>
      <c r="UKT10"/>
      <c r="UKU10"/>
      <c r="UKV10"/>
      <c r="UKW10"/>
      <c r="UKX10"/>
      <c r="UKY10"/>
      <c r="UKZ10"/>
      <c r="ULA10"/>
      <c r="ULB10"/>
      <c r="ULC10"/>
      <c r="ULD10"/>
      <c r="ULE10"/>
      <c r="ULF10"/>
      <c r="ULG10"/>
      <c r="ULH10"/>
      <c r="ULI10"/>
      <c r="ULJ10"/>
      <c r="ULK10"/>
      <c r="ULL10"/>
      <c r="ULM10"/>
      <c r="ULN10"/>
      <c r="ULO10"/>
      <c r="ULP10"/>
      <c r="ULQ10"/>
      <c r="ULR10"/>
      <c r="ULS10"/>
      <c r="ULT10"/>
      <c r="ULU10"/>
      <c r="ULV10"/>
      <c r="ULW10"/>
      <c r="ULX10"/>
      <c r="ULY10"/>
      <c r="ULZ10"/>
      <c r="UMA10"/>
      <c r="UMB10"/>
      <c r="UMC10"/>
      <c r="UMD10"/>
      <c r="UME10"/>
      <c r="UMF10"/>
      <c r="UMG10"/>
      <c r="UMH10"/>
      <c r="UMI10"/>
      <c r="UMJ10"/>
      <c r="UMK10"/>
      <c r="UML10"/>
      <c r="UMM10"/>
      <c r="UMN10"/>
      <c r="UMO10"/>
      <c r="UMP10"/>
      <c r="UMQ10"/>
      <c r="UMR10"/>
      <c r="UMS10"/>
      <c r="UMT10"/>
      <c r="UMU10"/>
      <c r="UMV10"/>
      <c r="UMW10"/>
      <c r="UMX10"/>
      <c r="UMY10"/>
      <c r="UMZ10"/>
      <c r="UNA10"/>
      <c r="UNB10"/>
      <c r="UNC10"/>
      <c r="UND10"/>
      <c r="UNE10"/>
      <c r="UNF10"/>
      <c r="UNG10"/>
      <c r="UNH10"/>
      <c r="UNI10"/>
      <c r="UNJ10"/>
      <c r="UNK10"/>
      <c r="UNL10"/>
      <c r="UNM10"/>
      <c r="UNN10"/>
      <c r="UNO10"/>
      <c r="UNP10"/>
      <c r="UNQ10"/>
      <c r="UNR10"/>
      <c r="UNS10"/>
      <c r="UNT10"/>
      <c r="UNU10"/>
      <c r="UNV10"/>
      <c r="UNW10"/>
      <c r="UNX10"/>
      <c r="UNY10"/>
      <c r="UNZ10"/>
      <c r="UOA10"/>
      <c r="UOB10"/>
      <c r="UOC10"/>
      <c r="UOD10"/>
      <c r="UOE10"/>
      <c r="UOF10"/>
      <c r="UOG10"/>
      <c r="UOH10"/>
      <c r="UOI10"/>
      <c r="UOJ10"/>
      <c r="UOK10"/>
      <c r="UOL10"/>
      <c r="UOM10"/>
      <c r="UON10"/>
      <c r="UOO10"/>
      <c r="UOP10"/>
      <c r="UOQ10"/>
      <c r="UOR10"/>
      <c r="UOS10"/>
      <c r="UOT10"/>
      <c r="UOU10"/>
      <c r="UOV10"/>
      <c r="UOW10"/>
      <c r="UOX10"/>
      <c r="UOY10"/>
      <c r="UOZ10"/>
      <c r="UPA10"/>
      <c r="UPB10"/>
      <c r="UPC10"/>
      <c r="UPD10"/>
      <c r="UPE10"/>
      <c r="UPF10"/>
      <c r="UPG10"/>
      <c r="UPH10"/>
      <c r="UPI10"/>
      <c r="UPJ10"/>
      <c r="UPK10"/>
      <c r="UPL10"/>
      <c r="UPM10"/>
      <c r="UPN10"/>
      <c r="UPO10"/>
      <c r="UPP10"/>
      <c r="UPQ10"/>
      <c r="UPR10"/>
      <c r="UPS10"/>
      <c r="UPT10"/>
      <c r="UPU10"/>
      <c r="UPV10"/>
      <c r="UPW10"/>
      <c r="UPX10"/>
      <c r="UPY10"/>
      <c r="UPZ10"/>
      <c r="UQA10"/>
      <c r="UQB10"/>
      <c r="UQC10"/>
      <c r="UQD10"/>
      <c r="UQE10"/>
      <c r="UQF10"/>
      <c r="UQG10"/>
      <c r="UQH10"/>
      <c r="UQI10"/>
      <c r="UQJ10"/>
      <c r="UQK10"/>
      <c r="UQL10"/>
      <c r="UQM10"/>
      <c r="UQN10"/>
      <c r="UQO10"/>
      <c r="UQP10"/>
      <c r="UQQ10"/>
      <c r="UQR10"/>
      <c r="UQS10"/>
      <c r="UQT10"/>
      <c r="UQU10"/>
      <c r="UQV10"/>
      <c r="UQW10"/>
      <c r="UQX10"/>
      <c r="UQY10"/>
      <c r="UQZ10"/>
      <c r="URA10"/>
      <c r="URB10"/>
      <c r="URC10"/>
      <c r="URD10"/>
      <c r="URE10"/>
      <c r="URF10"/>
      <c r="URG10"/>
      <c r="URH10"/>
      <c r="URI10"/>
      <c r="URJ10"/>
      <c r="URK10"/>
      <c r="URL10"/>
      <c r="URM10"/>
      <c r="URN10"/>
      <c r="URO10"/>
      <c r="URP10"/>
      <c r="URQ10"/>
      <c r="URR10"/>
      <c r="URS10"/>
      <c r="URT10"/>
      <c r="URU10"/>
      <c r="URV10"/>
      <c r="URW10"/>
      <c r="URX10"/>
      <c r="URY10"/>
      <c r="URZ10"/>
      <c r="USA10"/>
      <c r="USB10"/>
      <c r="USC10"/>
      <c r="USD10"/>
      <c r="USE10"/>
      <c r="USF10"/>
      <c r="USG10"/>
      <c r="USH10"/>
      <c r="USI10"/>
      <c r="USJ10"/>
      <c r="USK10"/>
      <c r="USL10"/>
      <c r="USM10"/>
      <c r="USN10"/>
      <c r="USO10"/>
      <c r="USP10"/>
      <c r="USQ10"/>
      <c r="USR10"/>
      <c r="USS10"/>
      <c r="UST10"/>
      <c r="USU10"/>
      <c r="USV10"/>
      <c r="USW10"/>
      <c r="USX10"/>
      <c r="USY10"/>
      <c r="USZ10"/>
      <c r="UTA10"/>
      <c r="UTB10"/>
      <c r="UTC10"/>
      <c r="UTD10"/>
      <c r="UTE10"/>
      <c r="UTF10"/>
      <c r="UTG10"/>
      <c r="UTH10"/>
      <c r="UTI10"/>
      <c r="UTJ10"/>
      <c r="UTK10"/>
      <c r="UTL10"/>
      <c r="UTM10"/>
      <c r="UTN10"/>
      <c r="UTO10"/>
      <c r="UTP10"/>
      <c r="UTQ10"/>
      <c r="UTR10"/>
      <c r="UTS10"/>
      <c r="UTT10"/>
      <c r="UTU10"/>
      <c r="UTV10"/>
      <c r="UTW10"/>
      <c r="UTX10"/>
      <c r="UTY10"/>
      <c r="UTZ10"/>
      <c r="UUA10"/>
      <c r="UUB10"/>
      <c r="UUC10"/>
      <c r="UUD10"/>
      <c r="UUE10"/>
      <c r="UUF10"/>
      <c r="UUG10"/>
      <c r="UUH10"/>
      <c r="UUI10"/>
      <c r="UUJ10"/>
      <c r="UUK10"/>
      <c r="UUL10"/>
      <c r="UUM10"/>
      <c r="UUN10"/>
      <c r="UUO10"/>
      <c r="UUP10"/>
      <c r="UUQ10"/>
      <c r="UUR10"/>
      <c r="UUS10"/>
      <c r="UUT10"/>
      <c r="UUU10"/>
      <c r="UUV10"/>
      <c r="UUW10"/>
      <c r="UUX10"/>
      <c r="UUY10"/>
      <c r="UUZ10"/>
      <c r="UVA10"/>
      <c r="UVB10"/>
      <c r="UVC10"/>
      <c r="UVD10"/>
      <c r="UVE10"/>
      <c r="UVF10"/>
      <c r="UVG10"/>
      <c r="UVH10"/>
      <c r="UVI10"/>
      <c r="UVJ10"/>
      <c r="UVK10"/>
      <c r="UVL10"/>
      <c r="UVM10"/>
      <c r="UVN10"/>
      <c r="UVO10"/>
      <c r="UVP10"/>
      <c r="UVQ10"/>
      <c r="UVR10"/>
      <c r="UVS10"/>
      <c r="UVT10"/>
      <c r="UVU10"/>
      <c r="UVV10"/>
      <c r="UVW10"/>
      <c r="UVX10"/>
      <c r="UVY10"/>
      <c r="UVZ10"/>
      <c r="UWA10"/>
      <c r="UWB10"/>
      <c r="UWC10"/>
      <c r="UWD10"/>
      <c r="UWE10"/>
      <c r="UWF10"/>
      <c r="UWG10"/>
      <c r="UWH10"/>
      <c r="UWI10"/>
      <c r="UWJ10"/>
      <c r="UWK10"/>
      <c r="UWL10"/>
      <c r="UWM10"/>
      <c r="UWN10"/>
      <c r="UWO10"/>
      <c r="UWP10"/>
      <c r="UWQ10"/>
      <c r="UWR10"/>
      <c r="UWS10"/>
      <c r="UWT10"/>
      <c r="UWU10"/>
      <c r="UWV10"/>
      <c r="UWW10"/>
      <c r="UWX10"/>
      <c r="UWY10"/>
      <c r="UWZ10"/>
      <c r="UXA10"/>
      <c r="UXB10"/>
      <c r="UXC10"/>
      <c r="UXD10"/>
      <c r="UXE10"/>
      <c r="UXF10"/>
      <c r="UXG10"/>
      <c r="UXH10"/>
      <c r="UXI10"/>
      <c r="UXJ10"/>
      <c r="UXK10"/>
      <c r="UXL10"/>
      <c r="UXM10"/>
      <c r="UXN10"/>
      <c r="UXO10"/>
      <c r="UXP10"/>
      <c r="UXQ10"/>
      <c r="UXR10"/>
      <c r="UXS10"/>
      <c r="UXT10"/>
      <c r="UXU10"/>
      <c r="UXV10"/>
      <c r="UXW10"/>
      <c r="UXX10"/>
      <c r="UXY10"/>
      <c r="UXZ10"/>
      <c r="UYA10"/>
      <c r="UYB10"/>
      <c r="UYC10"/>
      <c r="UYD10"/>
      <c r="UYE10"/>
      <c r="UYF10"/>
      <c r="UYG10"/>
      <c r="UYH10"/>
      <c r="UYI10"/>
      <c r="UYJ10"/>
      <c r="UYK10"/>
      <c r="UYL10"/>
      <c r="UYM10"/>
      <c r="UYN10"/>
      <c r="UYO10"/>
      <c r="UYP10"/>
      <c r="UYQ10"/>
      <c r="UYR10"/>
      <c r="UYS10"/>
      <c r="UYT10"/>
      <c r="UYU10"/>
      <c r="UYV10"/>
      <c r="UYW10"/>
      <c r="UYX10"/>
      <c r="UYY10"/>
      <c r="UYZ10"/>
      <c r="UZA10"/>
      <c r="UZB10"/>
      <c r="UZC10"/>
      <c r="UZD10"/>
      <c r="UZE10"/>
      <c r="UZF10"/>
      <c r="UZG10"/>
      <c r="UZH10"/>
      <c r="UZI10"/>
      <c r="UZJ10"/>
      <c r="UZK10"/>
      <c r="UZL10"/>
      <c r="UZM10"/>
      <c r="UZN10"/>
      <c r="UZO10"/>
      <c r="UZP10"/>
      <c r="UZQ10"/>
      <c r="UZR10"/>
      <c r="UZS10"/>
      <c r="UZT10"/>
      <c r="UZU10"/>
      <c r="UZV10"/>
      <c r="UZW10"/>
      <c r="UZX10"/>
      <c r="UZY10"/>
      <c r="UZZ10"/>
      <c r="VAA10"/>
      <c r="VAB10"/>
      <c r="VAC10"/>
      <c r="VAD10"/>
      <c r="VAE10"/>
      <c r="VAF10"/>
      <c r="VAG10"/>
      <c r="VAH10"/>
      <c r="VAI10"/>
      <c r="VAJ10"/>
      <c r="VAK10"/>
      <c r="VAL10"/>
      <c r="VAM10"/>
      <c r="VAN10"/>
      <c r="VAO10"/>
      <c r="VAP10"/>
      <c r="VAQ10"/>
      <c r="VAR10"/>
      <c r="VAS10"/>
      <c r="VAT10"/>
      <c r="VAU10"/>
      <c r="VAV10"/>
      <c r="VAW10"/>
      <c r="VAX10"/>
      <c r="VAY10"/>
      <c r="VAZ10"/>
      <c r="VBA10"/>
      <c r="VBB10"/>
      <c r="VBC10"/>
      <c r="VBD10"/>
      <c r="VBE10"/>
      <c r="VBF10"/>
      <c r="VBG10"/>
      <c r="VBH10"/>
      <c r="VBI10"/>
      <c r="VBJ10"/>
      <c r="VBK10"/>
      <c r="VBL10"/>
      <c r="VBM10"/>
      <c r="VBN10"/>
      <c r="VBO10"/>
      <c r="VBP10"/>
      <c r="VBQ10"/>
      <c r="VBR10"/>
      <c r="VBS10"/>
      <c r="VBT10"/>
      <c r="VBU10"/>
      <c r="VBV10"/>
      <c r="VBW10"/>
      <c r="VBX10"/>
      <c r="VBY10"/>
      <c r="VBZ10"/>
      <c r="VCA10"/>
      <c r="VCB10"/>
      <c r="VCC10"/>
      <c r="VCD10"/>
      <c r="VCE10"/>
      <c r="VCF10"/>
      <c r="VCG10"/>
      <c r="VCH10"/>
      <c r="VCI10"/>
      <c r="VCJ10"/>
      <c r="VCK10"/>
      <c r="VCL10"/>
      <c r="VCM10"/>
      <c r="VCN10"/>
      <c r="VCO10"/>
      <c r="VCP10"/>
      <c r="VCQ10"/>
      <c r="VCR10"/>
      <c r="VCS10"/>
      <c r="VCT10"/>
      <c r="VCU10"/>
      <c r="VCV10"/>
      <c r="VCW10"/>
      <c r="VCX10"/>
      <c r="VCY10"/>
      <c r="VCZ10"/>
      <c r="VDA10"/>
      <c r="VDB10"/>
      <c r="VDC10"/>
      <c r="VDD10"/>
      <c r="VDE10"/>
      <c r="VDF10"/>
      <c r="VDG10"/>
      <c r="VDH10"/>
      <c r="VDI10"/>
      <c r="VDJ10"/>
      <c r="VDK10"/>
      <c r="VDL10"/>
      <c r="VDM10"/>
      <c r="VDN10"/>
      <c r="VDO10"/>
      <c r="VDP10"/>
      <c r="VDQ10"/>
      <c r="VDR10"/>
      <c r="VDS10"/>
      <c r="VDT10"/>
      <c r="VDU10"/>
      <c r="VDV10"/>
      <c r="VDW10"/>
      <c r="VDX10"/>
      <c r="VDY10"/>
      <c r="VDZ10"/>
      <c r="VEA10"/>
      <c r="VEB10"/>
      <c r="VEC10"/>
      <c r="VED10"/>
      <c r="VEE10"/>
      <c r="VEF10"/>
      <c r="VEG10"/>
      <c r="VEH10"/>
      <c r="VEI10"/>
      <c r="VEJ10"/>
      <c r="VEK10"/>
      <c r="VEL10"/>
      <c r="VEM10"/>
      <c r="VEN10"/>
      <c r="VEO10"/>
      <c r="VEP10"/>
      <c r="VEQ10"/>
      <c r="VER10"/>
      <c r="VES10"/>
      <c r="VET10"/>
      <c r="VEU10"/>
      <c r="VEV10"/>
      <c r="VEW10"/>
      <c r="VEX10"/>
      <c r="VEY10"/>
      <c r="VEZ10"/>
      <c r="VFA10"/>
      <c r="VFB10"/>
      <c r="VFC10"/>
      <c r="VFD10"/>
      <c r="VFE10"/>
      <c r="VFF10"/>
      <c r="VFG10"/>
      <c r="VFH10"/>
      <c r="VFI10"/>
      <c r="VFJ10"/>
      <c r="VFK10"/>
      <c r="VFL10"/>
      <c r="VFM10"/>
      <c r="VFN10"/>
      <c r="VFO10"/>
      <c r="VFP10"/>
      <c r="VFQ10"/>
      <c r="VFR10"/>
      <c r="VFS10"/>
      <c r="VFT10"/>
      <c r="VFU10"/>
      <c r="VFV10"/>
      <c r="VFW10"/>
      <c r="VFX10"/>
      <c r="VFY10"/>
      <c r="VFZ10"/>
      <c r="VGA10"/>
      <c r="VGB10"/>
      <c r="VGC10"/>
      <c r="VGD10"/>
      <c r="VGE10"/>
      <c r="VGF10"/>
      <c r="VGG10"/>
      <c r="VGH10"/>
      <c r="VGI10"/>
      <c r="VGJ10"/>
      <c r="VGK10"/>
      <c r="VGL10"/>
      <c r="VGM10"/>
      <c r="VGN10"/>
      <c r="VGO10"/>
      <c r="VGP10"/>
      <c r="VGQ10"/>
      <c r="VGR10"/>
      <c r="VGS10"/>
      <c r="VGT10"/>
      <c r="VGU10"/>
      <c r="VGV10"/>
      <c r="VGW10"/>
      <c r="VGX10"/>
      <c r="VGY10"/>
      <c r="VGZ10"/>
      <c r="VHA10"/>
      <c r="VHB10"/>
      <c r="VHC10"/>
      <c r="VHD10"/>
      <c r="VHE10"/>
      <c r="VHF10"/>
      <c r="VHG10"/>
      <c r="VHH10"/>
      <c r="VHI10"/>
      <c r="VHJ10"/>
      <c r="VHK10"/>
      <c r="VHL10"/>
      <c r="VHM10"/>
      <c r="VHN10"/>
      <c r="VHO10"/>
      <c r="VHP10"/>
      <c r="VHQ10"/>
      <c r="VHR10"/>
      <c r="VHS10"/>
      <c r="VHT10"/>
      <c r="VHU10"/>
      <c r="VHV10"/>
      <c r="VHW10"/>
      <c r="VHX10"/>
      <c r="VHY10"/>
      <c r="VHZ10"/>
      <c r="VIA10"/>
      <c r="VIB10"/>
      <c r="VIC10"/>
      <c r="VID10"/>
      <c r="VIE10"/>
      <c r="VIF10"/>
      <c r="VIG10"/>
      <c r="VIH10"/>
      <c r="VII10"/>
      <c r="VIJ10"/>
      <c r="VIK10"/>
      <c r="VIL10"/>
      <c r="VIM10"/>
      <c r="VIN10"/>
      <c r="VIO10"/>
      <c r="VIP10"/>
      <c r="VIQ10"/>
      <c r="VIR10"/>
      <c r="VIS10"/>
      <c r="VIT10"/>
      <c r="VIU10"/>
      <c r="VIV10"/>
      <c r="VIW10"/>
      <c r="VIX10"/>
      <c r="VIY10"/>
      <c r="VIZ10"/>
      <c r="VJA10"/>
      <c r="VJB10"/>
      <c r="VJC10"/>
      <c r="VJD10"/>
      <c r="VJE10"/>
      <c r="VJF10"/>
      <c r="VJG10"/>
      <c r="VJH10"/>
      <c r="VJI10"/>
      <c r="VJJ10"/>
      <c r="VJK10"/>
      <c r="VJL10"/>
      <c r="VJM10"/>
      <c r="VJN10"/>
      <c r="VJO10"/>
      <c r="VJP10"/>
      <c r="VJQ10"/>
      <c r="VJR10"/>
      <c r="VJS10"/>
      <c r="VJT10"/>
      <c r="VJU10"/>
      <c r="VJV10"/>
      <c r="VJW10"/>
      <c r="VJX10"/>
      <c r="VJY10"/>
      <c r="VJZ10"/>
      <c r="VKA10"/>
      <c r="VKB10"/>
      <c r="VKC10"/>
      <c r="VKD10"/>
      <c r="VKE10"/>
      <c r="VKF10"/>
      <c r="VKG10"/>
      <c r="VKH10"/>
      <c r="VKI10"/>
      <c r="VKJ10"/>
      <c r="VKK10"/>
      <c r="VKL10"/>
      <c r="VKM10"/>
      <c r="VKN10"/>
      <c r="VKO10"/>
      <c r="VKP10"/>
      <c r="VKQ10"/>
      <c r="VKR10"/>
      <c r="VKS10"/>
      <c r="VKT10"/>
      <c r="VKU10"/>
      <c r="VKV10"/>
      <c r="VKW10"/>
      <c r="VKX10"/>
      <c r="VKY10"/>
      <c r="VKZ10"/>
      <c r="VLA10"/>
      <c r="VLB10"/>
      <c r="VLC10"/>
      <c r="VLD10"/>
      <c r="VLE10"/>
      <c r="VLF10"/>
      <c r="VLG10"/>
      <c r="VLH10"/>
      <c r="VLI10"/>
      <c r="VLJ10"/>
      <c r="VLK10"/>
      <c r="VLL10"/>
      <c r="VLM10"/>
      <c r="VLN10"/>
      <c r="VLO10"/>
      <c r="VLP10"/>
      <c r="VLQ10"/>
      <c r="VLR10"/>
      <c r="VLS10"/>
      <c r="VLT10"/>
      <c r="VLU10"/>
      <c r="VLV10"/>
      <c r="VLW10"/>
      <c r="VLX10"/>
      <c r="VLY10"/>
      <c r="VLZ10"/>
      <c r="VMA10"/>
      <c r="VMB10"/>
      <c r="VMC10"/>
      <c r="VMD10"/>
      <c r="VME10"/>
      <c r="VMF10"/>
      <c r="VMG10"/>
      <c r="VMH10"/>
      <c r="VMI10"/>
      <c r="VMJ10"/>
      <c r="VMK10"/>
      <c r="VML10"/>
      <c r="VMM10"/>
      <c r="VMN10"/>
      <c r="VMO10"/>
      <c r="VMP10"/>
      <c r="VMQ10"/>
      <c r="VMR10"/>
      <c r="VMS10"/>
      <c r="VMT10"/>
      <c r="VMU10"/>
      <c r="VMV10"/>
      <c r="VMW10"/>
      <c r="VMX10"/>
      <c r="VMY10"/>
      <c r="VMZ10"/>
      <c r="VNA10"/>
      <c r="VNB10"/>
      <c r="VNC10"/>
      <c r="VND10"/>
      <c r="VNE10"/>
      <c r="VNF10"/>
      <c r="VNG10"/>
      <c r="VNH10"/>
      <c r="VNI10"/>
      <c r="VNJ10"/>
      <c r="VNK10"/>
      <c r="VNL10"/>
      <c r="VNM10"/>
      <c r="VNN10"/>
      <c r="VNO10"/>
      <c r="VNP10"/>
      <c r="VNQ10"/>
      <c r="VNR10"/>
      <c r="VNS10"/>
      <c r="VNT10"/>
      <c r="VNU10"/>
      <c r="VNV10"/>
      <c r="VNW10"/>
      <c r="VNX10"/>
      <c r="VNY10"/>
      <c r="VNZ10"/>
      <c r="VOA10"/>
      <c r="VOB10"/>
      <c r="VOC10"/>
      <c r="VOD10"/>
      <c r="VOE10"/>
      <c r="VOF10"/>
      <c r="VOG10"/>
      <c r="VOH10"/>
      <c r="VOI10"/>
      <c r="VOJ10"/>
      <c r="VOK10"/>
      <c r="VOL10"/>
      <c r="VOM10"/>
      <c r="VON10"/>
      <c r="VOO10"/>
      <c r="VOP10"/>
      <c r="VOQ10"/>
      <c r="VOR10"/>
      <c r="VOS10"/>
      <c r="VOT10"/>
      <c r="VOU10"/>
      <c r="VOV10"/>
      <c r="VOW10"/>
      <c r="VOX10"/>
      <c r="VOY10"/>
      <c r="VOZ10"/>
      <c r="VPA10"/>
      <c r="VPB10"/>
      <c r="VPC10"/>
      <c r="VPD10"/>
      <c r="VPE10"/>
      <c r="VPF10"/>
      <c r="VPG10"/>
      <c r="VPH10"/>
      <c r="VPI10"/>
      <c r="VPJ10"/>
      <c r="VPK10"/>
      <c r="VPL10"/>
      <c r="VPM10"/>
      <c r="VPN10"/>
      <c r="VPO10"/>
      <c r="VPP10"/>
      <c r="VPQ10"/>
      <c r="VPR10"/>
      <c r="VPS10"/>
      <c r="VPT10"/>
      <c r="VPU10"/>
      <c r="VPV10"/>
      <c r="VPW10"/>
      <c r="VPX10"/>
      <c r="VPY10"/>
      <c r="VPZ10"/>
      <c r="VQA10"/>
      <c r="VQB10"/>
      <c r="VQC10"/>
      <c r="VQD10"/>
      <c r="VQE10"/>
      <c r="VQF10"/>
      <c r="VQG10"/>
      <c r="VQH10"/>
      <c r="VQI10"/>
      <c r="VQJ10"/>
      <c r="VQK10"/>
      <c r="VQL10"/>
      <c r="VQM10"/>
      <c r="VQN10"/>
      <c r="VQO10"/>
      <c r="VQP10"/>
      <c r="VQQ10"/>
      <c r="VQR10"/>
      <c r="VQS10"/>
      <c r="VQT10"/>
      <c r="VQU10"/>
      <c r="VQV10"/>
      <c r="VQW10"/>
      <c r="VQX10"/>
      <c r="VQY10"/>
      <c r="VQZ10"/>
      <c r="VRA10"/>
      <c r="VRB10"/>
      <c r="VRC10"/>
      <c r="VRD10"/>
      <c r="VRE10"/>
      <c r="VRF10"/>
      <c r="VRG10"/>
      <c r="VRH10"/>
      <c r="VRI10"/>
      <c r="VRJ10"/>
      <c r="VRK10"/>
      <c r="VRL10"/>
      <c r="VRM10"/>
      <c r="VRN10"/>
      <c r="VRO10"/>
      <c r="VRP10"/>
      <c r="VRQ10"/>
      <c r="VRR10"/>
      <c r="VRS10"/>
      <c r="VRT10"/>
      <c r="VRU10"/>
      <c r="VRV10"/>
      <c r="VRW10"/>
      <c r="VRX10"/>
      <c r="VRY10"/>
      <c r="VRZ10"/>
      <c r="VSA10"/>
      <c r="VSB10"/>
      <c r="VSC10"/>
      <c r="VSD10"/>
      <c r="VSE10"/>
      <c r="VSF10"/>
      <c r="VSG10"/>
      <c r="VSH10"/>
      <c r="VSI10"/>
      <c r="VSJ10"/>
      <c r="VSK10"/>
      <c r="VSL10"/>
      <c r="VSM10"/>
      <c r="VSN10"/>
      <c r="VSO10"/>
      <c r="VSP10"/>
      <c r="VSQ10"/>
      <c r="VSR10"/>
      <c r="VSS10"/>
      <c r="VST10"/>
      <c r="VSU10"/>
      <c r="VSV10"/>
      <c r="VSW10"/>
      <c r="VSX10"/>
      <c r="VSY10"/>
      <c r="VSZ10"/>
      <c r="VTA10"/>
      <c r="VTB10"/>
      <c r="VTC10"/>
      <c r="VTD10"/>
      <c r="VTE10"/>
      <c r="VTF10"/>
      <c r="VTG10"/>
      <c r="VTH10"/>
      <c r="VTI10"/>
      <c r="VTJ10"/>
      <c r="VTK10"/>
      <c r="VTL10"/>
      <c r="VTM10"/>
      <c r="VTN10"/>
      <c r="VTO10"/>
      <c r="VTP10"/>
      <c r="VTQ10"/>
      <c r="VTR10"/>
      <c r="VTS10"/>
      <c r="VTT10"/>
      <c r="VTU10"/>
      <c r="VTV10"/>
      <c r="VTW10"/>
      <c r="VTX10"/>
      <c r="VTY10"/>
      <c r="VTZ10"/>
      <c r="VUA10"/>
      <c r="VUB10"/>
      <c r="VUC10"/>
      <c r="VUD10"/>
      <c r="VUE10"/>
      <c r="VUF10"/>
      <c r="VUG10"/>
      <c r="VUH10"/>
      <c r="VUI10"/>
      <c r="VUJ10"/>
      <c r="VUK10"/>
      <c r="VUL10"/>
      <c r="VUM10"/>
      <c r="VUN10"/>
      <c r="VUO10"/>
      <c r="VUP10"/>
      <c r="VUQ10"/>
      <c r="VUR10"/>
      <c r="VUS10"/>
      <c r="VUT10"/>
      <c r="VUU10"/>
      <c r="VUV10"/>
      <c r="VUW10"/>
      <c r="VUX10"/>
      <c r="VUY10"/>
      <c r="VUZ10"/>
      <c r="VVA10"/>
      <c r="VVB10"/>
      <c r="VVC10"/>
      <c r="VVD10"/>
      <c r="VVE10"/>
      <c r="VVF10"/>
      <c r="VVG10"/>
      <c r="VVH10"/>
      <c r="VVI10"/>
      <c r="VVJ10"/>
      <c r="VVK10"/>
      <c r="VVL10"/>
      <c r="VVM10"/>
      <c r="VVN10"/>
      <c r="VVO10"/>
      <c r="VVP10"/>
      <c r="VVQ10"/>
      <c r="VVR10"/>
      <c r="VVS10"/>
      <c r="VVT10"/>
      <c r="VVU10"/>
      <c r="VVV10"/>
      <c r="VVW10"/>
      <c r="VVX10"/>
      <c r="VVY10"/>
      <c r="VVZ10"/>
      <c r="VWA10"/>
      <c r="VWB10"/>
      <c r="VWC10"/>
      <c r="VWD10"/>
      <c r="VWE10"/>
      <c r="VWF10"/>
      <c r="VWG10"/>
      <c r="VWH10"/>
      <c r="VWI10"/>
      <c r="VWJ10"/>
      <c r="VWK10"/>
      <c r="VWL10"/>
      <c r="VWM10"/>
      <c r="VWN10"/>
      <c r="VWO10"/>
      <c r="VWP10"/>
      <c r="VWQ10"/>
      <c r="VWR10"/>
      <c r="VWS10"/>
      <c r="VWT10"/>
      <c r="VWU10"/>
      <c r="VWV10"/>
      <c r="VWW10"/>
      <c r="VWX10"/>
      <c r="VWY10"/>
      <c r="VWZ10"/>
      <c r="VXA10"/>
      <c r="VXB10"/>
      <c r="VXC10"/>
      <c r="VXD10"/>
      <c r="VXE10"/>
      <c r="VXF10"/>
      <c r="VXG10"/>
      <c r="VXH10"/>
      <c r="VXI10"/>
      <c r="VXJ10"/>
      <c r="VXK10"/>
      <c r="VXL10"/>
      <c r="VXM10"/>
      <c r="VXN10"/>
      <c r="VXO10"/>
      <c r="VXP10"/>
      <c r="VXQ10"/>
      <c r="VXR10"/>
      <c r="VXS10"/>
      <c r="VXT10"/>
      <c r="VXU10"/>
      <c r="VXV10"/>
      <c r="VXW10"/>
      <c r="VXX10"/>
      <c r="VXY10"/>
      <c r="VXZ10"/>
      <c r="VYA10"/>
      <c r="VYB10"/>
      <c r="VYC10"/>
      <c r="VYD10"/>
      <c r="VYE10"/>
      <c r="VYF10"/>
      <c r="VYG10"/>
      <c r="VYH10"/>
      <c r="VYI10"/>
      <c r="VYJ10"/>
      <c r="VYK10"/>
      <c r="VYL10"/>
      <c r="VYM10"/>
      <c r="VYN10"/>
      <c r="VYO10"/>
      <c r="VYP10"/>
      <c r="VYQ10"/>
      <c r="VYR10"/>
      <c r="VYS10"/>
      <c r="VYT10"/>
      <c r="VYU10"/>
      <c r="VYV10"/>
      <c r="VYW10"/>
      <c r="VYX10"/>
      <c r="VYY10"/>
      <c r="VYZ10"/>
      <c r="VZA10"/>
      <c r="VZB10"/>
      <c r="VZC10"/>
      <c r="VZD10"/>
      <c r="VZE10"/>
      <c r="VZF10"/>
      <c r="VZG10"/>
      <c r="VZH10"/>
      <c r="VZI10"/>
      <c r="VZJ10"/>
      <c r="VZK10"/>
      <c r="VZL10"/>
      <c r="VZM10"/>
      <c r="VZN10"/>
      <c r="VZO10"/>
      <c r="VZP10"/>
      <c r="VZQ10"/>
      <c r="VZR10"/>
      <c r="VZS10"/>
      <c r="VZT10"/>
      <c r="VZU10"/>
      <c r="VZV10"/>
      <c r="VZW10"/>
      <c r="VZX10"/>
      <c r="VZY10"/>
      <c r="VZZ10"/>
      <c r="WAA10"/>
      <c r="WAB10"/>
      <c r="WAC10"/>
      <c r="WAD10"/>
      <c r="WAE10"/>
      <c r="WAF10"/>
      <c r="WAG10"/>
      <c r="WAH10"/>
      <c r="WAI10"/>
      <c r="WAJ10"/>
      <c r="WAK10"/>
      <c r="WAL10"/>
      <c r="WAM10"/>
      <c r="WAN10"/>
      <c r="WAO10"/>
      <c r="WAP10"/>
      <c r="WAQ10"/>
      <c r="WAR10"/>
      <c r="WAS10"/>
      <c r="WAT10"/>
      <c r="WAU10"/>
      <c r="WAV10"/>
      <c r="WAW10"/>
      <c r="WAX10"/>
      <c r="WAY10"/>
      <c r="WAZ10"/>
      <c r="WBA10"/>
      <c r="WBB10"/>
      <c r="WBC10"/>
      <c r="WBD10"/>
      <c r="WBE10"/>
      <c r="WBF10"/>
      <c r="WBG10"/>
      <c r="WBH10"/>
      <c r="WBI10"/>
      <c r="WBJ10"/>
      <c r="WBK10"/>
      <c r="WBL10"/>
      <c r="WBM10"/>
      <c r="WBN10"/>
      <c r="WBO10"/>
      <c r="WBP10"/>
      <c r="WBQ10"/>
      <c r="WBR10"/>
      <c r="WBS10"/>
      <c r="WBT10"/>
      <c r="WBU10"/>
      <c r="WBV10"/>
      <c r="WBW10"/>
      <c r="WBX10"/>
      <c r="WBY10"/>
      <c r="WBZ10"/>
      <c r="WCA10"/>
      <c r="WCB10"/>
      <c r="WCC10"/>
      <c r="WCD10"/>
      <c r="WCE10"/>
      <c r="WCF10"/>
      <c r="WCG10"/>
      <c r="WCH10"/>
      <c r="WCI10"/>
      <c r="WCJ10"/>
      <c r="WCK10"/>
      <c r="WCL10"/>
      <c r="WCM10"/>
      <c r="WCN10"/>
      <c r="WCO10"/>
      <c r="WCP10"/>
      <c r="WCQ10"/>
      <c r="WCR10"/>
      <c r="WCS10"/>
      <c r="WCT10"/>
      <c r="WCU10"/>
      <c r="WCV10"/>
      <c r="WCW10"/>
      <c r="WCX10"/>
      <c r="WCY10"/>
      <c r="WCZ10"/>
      <c r="WDA10"/>
      <c r="WDB10"/>
      <c r="WDC10"/>
      <c r="WDD10"/>
      <c r="WDE10"/>
      <c r="WDF10"/>
      <c r="WDG10"/>
      <c r="WDH10"/>
      <c r="WDI10"/>
      <c r="WDJ10"/>
      <c r="WDK10"/>
      <c r="WDL10"/>
      <c r="WDM10"/>
      <c r="WDN10"/>
      <c r="WDO10"/>
      <c r="WDP10"/>
      <c r="WDQ10"/>
      <c r="WDR10"/>
      <c r="WDS10"/>
      <c r="WDT10"/>
      <c r="WDU10"/>
      <c r="WDV10"/>
      <c r="WDW10"/>
      <c r="WDX10"/>
      <c r="WDY10"/>
      <c r="WDZ10"/>
      <c r="WEA10"/>
      <c r="WEB10"/>
      <c r="WEC10"/>
      <c r="WED10"/>
      <c r="WEE10"/>
      <c r="WEF10"/>
      <c r="WEG10"/>
      <c r="WEH10"/>
      <c r="WEI10"/>
      <c r="WEJ10"/>
      <c r="WEK10"/>
      <c r="WEL10"/>
      <c r="WEM10"/>
      <c r="WEN10"/>
      <c r="WEO10"/>
      <c r="WEP10"/>
      <c r="WEQ10"/>
      <c r="WER10"/>
      <c r="WES10"/>
      <c r="WET10"/>
      <c r="WEU10"/>
      <c r="WEV10"/>
      <c r="WEW10"/>
      <c r="WEX10"/>
      <c r="WEY10"/>
      <c r="WEZ10"/>
      <c r="WFA10"/>
      <c r="WFB10"/>
      <c r="WFC10"/>
      <c r="WFD10"/>
      <c r="WFE10"/>
      <c r="WFF10"/>
      <c r="WFG10"/>
      <c r="WFH10"/>
      <c r="WFI10"/>
      <c r="WFJ10"/>
      <c r="WFK10"/>
      <c r="WFL10"/>
      <c r="WFM10"/>
      <c r="WFN10"/>
      <c r="WFO10"/>
      <c r="WFP10"/>
      <c r="WFQ10"/>
      <c r="WFR10"/>
      <c r="WFS10"/>
      <c r="WFT10"/>
      <c r="WFU10"/>
      <c r="WFV10"/>
      <c r="WFW10"/>
      <c r="WFX10"/>
      <c r="WFY10"/>
      <c r="WFZ10"/>
      <c r="WGA10"/>
      <c r="WGB10"/>
      <c r="WGC10"/>
      <c r="WGD10"/>
      <c r="WGE10"/>
      <c r="WGF10"/>
      <c r="WGG10"/>
      <c r="WGH10"/>
      <c r="WGI10"/>
      <c r="WGJ10"/>
      <c r="WGK10"/>
      <c r="WGL10"/>
      <c r="WGM10"/>
      <c r="WGN10"/>
      <c r="WGO10"/>
      <c r="WGP10"/>
      <c r="WGQ10"/>
      <c r="WGR10"/>
      <c r="WGS10"/>
      <c r="WGT10"/>
      <c r="WGU10"/>
      <c r="WGV10"/>
      <c r="WGW10"/>
      <c r="WGX10"/>
      <c r="WGY10"/>
      <c r="WGZ10"/>
      <c r="WHA10"/>
      <c r="WHB10"/>
      <c r="WHC10"/>
      <c r="WHD10"/>
      <c r="WHE10"/>
      <c r="WHF10"/>
      <c r="WHG10"/>
      <c r="WHH10"/>
      <c r="WHI10"/>
      <c r="WHJ10"/>
      <c r="WHK10"/>
      <c r="WHL10"/>
      <c r="WHM10"/>
      <c r="WHN10"/>
      <c r="WHO10"/>
      <c r="WHP10"/>
      <c r="WHQ10"/>
      <c r="WHR10"/>
      <c r="WHS10"/>
      <c r="WHT10"/>
      <c r="WHU10"/>
      <c r="WHV10"/>
      <c r="WHW10"/>
      <c r="WHX10"/>
      <c r="WHY10"/>
      <c r="WHZ10"/>
      <c r="WIA10"/>
      <c r="WIB10"/>
      <c r="WIC10"/>
      <c r="WID10"/>
      <c r="WIE10"/>
      <c r="WIF10"/>
      <c r="WIG10"/>
      <c r="WIH10"/>
      <c r="WII10"/>
      <c r="WIJ10"/>
      <c r="WIK10"/>
      <c r="WIL10"/>
      <c r="WIM10"/>
      <c r="WIN10"/>
      <c r="WIO10"/>
      <c r="WIP10"/>
      <c r="WIQ10"/>
      <c r="WIR10"/>
      <c r="WIS10"/>
      <c r="WIT10"/>
      <c r="WIU10"/>
      <c r="WIV10"/>
      <c r="WIW10"/>
      <c r="WIX10"/>
      <c r="WIY10"/>
      <c r="WIZ10"/>
      <c r="WJA10"/>
      <c r="WJB10"/>
      <c r="WJC10"/>
      <c r="WJD10"/>
      <c r="WJE10"/>
      <c r="WJF10"/>
      <c r="WJG10"/>
      <c r="WJH10"/>
      <c r="WJI10"/>
      <c r="WJJ10"/>
      <c r="WJK10"/>
      <c r="WJL10"/>
      <c r="WJM10"/>
      <c r="WJN10"/>
      <c r="WJO10"/>
      <c r="WJP10"/>
      <c r="WJQ10"/>
      <c r="WJR10"/>
      <c r="WJS10"/>
      <c r="WJT10"/>
      <c r="WJU10"/>
      <c r="WJV10"/>
      <c r="WJW10"/>
      <c r="WJX10"/>
      <c r="WJY10"/>
      <c r="WJZ10"/>
      <c r="WKA10"/>
      <c r="WKB10"/>
      <c r="WKC10"/>
      <c r="WKD10"/>
      <c r="WKE10"/>
      <c r="WKF10"/>
      <c r="WKG10"/>
      <c r="WKH10"/>
      <c r="WKI10"/>
      <c r="WKJ10"/>
      <c r="WKK10"/>
      <c r="WKL10"/>
      <c r="WKM10"/>
      <c r="WKN10"/>
      <c r="WKO10"/>
      <c r="WKP10"/>
      <c r="WKQ10"/>
      <c r="WKR10"/>
      <c r="WKS10"/>
      <c r="WKT10"/>
      <c r="WKU10"/>
      <c r="WKV10"/>
      <c r="WKW10"/>
      <c r="WKX10"/>
      <c r="WKY10"/>
      <c r="WKZ10"/>
      <c r="WLA10"/>
      <c r="WLB10"/>
      <c r="WLC10"/>
      <c r="WLD10"/>
      <c r="WLE10"/>
      <c r="WLF10"/>
      <c r="WLG10"/>
      <c r="WLH10"/>
      <c r="WLI10"/>
      <c r="WLJ10"/>
      <c r="WLK10"/>
      <c r="WLL10"/>
      <c r="WLM10"/>
      <c r="WLN10"/>
      <c r="WLO10"/>
      <c r="WLP10"/>
      <c r="WLQ10"/>
      <c r="WLR10"/>
      <c r="WLS10"/>
      <c r="WLT10"/>
      <c r="WLU10"/>
      <c r="WLV10"/>
      <c r="WLW10"/>
      <c r="WLX10"/>
      <c r="WLY10"/>
      <c r="WLZ10"/>
      <c r="WMA10"/>
      <c r="WMB10"/>
      <c r="WMC10"/>
      <c r="WMD10"/>
      <c r="WME10"/>
      <c r="WMF10"/>
      <c r="WMG10"/>
      <c r="WMH10"/>
      <c r="WMI10"/>
      <c r="WMJ10"/>
      <c r="WMK10"/>
      <c r="WML10"/>
      <c r="WMM10"/>
      <c r="WMN10"/>
      <c r="WMO10"/>
      <c r="WMP10"/>
      <c r="WMQ10"/>
      <c r="WMR10"/>
      <c r="WMS10"/>
      <c r="WMT10"/>
      <c r="WMU10"/>
      <c r="WMV10"/>
      <c r="WMW10"/>
      <c r="WMX10"/>
      <c r="WMY10"/>
      <c r="WMZ10"/>
      <c r="WNA10"/>
      <c r="WNB10"/>
      <c r="WNC10"/>
      <c r="WND10"/>
      <c r="WNE10"/>
      <c r="WNF10"/>
      <c r="WNG10"/>
      <c r="WNH10"/>
      <c r="WNI10"/>
      <c r="WNJ10"/>
      <c r="WNK10"/>
      <c r="WNL10"/>
      <c r="WNM10"/>
      <c r="WNN10"/>
      <c r="WNO10"/>
      <c r="WNP10"/>
      <c r="WNQ10"/>
      <c r="WNR10"/>
      <c r="WNS10"/>
      <c r="WNT10"/>
      <c r="WNU10"/>
      <c r="WNV10"/>
      <c r="WNW10"/>
      <c r="WNX10"/>
      <c r="WNY10"/>
      <c r="WNZ10"/>
      <c r="WOA10"/>
      <c r="WOB10"/>
      <c r="WOC10"/>
      <c r="WOD10"/>
      <c r="WOE10"/>
      <c r="WOF10"/>
      <c r="WOG10"/>
      <c r="WOH10"/>
      <c r="WOI10"/>
      <c r="WOJ10"/>
      <c r="WOK10"/>
      <c r="WOL10"/>
      <c r="WOM10"/>
      <c r="WON10"/>
      <c r="WOO10"/>
      <c r="WOP10"/>
      <c r="WOQ10"/>
      <c r="WOR10"/>
      <c r="WOS10"/>
      <c r="WOT10"/>
      <c r="WOU10"/>
      <c r="WOV10"/>
      <c r="WOW10"/>
      <c r="WOX10"/>
      <c r="WOY10"/>
      <c r="WOZ10"/>
      <c r="WPA10"/>
      <c r="WPB10"/>
      <c r="WPC10"/>
      <c r="WPD10"/>
      <c r="WPE10"/>
      <c r="WPF10"/>
      <c r="WPG10"/>
      <c r="WPH10"/>
      <c r="WPI10"/>
      <c r="WPJ10"/>
      <c r="WPK10"/>
      <c r="WPL10"/>
      <c r="WPM10"/>
      <c r="WPN10"/>
      <c r="WPO10"/>
      <c r="WPP10"/>
      <c r="WPQ10"/>
      <c r="WPR10"/>
      <c r="WPS10"/>
      <c r="WPT10"/>
      <c r="WPU10"/>
      <c r="WPV10"/>
      <c r="WPW10"/>
      <c r="WPX10"/>
      <c r="WPY10"/>
      <c r="WPZ10"/>
      <c r="WQA10"/>
      <c r="WQB10"/>
      <c r="WQC10"/>
      <c r="WQD10"/>
      <c r="WQE10"/>
      <c r="WQF10"/>
      <c r="WQG10"/>
      <c r="WQH10"/>
      <c r="WQI10"/>
      <c r="WQJ10"/>
      <c r="WQK10"/>
      <c r="WQL10"/>
      <c r="WQM10"/>
      <c r="WQN10"/>
      <c r="WQO10"/>
      <c r="WQP10"/>
      <c r="WQQ10"/>
      <c r="WQR10"/>
      <c r="WQS10"/>
      <c r="WQT10"/>
      <c r="WQU10"/>
      <c r="WQV10"/>
      <c r="WQW10"/>
      <c r="WQX10"/>
      <c r="WQY10"/>
      <c r="WQZ10"/>
      <c r="WRA10"/>
      <c r="WRB10"/>
      <c r="WRC10"/>
      <c r="WRD10"/>
      <c r="WRE10"/>
      <c r="WRF10"/>
      <c r="WRG10"/>
      <c r="WRH10"/>
      <c r="WRI10"/>
      <c r="WRJ10"/>
      <c r="WRK10"/>
      <c r="WRL10"/>
      <c r="WRM10"/>
      <c r="WRN10"/>
      <c r="WRO10"/>
      <c r="WRP10"/>
      <c r="WRQ10"/>
      <c r="WRR10"/>
      <c r="WRS10"/>
      <c r="WRT10"/>
      <c r="WRU10"/>
      <c r="WRV10"/>
      <c r="WRW10"/>
      <c r="WRX10"/>
      <c r="WRY10"/>
      <c r="WRZ10"/>
      <c r="WSA10"/>
      <c r="WSB10"/>
      <c r="WSC10"/>
      <c r="WSD10"/>
      <c r="WSE10"/>
      <c r="WSF10"/>
      <c r="WSG10"/>
      <c r="WSH10"/>
      <c r="WSI10"/>
      <c r="WSJ10"/>
      <c r="WSK10"/>
      <c r="WSL10"/>
      <c r="WSM10"/>
      <c r="WSN10"/>
      <c r="WSO10"/>
      <c r="WSP10"/>
      <c r="WSQ10"/>
      <c r="WSR10"/>
      <c r="WSS10"/>
      <c r="WST10"/>
      <c r="WSU10"/>
      <c r="WSV10"/>
      <c r="WSW10"/>
      <c r="WSX10"/>
      <c r="WSY10"/>
      <c r="WSZ10"/>
      <c r="WTA10"/>
      <c r="WTB10"/>
      <c r="WTC10"/>
      <c r="WTD10"/>
      <c r="WTE10"/>
      <c r="WTF10"/>
      <c r="WTG10"/>
      <c r="WTH10"/>
      <c r="WTI10"/>
      <c r="WTJ10"/>
      <c r="WTK10"/>
      <c r="WTL10"/>
      <c r="WTM10"/>
      <c r="WTN10"/>
      <c r="WTO10"/>
      <c r="WTP10"/>
      <c r="WTQ10"/>
      <c r="WTR10"/>
      <c r="WTS10"/>
      <c r="WTT10"/>
      <c r="WTU10"/>
      <c r="WTV10"/>
      <c r="WTW10"/>
      <c r="WTX10"/>
      <c r="WTY10"/>
      <c r="WTZ10"/>
      <c r="WUA10"/>
      <c r="WUB10"/>
      <c r="WUC10"/>
      <c r="WUD10"/>
      <c r="WUE10"/>
      <c r="WUF10"/>
      <c r="WUG10"/>
      <c r="WUH10"/>
      <c r="WUI10"/>
      <c r="WUJ10"/>
      <c r="WUK10"/>
      <c r="WUL10"/>
      <c r="WUM10"/>
      <c r="WUN10"/>
      <c r="WUO10"/>
      <c r="WUP10"/>
      <c r="WUQ10"/>
      <c r="WUR10"/>
      <c r="WUS10"/>
      <c r="WUT10"/>
      <c r="WUU10"/>
      <c r="WUV10"/>
      <c r="WUW10"/>
      <c r="WUX10"/>
      <c r="WUY10"/>
      <c r="WUZ10"/>
      <c r="WVA10"/>
      <c r="WVB10"/>
      <c r="WVC10"/>
      <c r="WVD10"/>
      <c r="WVE10"/>
      <c r="WVF10"/>
      <c r="WVG10"/>
      <c r="WVH10"/>
      <c r="WVI10"/>
      <c r="WVJ10"/>
      <c r="WVK10"/>
      <c r="WVL10"/>
      <c r="WVM10"/>
      <c r="WVN10"/>
      <c r="WVO10"/>
      <c r="WVP10"/>
      <c r="WVQ10"/>
      <c r="WVR10"/>
      <c r="WVS10"/>
      <c r="WVT10"/>
      <c r="WVU10"/>
      <c r="WVV10"/>
      <c r="WVW10"/>
      <c r="WVX10"/>
      <c r="WVY10"/>
      <c r="WVZ10"/>
      <c r="WWA10"/>
      <c r="WWB10"/>
      <c r="WWC10"/>
      <c r="WWD10"/>
      <c r="WWE10"/>
      <c r="WWF10"/>
      <c r="WWG10"/>
      <c r="WWH10"/>
      <c r="WWI10"/>
      <c r="WWJ10"/>
      <c r="WWK10"/>
      <c r="WWL10"/>
      <c r="WWM10"/>
      <c r="WWN10"/>
      <c r="WWO10"/>
      <c r="WWP10"/>
      <c r="WWQ10"/>
      <c r="WWR10"/>
      <c r="WWS10"/>
      <c r="WWT10"/>
      <c r="WWU10"/>
      <c r="WWV10"/>
      <c r="WWW10"/>
      <c r="WWX10"/>
      <c r="WWY10"/>
      <c r="WWZ10"/>
      <c r="WXA10"/>
      <c r="WXB10"/>
      <c r="WXC10"/>
      <c r="WXD10"/>
      <c r="WXE10"/>
      <c r="WXF10"/>
      <c r="WXG10"/>
      <c r="WXH10"/>
      <c r="WXI10"/>
      <c r="WXJ10"/>
      <c r="WXK10"/>
      <c r="WXL10"/>
      <c r="WXM10"/>
      <c r="WXN10"/>
      <c r="WXO10"/>
      <c r="WXP10"/>
      <c r="WXQ10"/>
      <c r="WXR10"/>
      <c r="WXS10"/>
      <c r="WXT10"/>
      <c r="WXU10"/>
      <c r="WXV10"/>
      <c r="WXW10"/>
      <c r="WXX10"/>
      <c r="WXY10"/>
      <c r="WXZ10"/>
      <c r="WYA10"/>
      <c r="WYB10"/>
      <c r="WYC10"/>
      <c r="WYD10"/>
      <c r="WYE10"/>
      <c r="WYF10"/>
      <c r="WYG10"/>
      <c r="WYH10"/>
      <c r="WYI10"/>
      <c r="WYJ10"/>
      <c r="WYK10"/>
      <c r="WYL10"/>
      <c r="WYM10"/>
      <c r="WYN10"/>
      <c r="WYO10"/>
      <c r="WYP10"/>
      <c r="WYQ10"/>
      <c r="WYR10"/>
      <c r="WYS10"/>
      <c r="WYT10"/>
      <c r="WYU10"/>
      <c r="WYV10"/>
      <c r="WYW10"/>
      <c r="WYX10"/>
      <c r="WYY10"/>
      <c r="WYZ10"/>
      <c r="WZA10"/>
      <c r="WZB10"/>
      <c r="WZC10"/>
      <c r="WZD10"/>
      <c r="WZE10"/>
      <c r="WZF10"/>
      <c r="WZG10"/>
      <c r="WZH10"/>
      <c r="WZI10"/>
      <c r="WZJ10"/>
      <c r="WZK10"/>
      <c r="WZL10"/>
      <c r="WZM10"/>
      <c r="WZN10"/>
      <c r="WZO10"/>
      <c r="WZP10"/>
      <c r="WZQ10"/>
      <c r="WZR10"/>
      <c r="WZS10"/>
      <c r="WZT10"/>
      <c r="WZU10"/>
      <c r="WZV10"/>
      <c r="WZW10"/>
      <c r="WZX10"/>
      <c r="WZY10"/>
      <c r="WZZ10"/>
      <c r="XAA10"/>
      <c r="XAB10"/>
      <c r="XAC10"/>
      <c r="XAD10"/>
      <c r="XAE10"/>
      <c r="XAF10"/>
      <c r="XAG10"/>
      <c r="XAH10"/>
      <c r="XAI10"/>
      <c r="XAJ10"/>
      <c r="XAK10"/>
      <c r="XAL10"/>
      <c r="XAM10"/>
      <c r="XAN10"/>
      <c r="XAO10"/>
      <c r="XAP10"/>
      <c r="XAQ10"/>
      <c r="XAR10"/>
      <c r="XAS10"/>
      <c r="XAT10"/>
      <c r="XAU10"/>
      <c r="XAV10"/>
      <c r="XAW10"/>
      <c r="XAX10"/>
      <c r="XAY10"/>
      <c r="XAZ10"/>
      <c r="XBA10"/>
      <c r="XBB10"/>
      <c r="XBC10"/>
      <c r="XBD10"/>
      <c r="XBE10"/>
      <c r="XBF10"/>
      <c r="XBG10"/>
      <c r="XBH10"/>
      <c r="XBI10"/>
      <c r="XBJ10"/>
      <c r="XBK10"/>
      <c r="XBL10"/>
      <c r="XBM10"/>
      <c r="XBN10"/>
      <c r="XBO10"/>
      <c r="XBP10"/>
      <c r="XBQ10"/>
      <c r="XBR10"/>
      <c r="XBS10"/>
      <c r="XBT10"/>
      <c r="XBU10"/>
      <c r="XBV10"/>
      <c r="XBW10"/>
      <c r="XBX10"/>
      <c r="XBY10"/>
      <c r="XBZ10"/>
      <c r="XCA10"/>
      <c r="XCB10"/>
      <c r="XCC10"/>
      <c r="XCD10"/>
      <c r="XCE10"/>
      <c r="XCF10"/>
      <c r="XCG10"/>
      <c r="XCH10"/>
      <c r="XCI10"/>
      <c r="XCJ10"/>
      <c r="XCK10"/>
      <c r="XCL10"/>
      <c r="XCM10"/>
      <c r="XCN10"/>
      <c r="XCO10"/>
      <c r="XCP10"/>
      <c r="XCQ10"/>
      <c r="XCR10"/>
      <c r="XCS10"/>
      <c r="XCT10"/>
      <c r="XCU10"/>
      <c r="XCV10"/>
      <c r="XCW10"/>
      <c r="XCX10"/>
      <c r="XCY10"/>
      <c r="XCZ10"/>
      <c r="XDA10"/>
      <c r="XDB10"/>
      <c r="XDC10"/>
      <c r="XDD10"/>
      <c r="XDE10"/>
      <c r="XDF10"/>
      <c r="XDG10"/>
      <c r="XDH10"/>
      <c r="XDI10"/>
      <c r="XDJ10"/>
      <c r="XDK10"/>
      <c r="XDL10"/>
      <c r="XDM10"/>
      <c r="XDN10"/>
      <c r="XDO10"/>
      <c r="XDP10"/>
      <c r="XDQ10"/>
      <c r="XDR10"/>
      <c r="XDS10"/>
      <c r="XDT10"/>
      <c r="XDU10"/>
      <c r="XDV10"/>
      <c r="XDW10"/>
      <c r="XDX10"/>
      <c r="XDY10"/>
      <c r="XDZ10"/>
      <c r="XEA10"/>
      <c r="XEB10"/>
      <c r="XEC10"/>
      <c r="XED10"/>
      <c r="XEE10"/>
      <c r="XEF10"/>
      <c r="XEG10"/>
      <c r="XEH10"/>
      <c r="XEI10"/>
      <c r="XEJ10"/>
      <c r="XEK10"/>
      <c r="XEL10"/>
      <c r="XEM10"/>
      <c r="XEN10"/>
      <c r="XEO10"/>
      <c r="XEP10"/>
      <c r="XEQ10"/>
      <c r="XER10"/>
      <c r="XES10"/>
      <c r="XET10"/>
      <c r="XEU10"/>
      <c r="XEV10"/>
      <c r="XEW10"/>
      <c r="XEX10"/>
      <c r="XEY10"/>
      <c r="XEZ10"/>
      <c r="XFA10"/>
      <c r="XFB10"/>
      <c r="XFC10"/>
      <c r="XFD10"/>
    </row>
    <row r="11" spans="1:16384">
      <c r="A11" s="78" t="s">
        <v>659</v>
      </c>
      <c r="B11" s="78">
        <f>VLOOKUP($B$7,$D:$N,11,0)*50</f>
        <v>3100</v>
      </c>
      <c r="D11">
        <v>10</v>
      </c>
      <c r="E11">
        <f t="shared" ca="1" si="14"/>
        <v>17100</v>
      </c>
      <c r="F11">
        <f t="shared" si="2"/>
        <v>16550</v>
      </c>
      <c r="G11" s="38">
        <f t="shared" ca="1" si="3"/>
        <v>1155</v>
      </c>
      <c r="H11" s="38">
        <f t="shared" ca="1" si="4"/>
        <v>-26345</v>
      </c>
      <c r="I11" s="40">
        <f t="shared" ca="1" si="5"/>
        <v>4.3841336116910233E-2</v>
      </c>
      <c r="J11" t="e">
        <f ca="1">VLOOKUP($B$5&amp;E11&amp;F11,'Margin Schedule'!$A:$E,5,0)</f>
        <v>#N/A</v>
      </c>
      <c r="K11" s="38" t="e">
        <f ca="1">VLOOKUP($B$5&amp;E11&amp;F11,'Margin Schedule'!$A:$F,6,0)</f>
        <v>#N/A</v>
      </c>
      <c r="L11" s="40" t="e">
        <f t="shared" ca="1" si="6"/>
        <v>#N/A</v>
      </c>
      <c r="M11" s="40" t="e">
        <f t="shared" ca="1" si="7"/>
        <v>#N/A</v>
      </c>
      <c r="N11" s="84">
        <v>62</v>
      </c>
      <c r="O11" s="38" t="e">
        <f t="shared" ca="1" si="8"/>
        <v>#N/A</v>
      </c>
      <c r="P11" s="38">
        <v>57970</v>
      </c>
      <c r="Q11" s="38">
        <f t="shared" ca="1" si="9"/>
        <v>-1633390</v>
      </c>
      <c r="R11" s="90"/>
      <c r="S11" s="90">
        <f t="shared" ca="1" si="10"/>
        <v>-1647030</v>
      </c>
      <c r="T11" s="90">
        <f t="shared" ca="1" si="10"/>
        <v>-1647030</v>
      </c>
      <c r="U11" s="90">
        <f t="shared" ca="1" si="10"/>
        <v>-1647030</v>
      </c>
      <c r="V11" s="90">
        <f t="shared" ca="1" si="10"/>
        <v>-1647030</v>
      </c>
      <c r="W11" s="90">
        <f t="shared" ca="1" si="10"/>
        <v>-1647030</v>
      </c>
      <c r="X11" s="90">
        <f t="shared" ca="1" si="10"/>
        <v>-1647030</v>
      </c>
      <c r="Y11" s="90">
        <f t="shared" ca="1" si="10"/>
        <v>-1581123.9999999937</v>
      </c>
      <c r="Z11" s="90">
        <f t="shared" ca="1" si="10"/>
        <v>-1307874.4999999923</v>
      </c>
      <c r="AA11" s="90">
        <f t="shared" ca="1" si="10"/>
        <v>-1034624.9999999909</v>
      </c>
      <c r="AB11" s="90">
        <f t="shared" ca="1" si="10"/>
        <v>-761375.50000000093</v>
      </c>
      <c r="AC11" s="90">
        <f t="shared" ca="1" si="10"/>
        <v>-488125.99999999953</v>
      </c>
      <c r="AD11" s="90">
        <f t="shared" ca="1" si="11"/>
        <v>-214876.4999999982</v>
      </c>
      <c r="AE11" s="90">
        <f t="shared" ca="1" si="11"/>
        <v>57970</v>
      </c>
      <c r="AF11" s="90">
        <f t="shared" ca="1" si="11"/>
        <v>57970</v>
      </c>
      <c r="AH11" s="40">
        <f t="shared" si="13"/>
        <v>0.93879403255998639</v>
      </c>
      <c r="AI11" t="b">
        <f t="shared" si="12"/>
        <v>1</v>
      </c>
      <c r="AK11">
        <v>29100</v>
      </c>
      <c r="AL11">
        <v>1058.4000000000001</v>
      </c>
      <c r="AM11">
        <v>0.95</v>
      </c>
      <c r="AN11">
        <v>16550</v>
      </c>
      <c r="AO11">
        <v>19.47</v>
      </c>
      <c r="AP11" t="s">
        <v>630</v>
      </c>
      <c r="AQ11">
        <v>14.1</v>
      </c>
      <c r="AR11">
        <v>-0.05</v>
      </c>
      <c r="AS11">
        <v>78650</v>
      </c>
      <c r="AT11">
        <v>-2.46</v>
      </c>
      <c r="AU11">
        <v>3.53</v>
      </c>
      <c r="AV11">
        <v>1.4999999999999999E-4</v>
      </c>
      <c r="AY11">
        <v>1324775</v>
      </c>
      <c r="AZ11">
        <v>1048</v>
      </c>
      <c r="BA11">
        <v>0.95</v>
      </c>
      <c r="BB11">
        <v>16500</v>
      </c>
      <c r="BC11">
        <v>17.96</v>
      </c>
      <c r="BD11" t="s">
        <v>630</v>
      </c>
      <c r="BE11">
        <v>12.15</v>
      </c>
      <c r="BF11">
        <v>-0.05</v>
      </c>
      <c r="BG11">
        <v>2359550</v>
      </c>
      <c r="BH11">
        <v>-2.04</v>
      </c>
      <c r="BI11">
        <v>3.4</v>
      </c>
      <c r="BJ11">
        <v>1.4999999999999999E-4</v>
      </c>
      <c r="BL11">
        <v>100</v>
      </c>
      <c r="BM11">
        <v>1189.1500000000001</v>
      </c>
      <c r="BN11">
        <v>0.9</v>
      </c>
      <c r="BO11">
        <v>16450</v>
      </c>
      <c r="BP11">
        <v>15.41</v>
      </c>
      <c r="BQ11" t="s">
        <v>630</v>
      </c>
      <c r="BR11">
        <v>46.25</v>
      </c>
      <c r="BS11">
        <v>-0.1</v>
      </c>
      <c r="BT11">
        <v>16850</v>
      </c>
      <c r="BU11">
        <v>-1.93</v>
      </c>
      <c r="BV11">
        <v>10.76</v>
      </c>
      <c r="BW11">
        <v>1.9000000000000001E-4</v>
      </c>
    </row>
    <row r="12" spans="1:16384">
      <c r="D12">
        <v>11</v>
      </c>
      <c r="E12">
        <f t="shared" ca="1" si="14"/>
        <v>17100</v>
      </c>
      <c r="F12">
        <f t="shared" si="2"/>
        <v>16600</v>
      </c>
      <c r="G12" s="38">
        <f t="shared" ca="1" si="3"/>
        <v>1017.5000000000001</v>
      </c>
      <c r="H12" s="38">
        <f t="shared" ca="1" si="4"/>
        <v>-23982.5</v>
      </c>
      <c r="I12" s="40">
        <f t="shared" ca="1" si="5"/>
        <v>4.2426769519441264E-2</v>
      </c>
      <c r="J12" t="e">
        <f ca="1">VLOOKUP($B$5&amp;E12&amp;F12,'Margin Schedule'!$A:$E,5,0)</f>
        <v>#N/A</v>
      </c>
      <c r="K12" s="38" t="e">
        <f ca="1">VLOOKUP($B$5&amp;E12&amp;F12,'Margin Schedule'!$A:$F,6,0)</f>
        <v>#N/A</v>
      </c>
      <c r="L12" s="40" t="e">
        <f t="shared" ca="1" si="6"/>
        <v>#N/A</v>
      </c>
      <c r="M12" s="40" t="e">
        <f t="shared" ca="1" si="7"/>
        <v>#N/A</v>
      </c>
      <c r="N12" s="84">
        <v>66</v>
      </c>
      <c r="O12" s="38" t="e">
        <f t="shared" ca="1" si="8"/>
        <v>#N/A</v>
      </c>
      <c r="P12" s="38">
        <v>49665</v>
      </c>
      <c r="Q12" s="38">
        <f t="shared" ca="1" si="9"/>
        <v>-1582845</v>
      </c>
      <c r="R12" s="90"/>
      <c r="S12" s="90">
        <f t="shared" ca="1" si="10"/>
        <v>-1600335</v>
      </c>
      <c r="T12" s="90">
        <f t="shared" ca="1" si="10"/>
        <v>-1600335</v>
      </c>
      <c r="U12" s="90">
        <f t="shared" ca="1" si="10"/>
        <v>-1600335</v>
      </c>
      <c r="V12" s="90">
        <f t="shared" ca="1" si="10"/>
        <v>-1600335</v>
      </c>
      <c r="W12" s="90">
        <f t="shared" ca="1" si="10"/>
        <v>-1600335</v>
      </c>
      <c r="X12" s="90">
        <f t="shared" ca="1" si="10"/>
        <v>-1600335</v>
      </c>
      <c r="Y12" s="90">
        <f t="shared" ca="1" si="10"/>
        <v>-1600335</v>
      </c>
      <c r="Z12" s="90">
        <f t="shared" ca="1" si="10"/>
        <v>-1404298.4999999919</v>
      </c>
      <c r="AA12" s="90">
        <f t="shared" ca="1" si="10"/>
        <v>-1113419.9999999905</v>
      </c>
      <c r="AB12" s="90">
        <f t="shared" ca="1" si="10"/>
        <v>-822541.50000000093</v>
      </c>
      <c r="AC12" s="90">
        <f t="shared" ca="1" si="10"/>
        <v>-531662.99999999953</v>
      </c>
      <c r="AD12" s="90">
        <f t="shared" ca="1" si="11"/>
        <v>-240784.49999999808</v>
      </c>
      <c r="AE12" s="90">
        <f t="shared" ca="1" si="11"/>
        <v>49665</v>
      </c>
      <c r="AF12" s="90">
        <f t="shared" ca="1" si="11"/>
        <v>49665</v>
      </c>
      <c r="AH12" s="40">
        <f t="shared" si="13"/>
        <v>0.94163026830790175</v>
      </c>
      <c r="AI12" t="b">
        <f t="shared" si="12"/>
        <v>1</v>
      </c>
      <c r="AK12">
        <v>800850</v>
      </c>
      <c r="AL12">
        <v>1027</v>
      </c>
      <c r="AM12">
        <v>0.94</v>
      </c>
      <c r="AN12">
        <v>16600</v>
      </c>
      <c r="AO12">
        <v>19.43</v>
      </c>
      <c r="AP12" t="s">
        <v>630</v>
      </c>
      <c r="AQ12">
        <v>16.850000000000001</v>
      </c>
      <c r="AR12">
        <v>-0.06</v>
      </c>
      <c r="AS12">
        <v>1363300</v>
      </c>
      <c r="AT12">
        <v>-2.77</v>
      </c>
      <c r="AU12">
        <v>3.99</v>
      </c>
      <c r="AV12">
        <v>1.7000000000000001E-4</v>
      </c>
      <c r="AY12">
        <v>31050</v>
      </c>
      <c r="AZ12">
        <v>999</v>
      </c>
      <c r="BA12">
        <v>0.95</v>
      </c>
      <c r="BB12">
        <v>16550</v>
      </c>
      <c r="BC12">
        <v>17.52</v>
      </c>
      <c r="BD12" t="s">
        <v>630</v>
      </c>
      <c r="BE12">
        <v>13.15</v>
      </c>
      <c r="BF12">
        <v>-0.05</v>
      </c>
      <c r="BG12">
        <v>80200</v>
      </c>
      <c r="BH12">
        <v>-2.14</v>
      </c>
      <c r="BI12">
        <v>3.66</v>
      </c>
      <c r="BJ12">
        <v>1.7000000000000001E-4</v>
      </c>
      <c r="BL12">
        <v>562150</v>
      </c>
      <c r="BM12">
        <v>1105</v>
      </c>
      <c r="BN12">
        <v>0.89</v>
      </c>
      <c r="BO12">
        <v>16500</v>
      </c>
      <c r="BP12">
        <v>15.23</v>
      </c>
      <c r="BQ12" t="s">
        <v>630</v>
      </c>
      <c r="BR12">
        <v>50</v>
      </c>
      <c r="BS12">
        <v>-0.11</v>
      </c>
      <c r="BT12">
        <v>977600</v>
      </c>
      <c r="BU12">
        <v>-2.0099999999999998</v>
      </c>
      <c r="BV12">
        <v>11.36</v>
      </c>
      <c r="BW12">
        <v>2.1000000000000001E-4</v>
      </c>
    </row>
    <row r="13" spans="1:16384">
      <c r="A13" s="94" t="s">
        <v>662</v>
      </c>
      <c r="D13">
        <v>12</v>
      </c>
      <c r="E13">
        <f t="shared" ca="1" si="14"/>
        <v>17100</v>
      </c>
      <c r="F13">
        <v>16600</v>
      </c>
      <c r="G13" s="38">
        <f t="shared" ca="1" si="3"/>
        <v>1017.5000000000001</v>
      </c>
      <c r="H13" s="38">
        <v>-16790</v>
      </c>
      <c r="I13" s="40">
        <v>4.2287075640262059E-2</v>
      </c>
      <c r="J13" t="e">
        <f ca="1">VLOOKUP($B$5&amp;E13&amp;F13,'Margin Schedule'!$A:$E,5,0)</f>
        <v>#N/A</v>
      </c>
      <c r="K13" s="38" t="e">
        <f ca="1">VLOOKUP($B$5&amp;E13&amp;F13,'Margin Schedule'!$A:$F,6,0)</f>
        <v>#N/A</v>
      </c>
      <c r="L13" s="40">
        <v>2.2204847537138389E-2</v>
      </c>
      <c r="M13" s="40">
        <v>0.53291634089132134</v>
      </c>
      <c r="N13" s="84">
        <v>70</v>
      </c>
      <c r="O13" s="38">
        <v>2238250</v>
      </c>
      <c r="P13" s="38">
        <v>49700</v>
      </c>
      <c r="Q13" s="38">
        <v>-1175300</v>
      </c>
      <c r="R13" s="90"/>
      <c r="S13" s="90">
        <f t="shared" ref="S13:AC36" ca="1" si="15">$N13*50*(-MAX($E13-$B$2*(1-S$1),0)+MAX($F13-$B$2*(1-S$1),0))+$P13</f>
        <v>-1700300</v>
      </c>
      <c r="T13" s="90">
        <f t="shared" ca="1" si="15"/>
        <v>-1700300</v>
      </c>
      <c r="U13" s="90">
        <f t="shared" ca="1" si="15"/>
        <v>-1700300</v>
      </c>
      <c r="V13" s="90">
        <f t="shared" ca="1" si="15"/>
        <v>-1700300</v>
      </c>
      <c r="W13" s="90">
        <f t="shared" ca="1" si="15"/>
        <v>-1700300</v>
      </c>
      <c r="X13" s="90">
        <f t="shared" ca="1" si="15"/>
        <v>-1700300</v>
      </c>
      <c r="Y13" s="90">
        <f t="shared" ca="1" si="15"/>
        <v>-1700300</v>
      </c>
      <c r="Z13" s="90">
        <f t="shared" ca="1" si="15"/>
        <v>-1492382.4999999914</v>
      </c>
      <c r="AA13" s="90">
        <f t="shared" ca="1" si="15"/>
        <v>-1183874.9999999898</v>
      </c>
      <c r="AB13" s="90">
        <f t="shared" ca="1" si="15"/>
        <v>-875367.50000000105</v>
      </c>
      <c r="AC13" s="90">
        <f t="shared" ca="1" si="15"/>
        <v>-566859.99999999953</v>
      </c>
      <c r="AD13" s="90">
        <f t="shared" ca="1" si="11"/>
        <v>-258352.49999999796</v>
      </c>
      <c r="AE13" s="90">
        <f t="shared" ca="1" si="11"/>
        <v>49700</v>
      </c>
      <c r="AF13" s="90">
        <f t="shared" ca="1" si="11"/>
        <v>49700</v>
      </c>
      <c r="AH13" s="40">
        <f t="shared" si="13"/>
        <v>0.94446650405581711</v>
      </c>
      <c r="AI13" t="b">
        <f t="shared" si="12"/>
        <v>1</v>
      </c>
      <c r="AK13">
        <v>30250</v>
      </c>
      <c r="AL13">
        <v>975.55</v>
      </c>
      <c r="AM13">
        <v>0.94</v>
      </c>
      <c r="AN13">
        <v>16650</v>
      </c>
      <c r="AO13">
        <v>18.559999999999999</v>
      </c>
      <c r="AP13" t="s">
        <v>630</v>
      </c>
      <c r="AQ13">
        <v>16.5</v>
      </c>
      <c r="AR13">
        <v>-0.06</v>
      </c>
      <c r="AS13">
        <v>111200</v>
      </c>
      <c r="AT13">
        <v>-2.69</v>
      </c>
      <c r="AU13">
        <v>4.0599999999999996</v>
      </c>
      <c r="AV13">
        <v>1.8000000000000001E-4</v>
      </c>
      <c r="AY13">
        <v>814850</v>
      </c>
      <c r="AZ13">
        <v>950</v>
      </c>
      <c r="BA13">
        <v>0.95</v>
      </c>
      <c r="BB13">
        <v>16600</v>
      </c>
      <c r="BC13">
        <v>17</v>
      </c>
      <c r="BD13" t="s">
        <v>630</v>
      </c>
      <c r="BE13">
        <v>14</v>
      </c>
      <c r="BF13">
        <v>-0.05</v>
      </c>
      <c r="BG13">
        <v>1321600</v>
      </c>
      <c r="BH13">
        <v>-2.21</v>
      </c>
      <c r="BI13">
        <v>3.9</v>
      </c>
      <c r="BJ13">
        <v>1.8000000000000001E-4</v>
      </c>
      <c r="BL13">
        <v>900</v>
      </c>
      <c r="BM13">
        <v>1115.55</v>
      </c>
      <c r="BN13">
        <v>0.88</v>
      </c>
      <c r="BO13">
        <v>16550</v>
      </c>
      <c r="BP13">
        <v>14.94</v>
      </c>
      <c r="BQ13" t="s">
        <v>630</v>
      </c>
      <c r="BR13">
        <v>52.85</v>
      </c>
      <c r="BS13">
        <v>-0.12</v>
      </c>
      <c r="BT13">
        <v>35450</v>
      </c>
      <c r="BU13">
        <v>-2.06</v>
      </c>
      <c r="BV13">
        <v>11.87</v>
      </c>
      <c r="BW13">
        <v>2.2000000000000001E-4</v>
      </c>
    </row>
    <row r="14" spans="1:16384">
      <c r="A14" s="94" t="s">
        <v>663</v>
      </c>
      <c r="B14" s="95">
        <f>B5-3</f>
        <v>44466</v>
      </c>
      <c r="D14">
        <v>13</v>
      </c>
      <c r="E14">
        <f t="shared" ca="1" si="14"/>
        <v>17100</v>
      </c>
      <c r="F14">
        <v>16650</v>
      </c>
      <c r="G14" s="38">
        <f t="shared" ca="1" si="3"/>
        <v>1035.0000000000002</v>
      </c>
      <c r="H14" s="38">
        <v>-14355</v>
      </c>
      <c r="I14" s="40">
        <v>4.4932079414838025E-2</v>
      </c>
      <c r="J14" t="e">
        <f ca="1">VLOOKUP($B$5&amp;E14&amp;F14,'Margin Schedule'!$A:$E,5,0)</f>
        <v>#N/A</v>
      </c>
      <c r="K14" s="38" t="e">
        <f ca="1">VLOOKUP($B$5&amp;E14&amp;F14,'Margin Schedule'!$A:$F,6,0)</f>
        <v>#N/A</v>
      </c>
      <c r="L14" s="40">
        <v>2.1579845428083905E-2</v>
      </c>
      <c r="M14" s="40">
        <v>0.51791629027401376</v>
      </c>
      <c r="N14" s="84">
        <v>77</v>
      </c>
      <c r="O14" s="38">
        <v>2301453</v>
      </c>
      <c r="P14" s="38">
        <v>49664.999999999993</v>
      </c>
      <c r="Q14" s="38">
        <v>-1105335</v>
      </c>
      <c r="R14" s="90"/>
      <c r="S14" s="90">
        <f t="shared" ca="1" si="15"/>
        <v>-1682835</v>
      </c>
      <c r="T14" s="90">
        <f t="shared" ca="1" si="15"/>
        <v>-1682835</v>
      </c>
      <c r="U14" s="90">
        <f t="shared" ca="1" si="15"/>
        <v>-1682835</v>
      </c>
      <c r="V14" s="90">
        <f t="shared" ca="1" si="15"/>
        <v>-1682835</v>
      </c>
      <c r="W14" s="90">
        <f t="shared" ca="1" si="15"/>
        <v>-1682835</v>
      </c>
      <c r="X14" s="90">
        <f t="shared" ca="1" si="15"/>
        <v>-1682835</v>
      </c>
      <c r="Y14" s="90">
        <f t="shared" ca="1" si="15"/>
        <v>-1682835</v>
      </c>
      <c r="Z14" s="90">
        <f t="shared" ca="1" si="15"/>
        <v>-1646625.7499999905</v>
      </c>
      <c r="AA14" s="90">
        <f t="shared" ca="1" si="15"/>
        <v>-1307267.4999999888</v>
      </c>
      <c r="AB14" s="90">
        <f t="shared" ca="1" si="15"/>
        <v>-967909.25000000116</v>
      </c>
      <c r="AC14" s="90">
        <f t="shared" ca="1" si="15"/>
        <v>-628550.99999999942</v>
      </c>
      <c r="AD14" s="90">
        <f t="shared" ca="1" si="11"/>
        <v>-289192.74999999779</v>
      </c>
      <c r="AE14" s="90">
        <f t="shared" ca="1" si="11"/>
        <v>49664.999999999993</v>
      </c>
      <c r="AF14" s="90">
        <f t="shared" ca="1" si="11"/>
        <v>49664.999999999993</v>
      </c>
      <c r="AH14" s="40">
        <f t="shared" si="13"/>
        <v>0.94730273980373247</v>
      </c>
      <c r="AI14" t="b">
        <f t="shared" si="12"/>
        <v>1</v>
      </c>
      <c r="AK14">
        <v>960650</v>
      </c>
      <c r="AL14">
        <v>930.35</v>
      </c>
      <c r="AM14">
        <v>0.93</v>
      </c>
      <c r="AN14">
        <v>16700</v>
      </c>
      <c r="AO14">
        <v>18.13</v>
      </c>
      <c r="AP14" t="s">
        <v>630</v>
      </c>
      <c r="AQ14">
        <v>18</v>
      </c>
      <c r="AR14">
        <v>-7.0000000000000007E-2</v>
      </c>
      <c r="AS14">
        <v>1239400</v>
      </c>
      <c r="AT14">
        <v>-2.83</v>
      </c>
      <c r="AU14">
        <v>4.37</v>
      </c>
      <c r="AV14">
        <v>2.0000000000000001E-4</v>
      </c>
      <c r="AY14">
        <v>30050</v>
      </c>
      <c r="AZ14">
        <v>908.7</v>
      </c>
      <c r="BA14">
        <v>0.94</v>
      </c>
      <c r="BB14">
        <v>16650</v>
      </c>
      <c r="BC14">
        <v>16.579999999999998</v>
      </c>
      <c r="BD14" t="s">
        <v>630</v>
      </c>
      <c r="BE14">
        <v>15.3</v>
      </c>
      <c r="BF14">
        <v>-0.06</v>
      </c>
      <c r="BG14">
        <v>89300</v>
      </c>
      <c r="BH14">
        <v>-2.33</v>
      </c>
      <c r="BI14">
        <v>4.21</v>
      </c>
      <c r="BJ14">
        <v>2.0000000000000001E-4</v>
      </c>
      <c r="BL14">
        <v>32500</v>
      </c>
      <c r="BM14">
        <v>1017.9</v>
      </c>
      <c r="BN14">
        <v>0.88</v>
      </c>
      <c r="BO14">
        <v>16600</v>
      </c>
      <c r="BP14">
        <v>14.64</v>
      </c>
      <c r="BQ14" t="s">
        <v>630</v>
      </c>
      <c r="BR14">
        <v>55.8</v>
      </c>
      <c r="BS14">
        <v>-0.12</v>
      </c>
      <c r="BT14">
        <v>247200</v>
      </c>
      <c r="BU14">
        <v>-2.11</v>
      </c>
      <c r="BV14">
        <v>12.39</v>
      </c>
      <c r="BW14">
        <v>2.3000000000000001E-4</v>
      </c>
    </row>
    <row r="15" spans="1:16384">
      <c r="A15" s="94" t="s">
        <v>664</v>
      </c>
      <c r="B15" s="82">
        <v>17000</v>
      </c>
      <c r="D15">
        <v>14</v>
      </c>
      <c r="E15">
        <f t="shared" ca="1" si="14"/>
        <v>17100</v>
      </c>
      <c r="F15">
        <v>16700</v>
      </c>
      <c r="G15" s="38">
        <f t="shared" ca="1" si="3"/>
        <v>960.00000000000011</v>
      </c>
      <c r="H15" s="38">
        <v>-11925</v>
      </c>
      <c r="I15" s="40">
        <v>4.8218029350104823E-2</v>
      </c>
      <c r="J15" t="e">
        <f ca="1">VLOOKUP($B$5&amp;E15&amp;F15,'Margin Schedule'!$A:$E,5,0)</f>
        <v>#N/A</v>
      </c>
      <c r="K15" s="38" t="e">
        <f ca="1">VLOOKUP($B$5&amp;E15&amp;F15,'Margin Schedule'!$A:$F,6,0)</f>
        <v>#N/A</v>
      </c>
      <c r="L15" s="40">
        <v>2.068419727328321E-2</v>
      </c>
      <c r="M15" s="40">
        <v>0.49642073455879704</v>
      </c>
      <c r="N15" s="84">
        <v>86</v>
      </c>
      <c r="O15" s="38">
        <v>2390714</v>
      </c>
      <c r="P15" s="38">
        <v>49450</v>
      </c>
      <c r="Q15" s="38">
        <v>-1025550</v>
      </c>
      <c r="R15" s="90"/>
      <c r="S15" s="90">
        <f t="shared" ca="1" si="15"/>
        <v>-1670550</v>
      </c>
      <c r="T15" s="90">
        <f t="shared" ca="1" si="15"/>
        <v>-1670550</v>
      </c>
      <c r="U15" s="90">
        <f t="shared" ca="1" si="15"/>
        <v>-1670550</v>
      </c>
      <c r="V15" s="90">
        <f t="shared" ca="1" si="15"/>
        <v>-1670550</v>
      </c>
      <c r="W15" s="90">
        <f t="shared" ca="1" si="15"/>
        <v>-1670550</v>
      </c>
      <c r="X15" s="90">
        <f t="shared" ca="1" si="15"/>
        <v>-1670550</v>
      </c>
      <c r="Y15" s="90">
        <f t="shared" ca="1" si="15"/>
        <v>-1670550</v>
      </c>
      <c r="Z15" s="90">
        <f t="shared" ca="1" si="15"/>
        <v>-1670550</v>
      </c>
      <c r="AA15" s="90">
        <f t="shared" ca="1" si="15"/>
        <v>-1466084.9999999874</v>
      </c>
      <c r="AB15" s="90">
        <f t="shared" ca="1" si="15"/>
        <v>-1087061.5000000012</v>
      </c>
      <c r="AC15" s="90">
        <f t="shared" ca="1" si="15"/>
        <v>-708037.99999999942</v>
      </c>
      <c r="AD15" s="90">
        <f t="shared" ca="1" si="11"/>
        <v>-329014.4999999975</v>
      </c>
      <c r="AE15" s="90">
        <f t="shared" ca="1" si="11"/>
        <v>49450</v>
      </c>
      <c r="AF15" s="90">
        <f t="shared" ca="1" si="11"/>
        <v>49450</v>
      </c>
      <c r="AH15" s="40">
        <f t="shared" si="13"/>
        <v>0.95013897555164784</v>
      </c>
      <c r="AI15" t="b">
        <f t="shared" si="12"/>
        <v>1</v>
      </c>
      <c r="AK15">
        <v>26150</v>
      </c>
      <c r="AL15">
        <v>878.05</v>
      </c>
      <c r="AM15">
        <v>0.93</v>
      </c>
      <c r="AN15">
        <v>16750</v>
      </c>
      <c r="AO15">
        <v>17.61</v>
      </c>
      <c r="AP15" t="s">
        <v>630</v>
      </c>
      <c r="AQ15">
        <v>19.3</v>
      </c>
      <c r="AR15">
        <v>-7.0000000000000007E-2</v>
      </c>
      <c r="AS15">
        <v>109350</v>
      </c>
      <c r="AT15">
        <v>-2.94</v>
      </c>
      <c r="AU15">
        <v>4.67</v>
      </c>
      <c r="AV15">
        <v>2.2000000000000001E-4</v>
      </c>
      <c r="AY15">
        <v>967600</v>
      </c>
      <c r="AZ15">
        <v>853</v>
      </c>
      <c r="BA15">
        <v>0.93</v>
      </c>
      <c r="BB15">
        <v>16700</v>
      </c>
      <c r="BC15">
        <v>16.13</v>
      </c>
      <c r="BD15" t="s">
        <v>630</v>
      </c>
      <c r="BE15">
        <v>16.7</v>
      </c>
      <c r="BF15">
        <v>-7.0000000000000007E-2</v>
      </c>
      <c r="BG15">
        <v>1219050</v>
      </c>
      <c r="BH15">
        <v>-2.44</v>
      </c>
      <c r="BI15">
        <v>4.55</v>
      </c>
      <c r="BJ15">
        <v>2.2000000000000001E-4</v>
      </c>
      <c r="BL15">
        <v>23550</v>
      </c>
      <c r="BM15">
        <v>970</v>
      </c>
      <c r="BN15">
        <v>0.87</v>
      </c>
      <c r="BO15">
        <v>16650</v>
      </c>
      <c r="BP15">
        <v>14.42</v>
      </c>
      <c r="BQ15" t="s">
        <v>630</v>
      </c>
      <c r="BR15">
        <v>60</v>
      </c>
      <c r="BS15">
        <v>-0.13</v>
      </c>
      <c r="BT15">
        <v>12100</v>
      </c>
      <c r="BU15">
        <v>-2.1800000000000002</v>
      </c>
      <c r="BV15">
        <v>13.02</v>
      </c>
      <c r="BW15">
        <v>2.5000000000000001E-4</v>
      </c>
    </row>
    <row r="16" spans="1:16384">
      <c r="A16" s="94" t="s">
        <v>665</v>
      </c>
      <c r="D16">
        <v>15</v>
      </c>
      <c r="E16">
        <f t="shared" ca="1" si="14"/>
        <v>17100</v>
      </c>
      <c r="F16">
        <v>16750</v>
      </c>
      <c r="G16" s="38">
        <f t="shared" ca="1" si="3"/>
        <v>895.00000000000011</v>
      </c>
      <c r="H16" s="38">
        <v>-9497.5</v>
      </c>
      <c r="I16" s="40">
        <v>5.2908660173729936E-2</v>
      </c>
      <c r="J16" t="e">
        <f ca="1">VLOOKUP($B$5&amp;E16&amp;F16,'Margin Schedule'!$A:$E,5,0)</f>
        <v>#N/A</v>
      </c>
      <c r="K16" s="38" t="e">
        <f ca="1">VLOOKUP($B$5&amp;E16&amp;F16,'Margin Schedule'!$A:$F,6,0)</f>
        <v>#N/A</v>
      </c>
      <c r="L16" s="40">
        <v>1.9538844389143793E-2</v>
      </c>
      <c r="M16" s="40">
        <v>0.46893226533945104</v>
      </c>
      <c r="N16" s="84">
        <v>99</v>
      </c>
      <c r="O16" s="38">
        <v>2546082</v>
      </c>
      <c r="P16" s="38">
        <v>49747.500000000007</v>
      </c>
      <c r="Q16" s="38">
        <v>-940252.5</v>
      </c>
      <c r="R16" s="90"/>
      <c r="S16" s="90">
        <f t="shared" ca="1" si="15"/>
        <v>-1682752.5</v>
      </c>
      <c r="T16" s="90">
        <f t="shared" ca="1" si="15"/>
        <v>-1682752.5</v>
      </c>
      <c r="U16" s="90">
        <f t="shared" ca="1" si="15"/>
        <v>-1682752.5</v>
      </c>
      <c r="V16" s="90">
        <f t="shared" ca="1" si="15"/>
        <v>-1682752.5</v>
      </c>
      <c r="W16" s="90">
        <f t="shared" ca="1" si="15"/>
        <v>-1682752.5</v>
      </c>
      <c r="X16" s="90">
        <f t="shared" ca="1" si="15"/>
        <v>-1682752.5</v>
      </c>
      <c r="Y16" s="90">
        <f t="shared" ca="1" si="15"/>
        <v>-1682752.5</v>
      </c>
      <c r="Z16" s="90">
        <f t="shared" ca="1" si="15"/>
        <v>-1682752.5</v>
      </c>
      <c r="AA16" s="90">
        <f t="shared" ca="1" si="15"/>
        <v>-1682752.5</v>
      </c>
      <c r="AB16" s="90">
        <f t="shared" ca="1" si="15"/>
        <v>-1258562.2500000014</v>
      </c>
      <c r="AC16" s="90">
        <f t="shared" ca="1" si="15"/>
        <v>-822244.4999999993</v>
      </c>
      <c r="AD16" s="90">
        <f t="shared" ca="1" si="11"/>
        <v>-385926.74999999709</v>
      </c>
      <c r="AE16" s="90">
        <f t="shared" ca="1" si="11"/>
        <v>49747.500000000007</v>
      </c>
      <c r="AF16" s="90">
        <f t="shared" ca="1" si="11"/>
        <v>49747.500000000007</v>
      </c>
      <c r="AH16" s="40">
        <f t="shared" si="13"/>
        <v>0.9529752112995632</v>
      </c>
      <c r="AI16" t="b">
        <f t="shared" si="12"/>
        <v>1</v>
      </c>
      <c r="AK16">
        <v>354600</v>
      </c>
      <c r="AL16">
        <v>833.1</v>
      </c>
      <c r="AM16">
        <v>0.92</v>
      </c>
      <c r="AN16">
        <v>16800</v>
      </c>
      <c r="AO16">
        <v>17.32</v>
      </c>
      <c r="AP16" t="s">
        <v>630</v>
      </c>
      <c r="AQ16">
        <v>21.9</v>
      </c>
      <c r="AR16">
        <v>-0.08</v>
      </c>
      <c r="AS16">
        <v>1121600</v>
      </c>
      <c r="AT16">
        <v>-3.17</v>
      </c>
      <c r="AU16">
        <v>5.12</v>
      </c>
      <c r="AV16">
        <v>2.5000000000000001E-4</v>
      </c>
      <c r="AY16">
        <v>26950</v>
      </c>
      <c r="AZ16">
        <v>801.3</v>
      </c>
      <c r="BA16">
        <v>0.93</v>
      </c>
      <c r="BB16">
        <v>16750</v>
      </c>
      <c r="BC16">
        <v>15.66</v>
      </c>
      <c r="BD16" t="s">
        <v>630</v>
      </c>
      <c r="BE16">
        <v>18.149999999999999</v>
      </c>
      <c r="BF16">
        <v>-7.0000000000000007E-2</v>
      </c>
      <c r="BG16">
        <v>121400</v>
      </c>
      <c r="BH16">
        <v>-2.56</v>
      </c>
      <c r="BI16">
        <v>4.9000000000000004</v>
      </c>
      <c r="BJ16">
        <v>2.5000000000000001E-4</v>
      </c>
      <c r="BL16">
        <v>72500</v>
      </c>
      <c r="BM16">
        <v>929.55</v>
      </c>
      <c r="BN16">
        <v>0.85</v>
      </c>
      <c r="BO16">
        <v>16700</v>
      </c>
      <c r="BP16">
        <v>14.29</v>
      </c>
      <c r="BQ16" t="s">
        <v>630</v>
      </c>
      <c r="BR16">
        <v>65.8</v>
      </c>
      <c r="BS16">
        <v>-0.15</v>
      </c>
      <c r="BT16">
        <v>316200</v>
      </c>
      <c r="BU16">
        <v>-2.29</v>
      </c>
      <c r="BV16">
        <v>13.77</v>
      </c>
      <c r="BW16">
        <v>2.7E-4</v>
      </c>
    </row>
    <row r="17" spans="1:75">
      <c r="A17" s="94" t="s">
        <v>666</v>
      </c>
      <c r="D17">
        <v>16</v>
      </c>
      <c r="E17">
        <f t="shared" ca="1" si="14"/>
        <v>17100</v>
      </c>
      <c r="F17">
        <v>16800</v>
      </c>
      <c r="G17" s="38">
        <f t="shared" ca="1" si="3"/>
        <v>765.00000000000023</v>
      </c>
      <c r="H17" s="38">
        <v>-7115</v>
      </c>
      <c r="I17" s="40">
        <v>5.4111033028812358E-2</v>
      </c>
      <c r="J17" t="e">
        <f ca="1">VLOOKUP($B$5&amp;E17&amp;F17,'Margin Schedule'!$A:$E,5,0)</f>
        <v>#N/A</v>
      </c>
      <c r="K17" s="38" t="e">
        <f ca="1">VLOOKUP($B$5&amp;E17&amp;F17,'Margin Schedule'!$A:$F,6,0)</f>
        <v>#N/A</v>
      </c>
      <c r="L17" s="40">
        <v>1.6281135027699071E-2</v>
      </c>
      <c r="M17" s="40">
        <v>0.39074724066477773</v>
      </c>
      <c r="N17" s="84">
        <v>129</v>
      </c>
      <c r="O17" s="38">
        <v>3050463</v>
      </c>
      <c r="P17" s="38">
        <v>49664.999999999993</v>
      </c>
      <c r="Q17" s="38">
        <v>-917835</v>
      </c>
      <c r="R17" s="90"/>
      <c r="S17" s="90">
        <f t="shared" ca="1" si="15"/>
        <v>-1885335</v>
      </c>
      <c r="T17" s="90">
        <f t="shared" ca="1" si="15"/>
        <v>-1885335</v>
      </c>
      <c r="U17" s="90">
        <f t="shared" ca="1" si="15"/>
        <v>-1885335</v>
      </c>
      <c r="V17" s="90">
        <f t="shared" ca="1" si="15"/>
        <v>-1885335</v>
      </c>
      <c r="W17" s="90">
        <f t="shared" ca="1" si="15"/>
        <v>-1885335</v>
      </c>
      <c r="X17" s="90">
        <f t="shared" ca="1" si="15"/>
        <v>-1885335</v>
      </c>
      <c r="Y17" s="90">
        <f t="shared" ca="1" si="15"/>
        <v>-1885335</v>
      </c>
      <c r="Z17" s="90">
        <f t="shared" ca="1" si="15"/>
        <v>-1885335</v>
      </c>
      <c r="AA17" s="90">
        <f t="shared" ca="1" si="15"/>
        <v>-1885335</v>
      </c>
      <c r="AB17" s="90">
        <f t="shared" ca="1" si="15"/>
        <v>-1655102.2500000019</v>
      </c>
      <c r="AC17" s="90">
        <f t="shared" ca="1" si="15"/>
        <v>-1086566.9999999991</v>
      </c>
      <c r="AD17" s="90">
        <f t="shared" ca="1" si="11"/>
        <v>-518031.74999999627</v>
      </c>
      <c r="AE17" s="90">
        <f t="shared" ca="1" si="11"/>
        <v>49664.999999999993</v>
      </c>
      <c r="AF17" s="90">
        <f t="shared" ca="1" si="11"/>
        <v>49664.999999999993</v>
      </c>
      <c r="AH17" s="40">
        <f t="shared" si="13"/>
        <v>0.95581144704747856</v>
      </c>
      <c r="AI17" t="b">
        <f t="shared" si="12"/>
        <v>1</v>
      </c>
      <c r="AK17">
        <v>27500</v>
      </c>
      <c r="AL17">
        <v>783.35</v>
      </c>
      <c r="AM17">
        <v>0.91</v>
      </c>
      <c r="AN17">
        <v>16850</v>
      </c>
      <c r="AO17">
        <v>17.059999999999999</v>
      </c>
      <c r="AP17" t="s">
        <v>630</v>
      </c>
      <c r="AQ17">
        <v>25</v>
      </c>
      <c r="AR17">
        <v>-0.09</v>
      </c>
      <c r="AS17">
        <v>92650</v>
      </c>
      <c r="AT17">
        <v>-3.42</v>
      </c>
      <c r="AU17">
        <v>5.62</v>
      </c>
      <c r="AV17">
        <v>2.7999999999999998E-4</v>
      </c>
      <c r="AY17">
        <v>378700</v>
      </c>
      <c r="AZ17">
        <v>756.4</v>
      </c>
      <c r="BA17">
        <v>0.92</v>
      </c>
      <c r="BB17">
        <v>16800</v>
      </c>
      <c r="BC17">
        <v>15.33</v>
      </c>
      <c r="BD17" t="s">
        <v>630</v>
      </c>
      <c r="BE17">
        <v>20.5</v>
      </c>
      <c r="BF17">
        <v>-0.08</v>
      </c>
      <c r="BG17">
        <v>1174700</v>
      </c>
      <c r="BH17">
        <v>-2.74</v>
      </c>
      <c r="BI17">
        <v>5.37</v>
      </c>
      <c r="BJ17">
        <v>2.7999999999999998E-4</v>
      </c>
      <c r="BL17">
        <v>2250</v>
      </c>
      <c r="BM17">
        <v>973.95</v>
      </c>
      <c r="BN17">
        <v>0.85</v>
      </c>
      <c r="BO17">
        <v>16750</v>
      </c>
      <c r="BP17">
        <v>13.94</v>
      </c>
      <c r="BQ17" t="s">
        <v>630</v>
      </c>
      <c r="BR17">
        <v>69</v>
      </c>
      <c r="BS17">
        <v>-0.15</v>
      </c>
      <c r="BT17">
        <v>9100</v>
      </c>
      <c r="BU17">
        <v>-2.3199999999999998</v>
      </c>
      <c r="BV17">
        <v>14.31</v>
      </c>
      <c r="BW17">
        <v>2.7999999999999998E-4</v>
      </c>
    </row>
    <row r="18" spans="1:75">
      <c r="D18">
        <v>17</v>
      </c>
      <c r="E18">
        <f t="shared" ca="1" si="14"/>
        <v>17100</v>
      </c>
      <c r="F18">
        <v>16850</v>
      </c>
      <c r="G18" s="38">
        <f t="shared" ca="1" si="3"/>
        <v>610.00000000000011</v>
      </c>
      <c r="H18" s="38">
        <v>-4822.5</v>
      </c>
      <c r="I18" s="40">
        <v>3.6806635562467604E-2</v>
      </c>
      <c r="J18" t="e">
        <f ca="1">VLOOKUP($B$5&amp;E18&amp;F18,'Margin Schedule'!$A:$E,5,0)</f>
        <v>#N/A</v>
      </c>
      <c r="K18" s="38" t="e">
        <f ca="1">VLOOKUP($B$5&amp;E18&amp;F18,'Margin Schedule'!$A:$F,6,0)</f>
        <v>#N/A</v>
      </c>
      <c r="L18" s="40">
        <v>8.2240652365287506E-3</v>
      </c>
      <c r="M18" s="40">
        <v>0.19737756567669001</v>
      </c>
      <c r="N18" s="84">
        <v>281</v>
      </c>
      <c r="O18" s="38">
        <v>6064823</v>
      </c>
      <c r="P18" s="38">
        <v>49877.500000000007</v>
      </c>
      <c r="Q18" s="38">
        <v>-1355122.5</v>
      </c>
      <c r="R18" s="90"/>
      <c r="S18" s="90">
        <f t="shared" ca="1" si="15"/>
        <v>-3462622.5</v>
      </c>
      <c r="T18" s="90">
        <f t="shared" ca="1" si="15"/>
        <v>-3462622.5</v>
      </c>
      <c r="U18" s="90">
        <f t="shared" ca="1" si="15"/>
        <v>-3462622.5</v>
      </c>
      <c r="V18" s="90">
        <f t="shared" ca="1" si="15"/>
        <v>-3462622.5</v>
      </c>
      <c r="W18" s="90">
        <f t="shared" ca="1" si="15"/>
        <v>-3462622.5</v>
      </c>
      <c r="X18" s="90">
        <f t="shared" ca="1" si="15"/>
        <v>-3462622.5</v>
      </c>
      <c r="Y18" s="90">
        <f t="shared" ca="1" si="15"/>
        <v>-3462622.5</v>
      </c>
      <c r="Z18" s="90">
        <f t="shared" ca="1" si="15"/>
        <v>-3462622.5</v>
      </c>
      <c r="AA18" s="90">
        <f t="shared" ca="1" si="15"/>
        <v>-3462622.5</v>
      </c>
      <c r="AB18" s="90">
        <f t="shared" ca="1" si="15"/>
        <v>-3462622.5</v>
      </c>
      <c r="AC18" s="90">
        <f t="shared" ca="1" si="15"/>
        <v>-2425170.4999999981</v>
      </c>
      <c r="AD18" s="90">
        <f t="shared" ref="AD18:AF33" ca="1" si="16">$N18*50*(-MAX($E18-$B$2*(1-AD$1),0)+MAX($F18-$B$2*(1-AD$1),0))+$P18</f>
        <v>-1186733.2499999919</v>
      </c>
      <c r="AE18" s="90">
        <f t="shared" ca="1" si="16"/>
        <v>49877.500000000007</v>
      </c>
      <c r="AF18" s="90">
        <f t="shared" ca="1" si="16"/>
        <v>49877.500000000007</v>
      </c>
      <c r="AH18" s="40">
        <f t="shared" si="13"/>
        <v>0.95864768279539392</v>
      </c>
      <c r="AI18" t="b">
        <f t="shared" si="12"/>
        <v>1</v>
      </c>
      <c r="AK18">
        <v>236900</v>
      </c>
      <c r="AL18">
        <v>730.5</v>
      </c>
      <c r="AM18">
        <v>0.91</v>
      </c>
      <c r="AN18">
        <v>16900</v>
      </c>
      <c r="AO18">
        <v>16.22</v>
      </c>
      <c r="AP18" t="s">
        <v>630</v>
      </c>
      <c r="AQ18">
        <v>25.1</v>
      </c>
      <c r="AR18">
        <v>-0.09</v>
      </c>
      <c r="AS18">
        <v>1052200</v>
      </c>
      <c r="AT18">
        <v>-3.37</v>
      </c>
      <c r="AU18">
        <v>5.81</v>
      </c>
      <c r="AV18">
        <v>2.9999999999999997E-4</v>
      </c>
      <c r="AY18">
        <v>31600</v>
      </c>
      <c r="AZ18">
        <v>710.05</v>
      </c>
      <c r="BA18">
        <v>0.9</v>
      </c>
      <c r="BB18">
        <v>16850</v>
      </c>
      <c r="BC18">
        <v>15.23</v>
      </c>
      <c r="BD18" t="s">
        <v>630</v>
      </c>
      <c r="BE18">
        <v>24.65</v>
      </c>
      <c r="BF18">
        <v>-0.1</v>
      </c>
      <c r="BG18">
        <v>118850</v>
      </c>
      <c r="BH18">
        <v>-3.07</v>
      </c>
      <c r="BI18">
        <v>6.04</v>
      </c>
      <c r="BJ18">
        <v>3.1E-4</v>
      </c>
      <c r="BL18">
        <v>39300</v>
      </c>
      <c r="BM18">
        <v>827.55</v>
      </c>
      <c r="BN18">
        <v>0.83</v>
      </c>
      <c r="BO18">
        <v>16800</v>
      </c>
      <c r="BP18">
        <v>13.83</v>
      </c>
      <c r="BQ18" t="s">
        <v>630</v>
      </c>
      <c r="BR18">
        <v>76</v>
      </c>
      <c r="BS18">
        <v>-0.17</v>
      </c>
      <c r="BT18">
        <v>449600</v>
      </c>
      <c r="BU18">
        <v>-2.4300000000000002</v>
      </c>
      <c r="BV18">
        <v>15.11</v>
      </c>
      <c r="BW18">
        <v>2.9999999999999997E-4</v>
      </c>
    </row>
    <row r="19" spans="1:75">
      <c r="A19" s="96"/>
      <c r="D19">
        <v>18</v>
      </c>
      <c r="E19">
        <f t="shared" ca="1" si="14"/>
        <v>17100</v>
      </c>
      <c r="F19">
        <v>16900</v>
      </c>
      <c r="G19" s="38">
        <f t="shared" ca="1" si="3"/>
        <v>605.00000000000011</v>
      </c>
      <c r="H19" s="38">
        <v>-2240</v>
      </c>
      <c r="I19" s="40">
        <v>0.11607142857142855</v>
      </c>
      <c r="J19" t="e">
        <f ca="1">VLOOKUP($B$5&amp;E19&amp;F19,'Margin Schedule'!$A:$E,5,0)</f>
        <v>#N/A</v>
      </c>
      <c r="K19" s="38" t="e">
        <f ca="1">VLOOKUP($B$5&amp;E19&amp;F19,'Margin Schedule'!$A:$F,6,0)</f>
        <v>#N/A</v>
      </c>
      <c r="L19" s="40">
        <v>1.3295152382900386E-2</v>
      </c>
      <c r="M19" s="40">
        <v>0.31908365718960929</v>
      </c>
      <c r="N19" s="84">
        <v>192</v>
      </c>
      <c r="O19" s="38">
        <v>3754752</v>
      </c>
      <c r="P19" s="38">
        <v>49919.999999999985</v>
      </c>
      <c r="Q19" s="38">
        <v>-430080</v>
      </c>
      <c r="R19" s="90"/>
      <c r="S19" s="90">
        <f t="shared" ca="1" si="15"/>
        <v>-1870080</v>
      </c>
      <c r="T19" s="90">
        <f t="shared" ca="1" si="15"/>
        <v>-1870080</v>
      </c>
      <c r="U19" s="90">
        <f t="shared" ca="1" si="15"/>
        <v>-1870080</v>
      </c>
      <c r="V19" s="90">
        <f t="shared" ca="1" si="15"/>
        <v>-1870080</v>
      </c>
      <c r="W19" s="90">
        <f t="shared" ca="1" si="15"/>
        <v>-1870080</v>
      </c>
      <c r="X19" s="90">
        <f t="shared" ca="1" si="15"/>
        <v>-1870080</v>
      </c>
      <c r="Y19" s="90">
        <f t="shared" ca="1" si="15"/>
        <v>-1870080</v>
      </c>
      <c r="Z19" s="90">
        <f t="shared" ca="1" si="15"/>
        <v>-1870080</v>
      </c>
      <c r="AA19" s="90">
        <f t="shared" ca="1" si="15"/>
        <v>-1870080</v>
      </c>
      <c r="AB19" s="90">
        <f t="shared" ca="1" si="15"/>
        <v>-1870080</v>
      </c>
      <c r="AC19" s="90">
        <f t="shared" ca="1" si="15"/>
        <v>-1641215.9999999986</v>
      </c>
      <c r="AD19" s="90">
        <f t="shared" ca="1" si="16"/>
        <v>-795023.99999999441</v>
      </c>
      <c r="AE19" s="90">
        <f t="shared" ca="1" si="16"/>
        <v>49919.999999999985</v>
      </c>
      <c r="AF19" s="90">
        <f t="shared" ca="1" si="16"/>
        <v>49919.999999999985</v>
      </c>
      <c r="AH19" s="40">
        <f t="shared" si="13"/>
        <v>0.96148391854330928</v>
      </c>
      <c r="AI19" t="b">
        <f t="shared" si="12"/>
        <v>1</v>
      </c>
      <c r="AK19">
        <v>15550</v>
      </c>
      <c r="AL19">
        <v>684.95</v>
      </c>
      <c r="AM19">
        <v>0.89</v>
      </c>
      <c r="AN19">
        <v>16950</v>
      </c>
      <c r="AO19">
        <v>15.83</v>
      </c>
      <c r="AP19" t="s">
        <v>630</v>
      </c>
      <c r="AQ19">
        <v>28</v>
      </c>
      <c r="AR19">
        <v>-0.11</v>
      </c>
      <c r="AS19">
        <v>74900</v>
      </c>
      <c r="AT19">
        <v>-3.56</v>
      </c>
      <c r="AU19">
        <v>6.3</v>
      </c>
      <c r="AV19">
        <v>3.3E-4</v>
      </c>
      <c r="AY19">
        <v>320250</v>
      </c>
      <c r="AZ19">
        <v>661.5</v>
      </c>
      <c r="BA19">
        <v>0.9</v>
      </c>
      <c r="BB19">
        <v>16900</v>
      </c>
      <c r="BC19">
        <v>14.12</v>
      </c>
      <c r="BD19" t="s">
        <v>630</v>
      </c>
      <c r="BE19">
        <v>23</v>
      </c>
      <c r="BF19">
        <v>-0.1</v>
      </c>
      <c r="BG19">
        <v>1315950</v>
      </c>
      <c r="BH19">
        <v>-2.86</v>
      </c>
      <c r="BI19">
        <v>6.07</v>
      </c>
      <c r="BJ19">
        <v>3.4000000000000002E-4</v>
      </c>
      <c r="BL19">
        <v>3000</v>
      </c>
      <c r="BM19">
        <v>812.75</v>
      </c>
      <c r="BN19">
        <v>0.82</v>
      </c>
      <c r="BO19">
        <v>16850</v>
      </c>
      <c r="BP19">
        <v>13.88</v>
      </c>
      <c r="BQ19" t="s">
        <v>630</v>
      </c>
      <c r="BR19">
        <v>86.2</v>
      </c>
      <c r="BS19">
        <v>-0.18</v>
      </c>
      <c r="BT19">
        <v>9200</v>
      </c>
      <c r="BU19">
        <v>-2.59</v>
      </c>
      <c r="BV19">
        <v>16.07</v>
      </c>
      <c r="BW19">
        <v>3.2000000000000003E-4</v>
      </c>
    </row>
    <row r="20" spans="1:75">
      <c r="A20" s="96"/>
      <c r="D20">
        <v>19</v>
      </c>
      <c r="E20">
        <f t="shared" ca="1" si="14"/>
        <v>17100</v>
      </c>
      <c r="F20">
        <v>16950</v>
      </c>
      <c r="G20" s="38">
        <f t="shared" ca="1" si="3"/>
        <v>460.00000000000011</v>
      </c>
      <c r="H20" s="38">
        <v>0</v>
      </c>
      <c r="I20" s="40" t="e">
        <v>#DIV/0!</v>
      </c>
      <c r="J20" t="e">
        <f ca="1">VLOOKUP($B$5&amp;E20&amp;F20,'Margin Schedule'!$A:$E,5,0)</f>
        <v>#N/A</v>
      </c>
      <c r="K20" s="38" t="e">
        <f ca="1">VLOOKUP($B$5&amp;E20&amp;F20,'Margin Schedule'!$A:$F,6,0)</f>
        <v>#N/A</v>
      </c>
      <c r="L20" s="40">
        <v>0</v>
      </c>
      <c r="M20" s="40">
        <v>0</v>
      </c>
      <c r="N20" s="84">
        <v>30</v>
      </c>
      <c r="O20" s="38">
        <v>2322330</v>
      </c>
      <c r="P20" s="38">
        <v>49140</v>
      </c>
      <c r="Q20" s="38">
        <v>0</v>
      </c>
      <c r="R20" s="90"/>
      <c r="S20" s="90">
        <f t="shared" ca="1" si="15"/>
        <v>-175860</v>
      </c>
      <c r="T20" s="90">
        <f t="shared" ca="1" si="15"/>
        <v>-175860</v>
      </c>
      <c r="U20" s="90">
        <f t="shared" ca="1" si="15"/>
        <v>-175860</v>
      </c>
      <c r="V20" s="90">
        <f t="shared" ca="1" si="15"/>
        <v>-175860</v>
      </c>
      <c r="W20" s="90">
        <f t="shared" ca="1" si="15"/>
        <v>-175860</v>
      </c>
      <c r="X20" s="90">
        <f t="shared" ca="1" si="15"/>
        <v>-175860</v>
      </c>
      <c r="Y20" s="90">
        <f t="shared" ca="1" si="15"/>
        <v>-175860</v>
      </c>
      <c r="Z20" s="90">
        <f t="shared" ca="1" si="15"/>
        <v>-175860</v>
      </c>
      <c r="AA20" s="90">
        <f t="shared" ca="1" si="15"/>
        <v>-175860</v>
      </c>
      <c r="AB20" s="90">
        <f t="shared" ca="1" si="15"/>
        <v>-175860</v>
      </c>
      <c r="AC20" s="90">
        <f t="shared" ca="1" si="15"/>
        <v>-175860</v>
      </c>
      <c r="AD20" s="90">
        <f t="shared" ca="1" si="16"/>
        <v>-82882.499999999127</v>
      </c>
      <c r="AE20" s="90">
        <f t="shared" ca="1" si="16"/>
        <v>49140</v>
      </c>
      <c r="AF20" s="90">
        <f t="shared" ca="1" si="16"/>
        <v>49140</v>
      </c>
      <c r="AH20" s="40">
        <f t="shared" si="13"/>
        <v>0.96432015429122464</v>
      </c>
      <c r="AI20" t="b">
        <f t="shared" si="12"/>
        <v>1</v>
      </c>
      <c r="AK20">
        <v>868075</v>
      </c>
      <c r="AL20">
        <v>640.5</v>
      </c>
      <c r="AM20">
        <v>0.88</v>
      </c>
      <c r="AN20">
        <v>17000</v>
      </c>
      <c r="AO20">
        <v>15.39</v>
      </c>
      <c r="AP20" t="s">
        <v>630</v>
      </c>
      <c r="AQ20">
        <v>31</v>
      </c>
      <c r="AR20">
        <v>-0.12</v>
      </c>
      <c r="AS20">
        <v>3651300</v>
      </c>
      <c r="AT20">
        <v>-3.74</v>
      </c>
      <c r="AU20">
        <v>6.81</v>
      </c>
      <c r="AV20">
        <v>3.6999999999999999E-4</v>
      </c>
      <c r="AY20">
        <v>17500</v>
      </c>
      <c r="AZ20">
        <v>613.15</v>
      </c>
      <c r="BA20">
        <v>0.89</v>
      </c>
      <c r="BB20">
        <v>16950</v>
      </c>
      <c r="BC20">
        <v>14.07</v>
      </c>
      <c r="BD20" t="s">
        <v>630</v>
      </c>
      <c r="BE20">
        <v>28.2</v>
      </c>
      <c r="BF20">
        <v>-0.11</v>
      </c>
      <c r="BG20">
        <v>74200</v>
      </c>
      <c r="BH20">
        <v>-3.22</v>
      </c>
      <c r="BI20">
        <v>6.87</v>
      </c>
      <c r="BJ20">
        <v>3.8999999999999999E-4</v>
      </c>
      <c r="BL20">
        <v>65200</v>
      </c>
      <c r="BM20">
        <v>748</v>
      </c>
      <c r="BN20">
        <v>0.8</v>
      </c>
      <c r="BO20">
        <v>16900</v>
      </c>
      <c r="BP20">
        <v>13.62</v>
      </c>
      <c r="BQ20" t="s">
        <v>630</v>
      </c>
      <c r="BR20">
        <v>92.2</v>
      </c>
      <c r="BS20">
        <v>-0.2</v>
      </c>
      <c r="BT20">
        <v>285600</v>
      </c>
      <c r="BU20">
        <v>-2.65</v>
      </c>
      <c r="BV20">
        <v>16.75</v>
      </c>
      <c r="BW20">
        <v>3.4000000000000002E-4</v>
      </c>
    </row>
    <row r="21" spans="1:75">
      <c r="A21" s="96"/>
      <c r="D21">
        <v>20</v>
      </c>
      <c r="E21">
        <f t="shared" ca="1" si="14"/>
        <v>17100</v>
      </c>
      <c r="F21" t="b">
        <v>0</v>
      </c>
      <c r="G21" s="38" t="e">
        <f t="shared" ca="1" si="3"/>
        <v>#N/A</v>
      </c>
      <c r="H21" s="38" t="e">
        <v>#N/A</v>
      </c>
      <c r="I21" s="40" t="e">
        <v>#N/A</v>
      </c>
      <c r="J21">
        <v>19000</v>
      </c>
      <c r="K21" s="38" t="e">
        <f ca="1">VLOOKUP($B$5&amp;E21&amp;F21,'Margin Schedule'!$A:$F,6,0)</f>
        <v>#N/A</v>
      </c>
      <c r="L21" s="40" t="e">
        <v>#N/A</v>
      </c>
      <c r="M21" s="40" t="e">
        <v>#N/A</v>
      </c>
      <c r="N21" s="84" t="e">
        <v>#N/A</v>
      </c>
      <c r="O21" s="38" t="e">
        <v>#N/A</v>
      </c>
      <c r="P21" s="38" t="e">
        <v>#N/A</v>
      </c>
      <c r="Q21" s="38" t="e">
        <v>#N/A</v>
      </c>
      <c r="R21" s="90"/>
      <c r="S21" s="90" t="e">
        <f t="shared" ca="1" si="15"/>
        <v>#N/A</v>
      </c>
      <c r="T21" s="90" t="e">
        <f t="shared" ca="1" si="15"/>
        <v>#N/A</v>
      </c>
      <c r="U21" s="90" t="e">
        <f t="shared" ca="1" si="15"/>
        <v>#N/A</v>
      </c>
      <c r="V21" s="90" t="e">
        <f t="shared" ca="1" si="15"/>
        <v>#N/A</v>
      </c>
      <c r="W21" s="90" t="e">
        <f t="shared" ca="1" si="15"/>
        <v>#N/A</v>
      </c>
      <c r="X21" s="90" t="e">
        <f t="shared" ca="1" si="15"/>
        <v>#N/A</v>
      </c>
      <c r="Y21" s="90" t="e">
        <f t="shared" ca="1" si="15"/>
        <v>#N/A</v>
      </c>
      <c r="Z21" s="90" t="e">
        <f t="shared" ca="1" si="15"/>
        <v>#N/A</v>
      </c>
      <c r="AA21" s="90" t="e">
        <f t="shared" ca="1" si="15"/>
        <v>#N/A</v>
      </c>
      <c r="AB21" s="90" t="e">
        <f t="shared" ca="1" si="15"/>
        <v>#N/A</v>
      </c>
      <c r="AC21" s="90" t="e">
        <f t="shared" ca="1" si="15"/>
        <v>#N/A</v>
      </c>
      <c r="AD21" s="90" t="e">
        <f t="shared" ca="1" si="16"/>
        <v>#N/A</v>
      </c>
      <c r="AE21" s="90" t="e">
        <f t="shared" ca="1" si="16"/>
        <v>#N/A</v>
      </c>
      <c r="AF21" s="90" t="e">
        <f t="shared" ca="1" si="16"/>
        <v>#N/A</v>
      </c>
      <c r="AH21" s="40">
        <f t="shared" si="13"/>
        <v>0.96715639003914</v>
      </c>
      <c r="AI21" t="b">
        <f t="shared" si="12"/>
        <v>1</v>
      </c>
      <c r="AK21">
        <v>30250</v>
      </c>
      <c r="AL21">
        <v>598.1</v>
      </c>
      <c r="AM21">
        <v>0.87</v>
      </c>
      <c r="AN21">
        <v>17050</v>
      </c>
      <c r="AO21">
        <v>14.75</v>
      </c>
      <c r="AP21" t="s">
        <v>630</v>
      </c>
      <c r="AQ21">
        <v>33</v>
      </c>
      <c r="AR21">
        <v>-0.13</v>
      </c>
      <c r="AS21">
        <v>84750</v>
      </c>
      <c r="AT21">
        <v>-3.81</v>
      </c>
      <c r="AU21">
        <v>7.23</v>
      </c>
      <c r="AV21">
        <v>4.0999999999999999E-4</v>
      </c>
      <c r="AY21">
        <v>922675</v>
      </c>
      <c r="AZ21">
        <v>570.25</v>
      </c>
      <c r="BA21">
        <v>0.87</v>
      </c>
      <c r="BB21">
        <v>17000</v>
      </c>
      <c r="BC21">
        <v>13.72</v>
      </c>
      <c r="BD21" t="s">
        <v>630</v>
      </c>
      <c r="BE21">
        <v>32</v>
      </c>
      <c r="BF21">
        <v>-0.13</v>
      </c>
      <c r="BG21">
        <v>3914850</v>
      </c>
      <c r="BH21">
        <v>-3.43</v>
      </c>
      <c r="BI21">
        <v>7.5</v>
      </c>
      <c r="BJ21">
        <v>4.2999999999999999E-4</v>
      </c>
      <c r="BL21">
        <v>2150</v>
      </c>
      <c r="BM21">
        <v>705</v>
      </c>
      <c r="BN21">
        <v>0.79</v>
      </c>
      <c r="BO21">
        <v>16950</v>
      </c>
      <c r="BP21">
        <v>13.31</v>
      </c>
      <c r="BQ21" t="s">
        <v>630</v>
      </c>
      <c r="BR21">
        <v>97.75</v>
      </c>
      <c r="BS21">
        <v>-0.21</v>
      </c>
      <c r="BT21">
        <v>10250</v>
      </c>
      <c r="BU21">
        <v>-2.69</v>
      </c>
      <c r="BV21">
        <v>17.39</v>
      </c>
      <c r="BW21">
        <v>3.6000000000000002E-4</v>
      </c>
    </row>
    <row r="22" spans="1:75">
      <c r="A22" s="96"/>
      <c r="D22">
        <v>21</v>
      </c>
      <c r="E22">
        <f t="shared" ca="1" si="14"/>
        <v>17100</v>
      </c>
      <c r="F22" t="b">
        <v>0</v>
      </c>
      <c r="G22" s="38" t="e">
        <f t="shared" ca="1" si="3"/>
        <v>#N/A</v>
      </c>
      <c r="H22" s="38" t="e">
        <v>#N/A</v>
      </c>
      <c r="I22" s="40" t="e">
        <v>#N/A</v>
      </c>
      <c r="J22">
        <v>19000</v>
      </c>
      <c r="L22" s="40" t="e">
        <v>#N/A</v>
      </c>
      <c r="M22" s="40" t="e">
        <v>#N/A</v>
      </c>
      <c r="N22" s="84" t="e">
        <v>#DIV/0!</v>
      </c>
      <c r="O22" s="38" t="e">
        <v>#DIV/0!</v>
      </c>
      <c r="P22" s="38" t="e">
        <v>#DIV/0!</v>
      </c>
      <c r="Q22" s="38" t="e">
        <v>#N/A</v>
      </c>
      <c r="R22" s="90"/>
      <c r="S22" s="90" t="e">
        <f t="shared" ca="1" si="15"/>
        <v>#DIV/0!</v>
      </c>
      <c r="T22" s="90" t="e">
        <f t="shared" ca="1" si="15"/>
        <v>#DIV/0!</v>
      </c>
      <c r="U22" s="90" t="e">
        <f t="shared" ca="1" si="15"/>
        <v>#DIV/0!</v>
      </c>
      <c r="V22" s="90" t="e">
        <f t="shared" ca="1" si="15"/>
        <v>#DIV/0!</v>
      </c>
      <c r="W22" s="90" t="e">
        <f t="shared" ca="1" si="15"/>
        <v>#DIV/0!</v>
      </c>
      <c r="X22" s="90" t="e">
        <f t="shared" ca="1" si="15"/>
        <v>#DIV/0!</v>
      </c>
      <c r="Y22" s="90" t="e">
        <f t="shared" ca="1" si="15"/>
        <v>#DIV/0!</v>
      </c>
      <c r="Z22" s="90" t="e">
        <f t="shared" ca="1" si="15"/>
        <v>#DIV/0!</v>
      </c>
      <c r="AA22" s="90" t="e">
        <f t="shared" ca="1" si="15"/>
        <v>#DIV/0!</v>
      </c>
      <c r="AB22" s="90" t="e">
        <f t="shared" ca="1" si="15"/>
        <v>#DIV/0!</v>
      </c>
      <c r="AC22" s="90" t="e">
        <f t="shared" ca="1" si="15"/>
        <v>#DIV/0!</v>
      </c>
      <c r="AD22" s="90" t="e">
        <f t="shared" ca="1" si="16"/>
        <v>#DIV/0!</v>
      </c>
      <c r="AE22" s="90" t="e">
        <f t="shared" ca="1" si="16"/>
        <v>#DIV/0!</v>
      </c>
      <c r="AF22" s="90" t="e">
        <f t="shared" ca="1" si="16"/>
        <v>#DIV/0!</v>
      </c>
      <c r="AH22" s="40">
        <f t="shared" si="13"/>
        <v>0.96999262578705547</v>
      </c>
      <c r="AI22" t="b">
        <f t="shared" si="12"/>
        <v>1</v>
      </c>
      <c r="AK22">
        <v>345600</v>
      </c>
      <c r="AL22">
        <v>548</v>
      </c>
      <c r="AM22">
        <v>0.86</v>
      </c>
      <c r="AN22">
        <v>17100</v>
      </c>
      <c r="AO22">
        <v>14.37</v>
      </c>
      <c r="AP22" t="s">
        <v>630</v>
      </c>
      <c r="AQ22">
        <v>37.200000000000003</v>
      </c>
      <c r="AR22">
        <v>-0.14000000000000001</v>
      </c>
      <c r="AS22">
        <v>1087150</v>
      </c>
      <c r="AT22">
        <v>-4.0199999999999996</v>
      </c>
      <c r="AU22">
        <v>7.84</v>
      </c>
      <c r="AV22">
        <v>4.6000000000000001E-4</v>
      </c>
      <c r="AY22">
        <v>30950</v>
      </c>
      <c r="AZ22">
        <v>519.25</v>
      </c>
      <c r="BA22">
        <v>0.85</v>
      </c>
      <c r="BB22">
        <v>17050</v>
      </c>
      <c r="BC22">
        <v>13.28</v>
      </c>
      <c r="BD22" t="s">
        <v>630</v>
      </c>
      <c r="BE22">
        <v>35.799999999999997</v>
      </c>
      <c r="BF22">
        <v>-0.15</v>
      </c>
      <c r="BG22">
        <v>77450</v>
      </c>
      <c r="BH22">
        <v>-3.6</v>
      </c>
      <c r="BI22">
        <v>8.1300000000000008</v>
      </c>
      <c r="BJ22">
        <v>4.8000000000000001E-4</v>
      </c>
      <c r="BL22">
        <v>594900</v>
      </c>
      <c r="BM22">
        <v>668.7</v>
      </c>
      <c r="BN22">
        <v>0.77</v>
      </c>
      <c r="BO22">
        <v>17000</v>
      </c>
      <c r="BP22">
        <v>13.22</v>
      </c>
      <c r="BQ22" t="s">
        <v>630</v>
      </c>
      <c r="BR22">
        <v>107.7</v>
      </c>
      <c r="BS22">
        <v>-0.23</v>
      </c>
      <c r="BT22">
        <v>1113050</v>
      </c>
      <c r="BU22">
        <v>-2.8</v>
      </c>
      <c r="BV22">
        <v>18.22</v>
      </c>
      <c r="BW22">
        <v>3.8000000000000002E-4</v>
      </c>
    </row>
    <row r="23" spans="1:75">
      <c r="D23">
        <v>22</v>
      </c>
      <c r="E23">
        <f t="shared" ca="1" si="14"/>
        <v>17100</v>
      </c>
      <c r="F23" t="b">
        <v>0</v>
      </c>
      <c r="G23" s="38" t="e">
        <f t="shared" ca="1" si="3"/>
        <v>#N/A</v>
      </c>
      <c r="H23" s="38" t="e">
        <v>#N/A</v>
      </c>
      <c r="I23" s="40" t="e">
        <v>#N/A</v>
      </c>
      <c r="J23">
        <v>19000</v>
      </c>
      <c r="L23" s="40" t="e">
        <v>#N/A</v>
      </c>
      <c r="M23" s="40" t="e">
        <v>#N/A</v>
      </c>
      <c r="N23" s="84" t="e">
        <v>#DIV/0!</v>
      </c>
      <c r="O23" s="38" t="e">
        <v>#DIV/0!</v>
      </c>
      <c r="P23" s="38" t="e">
        <v>#DIV/0!</v>
      </c>
      <c r="Q23" s="38" t="e">
        <v>#N/A</v>
      </c>
      <c r="R23" s="90"/>
      <c r="S23" s="90" t="e">
        <f t="shared" ca="1" si="15"/>
        <v>#DIV/0!</v>
      </c>
      <c r="T23" s="90" t="e">
        <f t="shared" ca="1" si="15"/>
        <v>#DIV/0!</v>
      </c>
      <c r="U23" s="90" t="e">
        <f t="shared" ca="1" si="15"/>
        <v>#DIV/0!</v>
      </c>
      <c r="V23" s="90" t="e">
        <f t="shared" ca="1" si="15"/>
        <v>#DIV/0!</v>
      </c>
      <c r="W23" s="90" t="e">
        <f t="shared" ca="1" si="15"/>
        <v>#DIV/0!</v>
      </c>
      <c r="X23" s="90" t="e">
        <f t="shared" ca="1" si="15"/>
        <v>#DIV/0!</v>
      </c>
      <c r="Y23" s="90" t="e">
        <f t="shared" ca="1" si="15"/>
        <v>#DIV/0!</v>
      </c>
      <c r="Z23" s="90" t="e">
        <f t="shared" ca="1" si="15"/>
        <v>#DIV/0!</v>
      </c>
      <c r="AA23" s="90" t="e">
        <f t="shared" ca="1" si="15"/>
        <v>#DIV/0!</v>
      </c>
      <c r="AB23" s="90" t="e">
        <f t="shared" ca="1" si="15"/>
        <v>#DIV/0!</v>
      </c>
      <c r="AC23" s="90" t="e">
        <f t="shared" ca="1" si="15"/>
        <v>#DIV/0!</v>
      </c>
      <c r="AD23" s="90" t="e">
        <f t="shared" ca="1" si="16"/>
        <v>#DIV/0!</v>
      </c>
      <c r="AE23" s="90" t="e">
        <f t="shared" ca="1" si="16"/>
        <v>#DIV/0!</v>
      </c>
      <c r="AF23" s="90" t="e">
        <f t="shared" ca="1" si="16"/>
        <v>#DIV/0!</v>
      </c>
      <c r="AH23" s="40">
        <f t="shared" si="13"/>
        <v>0.97282886153497083</v>
      </c>
      <c r="AI23" t="b">
        <f t="shared" si="12"/>
        <v>0</v>
      </c>
      <c r="AK23">
        <v>36100</v>
      </c>
      <c r="AL23">
        <v>501.15</v>
      </c>
      <c r="AM23">
        <v>0.84</v>
      </c>
      <c r="AN23">
        <v>17150</v>
      </c>
      <c r="AO23">
        <v>13.87</v>
      </c>
      <c r="AP23" t="s">
        <v>630</v>
      </c>
      <c r="AQ23">
        <v>41.15</v>
      </c>
      <c r="AR23">
        <v>-0.16</v>
      </c>
      <c r="AS23">
        <v>125250</v>
      </c>
      <c r="AT23">
        <v>-4.18</v>
      </c>
      <c r="AU23">
        <v>8.43</v>
      </c>
      <c r="AV23">
        <v>5.1000000000000004E-4</v>
      </c>
      <c r="AY23">
        <v>379500</v>
      </c>
      <c r="AZ23">
        <v>477</v>
      </c>
      <c r="BA23">
        <v>0.83</v>
      </c>
      <c r="BB23">
        <v>17100</v>
      </c>
      <c r="BC23">
        <v>12.9</v>
      </c>
      <c r="BD23" t="s">
        <v>630</v>
      </c>
      <c r="BE23">
        <v>40.6</v>
      </c>
      <c r="BF23">
        <v>-0.17</v>
      </c>
      <c r="BG23">
        <v>1115300</v>
      </c>
      <c r="BH23">
        <v>-3.79</v>
      </c>
      <c r="BI23">
        <v>8.82</v>
      </c>
      <c r="BJ23">
        <v>5.4000000000000001E-4</v>
      </c>
      <c r="BL23">
        <v>2400</v>
      </c>
      <c r="BM23">
        <v>585</v>
      </c>
      <c r="BN23">
        <v>0.76</v>
      </c>
      <c r="BO23">
        <v>17050</v>
      </c>
      <c r="BP23">
        <v>12.87</v>
      </c>
      <c r="BQ23" t="s">
        <v>630</v>
      </c>
      <c r="BR23">
        <v>113.7</v>
      </c>
      <c r="BS23">
        <v>-0.24</v>
      </c>
      <c r="BT23">
        <v>9400</v>
      </c>
      <c r="BU23">
        <v>-2.82</v>
      </c>
      <c r="BV23">
        <v>18.850000000000001</v>
      </c>
      <c r="BW23">
        <v>4.0000000000000002E-4</v>
      </c>
    </row>
    <row r="24" spans="1:75">
      <c r="D24">
        <v>23</v>
      </c>
      <c r="E24">
        <f t="shared" ca="1" si="14"/>
        <v>17100</v>
      </c>
      <c r="F24" t="b">
        <v>0</v>
      </c>
      <c r="G24" s="38" t="e">
        <f t="shared" ca="1" si="3"/>
        <v>#N/A</v>
      </c>
      <c r="H24" s="38" t="e">
        <v>#N/A</v>
      </c>
      <c r="I24" s="40" t="e">
        <v>#N/A</v>
      </c>
      <c r="J24">
        <v>19000</v>
      </c>
      <c r="L24" s="40" t="e">
        <v>#N/A</v>
      </c>
      <c r="M24" s="40" t="e">
        <v>#N/A</v>
      </c>
      <c r="N24" s="84" t="e">
        <v>#DIV/0!</v>
      </c>
      <c r="O24" s="38" t="e">
        <v>#DIV/0!</v>
      </c>
      <c r="P24" s="38" t="e">
        <v>#DIV/0!</v>
      </c>
      <c r="Q24" s="38" t="e">
        <v>#N/A</v>
      </c>
      <c r="R24" s="90"/>
      <c r="S24" s="90" t="e">
        <f t="shared" ca="1" si="15"/>
        <v>#DIV/0!</v>
      </c>
      <c r="T24" s="90" t="e">
        <f t="shared" ca="1" si="15"/>
        <v>#DIV/0!</v>
      </c>
      <c r="U24" s="90" t="e">
        <f t="shared" ca="1" si="15"/>
        <v>#DIV/0!</v>
      </c>
      <c r="V24" s="90" t="e">
        <f t="shared" ca="1" si="15"/>
        <v>#DIV/0!</v>
      </c>
      <c r="W24" s="90" t="e">
        <f t="shared" ca="1" si="15"/>
        <v>#DIV/0!</v>
      </c>
      <c r="X24" s="90" t="e">
        <f t="shared" ca="1" si="15"/>
        <v>#DIV/0!</v>
      </c>
      <c r="Y24" s="90" t="e">
        <f t="shared" ca="1" si="15"/>
        <v>#DIV/0!</v>
      </c>
      <c r="Z24" s="90" t="e">
        <f t="shared" ca="1" si="15"/>
        <v>#DIV/0!</v>
      </c>
      <c r="AA24" s="90" t="e">
        <f t="shared" ca="1" si="15"/>
        <v>#DIV/0!</v>
      </c>
      <c r="AB24" s="90" t="e">
        <f t="shared" ca="1" si="15"/>
        <v>#DIV/0!</v>
      </c>
      <c r="AC24" s="90" t="e">
        <f t="shared" ca="1" si="15"/>
        <v>#DIV/0!</v>
      </c>
      <c r="AD24" s="90" t="e">
        <f t="shared" ca="1" si="16"/>
        <v>#DIV/0!</v>
      </c>
      <c r="AE24" s="90" t="e">
        <f t="shared" ca="1" si="16"/>
        <v>#DIV/0!</v>
      </c>
      <c r="AF24" s="90" t="e">
        <f t="shared" ca="1" si="16"/>
        <v>#DIV/0!</v>
      </c>
      <c r="AH24" s="40">
        <f t="shared" si="13"/>
        <v>0.9756650972828862</v>
      </c>
      <c r="AI24" t="b">
        <f t="shared" si="12"/>
        <v>0</v>
      </c>
      <c r="AK24">
        <v>561100</v>
      </c>
      <c r="AL24">
        <v>455.95</v>
      </c>
      <c r="AM24">
        <v>0.82</v>
      </c>
      <c r="AN24">
        <v>17200</v>
      </c>
      <c r="AO24">
        <v>13.4</v>
      </c>
      <c r="AP24" t="s">
        <v>630</v>
      </c>
      <c r="AQ24">
        <v>45.9</v>
      </c>
      <c r="AR24">
        <v>-0.18</v>
      </c>
      <c r="AS24">
        <v>1793450</v>
      </c>
      <c r="AT24">
        <v>-4.34</v>
      </c>
      <c r="AU24">
        <v>9.07</v>
      </c>
      <c r="AV24">
        <v>5.6999999999999998E-4</v>
      </c>
      <c r="AY24">
        <v>41800</v>
      </c>
      <c r="AZ24">
        <v>433.9</v>
      </c>
      <c r="BA24">
        <v>0.81</v>
      </c>
      <c r="BB24">
        <v>17150</v>
      </c>
      <c r="BC24">
        <v>12.58</v>
      </c>
      <c r="BD24" t="s">
        <v>630</v>
      </c>
      <c r="BE24">
        <v>46.85</v>
      </c>
      <c r="BF24">
        <v>-0.19</v>
      </c>
      <c r="BG24">
        <v>99950</v>
      </c>
      <c r="BH24">
        <v>-4.03</v>
      </c>
      <c r="BI24">
        <v>9.6</v>
      </c>
      <c r="BJ24">
        <v>5.9999999999999995E-4</v>
      </c>
      <c r="BL24">
        <v>65500</v>
      </c>
      <c r="BM24">
        <v>580.54999999999995</v>
      </c>
      <c r="BN24">
        <v>0.74</v>
      </c>
      <c r="BO24">
        <v>17100</v>
      </c>
      <c r="BP24">
        <v>12.71</v>
      </c>
      <c r="BQ24" t="s">
        <v>630</v>
      </c>
      <c r="BR24">
        <v>124</v>
      </c>
      <c r="BS24">
        <v>-0.26</v>
      </c>
      <c r="BT24">
        <v>260450</v>
      </c>
      <c r="BU24">
        <v>-2.9</v>
      </c>
      <c r="BV24">
        <v>19.61</v>
      </c>
      <c r="BW24">
        <v>4.2000000000000002E-4</v>
      </c>
    </row>
    <row r="25" spans="1:75">
      <c r="D25">
        <v>24</v>
      </c>
      <c r="E25">
        <f t="shared" ca="1" si="14"/>
        <v>17100</v>
      </c>
      <c r="F25" t="b">
        <v>0</v>
      </c>
      <c r="G25" s="38" t="e">
        <f t="shared" ca="1" si="3"/>
        <v>#N/A</v>
      </c>
      <c r="H25" s="38" t="e">
        <v>#N/A</v>
      </c>
      <c r="I25" s="40" t="e">
        <v>#N/A</v>
      </c>
      <c r="J25">
        <v>19000</v>
      </c>
      <c r="L25" s="40" t="e">
        <v>#N/A</v>
      </c>
      <c r="M25" s="40" t="e">
        <v>#N/A</v>
      </c>
      <c r="N25" s="84" t="e">
        <v>#DIV/0!</v>
      </c>
      <c r="O25" s="38" t="e">
        <v>#DIV/0!</v>
      </c>
      <c r="P25" s="38" t="e">
        <v>#DIV/0!</v>
      </c>
      <c r="Q25" s="38" t="e">
        <v>#N/A</v>
      </c>
      <c r="R25" s="90"/>
      <c r="S25" s="90" t="e">
        <f t="shared" ca="1" si="15"/>
        <v>#DIV/0!</v>
      </c>
      <c r="T25" s="90" t="e">
        <f t="shared" ca="1" si="15"/>
        <v>#DIV/0!</v>
      </c>
      <c r="U25" s="90" t="e">
        <f t="shared" ca="1" si="15"/>
        <v>#DIV/0!</v>
      </c>
      <c r="V25" s="90" t="e">
        <f t="shared" ca="1" si="15"/>
        <v>#DIV/0!</v>
      </c>
      <c r="W25" s="90" t="e">
        <f t="shared" ca="1" si="15"/>
        <v>#DIV/0!</v>
      </c>
      <c r="X25" s="90" t="e">
        <f t="shared" ca="1" si="15"/>
        <v>#DIV/0!</v>
      </c>
      <c r="Y25" s="90" t="e">
        <f t="shared" ca="1" si="15"/>
        <v>#DIV/0!</v>
      </c>
      <c r="Z25" s="90" t="e">
        <f t="shared" ca="1" si="15"/>
        <v>#DIV/0!</v>
      </c>
      <c r="AA25" s="90" t="e">
        <f t="shared" ca="1" si="15"/>
        <v>#DIV/0!</v>
      </c>
      <c r="AB25" s="90" t="e">
        <f t="shared" ca="1" si="15"/>
        <v>#DIV/0!</v>
      </c>
      <c r="AC25" s="90" t="e">
        <f t="shared" ca="1" si="15"/>
        <v>#DIV/0!</v>
      </c>
      <c r="AD25" s="90" t="e">
        <f t="shared" ca="1" si="16"/>
        <v>#DIV/0!</v>
      </c>
      <c r="AE25" s="90" t="e">
        <f t="shared" ca="1" si="16"/>
        <v>#DIV/0!</v>
      </c>
      <c r="AF25" s="90" t="e">
        <f t="shared" ca="1" si="16"/>
        <v>#DIV/0!</v>
      </c>
      <c r="AH25" s="40">
        <f t="shared" si="13"/>
        <v>0.97850133303080156</v>
      </c>
      <c r="AI25" t="b">
        <f t="shared" si="12"/>
        <v>0</v>
      </c>
      <c r="AK25">
        <v>43900</v>
      </c>
      <c r="AL25">
        <v>413.35</v>
      </c>
      <c r="AM25">
        <v>0.8</v>
      </c>
      <c r="AN25">
        <v>17250</v>
      </c>
      <c r="AO25">
        <v>13.03</v>
      </c>
      <c r="AP25" t="s">
        <v>630</v>
      </c>
      <c r="AQ25">
        <v>52.35</v>
      </c>
      <c r="AR25">
        <v>-0.2</v>
      </c>
      <c r="AS25">
        <v>184950</v>
      </c>
      <c r="AT25">
        <v>-4.5599999999999996</v>
      </c>
      <c r="AU25">
        <v>9.7899999999999991</v>
      </c>
      <c r="AV25">
        <v>6.3000000000000003E-4</v>
      </c>
      <c r="AY25">
        <v>618400</v>
      </c>
      <c r="AZ25">
        <v>386.3</v>
      </c>
      <c r="BA25">
        <v>0.79</v>
      </c>
      <c r="BB25">
        <v>17200</v>
      </c>
      <c r="BC25">
        <v>12.18</v>
      </c>
      <c r="BD25" t="s">
        <v>630</v>
      </c>
      <c r="BE25">
        <v>53.2</v>
      </c>
      <c r="BF25">
        <v>-0.21</v>
      </c>
      <c r="BG25">
        <v>1846450</v>
      </c>
      <c r="BH25">
        <v>-4.2</v>
      </c>
      <c r="BI25">
        <v>10.35</v>
      </c>
      <c r="BJ25">
        <v>6.7000000000000002E-4</v>
      </c>
      <c r="BL25">
        <v>2850</v>
      </c>
      <c r="BM25">
        <v>555.45000000000005</v>
      </c>
      <c r="BN25">
        <v>0.72</v>
      </c>
      <c r="BO25">
        <v>17150</v>
      </c>
      <c r="BP25">
        <v>12.65</v>
      </c>
      <c r="BQ25" t="s">
        <v>630</v>
      </c>
      <c r="BR25">
        <v>137</v>
      </c>
      <c r="BS25">
        <v>-0.28000000000000003</v>
      </c>
      <c r="BT25">
        <v>10900</v>
      </c>
      <c r="BU25">
        <v>-3</v>
      </c>
      <c r="BV25">
        <v>20.39</v>
      </c>
      <c r="BW25">
        <v>4.4000000000000002E-4</v>
      </c>
    </row>
    <row r="26" spans="1:75">
      <c r="D26">
        <v>25</v>
      </c>
      <c r="E26">
        <f t="shared" ca="1" si="14"/>
        <v>17100</v>
      </c>
      <c r="F26" t="b">
        <v>0</v>
      </c>
      <c r="G26" s="38" t="e">
        <f t="shared" ca="1" si="3"/>
        <v>#N/A</v>
      </c>
      <c r="H26" s="38" t="e">
        <v>#N/A</v>
      </c>
      <c r="I26" s="40" t="e">
        <v>#N/A</v>
      </c>
      <c r="J26">
        <v>19000</v>
      </c>
      <c r="L26" s="40" t="e">
        <v>#N/A</v>
      </c>
      <c r="M26" s="40" t="e">
        <v>#N/A</v>
      </c>
      <c r="N26" s="84" t="e">
        <v>#DIV/0!</v>
      </c>
      <c r="O26" s="38" t="e">
        <v>#DIV/0!</v>
      </c>
      <c r="P26" s="38" t="e">
        <v>#DIV/0!</v>
      </c>
      <c r="Q26" s="38" t="e">
        <v>#N/A</v>
      </c>
      <c r="R26" s="90"/>
      <c r="S26" s="90" t="e">
        <f t="shared" ca="1" si="15"/>
        <v>#DIV/0!</v>
      </c>
      <c r="T26" s="90" t="e">
        <f t="shared" ca="1" si="15"/>
        <v>#DIV/0!</v>
      </c>
      <c r="U26" s="90" t="e">
        <f t="shared" ca="1" si="15"/>
        <v>#DIV/0!</v>
      </c>
      <c r="V26" s="90" t="e">
        <f t="shared" ca="1" si="15"/>
        <v>#DIV/0!</v>
      </c>
      <c r="W26" s="90" t="e">
        <f t="shared" ca="1" si="15"/>
        <v>#DIV/0!</v>
      </c>
      <c r="X26" s="90" t="e">
        <f t="shared" ca="1" si="15"/>
        <v>#DIV/0!</v>
      </c>
      <c r="Y26" s="90" t="e">
        <f t="shared" ca="1" si="15"/>
        <v>#DIV/0!</v>
      </c>
      <c r="Z26" s="90" t="e">
        <f t="shared" ca="1" si="15"/>
        <v>#DIV/0!</v>
      </c>
      <c r="AA26" s="90" t="e">
        <f t="shared" ca="1" si="15"/>
        <v>#DIV/0!</v>
      </c>
      <c r="AB26" s="90" t="e">
        <f t="shared" ca="1" si="15"/>
        <v>#DIV/0!</v>
      </c>
      <c r="AC26" s="90" t="e">
        <f t="shared" ca="1" si="15"/>
        <v>#DIV/0!</v>
      </c>
      <c r="AD26" s="90" t="e">
        <f t="shared" ca="1" si="16"/>
        <v>#DIV/0!</v>
      </c>
      <c r="AE26" s="90" t="e">
        <f t="shared" ca="1" si="16"/>
        <v>#DIV/0!</v>
      </c>
      <c r="AF26" s="90" t="e">
        <f t="shared" ca="1" si="16"/>
        <v>#DIV/0!</v>
      </c>
      <c r="AH26" s="40">
        <f t="shared" si="13"/>
        <v>0.98133756877871692</v>
      </c>
      <c r="AI26" t="b">
        <f t="shared" si="12"/>
        <v>0</v>
      </c>
      <c r="AK26">
        <v>1106850</v>
      </c>
      <c r="AL26">
        <v>369</v>
      </c>
      <c r="AM26">
        <v>0.77</v>
      </c>
      <c r="AN26">
        <v>17300</v>
      </c>
      <c r="AO26">
        <v>12.76</v>
      </c>
      <c r="AP26" t="s">
        <v>630</v>
      </c>
      <c r="AQ26">
        <v>61</v>
      </c>
      <c r="AR26">
        <v>-0.23</v>
      </c>
      <c r="AS26">
        <v>1741300</v>
      </c>
      <c r="AT26">
        <v>-4.82</v>
      </c>
      <c r="AU26">
        <v>10.58</v>
      </c>
      <c r="AV26">
        <v>6.9999999999999999E-4</v>
      </c>
      <c r="AY26">
        <v>48100</v>
      </c>
      <c r="AZ26">
        <v>345.1</v>
      </c>
      <c r="BA26">
        <v>0.76</v>
      </c>
      <c r="BB26">
        <v>17250</v>
      </c>
      <c r="BC26">
        <v>11.84</v>
      </c>
      <c r="BD26" t="s">
        <v>630</v>
      </c>
      <c r="BE26">
        <v>61.35</v>
      </c>
      <c r="BF26">
        <v>-0.24</v>
      </c>
      <c r="BG26">
        <v>179900</v>
      </c>
      <c r="BH26">
        <v>-4.3899999999999997</v>
      </c>
      <c r="BI26">
        <v>11.14</v>
      </c>
      <c r="BJ26">
        <v>7.3999999999999999E-4</v>
      </c>
      <c r="BL26">
        <v>111050</v>
      </c>
      <c r="BM26">
        <v>511.2</v>
      </c>
      <c r="BN26">
        <v>0.7</v>
      </c>
      <c r="BO26">
        <v>17200</v>
      </c>
      <c r="BP26">
        <v>12.53</v>
      </c>
      <c r="BQ26" t="s">
        <v>630</v>
      </c>
      <c r="BR26">
        <v>150</v>
      </c>
      <c r="BS26">
        <v>-0.3</v>
      </c>
      <c r="BT26">
        <v>647600</v>
      </c>
      <c r="BU26">
        <v>-3.07</v>
      </c>
      <c r="BV26">
        <v>21.1</v>
      </c>
      <c r="BW26">
        <v>4.6000000000000001E-4</v>
      </c>
    </row>
    <row r="27" spans="1:75">
      <c r="D27">
        <v>26</v>
      </c>
      <c r="E27">
        <f t="shared" ca="1" si="14"/>
        <v>17100</v>
      </c>
      <c r="F27" t="b">
        <v>0</v>
      </c>
      <c r="G27" s="38" t="e">
        <f t="shared" ca="1" si="3"/>
        <v>#N/A</v>
      </c>
      <c r="H27" s="38" t="e">
        <v>#N/A</v>
      </c>
      <c r="I27" s="40" t="e">
        <v>#N/A</v>
      </c>
      <c r="J27">
        <v>19000</v>
      </c>
      <c r="L27" s="40" t="e">
        <v>#N/A</v>
      </c>
      <c r="M27" s="40" t="e">
        <v>#N/A</v>
      </c>
      <c r="N27" s="84" t="e">
        <v>#DIV/0!</v>
      </c>
      <c r="O27" s="38" t="e">
        <v>#DIV/0!</v>
      </c>
      <c r="P27" s="38" t="e">
        <v>#DIV/0!</v>
      </c>
      <c r="Q27" s="38" t="e">
        <v>#N/A</v>
      </c>
      <c r="R27" s="90"/>
      <c r="S27" s="90" t="e">
        <f t="shared" ca="1" si="15"/>
        <v>#DIV/0!</v>
      </c>
      <c r="T27" s="90" t="e">
        <f t="shared" ca="1" si="15"/>
        <v>#DIV/0!</v>
      </c>
      <c r="U27" s="90" t="e">
        <f t="shared" ca="1" si="15"/>
        <v>#DIV/0!</v>
      </c>
      <c r="V27" s="90" t="e">
        <f t="shared" ca="1" si="15"/>
        <v>#DIV/0!</v>
      </c>
      <c r="W27" s="90" t="e">
        <f t="shared" ca="1" si="15"/>
        <v>#DIV/0!</v>
      </c>
      <c r="X27" s="90" t="e">
        <f t="shared" ca="1" si="15"/>
        <v>#DIV/0!</v>
      </c>
      <c r="Y27" s="90" t="e">
        <f t="shared" ca="1" si="15"/>
        <v>#DIV/0!</v>
      </c>
      <c r="Z27" s="90" t="e">
        <f t="shared" ca="1" si="15"/>
        <v>#DIV/0!</v>
      </c>
      <c r="AA27" s="90" t="e">
        <f t="shared" ca="1" si="15"/>
        <v>#DIV/0!</v>
      </c>
      <c r="AB27" s="90" t="e">
        <f t="shared" ca="1" si="15"/>
        <v>#DIV/0!</v>
      </c>
      <c r="AC27" s="90" t="e">
        <f t="shared" ca="1" si="15"/>
        <v>#DIV/0!</v>
      </c>
      <c r="AD27" s="90" t="e">
        <f t="shared" ca="1" si="16"/>
        <v>#DIV/0!</v>
      </c>
      <c r="AE27" s="90" t="e">
        <f t="shared" ca="1" si="16"/>
        <v>#DIV/0!</v>
      </c>
      <c r="AF27" s="90" t="e">
        <f t="shared" ca="1" si="16"/>
        <v>#DIV/0!</v>
      </c>
      <c r="AH27" s="40">
        <f t="shared" si="13"/>
        <v>0.98417380452663228</v>
      </c>
      <c r="AI27" t="b">
        <f t="shared" si="12"/>
        <v>0</v>
      </c>
      <c r="AK27">
        <v>103150</v>
      </c>
      <c r="AL27">
        <v>331</v>
      </c>
      <c r="AM27">
        <v>0.73</v>
      </c>
      <c r="AN27">
        <v>17350</v>
      </c>
      <c r="AO27">
        <v>12.64</v>
      </c>
      <c r="AP27" t="s">
        <v>630</v>
      </c>
      <c r="AQ27">
        <v>72.599999999999994</v>
      </c>
      <c r="AR27">
        <v>-0.27</v>
      </c>
      <c r="AS27">
        <v>203050</v>
      </c>
      <c r="AT27">
        <v>-5.14</v>
      </c>
      <c r="AU27">
        <v>11.38</v>
      </c>
      <c r="AV27">
        <v>7.6000000000000004E-4</v>
      </c>
      <c r="AY27">
        <v>1213450</v>
      </c>
      <c r="AZ27">
        <v>304.55</v>
      </c>
      <c r="BA27">
        <v>0.72</v>
      </c>
      <c r="BB27">
        <v>17300</v>
      </c>
      <c r="BC27">
        <v>11.6</v>
      </c>
      <c r="BD27" t="s">
        <v>630</v>
      </c>
      <c r="BE27">
        <v>72.099999999999994</v>
      </c>
      <c r="BF27">
        <v>-0.28000000000000003</v>
      </c>
      <c r="BG27">
        <v>1754550</v>
      </c>
      <c r="BH27">
        <v>-4.62</v>
      </c>
      <c r="BI27">
        <v>11.95</v>
      </c>
      <c r="BJ27">
        <v>8.0999999999999996E-4</v>
      </c>
      <c r="BL27">
        <v>3000</v>
      </c>
      <c r="BM27">
        <v>473.95</v>
      </c>
      <c r="BN27">
        <v>0.67</v>
      </c>
      <c r="BO27">
        <v>17250</v>
      </c>
      <c r="BP27">
        <v>12.41</v>
      </c>
      <c r="BQ27" t="s">
        <v>630</v>
      </c>
      <c r="BR27">
        <v>164</v>
      </c>
      <c r="BS27">
        <v>-0.33</v>
      </c>
      <c r="BT27">
        <v>8150</v>
      </c>
      <c r="BU27">
        <v>-3.14</v>
      </c>
      <c r="BV27">
        <v>21.75</v>
      </c>
      <c r="BW27">
        <v>4.8000000000000001E-4</v>
      </c>
    </row>
    <row r="28" spans="1:75">
      <c r="D28">
        <v>27</v>
      </c>
      <c r="E28">
        <f t="shared" ca="1" si="14"/>
        <v>17100</v>
      </c>
      <c r="F28" t="b">
        <v>0</v>
      </c>
      <c r="G28" s="38" t="e">
        <f t="shared" ca="1" si="3"/>
        <v>#N/A</v>
      </c>
      <c r="H28" s="38" t="e">
        <v>#N/A</v>
      </c>
      <c r="I28" s="40" t="e">
        <v>#N/A</v>
      </c>
      <c r="J28">
        <v>19000</v>
      </c>
      <c r="L28" s="40" t="e">
        <v>#N/A</v>
      </c>
      <c r="M28" s="40" t="e">
        <v>#N/A</v>
      </c>
      <c r="N28" s="84" t="e">
        <v>#DIV/0!</v>
      </c>
      <c r="O28" s="38" t="e">
        <v>#DIV/0!</v>
      </c>
      <c r="P28" s="38" t="e">
        <v>#DIV/0!</v>
      </c>
      <c r="Q28" s="38" t="e">
        <v>#N/A</v>
      </c>
      <c r="R28" s="90"/>
      <c r="S28" s="90" t="e">
        <f t="shared" ca="1" si="15"/>
        <v>#DIV/0!</v>
      </c>
      <c r="T28" s="90" t="e">
        <f t="shared" ca="1" si="15"/>
        <v>#DIV/0!</v>
      </c>
      <c r="U28" s="90" t="e">
        <f t="shared" ca="1" si="15"/>
        <v>#DIV/0!</v>
      </c>
      <c r="V28" s="90" t="e">
        <f t="shared" ca="1" si="15"/>
        <v>#DIV/0!</v>
      </c>
      <c r="W28" s="90" t="e">
        <f t="shared" ca="1" si="15"/>
        <v>#DIV/0!</v>
      </c>
      <c r="X28" s="90" t="e">
        <f t="shared" ca="1" si="15"/>
        <v>#DIV/0!</v>
      </c>
      <c r="Y28" s="90" t="e">
        <f t="shared" ca="1" si="15"/>
        <v>#DIV/0!</v>
      </c>
      <c r="Z28" s="90" t="e">
        <f t="shared" ca="1" si="15"/>
        <v>#DIV/0!</v>
      </c>
      <c r="AA28" s="90" t="e">
        <f t="shared" ca="1" si="15"/>
        <v>#DIV/0!</v>
      </c>
      <c r="AB28" s="90" t="e">
        <f t="shared" ca="1" si="15"/>
        <v>#DIV/0!</v>
      </c>
      <c r="AC28" s="90" t="e">
        <f t="shared" ca="1" si="15"/>
        <v>#DIV/0!</v>
      </c>
      <c r="AD28" s="90" t="e">
        <f t="shared" ca="1" si="16"/>
        <v>#DIV/0!</v>
      </c>
      <c r="AE28" s="90" t="e">
        <f t="shared" ca="1" si="16"/>
        <v>#DIV/0!</v>
      </c>
      <c r="AF28" s="90" t="e">
        <f t="shared" ca="1" si="16"/>
        <v>#DIV/0!</v>
      </c>
      <c r="AH28" s="40">
        <f t="shared" si="13"/>
        <v>0.98701004027454764</v>
      </c>
      <c r="AI28" t="b">
        <f t="shared" si="12"/>
        <v>0</v>
      </c>
      <c r="AK28">
        <v>1142400</v>
      </c>
      <c r="AL28">
        <v>290</v>
      </c>
      <c r="AM28">
        <v>0.7</v>
      </c>
      <c r="AN28">
        <v>17400</v>
      </c>
      <c r="AO28">
        <v>12.29</v>
      </c>
      <c r="AP28" t="s">
        <v>630</v>
      </c>
      <c r="AQ28">
        <v>83.25</v>
      </c>
      <c r="AR28">
        <v>-0.3</v>
      </c>
      <c r="AS28">
        <v>1974050</v>
      </c>
      <c r="AT28">
        <v>-5.3</v>
      </c>
      <c r="AU28">
        <v>12.06</v>
      </c>
      <c r="AV28">
        <v>8.3000000000000001E-4</v>
      </c>
      <c r="AY28">
        <v>130700</v>
      </c>
      <c r="AZ28">
        <v>274</v>
      </c>
      <c r="BA28">
        <v>0.68</v>
      </c>
      <c r="BB28">
        <v>17350</v>
      </c>
      <c r="BC28">
        <v>11.46</v>
      </c>
      <c r="BD28" t="s">
        <v>630</v>
      </c>
      <c r="BE28">
        <v>85.7</v>
      </c>
      <c r="BF28">
        <v>-0.32</v>
      </c>
      <c r="BG28">
        <v>224600</v>
      </c>
      <c r="BH28">
        <v>-4.8600000000000003</v>
      </c>
      <c r="BI28">
        <v>12.71</v>
      </c>
      <c r="BJ28">
        <v>8.8000000000000003E-4</v>
      </c>
      <c r="BL28">
        <v>155450</v>
      </c>
      <c r="BM28">
        <v>442.2</v>
      </c>
      <c r="BN28">
        <v>0.65</v>
      </c>
      <c r="BO28">
        <v>17300</v>
      </c>
      <c r="BP28">
        <v>12.3</v>
      </c>
      <c r="BQ28" t="s">
        <v>630</v>
      </c>
      <c r="BR28">
        <v>179.2</v>
      </c>
      <c r="BS28">
        <v>-0.35</v>
      </c>
      <c r="BT28">
        <v>394300</v>
      </c>
      <c r="BU28">
        <v>-3.2</v>
      </c>
      <c r="BV28">
        <v>22.35</v>
      </c>
      <c r="BW28">
        <v>5.0000000000000001E-4</v>
      </c>
    </row>
    <row r="29" spans="1:75">
      <c r="D29">
        <v>28</v>
      </c>
      <c r="E29">
        <f t="shared" ca="1" si="14"/>
        <v>17100</v>
      </c>
      <c r="F29" t="b">
        <v>0</v>
      </c>
      <c r="G29" s="38" t="e">
        <f t="shared" ca="1" si="3"/>
        <v>#N/A</v>
      </c>
      <c r="H29" s="38" t="e">
        <v>#N/A</v>
      </c>
      <c r="I29" s="40" t="e">
        <v>#N/A</v>
      </c>
      <c r="J29">
        <v>19000</v>
      </c>
      <c r="L29" s="40" t="e">
        <v>#N/A</v>
      </c>
      <c r="M29" s="40" t="e">
        <v>#N/A</v>
      </c>
      <c r="N29" s="84" t="e">
        <v>#DIV/0!</v>
      </c>
      <c r="O29" s="38" t="e">
        <v>#DIV/0!</v>
      </c>
      <c r="P29" s="38" t="e">
        <v>#DIV/0!</v>
      </c>
      <c r="Q29" s="38" t="e">
        <v>#N/A</v>
      </c>
      <c r="R29" s="90"/>
      <c r="S29" s="90" t="e">
        <f t="shared" ca="1" si="15"/>
        <v>#DIV/0!</v>
      </c>
      <c r="T29" s="90" t="e">
        <f t="shared" ca="1" si="15"/>
        <v>#DIV/0!</v>
      </c>
      <c r="U29" s="90" t="e">
        <f t="shared" ca="1" si="15"/>
        <v>#DIV/0!</v>
      </c>
      <c r="V29" s="90" t="e">
        <f t="shared" ca="1" si="15"/>
        <v>#DIV/0!</v>
      </c>
      <c r="W29" s="90" t="e">
        <f t="shared" ca="1" si="15"/>
        <v>#DIV/0!</v>
      </c>
      <c r="X29" s="90" t="e">
        <f t="shared" ca="1" si="15"/>
        <v>#DIV/0!</v>
      </c>
      <c r="Y29" s="90" t="e">
        <f t="shared" ca="1" si="15"/>
        <v>#DIV/0!</v>
      </c>
      <c r="Z29" s="90" t="e">
        <f t="shared" ca="1" si="15"/>
        <v>#DIV/0!</v>
      </c>
      <c r="AA29" s="90" t="e">
        <f t="shared" ca="1" si="15"/>
        <v>#DIV/0!</v>
      </c>
      <c r="AB29" s="90" t="e">
        <f t="shared" ca="1" si="15"/>
        <v>#DIV/0!</v>
      </c>
      <c r="AC29" s="90" t="e">
        <f t="shared" ca="1" si="15"/>
        <v>#DIV/0!</v>
      </c>
      <c r="AD29" s="90" t="e">
        <f t="shared" ca="1" si="16"/>
        <v>#DIV/0!</v>
      </c>
      <c r="AE29" s="90" t="e">
        <f t="shared" ca="1" si="16"/>
        <v>#DIV/0!</v>
      </c>
      <c r="AF29" s="90" t="e">
        <f t="shared" ca="1" si="16"/>
        <v>#DIV/0!</v>
      </c>
      <c r="AH29" s="40">
        <f t="shared" si="13"/>
        <v>0.989846276022463</v>
      </c>
      <c r="AI29" t="b">
        <f t="shared" si="12"/>
        <v>0</v>
      </c>
      <c r="AK29">
        <v>112650</v>
      </c>
      <c r="AL29">
        <v>250.45</v>
      </c>
      <c r="AM29">
        <v>0.66</v>
      </c>
      <c r="AN29">
        <v>17450</v>
      </c>
      <c r="AO29">
        <v>12.1</v>
      </c>
      <c r="AP29" t="s">
        <v>630</v>
      </c>
      <c r="AQ29">
        <v>97.5</v>
      </c>
      <c r="AR29">
        <v>-0.34</v>
      </c>
      <c r="AS29">
        <v>184600</v>
      </c>
      <c r="AT29">
        <v>-5.49</v>
      </c>
      <c r="AU29">
        <v>12.7</v>
      </c>
      <c r="AV29">
        <v>8.8000000000000003E-4</v>
      </c>
      <c r="AY29">
        <v>1336900</v>
      </c>
      <c r="AZ29">
        <v>235</v>
      </c>
      <c r="BA29">
        <v>0.64</v>
      </c>
      <c r="BB29">
        <v>17400</v>
      </c>
      <c r="BC29">
        <v>11.22</v>
      </c>
      <c r="BD29" t="s">
        <v>630</v>
      </c>
      <c r="BE29">
        <v>100.05</v>
      </c>
      <c r="BF29">
        <v>-0.36</v>
      </c>
      <c r="BG29">
        <v>1961550</v>
      </c>
      <c r="BH29">
        <v>-4.99</v>
      </c>
      <c r="BI29">
        <v>13.33</v>
      </c>
      <c r="BJ29">
        <v>9.3999999999999997E-4</v>
      </c>
      <c r="BL29">
        <v>12100</v>
      </c>
      <c r="BM29">
        <v>411</v>
      </c>
      <c r="BN29">
        <v>0.62</v>
      </c>
      <c r="BO29">
        <v>17350</v>
      </c>
      <c r="BP29">
        <v>12.17</v>
      </c>
      <c r="BQ29" t="s">
        <v>630</v>
      </c>
      <c r="BR29">
        <v>195.2</v>
      </c>
      <c r="BS29">
        <v>-0.38</v>
      </c>
      <c r="BT29">
        <v>14250</v>
      </c>
      <c r="BU29">
        <v>-3.24</v>
      </c>
      <c r="BV29">
        <v>22.87</v>
      </c>
      <c r="BW29">
        <v>5.1999999999999995E-4</v>
      </c>
    </row>
    <row r="30" spans="1:75">
      <c r="D30">
        <v>29</v>
      </c>
      <c r="E30">
        <f t="shared" ca="1" si="14"/>
        <v>17100</v>
      </c>
      <c r="F30" t="b">
        <v>0</v>
      </c>
      <c r="G30" s="38" t="e">
        <f t="shared" ca="1" si="3"/>
        <v>#N/A</v>
      </c>
      <c r="H30" s="38" t="e">
        <v>#N/A</v>
      </c>
      <c r="I30" s="40" t="e">
        <v>#N/A</v>
      </c>
      <c r="J30">
        <v>19000</v>
      </c>
      <c r="L30" s="40" t="e">
        <v>#N/A</v>
      </c>
      <c r="M30" s="40" t="e">
        <v>#N/A</v>
      </c>
      <c r="N30" s="84" t="e">
        <v>#DIV/0!</v>
      </c>
      <c r="O30" s="38" t="e">
        <v>#DIV/0!</v>
      </c>
      <c r="P30" s="38" t="e">
        <v>#DIV/0!</v>
      </c>
      <c r="Q30" s="38" t="e">
        <v>#N/A</v>
      </c>
      <c r="R30" s="90"/>
      <c r="S30" s="90" t="e">
        <f t="shared" ca="1" si="15"/>
        <v>#DIV/0!</v>
      </c>
      <c r="T30" s="90" t="e">
        <f t="shared" ca="1" si="15"/>
        <v>#DIV/0!</v>
      </c>
      <c r="U30" s="90" t="e">
        <f t="shared" ca="1" si="15"/>
        <v>#DIV/0!</v>
      </c>
      <c r="V30" s="90" t="e">
        <f t="shared" ca="1" si="15"/>
        <v>#DIV/0!</v>
      </c>
      <c r="W30" s="90" t="e">
        <f t="shared" ca="1" si="15"/>
        <v>#DIV/0!</v>
      </c>
      <c r="X30" s="90" t="e">
        <f t="shared" ca="1" si="15"/>
        <v>#DIV/0!</v>
      </c>
      <c r="Y30" s="90" t="e">
        <f t="shared" ca="1" si="15"/>
        <v>#DIV/0!</v>
      </c>
      <c r="Z30" s="90" t="e">
        <f t="shared" ca="1" si="15"/>
        <v>#DIV/0!</v>
      </c>
      <c r="AA30" s="90" t="e">
        <f t="shared" ca="1" si="15"/>
        <v>#DIV/0!</v>
      </c>
      <c r="AB30" s="90" t="e">
        <f t="shared" ca="1" si="15"/>
        <v>#DIV/0!</v>
      </c>
      <c r="AC30" s="90" t="e">
        <f t="shared" ca="1" si="15"/>
        <v>#DIV/0!</v>
      </c>
      <c r="AD30" s="90" t="e">
        <f t="shared" ca="1" si="16"/>
        <v>#DIV/0!</v>
      </c>
      <c r="AE30" s="90" t="e">
        <f t="shared" ca="1" si="16"/>
        <v>#DIV/0!</v>
      </c>
      <c r="AF30" s="90" t="e">
        <f t="shared" ca="1" si="16"/>
        <v>#DIV/0!</v>
      </c>
      <c r="AH30" s="40">
        <f t="shared" si="13"/>
        <v>0.99268251177037836</v>
      </c>
      <c r="AI30" t="b">
        <f t="shared" si="12"/>
        <v>0</v>
      </c>
      <c r="AK30">
        <v>1515825</v>
      </c>
      <c r="AL30">
        <v>223</v>
      </c>
      <c r="AM30">
        <v>0.61</v>
      </c>
      <c r="AN30">
        <v>17500</v>
      </c>
      <c r="AO30">
        <v>12.03</v>
      </c>
      <c r="AP30" t="s">
        <v>630</v>
      </c>
      <c r="AQ30">
        <v>115.35</v>
      </c>
      <c r="AR30">
        <v>-0.39</v>
      </c>
      <c r="AS30">
        <v>2260950</v>
      </c>
      <c r="AT30">
        <v>-5.68</v>
      </c>
      <c r="AU30">
        <v>13.23</v>
      </c>
      <c r="AV30">
        <v>9.2000000000000003E-4</v>
      </c>
      <c r="AY30">
        <v>151950</v>
      </c>
      <c r="AZ30">
        <v>206.55</v>
      </c>
      <c r="BA30">
        <v>0.59</v>
      </c>
      <c r="BB30">
        <v>17450</v>
      </c>
      <c r="BC30">
        <v>11.18</v>
      </c>
      <c r="BD30" t="s">
        <v>630</v>
      </c>
      <c r="BE30">
        <v>119.25</v>
      </c>
      <c r="BF30">
        <v>-0.41</v>
      </c>
      <c r="BG30">
        <v>195700</v>
      </c>
      <c r="BH30">
        <v>-5.15</v>
      </c>
      <c r="BI30">
        <v>13.82</v>
      </c>
      <c r="BJ30">
        <v>9.7999999999999997E-4</v>
      </c>
      <c r="BL30">
        <v>202800</v>
      </c>
      <c r="BM30">
        <v>374.8</v>
      </c>
      <c r="BN30">
        <v>0.6</v>
      </c>
      <c r="BO30">
        <v>17400</v>
      </c>
      <c r="BP30">
        <v>12.14</v>
      </c>
      <c r="BQ30" t="s">
        <v>630</v>
      </c>
      <c r="BR30">
        <v>214.75</v>
      </c>
      <c r="BS30">
        <v>-0.4</v>
      </c>
      <c r="BT30">
        <v>289700</v>
      </c>
      <c r="BU30">
        <v>-3.29</v>
      </c>
      <c r="BV30">
        <v>23.31</v>
      </c>
      <c r="BW30">
        <v>5.2999999999999998E-4</v>
      </c>
    </row>
    <row r="31" spans="1:75">
      <c r="D31">
        <v>30</v>
      </c>
      <c r="E31">
        <f t="shared" ca="1" si="14"/>
        <v>17100</v>
      </c>
      <c r="F31" t="b">
        <v>0</v>
      </c>
      <c r="G31" s="38" t="e">
        <f t="shared" ca="1" si="3"/>
        <v>#N/A</v>
      </c>
      <c r="H31" s="38" t="e">
        <v>#N/A</v>
      </c>
      <c r="I31" s="40" t="e">
        <v>#N/A</v>
      </c>
      <c r="J31">
        <v>19000</v>
      </c>
      <c r="L31" s="40" t="e">
        <v>#N/A</v>
      </c>
      <c r="M31" s="40" t="e">
        <v>#N/A</v>
      </c>
      <c r="N31" s="84" t="e">
        <v>#DIV/0!</v>
      </c>
      <c r="O31" s="38" t="e">
        <v>#DIV/0!</v>
      </c>
      <c r="P31" s="38" t="e">
        <v>#DIV/0!</v>
      </c>
      <c r="Q31" s="38" t="e">
        <v>#N/A</v>
      </c>
      <c r="R31" s="90"/>
      <c r="S31" s="90" t="e">
        <f t="shared" ca="1" si="15"/>
        <v>#DIV/0!</v>
      </c>
      <c r="T31" s="90" t="e">
        <f t="shared" ca="1" si="15"/>
        <v>#DIV/0!</v>
      </c>
      <c r="U31" s="90" t="e">
        <f t="shared" ca="1" si="15"/>
        <v>#DIV/0!</v>
      </c>
      <c r="V31" s="90" t="e">
        <f t="shared" ca="1" si="15"/>
        <v>#DIV/0!</v>
      </c>
      <c r="W31" s="90" t="e">
        <f t="shared" ca="1" si="15"/>
        <v>#DIV/0!</v>
      </c>
      <c r="X31" s="90" t="e">
        <f t="shared" ca="1" si="15"/>
        <v>#DIV/0!</v>
      </c>
      <c r="Y31" s="90" t="e">
        <f t="shared" ca="1" si="15"/>
        <v>#DIV/0!</v>
      </c>
      <c r="Z31" s="90" t="e">
        <f t="shared" ca="1" si="15"/>
        <v>#DIV/0!</v>
      </c>
      <c r="AA31" s="90" t="e">
        <f t="shared" ca="1" si="15"/>
        <v>#DIV/0!</v>
      </c>
      <c r="AB31" s="90" t="e">
        <f t="shared" ca="1" si="15"/>
        <v>#DIV/0!</v>
      </c>
      <c r="AC31" s="90" t="e">
        <f t="shared" ca="1" si="15"/>
        <v>#DIV/0!</v>
      </c>
      <c r="AD31" s="90" t="e">
        <f t="shared" ca="1" si="16"/>
        <v>#DIV/0!</v>
      </c>
      <c r="AE31" s="90" t="e">
        <f t="shared" ca="1" si="16"/>
        <v>#DIV/0!</v>
      </c>
      <c r="AF31" s="90" t="e">
        <f t="shared" ca="1" si="16"/>
        <v>#DIV/0!</v>
      </c>
      <c r="AH31" s="40">
        <f t="shared" si="13"/>
        <v>0.99551874751829372</v>
      </c>
      <c r="AI31" t="b">
        <f t="shared" si="12"/>
        <v>0</v>
      </c>
      <c r="AK31">
        <v>152900</v>
      </c>
      <c r="AL31">
        <v>195</v>
      </c>
      <c r="AM31">
        <v>0.56000000000000005</v>
      </c>
      <c r="AN31">
        <v>17550</v>
      </c>
      <c r="AO31">
        <v>11.92</v>
      </c>
      <c r="AP31" t="s">
        <v>630</v>
      </c>
      <c r="AQ31">
        <v>135</v>
      </c>
      <c r="AR31">
        <v>-0.44</v>
      </c>
      <c r="AS31">
        <v>134600</v>
      </c>
      <c r="AT31">
        <v>-5.78</v>
      </c>
      <c r="AU31">
        <v>13.58</v>
      </c>
      <c r="AV31">
        <v>9.6000000000000002E-4</v>
      </c>
      <c r="AY31">
        <v>1715350</v>
      </c>
      <c r="AZ31">
        <v>178</v>
      </c>
      <c r="BA31">
        <v>0.54</v>
      </c>
      <c r="BB31">
        <v>17500</v>
      </c>
      <c r="BC31">
        <v>11.01</v>
      </c>
      <c r="BD31" t="s">
        <v>630</v>
      </c>
      <c r="BE31">
        <v>139</v>
      </c>
      <c r="BF31">
        <v>-0.46</v>
      </c>
      <c r="BG31">
        <v>1898600</v>
      </c>
      <c r="BH31">
        <v>-5.18</v>
      </c>
      <c r="BI31">
        <v>14.11</v>
      </c>
      <c r="BJ31">
        <v>1.01E-3</v>
      </c>
      <c r="BL31">
        <v>7100</v>
      </c>
      <c r="BM31">
        <v>347.85</v>
      </c>
      <c r="BN31">
        <v>0.56999999999999995</v>
      </c>
      <c r="BO31">
        <v>17450</v>
      </c>
      <c r="BP31">
        <v>12.06</v>
      </c>
      <c r="BQ31" t="s">
        <v>630</v>
      </c>
      <c r="BR31">
        <v>234.3</v>
      </c>
      <c r="BS31">
        <v>-0.43</v>
      </c>
      <c r="BT31">
        <v>12850</v>
      </c>
      <c r="BU31">
        <v>-3.32</v>
      </c>
      <c r="BV31">
        <v>23.66</v>
      </c>
      <c r="BW31">
        <v>5.4000000000000001E-4</v>
      </c>
    </row>
    <row r="32" spans="1:75">
      <c r="D32">
        <v>31</v>
      </c>
      <c r="E32">
        <f t="shared" ca="1" si="14"/>
        <v>17100</v>
      </c>
      <c r="F32" t="b">
        <v>0</v>
      </c>
      <c r="G32" s="38" t="e">
        <f t="shared" ca="1" si="3"/>
        <v>#N/A</v>
      </c>
      <c r="H32" s="38" t="e">
        <v>#N/A</v>
      </c>
      <c r="I32" s="40" t="e">
        <v>#N/A</v>
      </c>
      <c r="J32">
        <v>19000</v>
      </c>
      <c r="L32" s="40" t="e">
        <v>#N/A</v>
      </c>
      <c r="M32" s="40" t="e">
        <v>#N/A</v>
      </c>
      <c r="N32" s="84" t="e">
        <v>#DIV/0!</v>
      </c>
      <c r="O32" s="38" t="e">
        <v>#DIV/0!</v>
      </c>
      <c r="P32" s="38" t="e">
        <v>#DIV/0!</v>
      </c>
      <c r="Q32" s="38" t="e">
        <v>#N/A</v>
      </c>
      <c r="R32" s="90"/>
      <c r="S32" s="90" t="e">
        <f t="shared" ca="1" si="15"/>
        <v>#DIV/0!</v>
      </c>
      <c r="T32" s="90" t="e">
        <f t="shared" ca="1" si="15"/>
        <v>#DIV/0!</v>
      </c>
      <c r="U32" s="90" t="e">
        <f t="shared" ca="1" si="15"/>
        <v>#DIV/0!</v>
      </c>
      <c r="V32" s="90" t="e">
        <f t="shared" ca="1" si="15"/>
        <v>#DIV/0!</v>
      </c>
      <c r="W32" s="90" t="e">
        <f t="shared" ca="1" si="15"/>
        <v>#DIV/0!</v>
      </c>
      <c r="X32" s="90" t="e">
        <f t="shared" ca="1" si="15"/>
        <v>#DIV/0!</v>
      </c>
      <c r="Y32" s="90" t="e">
        <f t="shared" ca="1" si="15"/>
        <v>#DIV/0!</v>
      </c>
      <c r="Z32" s="90" t="e">
        <f t="shared" ca="1" si="15"/>
        <v>#DIV/0!</v>
      </c>
      <c r="AA32" s="90" t="e">
        <f t="shared" ca="1" si="15"/>
        <v>#DIV/0!</v>
      </c>
      <c r="AB32" s="90" t="e">
        <f t="shared" ca="1" si="15"/>
        <v>#DIV/0!</v>
      </c>
      <c r="AC32" s="90" t="e">
        <f t="shared" ca="1" si="15"/>
        <v>#DIV/0!</v>
      </c>
      <c r="AD32" s="90" t="e">
        <f t="shared" ca="1" si="16"/>
        <v>#DIV/0!</v>
      </c>
      <c r="AE32" s="90" t="e">
        <f t="shared" ca="1" si="16"/>
        <v>#DIV/0!</v>
      </c>
      <c r="AF32" s="90" t="e">
        <f t="shared" ca="1" si="16"/>
        <v>#DIV/0!</v>
      </c>
      <c r="AH32" s="40">
        <f t="shared" si="13"/>
        <v>0.99835498326620908</v>
      </c>
      <c r="AI32" t="b">
        <f t="shared" si="12"/>
        <v>0</v>
      </c>
      <c r="AK32">
        <v>1126300</v>
      </c>
      <c r="AL32">
        <v>169.9</v>
      </c>
      <c r="AM32">
        <v>0.52</v>
      </c>
      <c r="AN32">
        <v>17600</v>
      </c>
      <c r="AO32">
        <v>11.85</v>
      </c>
      <c r="AP32" t="s">
        <v>630</v>
      </c>
      <c r="AQ32">
        <v>157.5</v>
      </c>
      <c r="AR32">
        <v>-0.48</v>
      </c>
      <c r="AS32">
        <v>1220950</v>
      </c>
      <c r="AT32">
        <v>-5.82</v>
      </c>
      <c r="AU32">
        <v>13.75</v>
      </c>
      <c r="AV32">
        <v>9.7999999999999997E-4</v>
      </c>
      <c r="AY32">
        <v>212000</v>
      </c>
      <c r="AZ32">
        <v>149</v>
      </c>
      <c r="BA32">
        <v>0.49</v>
      </c>
      <c r="BB32">
        <v>17550</v>
      </c>
      <c r="BC32">
        <v>11.02</v>
      </c>
      <c r="BD32" t="s">
        <v>630</v>
      </c>
      <c r="BE32">
        <v>160.4</v>
      </c>
      <c r="BF32">
        <v>-0.51</v>
      </c>
      <c r="BG32">
        <v>62800</v>
      </c>
      <c r="BH32">
        <v>-5.21</v>
      </c>
      <c r="BI32">
        <v>14.18</v>
      </c>
      <c r="BJ32">
        <v>1.0200000000000001E-3</v>
      </c>
      <c r="BL32">
        <v>498900</v>
      </c>
      <c r="BM32">
        <v>317</v>
      </c>
      <c r="BN32">
        <v>0.55000000000000004</v>
      </c>
      <c r="BO32">
        <v>17500</v>
      </c>
      <c r="BP32">
        <v>11.92</v>
      </c>
      <c r="BQ32" t="s">
        <v>630</v>
      </c>
      <c r="BR32">
        <v>254</v>
      </c>
      <c r="BS32">
        <v>-0.45</v>
      </c>
      <c r="BT32">
        <v>466650</v>
      </c>
      <c r="BU32">
        <v>-3.31</v>
      </c>
      <c r="BV32">
        <v>23.9</v>
      </c>
      <c r="BW32">
        <v>5.5000000000000003E-4</v>
      </c>
    </row>
    <row r="33" spans="4:75">
      <c r="D33">
        <v>32</v>
      </c>
      <c r="E33">
        <f t="shared" ca="1" si="14"/>
        <v>17100</v>
      </c>
      <c r="F33" t="b">
        <v>0</v>
      </c>
      <c r="G33" s="38" t="e">
        <f t="shared" ca="1" si="3"/>
        <v>#N/A</v>
      </c>
      <c r="H33" s="38" t="e">
        <v>#N/A</v>
      </c>
      <c r="I33" s="40" t="e">
        <v>#N/A</v>
      </c>
      <c r="J33">
        <v>19000</v>
      </c>
      <c r="L33" s="40" t="e">
        <v>#N/A</v>
      </c>
      <c r="M33" s="40" t="e">
        <v>#N/A</v>
      </c>
      <c r="N33" s="84" t="e">
        <v>#DIV/0!</v>
      </c>
      <c r="O33" s="38" t="e">
        <v>#DIV/0!</v>
      </c>
      <c r="P33" s="38" t="e">
        <v>#DIV/0!</v>
      </c>
      <c r="Q33" s="38" t="e">
        <v>#N/A</v>
      </c>
      <c r="R33" s="90"/>
      <c r="S33" s="90" t="e">
        <f t="shared" ca="1" si="15"/>
        <v>#DIV/0!</v>
      </c>
      <c r="T33" s="90" t="e">
        <f t="shared" ca="1" si="15"/>
        <v>#DIV/0!</v>
      </c>
      <c r="U33" s="90" t="e">
        <f t="shared" ca="1" si="15"/>
        <v>#DIV/0!</v>
      </c>
      <c r="V33" s="90" t="e">
        <f t="shared" ca="1" si="15"/>
        <v>#DIV/0!</v>
      </c>
      <c r="W33" s="90" t="e">
        <f t="shared" ca="1" si="15"/>
        <v>#DIV/0!</v>
      </c>
      <c r="X33" s="90" t="e">
        <f t="shared" ca="1" si="15"/>
        <v>#DIV/0!</v>
      </c>
      <c r="Y33" s="90" t="e">
        <f t="shared" ca="1" si="15"/>
        <v>#DIV/0!</v>
      </c>
      <c r="Z33" s="90" t="e">
        <f t="shared" ca="1" si="15"/>
        <v>#DIV/0!</v>
      </c>
      <c r="AA33" s="90" t="e">
        <f t="shared" ca="1" si="15"/>
        <v>#DIV/0!</v>
      </c>
      <c r="AB33" s="90" t="e">
        <f t="shared" ca="1" si="15"/>
        <v>#DIV/0!</v>
      </c>
      <c r="AC33" s="90" t="e">
        <f t="shared" ca="1" si="15"/>
        <v>#DIV/0!</v>
      </c>
      <c r="AD33" s="90" t="e">
        <f t="shared" ca="1" si="16"/>
        <v>#DIV/0!</v>
      </c>
      <c r="AE33" s="90" t="e">
        <f t="shared" ca="1" si="16"/>
        <v>#DIV/0!</v>
      </c>
      <c r="AF33" s="90" t="e">
        <f t="shared" ca="1" si="16"/>
        <v>#DIV/0!</v>
      </c>
      <c r="AH33" s="40">
        <f t="shared" si="13"/>
        <v>1.0011912190141246</v>
      </c>
      <c r="AI33" t="b">
        <f t="shared" si="12"/>
        <v>0</v>
      </c>
      <c r="AK33">
        <v>219250</v>
      </c>
      <c r="AL33">
        <v>142.5</v>
      </c>
      <c r="AM33">
        <v>0.47</v>
      </c>
      <c r="AN33">
        <v>17650</v>
      </c>
      <c r="AO33">
        <v>11.71</v>
      </c>
      <c r="AP33" t="s">
        <v>630</v>
      </c>
      <c r="AQ33">
        <v>183.75</v>
      </c>
      <c r="AR33">
        <v>-0.53</v>
      </c>
      <c r="AS33">
        <v>45200</v>
      </c>
      <c r="AT33">
        <v>-5.73</v>
      </c>
      <c r="AU33">
        <v>13.71</v>
      </c>
      <c r="AV33">
        <v>9.7999999999999997E-4</v>
      </c>
      <c r="AY33">
        <v>1053400</v>
      </c>
      <c r="AZ33">
        <v>126</v>
      </c>
      <c r="BA33">
        <v>0.44</v>
      </c>
      <c r="BB33">
        <v>17600</v>
      </c>
      <c r="BC33">
        <v>11</v>
      </c>
      <c r="BD33" t="s">
        <v>630</v>
      </c>
      <c r="BE33">
        <v>187</v>
      </c>
      <c r="BF33">
        <v>-0.56000000000000005</v>
      </c>
      <c r="BG33">
        <v>840200</v>
      </c>
      <c r="BH33">
        <v>-5.14</v>
      </c>
      <c r="BI33">
        <v>14.01</v>
      </c>
      <c r="BJ33">
        <v>1.01E-3</v>
      </c>
      <c r="BL33">
        <v>8600</v>
      </c>
      <c r="BM33">
        <v>289.3</v>
      </c>
      <c r="BN33">
        <v>0.52</v>
      </c>
      <c r="BO33">
        <v>17550</v>
      </c>
      <c r="BP33">
        <v>11.73</v>
      </c>
      <c r="BQ33" t="s">
        <v>630</v>
      </c>
      <c r="BR33">
        <v>273.60000000000002</v>
      </c>
      <c r="BS33">
        <v>-0.48</v>
      </c>
      <c r="BT33">
        <v>3400</v>
      </c>
      <c r="BU33">
        <v>-3.28</v>
      </c>
      <c r="BV33">
        <v>24.03</v>
      </c>
      <c r="BW33">
        <v>5.5999999999999995E-4</v>
      </c>
    </row>
    <row r="34" spans="4:75">
      <c r="D34">
        <v>33</v>
      </c>
      <c r="E34">
        <f t="shared" ca="1" si="14"/>
        <v>17100</v>
      </c>
      <c r="F34" t="b">
        <v>0</v>
      </c>
      <c r="G34" s="38" t="e">
        <f t="shared" ref="G34:G59" ca="1" si="17">50*(VLOOKUP($E34,$AN:$AQ,4,0)-VLOOKUP($F34,$AN:$AQ,4,0))*IF(AS34&gt;0,1,0)</f>
        <v>#N/A</v>
      </c>
      <c r="H34" s="38" t="e">
        <v>#N/A</v>
      </c>
      <c r="I34" s="40" t="e">
        <v>#N/A</v>
      </c>
      <c r="J34">
        <v>19000</v>
      </c>
      <c r="L34" s="40" t="e">
        <v>#N/A</v>
      </c>
      <c r="M34" s="40" t="e">
        <v>#N/A</v>
      </c>
      <c r="N34" s="84" t="e">
        <v>#DIV/0!</v>
      </c>
      <c r="O34" s="38" t="e">
        <v>#DIV/0!</v>
      </c>
      <c r="P34" s="38" t="e">
        <v>#DIV/0!</v>
      </c>
      <c r="Q34" s="38" t="e">
        <v>#N/A</v>
      </c>
      <c r="R34" s="90"/>
      <c r="S34" s="90" t="e">
        <f t="shared" ca="1" si="15"/>
        <v>#DIV/0!</v>
      </c>
      <c r="T34" s="90" t="e">
        <f t="shared" ca="1" si="15"/>
        <v>#DIV/0!</v>
      </c>
      <c r="U34" s="90" t="e">
        <f t="shared" ca="1" si="15"/>
        <v>#DIV/0!</v>
      </c>
      <c r="V34" s="90" t="e">
        <f t="shared" ca="1" si="15"/>
        <v>#DIV/0!</v>
      </c>
      <c r="W34" s="90" t="e">
        <f t="shared" ca="1" si="15"/>
        <v>#DIV/0!</v>
      </c>
      <c r="X34" s="90" t="e">
        <f t="shared" ca="1" si="15"/>
        <v>#DIV/0!</v>
      </c>
      <c r="Y34" s="90" t="e">
        <f t="shared" ca="1" si="15"/>
        <v>#DIV/0!</v>
      </c>
      <c r="Z34" s="90" t="e">
        <f t="shared" ca="1" si="15"/>
        <v>#DIV/0!</v>
      </c>
      <c r="AA34" s="90" t="e">
        <f t="shared" ca="1" si="15"/>
        <v>#DIV/0!</v>
      </c>
      <c r="AB34" s="90" t="e">
        <f t="shared" ca="1" si="15"/>
        <v>#DIV/0!</v>
      </c>
      <c r="AC34" s="90" t="e">
        <f t="shared" ca="1" si="15"/>
        <v>#DIV/0!</v>
      </c>
      <c r="AD34" s="90" t="e">
        <f t="shared" ref="AD34:AF35" ca="1" si="18">$N34*50*(-MAX($E34-$B$2*(1-AD$1),0)+MAX($F34-$B$2*(1-AD$1),0))+$P34</f>
        <v>#DIV/0!</v>
      </c>
      <c r="AE34" s="90" t="e">
        <f t="shared" ca="1" si="18"/>
        <v>#DIV/0!</v>
      </c>
      <c r="AF34" s="90" t="e">
        <f t="shared" ca="1" si="18"/>
        <v>#DIV/0!</v>
      </c>
      <c r="AH34" s="40">
        <f t="shared" si="13"/>
        <v>1.0040274547620398</v>
      </c>
      <c r="AI34" t="b">
        <f t="shared" ref="AI34:AI59" si="19">AH34&lt;$B$4</f>
        <v>0</v>
      </c>
      <c r="AK34">
        <v>892400</v>
      </c>
      <c r="AL34">
        <v>120.5</v>
      </c>
      <c r="AM34">
        <v>0.42</v>
      </c>
      <c r="AN34">
        <v>17700</v>
      </c>
      <c r="AO34">
        <v>11.68</v>
      </c>
      <c r="AP34" t="s">
        <v>630</v>
      </c>
      <c r="AQ34">
        <v>210</v>
      </c>
      <c r="AR34">
        <v>-0.57999999999999996</v>
      </c>
      <c r="AS34">
        <v>523700</v>
      </c>
      <c r="AT34">
        <v>-5.62</v>
      </c>
      <c r="AU34">
        <v>13.46</v>
      </c>
      <c r="AV34">
        <v>9.7000000000000005E-4</v>
      </c>
      <c r="AY34">
        <v>152000</v>
      </c>
      <c r="AZ34">
        <v>111.5</v>
      </c>
      <c r="BA34">
        <v>0.39</v>
      </c>
      <c r="BB34">
        <v>17650</v>
      </c>
      <c r="BC34">
        <v>11.42</v>
      </c>
      <c r="BD34" t="s">
        <v>630</v>
      </c>
      <c r="BE34">
        <v>214</v>
      </c>
      <c r="BF34">
        <v>-0.61</v>
      </c>
      <c r="BG34">
        <v>17400</v>
      </c>
      <c r="BH34">
        <v>-5.21</v>
      </c>
      <c r="BI34">
        <v>13.67</v>
      </c>
      <c r="BJ34">
        <v>9.5E-4</v>
      </c>
      <c r="BL34">
        <v>114950</v>
      </c>
      <c r="BM34">
        <v>267.8</v>
      </c>
      <c r="BN34">
        <v>0.49</v>
      </c>
      <c r="BO34">
        <v>17600</v>
      </c>
      <c r="BP34">
        <v>11.8</v>
      </c>
      <c r="BQ34" t="s">
        <v>630</v>
      </c>
      <c r="BR34">
        <v>301.14999999999998</v>
      </c>
      <c r="BS34">
        <v>-0.51</v>
      </c>
      <c r="BT34">
        <v>64550</v>
      </c>
      <c r="BU34">
        <v>-3.3</v>
      </c>
      <c r="BV34">
        <v>24.05</v>
      </c>
      <c r="BW34">
        <v>5.5999999999999995E-4</v>
      </c>
    </row>
    <row r="35" spans="4:75">
      <c r="D35">
        <v>34</v>
      </c>
      <c r="E35">
        <f t="shared" ca="1" si="14"/>
        <v>17100</v>
      </c>
      <c r="F35" t="b">
        <v>0</v>
      </c>
      <c r="G35" s="38" t="e">
        <f t="shared" ca="1" si="17"/>
        <v>#N/A</v>
      </c>
      <c r="H35" s="38" t="e">
        <v>#N/A</v>
      </c>
      <c r="I35" s="40" t="e">
        <v>#N/A</v>
      </c>
      <c r="J35">
        <v>19000</v>
      </c>
      <c r="L35" s="40" t="e">
        <v>#N/A</v>
      </c>
      <c r="M35" s="40" t="e">
        <v>#N/A</v>
      </c>
      <c r="N35" s="84" t="e">
        <v>#DIV/0!</v>
      </c>
      <c r="O35" s="38" t="e">
        <v>#DIV/0!</v>
      </c>
      <c r="P35" s="38" t="e">
        <v>#DIV/0!</v>
      </c>
      <c r="Q35" s="38" t="e">
        <v>#N/A</v>
      </c>
      <c r="R35" s="90"/>
      <c r="S35" s="90" t="e">
        <f t="shared" ca="1" si="15"/>
        <v>#DIV/0!</v>
      </c>
      <c r="T35" s="90" t="e">
        <f t="shared" ca="1" si="15"/>
        <v>#DIV/0!</v>
      </c>
      <c r="U35" s="90" t="e">
        <f t="shared" ca="1" si="15"/>
        <v>#DIV/0!</v>
      </c>
      <c r="V35" s="90" t="e">
        <f t="shared" ca="1" si="15"/>
        <v>#DIV/0!</v>
      </c>
      <c r="W35" s="90" t="e">
        <f t="shared" ca="1" si="15"/>
        <v>#DIV/0!</v>
      </c>
      <c r="X35" s="90" t="e">
        <f t="shared" ca="1" si="15"/>
        <v>#DIV/0!</v>
      </c>
      <c r="Y35" s="90" t="e">
        <f t="shared" ca="1" si="15"/>
        <v>#DIV/0!</v>
      </c>
      <c r="Z35" s="90" t="e">
        <f t="shared" ca="1" si="15"/>
        <v>#DIV/0!</v>
      </c>
      <c r="AA35" s="90" t="e">
        <f t="shared" ca="1" si="15"/>
        <v>#DIV/0!</v>
      </c>
      <c r="AB35" s="90" t="e">
        <f t="shared" ca="1" si="15"/>
        <v>#DIV/0!</v>
      </c>
      <c r="AC35" s="90" t="e">
        <f t="shared" ca="1" si="15"/>
        <v>#DIV/0!</v>
      </c>
      <c r="AD35" s="90" t="e">
        <f t="shared" ca="1" si="18"/>
        <v>#DIV/0!</v>
      </c>
      <c r="AE35" s="90" t="e">
        <f t="shared" ca="1" si="18"/>
        <v>#DIV/0!</v>
      </c>
      <c r="AF35" s="90" t="e">
        <f t="shared" ca="1" si="18"/>
        <v>#DIV/0!</v>
      </c>
      <c r="AH35" s="40">
        <f t="shared" si="13"/>
        <v>1.0068636905099553</v>
      </c>
      <c r="AI35" t="b">
        <f t="shared" si="19"/>
        <v>0</v>
      </c>
      <c r="AK35">
        <v>149700</v>
      </c>
      <c r="AL35">
        <v>100.6</v>
      </c>
      <c r="AM35">
        <v>0.37</v>
      </c>
      <c r="AN35">
        <v>17750</v>
      </c>
      <c r="AO35">
        <v>11.63</v>
      </c>
      <c r="AP35" t="s">
        <v>630</v>
      </c>
      <c r="AQ35">
        <v>239.35</v>
      </c>
      <c r="AR35">
        <v>-0.63</v>
      </c>
      <c r="AS35">
        <v>10900</v>
      </c>
      <c r="AT35">
        <v>-5.4</v>
      </c>
      <c r="AU35">
        <v>13.01</v>
      </c>
      <c r="AV35">
        <v>9.3999999999999997E-4</v>
      </c>
      <c r="AY35">
        <v>781450</v>
      </c>
      <c r="AZ35">
        <v>84.75</v>
      </c>
      <c r="BA35">
        <v>0.34</v>
      </c>
      <c r="BB35">
        <v>17700</v>
      </c>
      <c r="BC35">
        <v>10.76</v>
      </c>
      <c r="BD35" t="s">
        <v>630</v>
      </c>
      <c r="BE35">
        <v>246.9</v>
      </c>
      <c r="BF35">
        <v>-0.66</v>
      </c>
      <c r="BG35">
        <v>361950</v>
      </c>
      <c r="BH35">
        <v>-4.66</v>
      </c>
      <c r="BI35">
        <v>12.99</v>
      </c>
      <c r="BJ35">
        <v>9.6000000000000002E-4</v>
      </c>
      <c r="BL35">
        <v>12950</v>
      </c>
      <c r="BM35">
        <v>241.9</v>
      </c>
      <c r="BN35">
        <v>0.46</v>
      </c>
      <c r="BO35">
        <v>17650</v>
      </c>
      <c r="BP35">
        <v>11.67</v>
      </c>
      <c r="BQ35" t="s">
        <v>630</v>
      </c>
      <c r="BR35">
        <v>322.45</v>
      </c>
      <c r="BS35">
        <v>-0.54</v>
      </c>
      <c r="BT35">
        <v>3200</v>
      </c>
      <c r="BU35">
        <v>-3.25</v>
      </c>
      <c r="BV35">
        <v>23.94</v>
      </c>
      <c r="BW35">
        <v>5.5999999999999995E-4</v>
      </c>
    </row>
    <row r="36" spans="4:75">
      <c r="D36">
        <v>35</v>
      </c>
      <c r="E36">
        <f t="shared" ca="1" si="14"/>
        <v>17100</v>
      </c>
      <c r="F36" t="b">
        <v>0</v>
      </c>
      <c r="G36" s="38" t="e">
        <f t="shared" ca="1" si="17"/>
        <v>#N/A</v>
      </c>
      <c r="H36" s="38" t="e">
        <v>#N/A</v>
      </c>
      <c r="I36" s="40" t="e">
        <v>#N/A</v>
      </c>
      <c r="J36">
        <v>19000</v>
      </c>
      <c r="L36" s="40" t="e">
        <v>#N/A</v>
      </c>
      <c r="M36" s="40" t="e">
        <v>#N/A</v>
      </c>
      <c r="N36" s="84" t="e">
        <v>#DIV/0!</v>
      </c>
      <c r="O36" s="38" t="e">
        <v>#DIV/0!</v>
      </c>
      <c r="P36" s="38" t="e">
        <v>#DIV/0!</v>
      </c>
      <c r="Q36" s="38" t="e">
        <v>#N/A</v>
      </c>
      <c r="R36" s="90"/>
      <c r="S36" s="90" t="e">
        <f t="shared" ca="1" si="15"/>
        <v>#DIV/0!</v>
      </c>
      <c r="T36" s="90" t="e">
        <f t="shared" ca="1" si="15"/>
        <v>#DIV/0!</v>
      </c>
      <c r="U36" s="90" t="e">
        <f t="shared" ref="U36:AF59" ca="1" si="20">$N36*50*(-MAX($E36-$B$2*(1-U$1),0)+MAX($F36-$B$2*(1-U$1),0))+$P36</f>
        <v>#DIV/0!</v>
      </c>
      <c r="V36" s="90" t="e">
        <f t="shared" ca="1" si="20"/>
        <v>#DIV/0!</v>
      </c>
      <c r="W36" s="90" t="e">
        <f t="shared" ca="1" si="20"/>
        <v>#DIV/0!</v>
      </c>
      <c r="X36" s="90" t="e">
        <f t="shared" ca="1" si="20"/>
        <v>#DIV/0!</v>
      </c>
      <c r="Y36" s="90" t="e">
        <f t="shared" ca="1" si="20"/>
        <v>#DIV/0!</v>
      </c>
      <c r="Z36" s="90" t="e">
        <f t="shared" ca="1" si="20"/>
        <v>#DIV/0!</v>
      </c>
      <c r="AA36" s="90" t="e">
        <f t="shared" ca="1" si="20"/>
        <v>#DIV/0!</v>
      </c>
      <c r="AB36" s="90" t="e">
        <f t="shared" ca="1" si="20"/>
        <v>#DIV/0!</v>
      </c>
      <c r="AC36" s="90" t="e">
        <f t="shared" ca="1" si="20"/>
        <v>#DIV/0!</v>
      </c>
      <c r="AD36" s="90" t="e">
        <f t="shared" ca="1" si="20"/>
        <v>#DIV/0!</v>
      </c>
      <c r="AE36" s="90" t="e">
        <f t="shared" ca="1" si="20"/>
        <v>#DIV/0!</v>
      </c>
      <c r="AF36" s="90" t="e">
        <f t="shared" ca="1" si="20"/>
        <v>#DIV/0!</v>
      </c>
      <c r="AH36" s="40">
        <f t="shared" si="13"/>
        <v>1.0096999262578705</v>
      </c>
      <c r="AI36" t="b">
        <f t="shared" si="19"/>
        <v>0</v>
      </c>
      <c r="AK36">
        <v>1243500</v>
      </c>
      <c r="AL36">
        <v>84</v>
      </c>
      <c r="AM36">
        <v>0.32</v>
      </c>
      <c r="AN36">
        <v>17800</v>
      </c>
      <c r="AO36">
        <v>11.65</v>
      </c>
      <c r="AP36" t="s">
        <v>630</v>
      </c>
      <c r="AQ36">
        <v>276</v>
      </c>
      <c r="AR36">
        <v>-0.68</v>
      </c>
      <c r="AS36">
        <v>779450</v>
      </c>
      <c r="AT36">
        <v>-5.16</v>
      </c>
      <c r="AU36">
        <v>12.4</v>
      </c>
      <c r="AV36">
        <v>8.8999999999999995E-4</v>
      </c>
      <c r="AY36">
        <v>117200</v>
      </c>
      <c r="AZ36">
        <v>69.7</v>
      </c>
      <c r="BA36">
        <v>0.28999999999999998</v>
      </c>
      <c r="BB36">
        <v>17750</v>
      </c>
      <c r="BC36">
        <v>10.78</v>
      </c>
      <c r="BD36" t="s">
        <v>630</v>
      </c>
      <c r="BE36">
        <v>276.89999999999998</v>
      </c>
      <c r="BF36">
        <v>-0.71</v>
      </c>
      <c r="BG36">
        <v>8200</v>
      </c>
      <c r="BH36">
        <v>-4.3899999999999997</v>
      </c>
      <c r="BI36">
        <v>12.22</v>
      </c>
      <c r="BJ36">
        <v>8.9999999999999998E-4</v>
      </c>
      <c r="BL36">
        <v>128400</v>
      </c>
      <c r="BM36">
        <v>219</v>
      </c>
      <c r="BN36">
        <v>0.43</v>
      </c>
      <c r="BO36">
        <v>17700</v>
      </c>
      <c r="BP36">
        <v>11.62</v>
      </c>
      <c r="BQ36" t="s">
        <v>630</v>
      </c>
      <c r="BR36">
        <v>343.05</v>
      </c>
      <c r="BS36">
        <v>-0.56999999999999995</v>
      </c>
      <c r="BT36">
        <v>18850</v>
      </c>
      <c r="BU36">
        <v>-3.2</v>
      </c>
      <c r="BV36">
        <v>23.71</v>
      </c>
      <c r="BW36">
        <v>5.5999999999999995E-4</v>
      </c>
    </row>
    <row r="37" spans="4:75">
      <c r="D37">
        <v>36</v>
      </c>
      <c r="E37">
        <f t="shared" ca="1" si="14"/>
        <v>17100</v>
      </c>
      <c r="F37" t="b">
        <v>0</v>
      </c>
      <c r="G37" s="38" t="e">
        <f t="shared" ca="1" si="17"/>
        <v>#N/A</v>
      </c>
      <c r="H37" s="38" t="e">
        <v>#N/A</v>
      </c>
      <c r="I37" s="40" t="e">
        <v>#N/A</v>
      </c>
      <c r="J37">
        <v>19000</v>
      </c>
      <c r="L37" s="40" t="e">
        <v>#N/A</v>
      </c>
      <c r="M37" s="40" t="e">
        <v>#N/A</v>
      </c>
      <c r="N37" s="84" t="e">
        <v>#DIV/0!</v>
      </c>
      <c r="O37" s="38" t="e">
        <v>#DIV/0!</v>
      </c>
      <c r="P37" s="38" t="e">
        <v>#DIV/0!</v>
      </c>
      <c r="Q37" s="38" t="e">
        <v>#N/A</v>
      </c>
      <c r="R37" s="90"/>
      <c r="S37" s="90" t="e">
        <f t="shared" ref="S37:T59" ca="1" si="21">$N37*50*(-MAX($E37-$B$2*(1-S$1),0)+MAX($F37-$B$2*(1-S$1),0))+$P37</f>
        <v>#DIV/0!</v>
      </c>
      <c r="T37" s="90" t="e">
        <f t="shared" ca="1" si="21"/>
        <v>#DIV/0!</v>
      </c>
      <c r="U37" s="90" t="e">
        <f t="shared" ca="1" si="20"/>
        <v>#DIV/0!</v>
      </c>
      <c r="V37" s="90" t="e">
        <f t="shared" ca="1" si="20"/>
        <v>#DIV/0!</v>
      </c>
      <c r="W37" s="90" t="e">
        <f t="shared" ca="1" si="20"/>
        <v>#DIV/0!</v>
      </c>
      <c r="X37" s="90" t="e">
        <f t="shared" ca="1" si="20"/>
        <v>#DIV/0!</v>
      </c>
      <c r="Y37" s="90" t="e">
        <f t="shared" ca="1" si="20"/>
        <v>#DIV/0!</v>
      </c>
      <c r="Z37" s="90" t="e">
        <f t="shared" ca="1" si="20"/>
        <v>#DIV/0!</v>
      </c>
      <c r="AA37" s="90" t="e">
        <f t="shared" ca="1" si="20"/>
        <v>#DIV/0!</v>
      </c>
      <c r="AB37" s="90" t="e">
        <f t="shared" ca="1" si="20"/>
        <v>#DIV/0!</v>
      </c>
      <c r="AC37" s="90" t="e">
        <f t="shared" ca="1" si="20"/>
        <v>#DIV/0!</v>
      </c>
      <c r="AD37" s="90" t="e">
        <f t="shared" ca="1" si="20"/>
        <v>#DIV/0!</v>
      </c>
      <c r="AE37" s="90" t="e">
        <f t="shared" ca="1" si="20"/>
        <v>#DIV/0!</v>
      </c>
      <c r="AF37" s="90" t="e">
        <f t="shared" ca="1" si="20"/>
        <v>#DIV/0!</v>
      </c>
      <c r="AH37" s="40">
        <f t="shared" si="13"/>
        <v>1.012536162005786</v>
      </c>
      <c r="AI37" t="b">
        <f t="shared" si="19"/>
        <v>0</v>
      </c>
      <c r="AK37">
        <v>77100</v>
      </c>
      <c r="AL37">
        <v>70</v>
      </c>
      <c r="AM37">
        <v>0.28000000000000003</v>
      </c>
      <c r="AN37">
        <v>17850</v>
      </c>
      <c r="AO37">
        <v>11.71</v>
      </c>
      <c r="AP37" t="s">
        <v>630</v>
      </c>
      <c r="AQ37">
        <v>308.89999999999998</v>
      </c>
      <c r="AR37">
        <v>-0.72</v>
      </c>
      <c r="AS37">
        <v>6350</v>
      </c>
      <c r="AT37">
        <v>-4.88</v>
      </c>
      <c r="AU37">
        <v>11.66</v>
      </c>
      <c r="AV37">
        <v>8.4000000000000003E-4</v>
      </c>
      <c r="AY37">
        <v>888950</v>
      </c>
      <c r="AZ37">
        <v>56.75</v>
      </c>
      <c r="BA37">
        <v>0.25</v>
      </c>
      <c r="BB37">
        <v>17800</v>
      </c>
      <c r="BC37">
        <v>10.8</v>
      </c>
      <c r="BD37" t="s">
        <v>630</v>
      </c>
      <c r="BE37">
        <v>318</v>
      </c>
      <c r="BF37">
        <v>-0.75</v>
      </c>
      <c r="BG37">
        <v>338000</v>
      </c>
      <c r="BH37">
        <v>-4.07</v>
      </c>
      <c r="BI37">
        <v>11.3</v>
      </c>
      <c r="BJ37">
        <v>8.3000000000000001E-4</v>
      </c>
      <c r="BL37">
        <v>16550</v>
      </c>
      <c r="BM37">
        <v>198.1</v>
      </c>
      <c r="BN37">
        <v>0.4</v>
      </c>
      <c r="BO37">
        <v>17750</v>
      </c>
      <c r="BP37">
        <v>11.59</v>
      </c>
      <c r="BQ37" t="s">
        <v>630</v>
      </c>
      <c r="BR37">
        <v>721.85</v>
      </c>
      <c r="BS37">
        <v>-0.6</v>
      </c>
      <c r="BT37">
        <v>100</v>
      </c>
      <c r="BU37">
        <v>-3.15</v>
      </c>
      <c r="BV37">
        <v>23.37</v>
      </c>
      <c r="BW37">
        <v>5.5000000000000003E-4</v>
      </c>
    </row>
    <row r="38" spans="4:75">
      <c r="D38">
        <v>37</v>
      </c>
      <c r="E38">
        <f t="shared" ca="1" si="14"/>
        <v>17100</v>
      </c>
      <c r="F38" t="b">
        <v>0</v>
      </c>
      <c r="G38" s="38" t="e">
        <f t="shared" ca="1" si="17"/>
        <v>#N/A</v>
      </c>
      <c r="H38" s="38" t="e">
        <v>#N/A</v>
      </c>
      <c r="I38" s="40" t="e">
        <v>#N/A</v>
      </c>
      <c r="J38">
        <v>19000</v>
      </c>
      <c r="L38" s="40" t="e">
        <v>#N/A</v>
      </c>
      <c r="M38" s="40" t="e">
        <v>#N/A</v>
      </c>
      <c r="N38" s="84" t="e">
        <v>#DIV/0!</v>
      </c>
      <c r="O38" s="38" t="e">
        <v>#DIV/0!</v>
      </c>
      <c r="P38" s="38" t="e">
        <v>#DIV/0!</v>
      </c>
      <c r="Q38" s="38" t="e">
        <v>#N/A</v>
      </c>
      <c r="R38" s="90"/>
      <c r="S38" s="90" t="e">
        <f t="shared" ca="1" si="21"/>
        <v>#DIV/0!</v>
      </c>
      <c r="T38" s="90" t="e">
        <f t="shared" ca="1" si="21"/>
        <v>#DIV/0!</v>
      </c>
      <c r="U38" s="90" t="e">
        <f t="shared" ca="1" si="20"/>
        <v>#DIV/0!</v>
      </c>
      <c r="V38" s="90" t="e">
        <f t="shared" ca="1" si="20"/>
        <v>#DIV/0!</v>
      </c>
      <c r="W38" s="90" t="e">
        <f t="shared" ca="1" si="20"/>
        <v>#DIV/0!</v>
      </c>
      <c r="X38" s="90" t="e">
        <f t="shared" ca="1" si="20"/>
        <v>#DIV/0!</v>
      </c>
      <c r="Y38" s="90" t="e">
        <f t="shared" ca="1" si="20"/>
        <v>#DIV/0!</v>
      </c>
      <c r="Z38" s="90" t="e">
        <f t="shared" ca="1" si="20"/>
        <v>#DIV/0!</v>
      </c>
      <c r="AA38" s="90" t="e">
        <f t="shared" ca="1" si="20"/>
        <v>#DIV/0!</v>
      </c>
      <c r="AB38" s="90" t="e">
        <f t="shared" ca="1" si="20"/>
        <v>#DIV/0!</v>
      </c>
      <c r="AC38" s="90" t="e">
        <f t="shared" ca="1" si="20"/>
        <v>#DIV/0!</v>
      </c>
      <c r="AD38" s="90" t="e">
        <f t="shared" ca="1" si="20"/>
        <v>#DIV/0!</v>
      </c>
      <c r="AE38" s="90" t="e">
        <f t="shared" ca="1" si="20"/>
        <v>#DIV/0!</v>
      </c>
      <c r="AF38" s="90" t="e">
        <f t="shared" ca="1" si="20"/>
        <v>#DIV/0!</v>
      </c>
      <c r="AH38" s="40">
        <f t="shared" si="13"/>
        <v>1.0153723977537013</v>
      </c>
      <c r="AI38" t="b">
        <f t="shared" si="19"/>
        <v>0</v>
      </c>
      <c r="AK38">
        <v>532950</v>
      </c>
      <c r="AL38">
        <v>57.9</v>
      </c>
      <c r="AM38">
        <v>0.24</v>
      </c>
      <c r="AN38">
        <v>17900</v>
      </c>
      <c r="AO38">
        <v>11.77</v>
      </c>
      <c r="AP38" t="s">
        <v>630</v>
      </c>
      <c r="AQ38">
        <v>344.1</v>
      </c>
      <c r="AR38">
        <v>-0.76</v>
      </c>
      <c r="AS38">
        <v>33950</v>
      </c>
      <c r="AT38">
        <v>-4.55</v>
      </c>
      <c r="AU38">
        <v>10.81</v>
      </c>
      <c r="AV38">
        <v>7.6999999999999996E-4</v>
      </c>
      <c r="AY38">
        <v>64050</v>
      </c>
      <c r="AZ38">
        <v>45.85</v>
      </c>
      <c r="BA38">
        <v>0.21</v>
      </c>
      <c r="BB38">
        <v>17850</v>
      </c>
      <c r="BC38">
        <v>10.83</v>
      </c>
      <c r="BD38" t="s">
        <v>630</v>
      </c>
      <c r="BE38">
        <v>353.75</v>
      </c>
      <c r="BF38">
        <v>-0.79</v>
      </c>
      <c r="BG38">
        <v>5950</v>
      </c>
      <c r="BH38">
        <v>-3.72</v>
      </c>
      <c r="BI38">
        <v>10.3</v>
      </c>
      <c r="BJ38">
        <v>7.5000000000000002E-4</v>
      </c>
      <c r="BL38">
        <v>118200</v>
      </c>
      <c r="BM38">
        <v>178.5</v>
      </c>
      <c r="BN38">
        <v>0.38</v>
      </c>
      <c r="BO38">
        <v>17800</v>
      </c>
      <c r="BP38">
        <v>11.55</v>
      </c>
      <c r="BQ38" t="s">
        <v>630</v>
      </c>
      <c r="BR38">
        <v>411.1</v>
      </c>
      <c r="BS38">
        <v>-0.62</v>
      </c>
      <c r="BT38">
        <v>17050</v>
      </c>
      <c r="BU38">
        <v>-3.08</v>
      </c>
      <c r="BV38">
        <v>22.91</v>
      </c>
      <c r="BW38">
        <v>5.5000000000000003E-4</v>
      </c>
    </row>
    <row r="39" spans="4:75">
      <c r="D39">
        <v>38</v>
      </c>
      <c r="E39">
        <f t="shared" ca="1" si="14"/>
        <v>17100</v>
      </c>
      <c r="F39" t="b">
        <v>0</v>
      </c>
      <c r="G39" s="38" t="e">
        <f t="shared" ca="1" si="17"/>
        <v>#N/A</v>
      </c>
      <c r="H39" s="38" t="e">
        <v>#N/A</v>
      </c>
      <c r="I39" s="40" t="e">
        <v>#N/A</v>
      </c>
      <c r="J39">
        <v>19000</v>
      </c>
      <c r="L39" s="40" t="e">
        <v>#N/A</v>
      </c>
      <c r="M39" s="40" t="e">
        <v>#N/A</v>
      </c>
      <c r="N39" s="84" t="e">
        <v>#DIV/0!</v>
      </c>
      <c r="O39" s="38" t="e">
        <v>#DIV/0!</v>
      </c>
      <c r="P39" s="38" t="e">
        <v>#DIV/0!</v>
      </c>
      <c r="Q39" s="38" t="e">
        <v>#N/A</v>
      </c>
      <c r="R39" s="90"/>
      <c r="S39" s="90" t="e">
        <f t="shared" ca="1" si="21"/>
        <v>#DIV/0!</v>
      </c>
      <c r="T39" s="90" t="e">
        <f t="shared" ca="1" si="21"/>
        <v>#DIV/0!</v>
      </c>
      <c r="U39" s="90" t="e">
        <f t="shared" ca="1" si="20"/>
        <v>#DIV/0!</v>
      </c>
      <c r="V39" s="90" t="e">
        <f t="shared" ca="1" si="20"/>
        <v>#DIV/0!</v>
      </c>
      <c r="W39" s="90" t="e">
        <f t="shared" ca="1" si="20"/>
        <v>#DIV/0!</v>
      </c>
      <c r="X39" s="90" t="e">
        <f t="shared" ca="1" si="20"/>
        <v>#DIV/0!</v>
      </c>
      <c r="Y39" s="90" t="e">
        <f t="shared" ca="1" si="20"/>
        <v>#DIV/0!</v>
      </c>
      <c r="Z39" s="90" t="e">
        <f t="shared" ca="1" si="20"/>
        <v>#DIV/0!</v>
      </c>
      <c r="AA39" s="90" t="e">
        <f t="shared" ca="1" si="20"/>
        <v>#DIV/0!</v>
      </c>
      <c r="AB39" s="90" t="e">
        <f t="shared" ca="1" si="20"/>
        <v>#DIV/0!</v>
      </c>
      <c r="AC39" s="90" t="e">
        <f t="shared" ca="1" si="20"/>
        <v>#DIV/0!</v>
      </c>
      <c r="AD39" s="90" t="e">
        <f t="shared" ca="1" si="20"/>
        <v>#DIV/0!</v>
      </c>
      <c r="AE39" s="90" t="e">
        <f t="shared" ca="1" si="20"/>
        <v>#DIV/0!</v>
      </c>
      <c r="AF39" s="90" t="e">
        <f t="shared" ca="1" si="20"/>
        <v>#DIV/0!</v>
      </c>
      <c r="AH39" s="40">
        <f t="shared" si="13"/>
        <v>1.0182086335016167</v>
      </c>
      <c r="AI39" t="b">
        <f t="shared" si="19"/>
        <v>0</v>
      </c>
      <c r="AK39">
        <v>72850</v>
      </c>
      <c r="AL39">
        <v>48.25</v>
      </c>
      <c r="AM39">
        <v>0.21</v>
      </c>
      <c r="AN39">
        <v>17950</v>
      </c>
      <c r="AO39">
        <v>11.9</v>
      </c>
      <c r="AP39" t="s">
        <v>630</v>
      </c>
      <c r="AQ39">
        <v>381</v>
      </c>
      <c r="AR39">
        <v>-0.79</v>
      </c>
      <c r="AS39">
        <v>6800</v>
      </c>
      <c r="AT39">
        <v>-4.2300000000000004</v>
      </c>
      <c r="AU39">
        <v>9.94</v>
      </c>
      <c r="AV39">
        <v>6.9999999999999999E-4</v>
      </c>
      <c r="AY39">
        <v>442150</v>
      </c>
      <c r="AZ39">
        <v>36.299999999999997</v>
      </c>
      <c r="BA39">
        <v>0.18</v>
      </c>
      <c r="BB39">
        <v>17900</v>
      </c>
      <c r="BC39">
        <v>10.82</v>
      </c>
      <c r="BD39" t="s">
        <v>630</v>
      </c>
      <c r="BE39">
        <v>395</v>
      </c>
      <c r="BF39">
        <v>-0.82</v>
      </c>
      <c r="BG39">
        <v>24800</v>
      </c>
      <c r="BH39">
        <v>-3.32</v>
      </c>
      <c r="BI39">
        <v>9.2200000000000006</v>
      </c>
      <c r="BJ39">
        <v>6.7000000000000002E-4</v>
      </c>
      <c r="BL39">
        <v>11250</v>
      </c>
      <c r="BM39">
        <v>160</v>
      </c>
      <c r="BN39">
        <v>0.35</v>
      </c>
      <c r="BO39">
        <v>17850</v>
      </c>
      <c r="BP39">
        <v>11.51</v>
      </c>
      <c r="BQ39" t="s">
        <v>630</v>
      </c>
      <c r="BR39">
        <v>0</v>
      </c>
      <c r="BS39">
        <v>-0.65</v>
      </c>
      <c r="BT39">
        <v>0</v>
      </c>
      <c r="BU39">
        <v>-2.99</v>
      </c>
      <c r="BV39">
        <v>22.34</v>
      </c>
      <c r="BW39">
        <v>5.2999999999999998E-4</v>
      </c>
    </row>
    <row r="40" spans="4:75">
      <c r="D40">
        <v>39</v>
      </c>
      <c r="E40">
        <f t="shared" ca="1" si="14"/>
        <v>17100</v>
      </c>
      <c r="F40" t="b">
        <v>0</v>
      </c>
      <c r="G40" s="38" t="e">
        <f t="shared" ca="1" si="17"/>
        <v>#N/A</v>
      </c>
      <c r="H40" s="38" t="e">
        <v>#N/A</v>
      </c>
      <c r="I40" s="40" t="e">
        <v>#N/A</v>
      </c>
      <c r="J40">
        <v>19000</v>
      </c>
      <c r="L40" s="40" t="e">
        <v>#N/A</v>
      </c>
      <c r="M40" s="40" t="e">
        <v>#N/A</v>
      </c>
      <c r="N40" s="84" t="e">
        <v>#DIV/0!</v>
      </c>
      <c r="O40" s="38" t="e">
        <v>#DIV/0!</v>
      </c>
      <c r="P40" s="38" t="e">
        <v>#DIV/0!</v>
      </c>
      <c r="Q40" s="38" t="e">
        <v>#N/A</v>
      </c>
      <c r="R40" s="90"/>
      <c r="S40" s="90" t="e">
        <f t="shared" ca="1" si="21"/>
        <v>#DIV/0!</v>
      </c>
      <c r="T40" s="90" t="e">
        <f t="shared" ca="1" si="21"/>
        <v>#DIV/0!</v>
      </c>
      <c r="U40" s="90" t="e">
        <f t="shared" ca="1" si="20"/>
        <v>#DIV/0!</v>
      </c>
      <c r="V40" s="90" t="e">
        <f t="shared" ca="1" si="20"/>
        <v>#DIV/0!</v>
      </c>
      <c r="W40" s="90" t="e">
        <f t="shared" ca="1" si="20"/>
        <v>#DIV/0!</v>
      </c>
      <c r="X40" s="90" t="e">
        <f t="shared" ca="1" si="20"/>
        <v>#DIV/0!</v>
      </c>
      <c r="Y40" s="90" t="e">
        <f t="shared" ca="1" si="20"/>
        <v>#DIV/0!</v>
      </c>
      <c r="Z40" s="90" t="e">
        <f t="shared" ca="1" si="20"/>
        <v>#DIV/0!</v>
      </c>
      <c r="AA40" s="90" t="e">
        <f t="shared" ca="1" si="20"/>
        <v>#DIV/0!</v>
      </c>
      <c r="AB40" s="90" t="e">
        <f t="shared" ca="1" si="20"/>
        <v>#DIV/0!</v>
      </c>
      <c r="AC40" s="90" t="e">
        <f t="shared" ca="1" si="20"/>
        <v>#DIV/0!</v>
      </c>
      <c r="AD40" s="90" t="e">
        <f t="shared" ca="1" si="20"/>
        <v>#DIV/0!</v>
      </c>
      <c r="AE40" s="90" t="e">
        <f t="shared" ca="1" si="20"/>
        <v>#DIV/0!</v>
      </c>
      <c r="AF40" s="90" t="e">
        <f t="shared" ca="1" si="20"/>
        <v>#DIV/0!</v>
      </c>
      <c r="AH40" s="40">
        <f t="shared" si="13"/>
        <v>1.021044869249532</v>
      </c>
      <c r="AI40" t="b">
        <f t="shared" si="19"/>
        <v>0</v>
      </c>
      <c r="AK40">
        <v>1440175</v>
      </c>
      <c r="AL40">
        <v>39.549999999999997</v>
      </c>
      <c r="AM40">
        <v>0.18</v>
      </c>
      <c r="AN40">
        <v>18000</v>
      </c>
      <c r="AO40">
        <v>11.97</v>
      </c>
      <c r="AP40" t="s">
        <v>630</v>
      </c>
      <c r="AQ40">
        <v>431.35</v>
      </c>
      <c r="AR40">
        <v>-0.82</v>
      </c>
      <c r="AS40">
        <v>588600</v>
      </c>
      <c r="AT40">
        <v>-3.85</v>
      </c>
      <c r="AU40">
        <v>9.01</v>
      </c>
      <c r="AV40">
        <v>6.3000000000000003E-4</v>
      </c>
      <c r="AY40">
        <v>39500</v>
      </c>
      <c r="AZ40">
        <v>29.75</v>
      </c>
      <c r="BA40">
        <v>0.15</v>
      </c>
      <c r="BB40">
        <v>17950</v>
      </c>
      <c r="BC40">
        <v>10.97</v>
      </c>
      <c r="BD40" t="s">
        <v>630</v>
      </c>
      <c r="BE40">
        <v>444.15</v>
      </c>
      <c r="BF40">
        <v>-0.85</v>
      </c>
      <c r="BG40">
        <v>6800</v>
      </c>
      <c r="BH40">
        <v>-3.02</v>
      </c>
      <c r="BI40">
        <v>8.25</v>
      </c>
      <c r="BJ40">
        <v>5.9999999999999995E-4</v>
      </c>
      <c r="BL40">
        <v>65750</v>
      </c>
      <c r="BM40">
        <v>142.55000000000001</v>
      </c>
      <c r="BN40">
        <v>0.32</v>
      </c>
      <c r="BO40">
        <v>17900</v>
      </c>
      <c r="BP40">
        <v>11.45</v>
      </c>
      <c r="BQ40" t="s">
        <v>630</v>
      </c>
      <c r="BR40">
        <v>478</v>
      </c>
      <c r="BS40">
        <v>-0.68</v>
      </c>
      <c r="BT40">
        <v>5200</v>
      </c>
      <c r="BU40">
        <v>-2.88</v>
      </c>
      <c r="BV40">
        <v>21.66</v>
      </c>
      <c r="BW40">
        <v>5.1999999999999995E-4</v>
      </c>
    </row>
    <row r="41" spans="4:75">
      <c r="D41">
        <v>40</v>
      </c>
      <c r="E41">
        <f t="shared" ca="1" si="14"/>
        <v>17100</v>
      </c>
      <c r="F41" t="b">
        <v>0</v>
      </c>
      <c r="G41" s="38" t="e">
        <f t="shared" ca="1" si="17"/>
        <v>#N/A</v>
      </c>
      <c r="H41" s="38" t="e">
        <v>#N/A</v>
      </c>
      <c r="I41" s="40" t="e">
        <v>#N/A</v>
      </c>
      <c r="J41">
        <v>19000</v>
      </c>
      <c r="L41" s="40" t="e">
        <v>#N/A</v>
      </c>
      <c r="M41" s="40" t="e">
        <v>#N/A</v>
      </c>
      <c r="N41" s="84" t="e">
        <v>#DIV/0!</v>
      </c>
      <c r="O41" s="38" t="e">
        <v>#DIV/0!</v>
      </c>
      <c r="P41" s="38" t="e">
        <v>#DIV/0!</v>
      </c>
      <c r="Q41" s="38" t="e">
        <v>#N/A</v>
      </c>
      <c r="R41" s="90"/>
      <c r="S41" s="90" t="e">
        <f t="shared" ca="1" si="21"/>
        <v>#DIV/0!</v>
      </c>
      <c r="T41" s="90" t="e">
        <f t="shared" ca="1" si="21"/>
        <v>#DIV/0!</v>
      </c>
      <c r="U41" s="90" t="e">
        <f t="shared" ca="1" si="20"/>
        <v>#DIV/0!</v>
      </c>
      <c r="V41" s="90" t="e">
        <f t="shared" ca="1" si="20"/>
        <v>#DIV/0!</v>
      </c>
      <c r="W41" s="90" t="e">
        <f t="shared" ca="1" si="20"/>
        <v>#DIV/0!</v>
      </c>
      <c r="X41" s="90" t="e">
        <f t="shared" ca="1" si="20"/>
        <v>#DIV/0!</v>
      </c>
      <c r="Y41" s="90" t="e">
        <f t="shared" ca="1" si="20"/>
        <v>#DIV/0!</v>
      </c>
      <c r="Z41" s="90" t="e">
        <f t="shared" ca="1" si="20"/>
        <v>#DIV/0!</v>
      </c>
      <c r="AA41" s="90" t="e">
        <f t="shared" ca="1" si="20"/>
        <v>#DIV/0!</v>
      </c>
      <c r="AB41" s="90" t="e">
        <f t="shared" ca="1" si="20"/>
        <v>#DIV/0!</v>
      </c>
      <c r="AC41" s="90" t="e">
        <f t="shared" ca="1" si="20"/>
        <v>#DIV/0!</v>
      </c>
      <c r="AD41" s="90" t="e">
        <f t="shared" ca="1" si="20"/>
        <v>#DIV/0!</v>
      </c>
      <c r="AE41" s="90" t="e">
        <f t="shared" ca="1" si="20"/>
        <v>#DIV/0!</v>
      </c>
      <c r="AF41" s="90" t="e">
        <f t="shared" ca="1" si="20"/>
        <v>#DIV/0!</v>
      </c>
      <c r="AH41" s="40">
        <f t="shared" si="13"/>
        <v>1.0238811049974474</v>
      </c>
      <c r="AI41" t="b">
        <f t="shared" si="19"/>
        <v>0</v>
      </c>
      <c r="AK41">
        <v>117950</v>
      </c>
      <c r="AL41">
        <v>32.35</v>
      </c>
      <c r="AM41">
        <v>0.15</v>
      </c>
      <c r="AN41">
        <v>18050</v>
      </c>
      <c r="AO41">
        <v>12.06</v>
      </c>
      <c r="AP41" t="s">
        <v>630</v>
      </c>
      <c r="AQ41">
        <v>538</v>
      </c>
      <c r="AR41">
        <v>-0.85</v>
      </c>
      <c r="AS41">
        <v>3500</v>
      </c>
      <c r="AT41">
        <v>-3.49</v>
      </c>
      <c r="AU41">
        <v>8.09</v>
      </c>
      <c r="AV41">
        <v>5.5999999999999995E-4</v>
      </c>
      <c r="AY41">
        <v>1446075</v>
      </c>
      <c r="AZ41">
        <v>24.05</v>
      </c>
      <c r="BA41">
        <v>0.12</v>
      </c>
      <c r="BB41">
        <v>18000</v>
      </c>
      <c r="BC41">
        <v>11.08</v>
      </c>
      <c r="BD41" t="s">
        <v>630</v>
      </c>
      <c r="BE41">
        <v>485.75</v>
      </c>
      <c r="BF41">
        <v>-0.88</v>
      </c>
      <c r="BG41">
        <v>446700</v>
      </c>
      <c r="BH41">
        <v>-2.69</v>
      </c>
      <c r="BI41">
        <v>7.29</v>
      </c>
      <c r="BJ41">
        <v>5.1999999999999995E-4</v>
      </c>
      <c r="BL41">
        <v>7400</v>
      </c>
      <c r="BM41">
        <v>123.55</v>
      </c>
      <c r="BN41">
        <v>0.28999999999999998</v>
      </c>
      <c r="BO41">
        <v>17950</v>
      </c>
      <c r="BP41">
        <v>11.25</v>
      </c>
      <c r="BQ41" t="s">
        <v>630</v>
      </c>
      <c r="BR41">
        <v>0</v>
      </c>
      <c r="BS41">
        <v>-0.71</v>
      </c>
      <c r="BT41">
        <v>0</v>
      </c>
      <c r="BU41">
        <v>-2.72</v>
      </c>
      <c r="BV41">
        <v>20.8</v>
      </c>
      <c r="BW41">
        <v>5.1000000000000004E-4</v>
      </c>
    </row>
    <row r="42" spans="4:75">
      <c r="D42">
        <v>41</v>
      </c>
      <c r="E42">
        <f t="shared" ca="1" si="14"/>
        <v>17100</v>
      </c>
      <c r="F42" t="b">
        <v>0</v>
      </c>
      <c r="G42" s="38" t="e">
        <f t="shared" ca="1" si="17"/>
        <v>#N/A</v>
      </c>
      <c r="H42" s="38" t="e">
        <v>#N/A</v>
      </c>
      <c r="I42" s="40" t="e">
        <v>#N/A</v>
      </c>
      <c r="J42">
        <v>19000</v>
      </c>
      <c r="L42" s="40" t="e">
        <v>#N/A</v>
      </c>
      <c r="M42" s="40" t="e">
        <v>#N/A</v>
      </c>
      <c r="N42" s="84" t="e">
        <v>#DIV/0!</v>
      </c>
      <c r="O42" s="38" t="e">
        <v>#DIV/0!</v>
      </c>
      <c r="P42" s="38" t="e">
        <v>#DIV/0!</v>
      </c>
      <c r="Q42" s="38" t="e">
        <v>#N/A</v>
      </c>
      <c r="R42" s="90"/>
      <c r="S42" s="90" t="e">
        <f t="shared" ca="1" si="21"/>
        <v>#DIV/0!</v>
      </c>
      <c r="T42" s="90" t="e">
        <f t="shared" ca="1" si="21"/>
        <v>#DIV/0!</v>
      </c>
      <c r="U42" s="90" t="e">
        <f t="shared" ca="1" si="20"/>
        <v>#DIV/0!</v>
      </c>
      <c r="V42" s="90" t="e">
        <f t="shared" ca="1" si="20"/>
        <v>#DIV/0!</v>
      </c>
      <c r="W42" s="90" t="e">
        <f t="shared" ca="1" si="20"/>
        <v>#DIV/0!</v>
      </c>
      <c r="X42" s="90" t="e">
        <f t="shared" ca="1" si="20"/>
        <v>#DIV/0!</v>
      </c>
      <c r="Y42" s="90" t="e">
        <f t="shared" ca="1" si="20"/>
        <v>#DIV/0!</v>
      </c>
      <c r="Z42" s="90" t="e">
        <f t="shared" ca="1" si="20"/>
        <v>#DIV/0!</v>
      </c>
      <c r="AA42" s="90" t="e">
        <f t="shared" ca="1" si="20"/>
        <v>#DIV/0!</v>
      </c>
      <c r="AB42" s="90" t="e">
        <f t="shared" ca="1" si="20"/>
        <v>#DIV/0!</v>
      </c>
      <c r="AC42" s="90" t="e">
        <f t="shared" ca="1" si="20"/>
        <v>#DIV/0!</v>
      </c>
      <c r="AD42" s="90" t="e">
        <f t="shared" ca="1" si="20"/>
        <v>#DIV/0!</v>
      </c>
      <c r="AE42" s="90" t="e">
        <f t="shared" ca="1" si="20"/>
        <v>#DIV/0!</v>
      </c>
      <c r="AF42" s="90" t="e">
        <f t="shared" ca="1" si="20"/>
        <v>#DIV/0!</v>
      </c>
      <c r="AH42" s="40">
        <f t="shared" si="13"/>
        <v>1.0267173407453627</v>
      </c>
      <c r="AI42" t="b">
        <f t="shared" si="19"/>
        <v>0</v>
      </c>
      <c r="AK42">
        <v>391850</v>
      </c>
      <c r="AL42">
        <v>26.25</v>
      </c>
      <c r="AM42">
        <v>0.13</v>
      </c>
      <c r="AN42">
        <v>18100</v>
      </c>
      <c r="AO42">
        <v>12.14</v>
      </c>
      <c r="AP42" t="s">
        <v>630</v>
      </c>
      <c r="AQ42">
        <v>514.45000000000005</v>
      </c>
      <c r="AR42">
        <v>-0.87</v>
      </c>
      <c r="AS42">
        <v>11450</v>
      </c>
      <c r="AT42">
        <v>-3.11</v>
      </c>
      <c r="AU42">
        <v>7.18</v>
      </c>
      <c r="AV42">
        <v>5.0000000000000001E-4</v>
      </c>
      <c r="AY42">
        <v>113250</v>
      </c>
      <c r="AZ42">
        <v>16.55</v>
      </c>
      <c r="BA42">
        <v>0.09</v>
      </c>
      <c r="BB42">
        <v>18050</v>
      </c>
      <c r="BC42">
        <v>10.74</v>
      </c>
      <c r="BD42" t="s">
        <v>630</v>
      </c>
      <c r="BE42">
        <v>538</v>
      </c>
      <c r="BF42">
        <v>-0.91</v>
      </c>
      <c r="BG42">
        <v>3450</v>
      </c>
      <c r="BH42">
        <v>-2.13</v>
      </c>
      <c r="BI42">
        <v>5.94</v>
      </c>
      <c r="BJ42">
        <v>4.4000000000000002E-4</v>
      </c>
      <c r="BL42">
        <v>407850</v>
      </c>
      <c r="BM42">
        <v>115.9</v>
      </c>
      <c r="BN42">
        <v>0.28000000000000003</v>
      </c>
      <c r="BO42">
        <v>18000</v>
      </c>
      <c r="BP42">
        <v>11.54</v>
      </c>
      <c r="BQ42" t="s">
        <v>630</v>
      </c>
      <c r="BR42">
        <v>548.4</v>
      </c>
      <c r="BS42">
        <v>-0.72</v>
      </c>
      <c r="BT42">
        <v>182500</v>
      </c>
      <c r="BU42">
        <v>-2.7</v>
      </c>
      <c r="BV42">
        <v>20.149999999999999</v>
      </c>
      <c r="BW42">
        <v>4.8000000000000001E-4</v>
      </c>
    </row>
    <row r="43" spans="4:75">
      <c r="D43">
        <v>42</v>
      </c>
      <c r="E43">
        <f t="shared" ca="1" si="14"/>
        <v>17100</v>
      </c>
      <c r="F43" t="b">
        <v>0</v>
      </c>
      <c r="G43" s="38" t="e">
        <f t="shared" ca="1" si="17"/>
        <v>#N/A</v>
      </c>
      <c r="H43" s="38" t="e">
        <v>#N/A</v>
      </c>
      <c r="I43" s="40" t="e">
        <v>#N/A</v>
      </c>
      <c r="J43">
        <v>19000</v>
      </c>
      <c r="L43" s="40" t="e">
        <v>#N/A</v>
      </c>
      <c r="M43" s="40" t="e">
        <v>#N/A</v>
      </c>
      <c r="N43" s="84" t="e">
        <v>#DIV/0!</v>
      </c>
      <c r="O43" s="38" t="e">
        <v>#DIV/0!</v>
      </c>
      <c r="P43" s="38" t="e">
        <v>#DIV/0!</v>
      </c>
      <c r="Q43" s="38" t="e">
        <v>#N/A</v>
      </c>
      <c r="R43" s="90"/>
      <c r="S43" s="90" t="e">
        <f t="shared" ca="1" si="21"/>
        <v>#DIV/0!</v>
      </c>
      <c r="T43" s="90" t="e">
        <f t="shared" ca="1" si="21"/>
        <v>#DIV/0!</v>
      </c>
      <c r="U43" s="90" t="e">
        <f t="shared" ca="1" si="20"/>
        <v>#DIV/0!</v>
      </c>
      <c r="V43" s="90" t="e">
        <f t="shared" ca="1" si="20"/>
        <v>#DIV/0!</v>
      </c>
      <c r="W43" s="90" t="e">
        <f t="shared" ca="1" si="20"/>
        <v>#DIV/0!</v>
      </c>
      <c r="X43" s="90" t="e">
        <f t="shared" ca="1" si="20"/>
        <v>#DIV/0!</v>
      </c>
      <c r="Y43" s="90" t="e">
        <f t="shared" ca="1" si="20"/>
        <v>#DIV/0!</v>
      </c>
      <c r="Z43" s="90" t="e">
        <f t="shared" ca="1" si="20"/>
        <v>#DIV/0!</v>
      </c>
      <c r="AA43" s="90" t="e">
        <f t="shared" ca="1" si="20"/>
        <v>#DIV/0!</v>
      </c>
      <c r="AB43" s="90" t="e">
        <f t="shared" ca="1" si="20"/>
        <v>#DIV/0!</v>
      </c>
      <c r="AC43" s="90" t="e">
        <f t="shared" ca="1" si="20"/>
        <v>#DIV/0!</v>
      </c>
      <c r="AD43" s="90" t="e">
        <f t="shared" ca="1" si="20"/>
        <v>#DIV/0!</v>
      </c>
      <c r="AE43" s="90" t="e">
        <f t="shared" ca="1" si="20"/>
        <v>#DIV/0!</v>
      </c>
      <c r="AF43" s="90" t="e">
        <f t="shared" ca="1" si="20"/>
        <v>#DIV/0!</v>
      </c>
      <c r="AH43" s="40">
        <f t="shared" si="13"/>
        <v>1.0295535764932782</v>
      </c>
      <c r="AI43" t="b">
        <f t="shared" si="19"/>
        <v>0</v>
      </c>
      <c r="AK43">
        <v>38000</v>
      </c>
      <c r="AL43">
        <v>22.05</v>
      </c>
      <c r="AM43">
        <v>0.11</v>
      </c>
      <c r="AN43">
        <v>18150</v>
      </c>
      <c r="AO43">
        <v>12.35</v>
      </c>
      <c r="AP43" t="s">
        <v>630</v>
      </c>
      <c r="AQ43">
        <v>550</v>
      </c>
      <c r="AR43">
        <v>-0.89</v>
      </c>
      <c r="AS43">
        <v>2000</v>
      </c>
      <c r="AT43">
        <v>-2.83</v>
      </c>
      <c r="AU43">
        <v>6.43</v>
      </c>
      <c r="AV43">
        <v>4.4000000000000002E-4</v>
      </c>
      <c r="AY43">
        <v>357150</v>
      </c>
      <c r="AZ43">
        <v>15.2</v>
      </c>
      <c r="BA43">
        <v>0.08</v>
      </c>
      <c r="BB43">
        <v>18100</v>
      </c>
      <c r="BC43">
        <v>11.25</v>
      </c>
      <c r="BD43" t="s">
        <v>630</v>
      </c>
      <c r="BE43">
        <v>571.75</v>
      </c>
      <c r="BF43">
        <v>-0.92</v>
      </c>
      <c r="BG43">
        <v>11350</v>
      </c>
      <c r="BH43">
        <v>-2.0499999999999998</v>
      </c>
      <c r="BI43">
        <v>5.48</v>
      </c>
      <c r="BJ43">
        <v>3.8999999999999999E-4</v>
      </c>
      <c r="BL43">
        <v>14200</v>
      </c>
      <c r="BM43">
        <v>102.4</v>
      </c>
      <c r="BN43">
        <v>0.25</v>
      </c>
      <c r="BO43">
        <v>18050</v>
      </c>
      <c r="BP43">
        <v>11.49</v>
      </c>
      <c r="BQ43" t="s">
        <v>630</v>
      </c>
      <c r="BR43">
        <v>0</v>
      </c>
      <c r="BS43">
        <v>-0.75</v>
      </c>
      <c r="BT43">
        <v>0</v>
      </c>
      <c r="BU43">
        <v>-2.57</v>
      </c>
      <c r="BV43">
        <v>19.239999999999998</v>
      </c>
      <c r="BW43">
        <v>4.6000000000000001E-4</v>
      </c>
    </row>
    <row r="44" spans="4:75">
      <c r="D44">
        <v>43</v>
      </c>
      <c r="E44">
        <f t="shared" ca="1" si="14"/>
        <v>17100</v>
      </c>
      <c r="F44" t="b">
        <v>0</v>
      </c>
      <c r="G44" s="38" t="e">
        <f t="shared" ca="1" si="17"/>
        <v>#N/A</v>
      </c>
      <c r="H44" s="38" t="e">
        <v>#N/A</v>
      </c>
      <c r="I44" s="40" t="e">
        <v>#N/A</v>
      </c>
      <c r="J44">
        <v>19000</v>
      </c>
      <c r="L44" s="40" t="e">
        <v>#N/A</v>
      </c>
      <c r="M44" s="40" t="e">
        <v>#N/A</v>
      </c>
      <c r="N44" s="84" t="e">
        <v>#DIV/0!</v>
      </c>
      <c r="O44" s="38" t="e">
        <v>#DIV/0!</v>
      </c>
      <c r="P44" s="38" t="e">
        <v>#DIV/0!</v>
      </c>
      <c r="Q44" s="38" t="e">
        <v>#N/A</v>
      </c>
      <c r="R44" s="90"/>
      <c r="S44" s="90" t="e">
        <f t="shared" ca="1" si="21"/>
        <v>#DIV/0!</v>
      </c>
      <c r="T44" s="90" t="e">
        <f t="shared" ca="1" si="21"/>
        <v>#DIV/0!</v>
      </c>
      <c r="U44" s="90" t="e">
        <f t="shared" ca="1" si="20"/>
        <v>#DIV/0!</v>
      </c>
      <c r="V44" s="90" t="e">
        <f t="shared" ca="1" si="20"/>
        <v>#DIV/0!</v>
      </c>
      <c r="W44" s="90" t="e">
        <f t="shared" ca="1" si="20"/>
        <v>#DIV/0!</v>
      </c>
      <c r="X44" s="90" t="e">
        <f t="shared" ca="1" si="20"/>
        <v>#DIV/0!</v>
      </c>
      <c r="Y44" s="90" t="e">
        <f t="shared" ca="1" si="20"/>
        <v>#DIV/0!</v>
      </c>
      <c r="Z44" s="90" t="e">
        <f t="shared" ca="1" si="20"/>
        <v>#DIV/0!</v>
      </c>
      <c r="AA44" s="90" t="e">
        <f t="shared" ca="1" si="20"/>
        <v>#DIV/0!</v>
      </c>
      <c r="AB44" s="90" t="e">
        <f t="shared" ca="1" si="20"/>
        <v>#DIV/0!</v>
      </c>
      <c r="AC44" s="90" t="e">
        <f t="shared" ca="1" si="20"/>
        <v>#DIV/0!</v>
      </c>
      <c r="AD44" s="90" t="e">
        <f t="shared" ca="1" si="20"/>
        <v>#DIV/0!</v>
      </c>
      <c r="AE44" s="90" t="e">
        <f t="shared" ca="1" si="20"/>
        <v>#DIV/0!</v>
      </c>
      <c r="AF44" s="90" t="e">
        <f t="shared" ca="1" si="20"/>
        <v>#DIV/0!</v>
      </c>
      <c r="AH44" s="40">
        <f t="shared" si="13"/>
        <v>1.0323898122411934</v>
      </c>
      <c r="AI44" t="b">
        <f t="shared" si="19"/>
        <v>0</v>
      </c>
      <c r="AK44">
        <v>433850</v>
      </c>
      <c r="AL44">
        <v>18.5</v>
      </c>
      <c r="AM44">
        <v>0.09</v>
      </c>
      <c r="AN44">
        <v>18200</v>
      </c>
      <c r="AO44">
        <v>12.56</v>
      </c>
      <c r="AP44" t="s">
        <v>630</v>
      </c>
      <c r="AQ44">
        <v>597.25</v>
      </c>
      <c r="AR44">
        <v>-0.91</v>
      </c>
      <c r="AS44">
        <v>8750</v>
      </c>
      <c r="AT44">
        <v>-2.56</v>
      </c>
      <c r="AU44">
        <v>5.72</v>
      </c>
      <c r="AV44">
        <v>3.8000000000000002E-4</v>
      </c>
      <c r="AY44">
        <v>38000</v>
      </c>
      <c r="AZ44">
        <v>13.4</v>
      </c>
      <c r="BA44">
        <v>7.0000000000000007E-2</v>
      </c>
      <c r="BB44">
        <v>18150</v>
      </c>
      <c r="BC44">
        <v>11.62</v>
      </c>
      <c r="BD44" t="s">
        <v>630</v>
      </c>
      <c r="BE44">
        <v>650</v>
      </c>
      <c r="BF44">
        <v>-0.93</v>
      </c>
      <c r="BG44">
        <v>1550</v>
      </c>
      <c r="BH44">
        <v>-1.92</v>
      </c>
      <c r="BI44">
        <v>4.95</v>
      </c>
      <c r="BJ44">
        <v>3.4000000000000002E-4</v>
      </c>
      <c r="BL44">
        <v>57900</v>
      </c>
      <c r="BM44">
        <v>91.65</v>
      </c>
      <c r="BN44">
        <v>0.23</v>
      </c>
      <c r="BO44">
        <v>18100</v>
      </c>
      <c r="BP44">
        <v>11.53</v>
      </c>
      <c r="BQ44" t="s">
        <v>630</v>
      </c>
      <c r="BR44">
        <v>622</v>
      </c>
      <c r="BS44">
        <v>-0.77</v>
      </c>
      <c r="BT44">
        <v>2700</v>
      </c>
      <c r="BU44">
        <v>-2.46</v>
      </c>
      <c r="BV44">
        <v>18.350000000000001</v>
      </c>
      <c r="BW44">
        <v>4.4000000000000002E-4</v>
      </c>
    </row>
    <row r="45" spans="4:75">
      <c r="D45">
        <v>44</v>
      </c>
      <c r="E45">
        <f t="shared" ca="1" si="14"/>
        <v>17100</v>
      </c>
      <c r="F45" t="b">
        <v>0</v>
      </c>
      <c r="G45" s="38" t="e">
        <f t="shared" ca="1" si="17"/>
        <v>#N/A</v>
      </c>
      <c r="H45" s="38" t="e">
        <v>#N/A</v>
      </c>
      <c r="I45" s="40" t="e">
        <v>#N/A</v>
      </c>
      <c r="J45">
        <v>19000</v>
      </c>
      <c r="L45" s="40" t="e">
        <v>#N/A</v>
      </c>
      <c r="M45" s="40" t="e">
        <v>#N/A</v>
      </c>
      <c r="N45" s="84" t="e">
        <v>#DIV/0!</v>
      </c>
      <c r="O45" s="38" t="e">
        <v>#DIV/0!</v>
      </c>
      <c r="P45" s="38" t="e">
        <v>#DIV/0!</v>
      </c>
      <c r="Q45" s="38" t="e">
        <v>#N/A</v>
      </c>
      <c r="R45" s="90"/>
      <c r="S45" s="90" t="e">
        <f t="shared" ca="1" si="21"/>
        <v>#DIV/0!</v>
      </c>
      <c r="T45" s="90" t="e">
        <f t="shared" ca="1" si="21"/>
        <v>#DIV/0!</v>
      </c>
      <c r="U45" s="90" t="e">
        <f t="shared" ca="1" si="20"/>
        <v>#DIV/0!</v>
      </c>
      <c r="V45" s="90" t="e">
        <f t="shared" ca="1" si="20"/>
        <v>#DIV/0!</v>
      </c>
      <c r="W45" s="90" t="e">
        <f t="shared" ca="1" si="20"/>
        <v>#DIV/0!</v>
      </c>
      <c r="X45" s="90" t="e">
        <f t="shared" ca="1" si="20"/>
        <v>#DIV/0!</v>
      </c>
      <c r="Y45" s="90" t="e">
        <f t="shared" ca="1" si="20"/>
        <v>#DIV/0!</v>
      </c>
      <c r="Z45" s="90" t="e">
        <f t="shared" ca="1" si="20"/>
        <v>#DIV/0!</v>
      </c>
      <c r="AA45" s="90" t="e">
        <f t="shared" ca="1" si="20"/>
        <v>#DIV/0!</v>
      </c>
      <c r="AB45" s="90" t="e">
        <f t="shared" ca="1" si="20"/>
        <v>#DIV/0!</v>
      </c>
      <c r="AC45" s="90" t="e">
        <f t="shared" ca="1" si="20"/>
        <v>#DIV/0!</v>
      </c>
      <c r="AD45" s="90" t="e">
        <f t="shared" ca="1" si="20"/>
        <v>#DIV/0!</v>
      </c>
      <c r="AE45" s="90" t="e">
        <f t="shared" ca="1" si="20"/>
        <v>#DIV/0!</v>
      </c>
      <c r="AF45" s="90" t="e">
        <f t="shared" ca="1" si="20"/>
        <v>#DIV/0!</v>
      </c>
      <c r="AH45" s="40">
        <f t="shared" si="13"/>
        <v>1.0352260479891089</v>
      </c>
      <c r="AI45" t="b">
        <f t="shared" si="19"/>
        <v>0</v>
      </c>
      <c r="AK45">
        <v>32950</v>
      </c>
      <c r="AL45">
        <v>15.35</v>
      </c>
      <c r="AM45">
        <v>0.08</v>
      </c>
      <c r="AN45">
        <v>18250</v>
      </c>
      <c r="AO45">
        <v>12.73</v>
      </c>
      <c r="AP45" t="s">
        <v>630</v>
      </c>
      <c r="AQ45">
        <v>655</v>
      </c>
      <c r="AR45">
        <v>-0.92</v>
      </c>
      <c r="AS45">
        <v>2550</v>
      </c>
      <c r="AT45">
        <v>-2.29</v>
      </c>
      <c r="AU45">
        <v>5.04</v>
      </c>
      <c r="AV45">
        <v>3.3E-4</v>
      </c>
      <c r="AY45">
        <v>408100</v>
      </c>
      <c r="AZ45">
        <v>10.75</v>
      </c>
      <c r="BA45">
        <v>0.06</v>
      </c>
      <c r="BB45">
        <v>18200</v>
      </c>
      <c r="BC45">
        <v>11.74</v>
      </c>
      <c r="BD45" t="s">
        <v>630</v>
      </c>
      <c r="BE45">
        <v>669.1</v>
      </c>
      <c r="BF45">
        <v>-0.94</v>
      </c>
      <c r="BG45">
        <v>7800</v>
      </c>
      <c r="BH45">
        <v>-1.66</v>
      </c>
      <c r="BI45">
        <v>4.25</v>
      </c>
      <c r="BJ45">
        <v>2.9E-4</v>
      </c>
      <c r="BL45">
        <v>8900</v>
      </c>
      <c r="BM45">
        <v>79.7</v>
      </c>
      <c r="BN45">
        <v>0.21</v>
      </c>
      <c r="BO45">
        <v>18150</v>
      </c>
      <c r="BP45">
        <v>11.44</v>
      </c>
      <c r="BQ45" t="s">
        <v>630</v>
      </c>
      <c r="BR45">
        <v>0</v>
      </c>
      <c r="BS45">
        <v>-0.79</v>
      </c>
      <c r="BT45">
        <v>0</v>
      </c>
      <c r="BU45">
        <v>-2.2999999999999998</v>
      </c>
      <c r="BV45">
        <v>17.3</v>
      </c>
      <c r="BW45">
        <v>4.2000000000000002E-4</v>
      </c>
    </row>
    <row r="46" spans="4:75">
      <c r="D46">
        <v>45</v>
      </c>
      <c r="E46">
        <f t="shared" ca="1" si="14"/>
        <v>17100</v>
      </c>
      <c r="F46" t="b">
        <v>0</v>
      </c>
      <c r="G46" s="38" t="e">
        <f t="shared" ca="1" si="17"/>
        <v>#N/A</v>
      </c>
      <c r="H46" s="38" t="e">
        <v>#N/A</v>
      </c>
      <c r="I46" s="40" t="e">
        <v>#N/A</v>
      </c>
      <c r="J46">
        <v>19000</v>
      </c>
      <c r="L46" s="40" t="e">
        <v>#N/A</v>
      </c>
      <c r="M46" s="40" t="e">
        <v>#N/A</v>
      </c>
      <c r="N46" s="84" t="e">
        <v>#DIV/0!</v>
      </c>
      <c r="O46" s="38" t="e">
        <v>#DIV/0!</v>
      </c>
      <c r="P46" s="38" t="e">
        <v>#DIV/0!</v>
      </c>
      <c r="Q46" s="38" t="e">
        <v>#N/A</v>
      </c>
      <c r="R46" s="90"/>
      <c r="S46" s="90" t="e">
        <f t="shared" ca="1" si="21"/>
        <v>#DIV/0!</v>
      </c>
      <c r="T46" s="90" t="e">
        <f t="shared" ca="1" si="21"/>
        <v>#DIV/0!</v>
      </c>
      <c r="U46" s="90" t="e">
        <f t="shared" ca="1" si="20"/>
        <v>#DIV/0!</v>
      </c>
      <c r="V46" s="90" t="e">
        <f t="shared" ca="1" si="20"/>
        <v>#DIV/0!</v>
      </c>
      <c r="W46" s="90" t="e">
        <f t="shared" ca="1" si="20"/>
        <v>#DIV/0!</v>
      </c>
      <c r="X46" s="90" t="e">
        <f t="shared" ca="1" si="20"/>
        <v>#DIV/0!</v>
      </c>
      <c r="Y46" s="90" t="e">
        <f t="shared" ca="1" si="20"/>
        <v>#DIV/0!</v>
      </c>
      <c r="Z46" s="90" t="e">
        <f t="shared" ca="1" si="20"/>
        <v>#DIV/0!</v>
      </c>
      <c r="AA46" s="90" t="e">
        <f t="shared" ca="1" si="20"/>
        <v>#DIV/0!</v>
      </c>
      <c r="AB46" s="90" t="e">
        <f t="shared" ca="1" si="20"/>
        <v>#DIV/0!</v>
      </c>
      <c r="AC46" s="90" t="e">
        <f t="shared" ca="1" si="20"/>
        <v>#DIV/0!</v>
      </c>
      <c r="AD46" s="90" t="e">
        <f t="shared" ca="1" si="20"/>
        <v>#DIV/0!</v>
      </c>
      <c r="AE46" s="90" t="e">
        <f t="shared" ca="1" si="20"/>
        <v>#DIV/0!</v>
      </c>
      <c r="AF46" s="90" t="e">
        <f t="shared" ca="1" si="20"/>
        <v>#DIV/0!</v>
      </c>
      <c r="AH46" s="40">
        <f t="shared" si="13"/>
        <v>1.0380622837370241</v>
      </c>
      <c r="AI46" t="b">
        <f t="shared" si="19"/>
        <v>0</v>
      </c>
      <c r="AK46">
        <v>204350</v>
      </c>
      <c r="AL46">
        <v>13.05</v>
      </c>
      <c r="AM46">
        <v>7.0000000000000007E-2</v>
      </c>
      <c r="AN46">
        <v>18300</v>
      </c>
      <c r="AO46">
        <v>12.97</v>
      </c>
      <c r="AP46" t="s">
        <v>630</v>
      </c>
      <c r="AQ46">
        <v>693.3</v>
      </c>
      <c r="AR46">
        <v>-0.93</v>
      </c>
      <c r="AS46">
        <v>6500</v>
      </c>
      <c r="AT46">
        <v>-2.08</v>
      </c>
      <c r="AU46">
        <v>4.4800000000000004</v>
      </c>
      <c r="AV46">
        <v>2.9E-4</v>
      </c>
      <c r="AY46">
        <v>25400</v>
      </c>
      <c r="AZ46">
        <v>9.35</v>
      </c>
      <c r="BA46">
        <v>0.05</v>
      </c>
      <c r="BB46">
        <v>18250</v>
      </c>
      <c r="BC46">
        <v>12.06</v>
      </c>
      <c r="BD46" t="s">
        <v>630</v>
      </c>
      <c r="BE46">
        <v>717.45</v>
      </c>
      <c r="BF46">
        <v>-0.95</v>
      </c>
      <c r="BG46">
        <v>2500</v>
      </c>
      <c r="BH46">
        <v>-1.53</v>
      </c>
      <c r="BI46">
        <v>3.8</v>
      </c>
      <c r="BJ46">
        <v>2.5000000000000001E-4</v>
      </c>
      <c r="BL46">
        <v>66550</v>
      </c>
      <c r="BM46">
        <v>74</v>
      </c>
      <c r="BN46">
        <v>0.19</v>
      </c>
      <c r="BO46">
        <v>18200</v>
      </c>
      <c r="BP46">
        <v>11.67</v>
      </c>
      <c r="BQ46" t="s">
        <v>630</v>
      </c>
      <c r="BR46">
        <v>696.2</v>
      </c>
      <c r="BS46">
        <v>-0.81</v>
      </c>
      <c r="BT46">
        <v>550</v>
      </c>
      <c r="BU46">
        <v>-2.25</v>
      </c>
      <c r="BV46">
        <v>16.559999999999999</v>
      </c>
      <c r="BW46">
        <v>3.8999999999999999E-4</v>
      </c>
    </row>
    <row r="47" spans="4:75">
      <c r="D47">
        <v>46</v>
      </c>
      <c r="E47">
        <f t="shared" ca="1" si="14"/>
        <v>17100</v>
      </c>
      <c r="F47" t="b">
        <v>0</v>
      </c>
      <c r="G47" s="38" t="e">
        <f t="shared" ca="1" si="17"/>
        <v>#N/A</v>
      </c>
      <c r="H47" s="38" t="e">
        <v>#N/A</v>
      </c>
      <c r="I47" s="40" t="e">
        <v>#N/A</v>
      </c>
      <c r="J47">
        <v>19000</v>
      </c>
      <c r="L47" s="40" t="e">
        <v>#N/A</v>
      </c>
      <c r="M47" s="40" t="e">
        <v>#N/A</v>
      </c>
      <c r="N47" s="84" t="e">
        <v>#DIV/0!</v>
      </c>
      <c r="O47" s="38" t="e">
        <v>#DIV/0!</v>
      </c>
      <c r="P47" s="38" t="e">
        <v>#DIV/0!</v>
      </c>
      <c r="Q47" s="38" t="e">
        <v>#N/A</v>
      </c>
      <c r="R47" s="90"/>
      <c r="S47" s="90" t="e">
        <f t="shared" ca="1" si="21"/>
        <v>#DIV/0!</v>
      </c>
      <c r="T47" s="90" t="e">
        <f t="shared" ca="1" si="21"/>
        <v>#DIV/0!</v>
      </c>
      <c r="U47" s="90" t="e">
        <f t="shared" ca="1" si="20"/>
        <v>#DIV/0!</v>
      </c>
      <c r="V47" s="90" t="e">
        <f t="shared" ca="1" si="20"/>
        <v>#DIV/0!</v>
      </c>
      <c r="W47" s="90" t="e">
        <f t="shared" ca="1" si="20"/>
        <v>#DIV/0!</v>
      </c>
      <c r="X47" s="90" t="e">
        <f t="shared" ca="1" si="20"/>
        <v>#DIV/0!</v>
      </c>
      <c r="Y47" s="90" t="e">
        <f t="shared" ca="1" si="20"/>
        <v>#DIV/0!</v>
      </c>
      <c r="Z47" s="90" t="e">
        <f t="shared" ca="1" si="20"/>
        <v>#DIV/0!</v>
      </c>
      <c r="AA47" s="90" t="e">
        <f t="shared" ca="1" si="20"/>
        <v>#DIV/0!</v>
      </c>
      <c r="AB47" s="90" t="e">
        <f t="shared" ca="1" si="20"/>
        <v>#DIV/0!</v>
      </c>
      <c r="AC47" s="90" t="e">
        <f t="shared" ca="1" si="20"/>
        <v>#DIV/0!</v>
      </c>
      <c r="AD47" s="90" t="e">
        <f t="shared" ca="1" si="20"/>
        <v>#DIV/0!</v>
      </c>
      <c r="AE47" s="90" t="e">
        <f t="shared" ca="1" si="20"/>
        <v>#DIV/0!</v>
      </c>
      <c r="AF47" s="90" t="e">
        <f t="shared" ca="1" si="20"/>
        <v>#DIV/0!</v>
      </c>
      <c r="AH47" s="40">
        <f t="shared" si="13"/>
        <v>1.0408985194849396</v>
      </c>
      <c r="AI47" t="b">
        <f t="shared" si="19"/>
        <v>0</v>
      </c>
      <c r="AK47">
        <v>13250</v>
      </c>
      <c r="AL47">
        <v>11.3</v>
      </c>
      <c r="AM47">
        <v>0.06</v>
      </c>
      <c r="AN47">
        <v>18350</v>
      </c>
      <c r="AO47">
        <v>13.26</v>
      </c>
      <c r="AP47" t="s">
        <v>630</v>
      </c>
      <c r="AQ47">
        <v>781.2</v>
      </c>
      <c r="AR47">
        <v>-0.94</v>
      </c>
      <c r="AS47">
        <v>1550</v>
      </c>
      <c r="AT47">
        <v>-1.9</v>
      </c>
      <c r="AU47">
        <v>4.01</v>
      </c>
      <c r="AV47">
        <v>2.5000000000000001E-4</v>
      </c>
      <c r="AY47">
        <v>159300</v>
      </c>
      <c r="AZ47">
        <v>8.3000000000000007</v>
      </c>
      <c r="BA47">
        <v>0.05</v>
      </c>
      <c r="BB47">
        <v>18300</v>
      </c>
      <c r="BC47">
        <v>12.41</v>
      </c>
      <c r="BD47" t="s">
        <v>630</v>
      </c>
      <c r="BE47">
        <v>853.45</v>
      </c>
      <c r="BF47">
        <v>-0.95</v>
      </c>
      <c r="BG47">
        <v>5450</v>
      </c>
      <c r="BH47">
        <v>-1.42</v>
      </c>
      <c r="BI47">
        <v>3.43</v>
      </c>
      <c r="BJ47">
        <v>2.2000000000000001E-4</v>
      </c>
      <c r="BL47">
        <v>2100</v>
      </c>
      <c r="BM47">
        <v>55</v>
      </c>
      <c r="BN47">
        <v>0.16</v>
      </c>
      <c r="BO47">
        <v>18250</v>
      </c>
      <c r="BP47">
        <v>10.99</v>
      </c>
      <c r="BQ47" t="s">
        <v>630</v>
      </c>
      <c r="BR47">
        <v>0</v>
      </c>
      <c r="BS47">
        <v>-0.84</v>
      </c>
      <c r="BT47">
        <v>0</v>
      </c>
      <c r="BU47">
        <v>-1.88</v>
      </c>
      <c r="BV47">
        <v>14.69</v>
      </c>
      <c r="BW47">
        <v>3.6999999999999999E-4</v>
      </c>
    </row>
    <row r="48" spans="4:75">
      <c r="D48">
        <v>47</v>
      </c>
      <c r="E48">
        <f t="shared" ca="1" si="14"/>
        <v>17100</v>
      </c>
      <c r="F48" t="b">
        <v>0</v>
      </c>
      <c r="G48" s="38" t="e">
        <f t="shared" ca="1" si="17"/>
        <v>#N/A</v>
      </c>
      <c r="H48" s="38" t="e">
        <v>#N/A</v>
      </c>
      <c r="I48" s="40" t="e">
        <v>#N/A</v>
      </c>
      <c r="J48">
        <v>19000</v>
      </c>
      <c r="L48" s="40" t="e">
        <v>#N/A</v>
      </c>
      <c r="M48" s="40" t="e">
        <v>#N/A</v>
      </c>
      <c r="N48" s="84" t="e">
        <v>#DIV/0!</v>
      </c>
      <c r="O48" s="38" t="e">
        <v>#DIV/0!</v>
      </c>
      <c r="P48" s="38" t="e">
        <v>#DIV/0!</v>
      </c>
      <c r="Q48" s="38" t="e">
        <v>#N/A</v>
      </c>
      <c r="R48" s="90"/>
      <c r="S48" s="90" t="e">
        <f t="shared" ca="1" si="21"/>
        <v>#DIV/0!</v>
      </c>
      <c r="T48" s="90" t="e">
        <f t="shared" ca="1" si="21"/>
        <v>#DIV/0!</v>
      </c>
      <c r="U48" s="90" t="e">
        <f t="shared" ca="1" si="20"/>
        <v>#DIV/0!</v>
      </c>
      <c r="V48" s="90" t="e">
        <f t="shared" ca="1" si="20"/>
        <v>#DIV/0!</v>
      </c>
      <c r="W48" s="90" t="e">
        <f t="shared" ca="1" si="20"/>
        <v>#DIV/0!</v>
      </c>
      <c r="X48" s="90" t="e">
        <f t="shared" ca="1" si="20"/>
        <v>#DIV/0!</v>
      </c>
      <c r="Y48" s="90" t="e">
        <f t="shared" ca="1" si="20"/>
        <v>#DIV/0!</v>
      </c>
      <c r="Z48" s="90" t="e">
        <f t="shared" ca="1" si="20"/>
        <v>#DIV/0!</v>
      </c>
      <c r="AA48" s="90" t="e">
        <f t="shared" ca="1" si="20"/>
        <v>#DIV/0!</v>
      </c>
      <c r="AB48" s="90" t="e">
        <f t="shared" ca="1" si="20"/>
        <v>#DIV/0!</v>
      </c>
      <c r="AC48" s="90" t="e">
        <f t="shared" ca="1" si="20"/>
        <v>#DIV/0!</v>
      </c>
      <c r="AD48" s="90" t="e">
        <f t="shared" ca="1" si="20"/>
        <v>#DIV/0!</v>
      </c>
      <c r="AE48" s="90" t="e">
        <f t="shared" ca="1" si="20"/>
        <v>#DIV/0!</v>
      </c>
      <c r="AF48" s="90" t="e">
        <f t="shared" ca="1" si="20"/>
        <v>#DIV/0!</v>
      </c>
      <c r="AH48" s="40">
        <f t="shared" si="13"/>
        <v>1.0437347552328549</v>
      </c>
      <c r="AI48" t="b">
        <f t="shared" si="19"/>
        <v>0</v>
      </c>
      <c r="AK48">
        <v>151200</v>
      </c>
      <c r="AL48">
        <v>9.9499999999999993</v>
      </c>
      <c r="AM48">
        <v>0.05</v>
      </c>
      <c r="AN48">
        <v>18400</v>
      </c>
      <c r="AO48">
        <v>13.59</v>
      </c>
      <c r="AP48" t="s">
        <v>630</v>
      </c>
      <c r="AQ48">
        <v>797.5</v>
      </c>
      <c r="AR48">
        <v>-0.95</v>
      </c>
      <c r="AS48">
        <v>550</v>
      </c>
      <c r="AT48">
        <v>-1.76</v>
      </c>
      <c r="AU48">
        <v>3.62</v>
      </c>
      <c r="AV48">
        <v>2.2000000000000001E-4</v>
      </c>
      <c r="AY48">
        <v>14300</v>
      </c>
      <c r="AZ48">
        <v>7.65</v>
      </c>
      <c r="BA48">
        <v>0.04</v>
      </c>
      <c r="BB48">
        <v>18350</v>
      </c>
      <c r="BC48">
        <v>12.84</v>
      </c>
      <c r="BD48" t="s">
        <v>630</v>
      </c>
      <c r="BE48">
        <v>815</v>
      </c>
      <c r="BF48">
        <v>-0.96</v>
      </c>
      <c r="BG48">
        <v>1550</v>
      </c>
      <c r="BH48">
        <v>-1.36</v>
      </c>
      <c r="BI48">
        <v>3.17</v>
      </c>
      <c r="BJ48">
        <v>2.0000000000000001E-4</v>
      </c>
      <c r="BL48">
        <v>25900</v>
      </c>
      <c r="BM48">
        <v>57.8</v>
      </c>
      <c r="BN48">
        <v>0.16</v>
      </c>
      <c r="BO48">
        <v>18300</v>
      </c>
      <c r="BP48">
        <v>11.69</v>
      </c>
      <c r="BQ48" t="s">
        <v>630</v>
      </c>
      <c r="BR48">
        <v>928.6</v>
      </c>
      <c r="BS48">
        <v>-0.84</v>
      </c>
      <c r="BT48">
        <v>200</v>
      </c>
      <c r="BU48">
        <v>-1.99</v>
      </c>
      <c r="BV48">
        <v>14.61</v>
      </c>
      <c r="BW48">
        <v>3.4000000000000002E-4</v>
      </c>
    </row>
    <row r="49" spans="4:75">
      <c r="D49">
        <v>48</v>
      </c>
      <c r="E49">
        <f t="shared" ca="1" si="14"/>
        <v>17100</v>
      </c>
      <c r="F49" t="b">
        <v>0</v>
      </c>
      <c r="G49" s="38" t="e">
        <f t="shared" ca="1" si="17"/>
        <v>#N/A</v>
      </c>
      <c r="H49" s="38" t="e">
        <v>#N/A</v>
      </c>
      <c r="I49" s="40" t="e">
        <v>#N/A</v>
      </c>
      <c r="J49">
        <v>19000</v>
      </c>
      <c r="L49" s="40" t="e">
        <v>#N/A</v>
      </c>
      <c r="M49" s="40" t="e">
        <v>#N/A</v>
      </c>
      <c r="N49" s="84" t="e">
        <v>#DIV/0!</v>
      </c>
      <c r="O49" s="38" t="e">
        <v>#DIV/0!</v>
      </c>
      <c r="P49" s="38" t="e">
        <v>#DIV/0!</v>
      </c>
      <c r="Q49" s="38" t="e">
        <v>#N/A</v>
      </c>
      <c r="R49" s="90"/>
      <c r="S49" s="90" t="e">
        <f t="shared" ca="1" si="21"/>
        <v>#DIV/0!</v>
      </c>
      <c r="T49" s="90" t="e">
        <f t="shared" ca="1" si="21"/>
        <v>#DIV/0!</v>
      </c>
      <c r="U49" s="90" t="e">
        <f t="shared" ca="1" si="20"/>
        <v>#DIV/0!</v>
      </c>
      <c r="V49" s="90" t="e">
        <f t="shared" ca="1" si="20"/>
        <v>#DIV/0!</v>
      </c>
      <c r="W49" s="90" t="e">
        <f t="shared" ca="1" si="20"/>
        <v>#DIV/0!</v>
      </c>
      <c r="X49" s="90" t="e">
        <f t="shared" ca="1" si="20"/>
        <v>#DIV/0!</v>
      </c>
      <c r="Y49" s="90" t="e">
        <f t="shared" ca="1" si="20"/>
        <v>#DIV/0!</v>
      </c>
      <c r="Z49" s="90" t="e">
        <f t="shared" ca="1" si="20"/>
        <v>#DIV/0!</v>
      </c>
      <c r="AA49" s="90" t="e">
        <f t="shared" ca="1" si="20"/>
        <v>#DIV/0!</v>
      </c>
      <c r="AB49" s="90" t="e">
        <f t="shared" ca="1" si="20"/>
        <v>#DIV/0!</v>
      </c>
      <c r="AC49" s="90" t="e">
        <f t="shared" ca="1" si="20"/>
        <v>#DIV/0!</v>
      </c>
      <c r="AD49" s="90" t="e">
        <f t="shared" ref="AD49:AF59" ca="1" si="22">$N49*50*(-MAX($E49-$B$2*(1-AD$1),0)+MAX($F49-$B$2*(1-AD$1),0))+$P49</f>
        <v>#DIV/0!</v>
      </c>
      <c r="AE49" s="90" t="e">
        <f t="shared" ca="1" si="22"/>
        <v>#DIV/0!</v>
      </c>
      <c r="AF49" s="90" t="e">
        <f t="shared" ca="1" si="22"/>
        <v>#DIV/0!</v>
      </c>
      <c r="AH49" s="40">
        <f t="shared" si="13"/>
        <v>1.0465709909807703</v>
      </c>
      <c r="AI49" t="b">
        <f t="shared" si="19"/>
        <v>0</v>
      </c>
      <c r="AK49">
        <v>21350</v>
      </c>
      <c r="AL49">
        <v>8.85</v>
      </c>
      <c r="AM49">
        <v>0.05</v>
      </c>
      <c r="AN49">
        <v>18450</v>
      </c>
      <c r="AO49">
        <v>13.93</v>
      </c>
      <c r="AP49" t="s">
        <v>630</v>
      </c>
      <c r="AQ49">
        <v>822.05</v>
      </c>
      <c r="AR49">
        <v>-0.95</v>
      </c>
      <c r="AS49">
        <v>150</v>
      </c>
      <c r="AT49">
        <v>-1.63</v>
      </c>
      <c r="AU49">
        <v>3.28</v>
      </c>
      <c r="AV49">
        <v>2.0000000000000001E-4</v>
      </c>
      <c r="AY49">
        <v>117850</v>
      </c>
      <c r="AZ49">
        <v>6.85</v>
      </c>
      <c r="BA49">
        <v>0.04</v>
      </c>
      <c r="BB49">
        <v>18400</v>
      </c>
      <c r="BC49">
        <v>13.19</v>
      </c>
      <c r="BD49" t="s">
        <v>630</v>
      </c>
      <c r="BE49">
        <v>865</v>
      </c>
      <c r="BF49">
        <v>-0.96</v>
      </c>
      <c r="BG49">
        <v>300</v>
      </c>
      <c r="BH49">
        <v>-1.26</v>
      </c>
      <c r="BI49">
        <v>2.87</v>
      </c>
      <c r="BJ49">
        <v>1.7000000000000001E-4</v>
      </c>
      <c r="BL49">
        <v>0</v>
      </c>
      <c r="BM49">
        <v>0</v>
      </c>
      <c r="BN49">
        <v>0.28000000000000003</v>
      </c>
      <c r="BO49">
        <v>18350</v>
      </c>
      <c r="BP49">
        <v>23.99</v>
      </c>
      <c r="BQ49" t="s">
        <v>630</v>
      </c>
      <c r="BR49">
        <v>0</v>
      </c>
      <c r="BS49">
        <v>-0.72</v>
      </c>
      <c r="BT49">
        <v>0</v>
      </c>
      <c r="BU49">
        <v>-5.58</v>
      </c>
      <c r="BV49">
        <v>20.14</v>
      </c>
      <c r="BW49">
        <v>2.3000000000000001E-4</v>
      </c>
    </row>
    <row r="50" spans="4:75">
      <c r="D50">
        <v>49</v>
      </c>
      <c r="E50">
        <f t="shared" ca="1" si="14"/>
        <v>17100</v>
      </c>
      <c r="F50" t="b">
        <v>0</v>
      </c>
      <c r="G50" s="38" t="e">
        <f t="shared" ca="1" si="17"/>
        <v>#N/A</v>
      </c>
      <c r="H50" s="38" t="e">
        <v>#N/A</v>
      </c>
      <c r="I50" s="40" t="e">
        <v>#N/A</v>
      </c>
      <c r="J50">
        <v>19000</v>
      </c>
      <c r="L50" s="40" t="e">
        <v>#N/A</v>
      </c>
      <c r="M50" s="40" t="e">
        <v>#N/A</v>
      </c>
      <c r="N50" s="84" t="e">
        <v>#DIV/0!</v>
      </c>
      <c r="O50" s="38" t="e">
        <v>#DIV/0!</v>
      </c>
      <c r="P50" s="38" t="e">
        <v>#DIV/0!</v>
      </c>
      <c r="Q50" s="38" t="e">
        <v>#N/A</v>
      </c>
      <c r="R50" s="90"/>
      <c r="S50" s="90" t="e">
        <f t="shared" ca="1" si="21"/>
        <v>#DIV/0!</v>
      </c>
      <c r="T50" s="90" t="e">
        <f t="shared" ca="1" si="21"/>
        <v>#DIV/0!</v>
      </c>
      <c r="U50" s="90" t="e">
        <f t="shared" ca="1" si="20"/>
        <v>#DIV/0!</v>
      </c>
      <c r="V50" s="90" t="e">
        <f t="shared" ca="1" si="20"/>
        <v>#DIV/0!</v>
      </c>
      <c r="W50" s="90" t="e">
        <f t="shared" ca="1" si="20"/>
        <v>#DIV/0!</v>
      </c>
      <c r="X50" s="90" t="e">
        <f t="shared" ca="1" si="20"/>
        <v>#DIV/0!</v>
      </c>
      <c r="Y50" s="90" t="e">
        <f t="shared" ca="1" si="20"/>
        <v>#DIV/0!</v>
      </c>
      <c r="Z50" s="90" t="e">
        <f t="shared" ca="1" si="20"/>
        <v>#DIV/0!</v>
      </c>
      <c r="AA50" s="90" t="e">
        <f t="shared" ca="1" si="20"/>
        <v>#DIV/0!</v>
      </c>
      <c r="AB50" s="90" t="e">
        <f t="shared" ca="1" si="20"/>
        <v>#DIV/0!</v>
      </c>
      <c r="AC50" s="90" t="e">
        <f t="shared" ca="1" si="20"/>
        <v>#DIV/0!</v>
      </c>
      <c r="AD50" s="90" t="e">
        <f t="shared" ca="1" si="22"/>
        <v>#DIV/0!</v>
      </c>
      <c r="AE50" s="90" t="e">
        <f t="shared" ca="1" si="22"/>
        <v>#DIV/0!</v>
      </c>
      <c r="AF50" s="90" t="e">
        <f t="shared" ca="1" si="22"/>
        <v>#DIV/0!</v>
      </c>
      <c r="AH50" s="40">
        <f t="shared" si="13"/>
        <v>1.0494072267286856</v>
      </c>
      <c r="AI50" t="b">
        <f t="shared" si="19"/>
        <v>0</v>
      </c>
      <c r="AK50">
        <v>790800</v>
      </c>
      <c r="AL50">
        <v>7.9</v>
      </c>
      <c r="AM50">
        <v>0.04</v>
      </c>
      <c r="AN50">
        <v>18500</v>
      </c>
      <c r="AO50">
        <v>14.26</v>
      </c>
      <c r="AP50" t="s">
        <v>630</v>
      </c>
      <c r="AQ50">
        <v>895.9</v>
      </c>
      <c r="AR50">
        <v>-0.96</v>
      </c>
      <c r="AS50">
        <v>114550</v>
      </c>
      <c r="AT50">
        <v>-1.52</v>
      </c>
      <c r="AU50">
        <v>2.98</v>
      </c>
      <c r="AV50">
        <v>1.8000000000000001E-4</v>
      </c>
      <c r="AY50">
        <v>26400</v>
      </c>
      <c r="AZ50">
        <v>6.55</v>
      </c>
      <c r="BA50">
        <v>0.03</v>
      </c>
      <c r="BB50">
        <v>18450</v>
      </c>
      <c r="BC50">
        <v>13.69</v>
      </c>
      <c r="BD50" t="s">
        <v>630</v>
      </c>
      <c r="BE50">
        <v>912</v>
      </c>
      <c r="BF50">
        <v>-0.97</v>
      </c>
      <c r="BG50">
        <v>200</v>
      </c>
      <c r="BH50">
        <v>-1.24</v>
      </c>
      <c r="BI50">
        <v>2.71</v>
      </c>
      <c r="BJ50">
        <v>1.6000000000000001E-4</v>
      </c>
      <c r="BL50">
        <v>14850</v>
      </c>
      <c r="BM50">
        <v>45.9</v>
      </c>
      <c r="BN50">
        <v>0.13</v>
      </c>
      <c r="BO50">
        <v>18400</v>
      </c>
      <c r="BP50">
        <v>11.81</v>
      </c>
      <c r="BQ50" t="s">
        <v>630</v>
      </c>
      <c r="BR50">
        <v>1145.2</v>
      </c>
      <c r="BS50">
        <v>-0.87</v>
      </c>
      <c r="BT50">
        <v>150</v>
      </c>
      <c r="BU50">
        <v>-1.76</v>
      </c>
      <c r="BV50">
        <v>12.81</v>
      </c>
      <c r="BW50">
        <v>2.9999999999999997E-4</v>
      </c>
    </row>
    <row r="51" spans="4:75">
      <c r="D51">
        <v>50</v>
      </c>
      <c r="E51">
        <f t="shared" ca="1" si="14"/>
        <v>17100</v>
      </c>
      <c r="F51" t="b">
        <v>0</v>
      </c>
      <c r="G51" s="38" t="e">
        <f t="shared" ca="1" si="17"/>
        <v>#N/A</v>
      </c>
      <c r="H51" s="38" t="e">
        <v>#N/A</v>
      </c>
      <c r="I51" s="40" t="e">
        <v>#N/A</v>
      </c>
      <c r="J51">
        <v>19000</v>
      </c>
      <c r="L51" s="40" t="e">
        <v>#N/A</v>
      </c>
      <c r="M51" s="40" t="e">
        <v>#N/A</v>
      </c>
      <c r="N51" s="84" t="e">
        <v>#DIV/0!</v>
      </c>
      <c r="O51" s="38" t="e">
        <v>#DIV/0!</v>
      </c>
      <c r="P51" s="38" t="e">
        <v>#DIV/0!</v>
      </c>
      <c r="Q51" s="38" t="e">
        <v>#N/A</v>
      </c>
      <c r="R51" s="90"/>
      <c r="S51" s="90" t="e">
        <f t="shared" ca="1" si="21"/>
        <v>#DIV/0!</v>
      </c>
      <c r="T51" s="90" t="e">
        <f t="shared" ca="1" si="21"/>
        <v>#DIV/0!</v>
      </c>
      <c r="U51" s="90" t="e">
        <f t="shared" ca="1" si="20"/>
        <v>#DIV/0!</v>
      </c>
      <c r="V51" s="90" t="e">
        <f t="shared" ca="1" si="20"/>
        <v>#DIV/0!</v>
      </c>
      <c r="W51" s="90" t="e">
        <f t="shared" ca="1" si="20"/>
        <v>#DIV/0!</v>
      </c>
      <c r="X51" s="90" t="e">
        <f t="shared" ca="1" si="20"/>
        <v>#DIV/0!</v>
      </c>
      <c r="Y51" s="90" t="e">
        <f t="shared" ca="1" si="20"/>
        <v>#DIV/0!</v>
      </c>
      <c r="Z51" s="90" t="e">
        <f t="shared" ca="1" si="20"/>
        <v>#DIV/0!</v>
      </c>
      <c r="AA51" s="90" t="e">
        <f t="shared" ca="1" si="20"/>
        <v>#DIV/0!</v>
      </c>
      <c r="AB51" s="90" t="e">
        <f t="shared" ca="1" si="20"/>
        <v>#DIV/0!</v>
      </c>
      <c r="AC51" s="90" t="e">
        <f t="shared" ca="1" si="20"/>
        <v>#DIV/0!</v>
      </c>
      <c r="AD51" s="90" t="e">
        <f t="shared" ca="1" si="22"/>
        <v>#DIV/0!</v>
      </c>
      <c r="AE51" s="90" t="e">
        <f t="shared" ca="1" si="22"/>
        <v>#DIV/0!</v>
      </c>
      <c r="AF51" s="90" t="e">
        <f t="shared" ca="1" si="22"/>
        <v>#DIV/0!</v>
      </c>
      <c r="AH51" s="40">
        <f t="shared" si="13"/>
        <v>1.0522434624766011</v>
      </c>
      <c r="AI51" t="b">
        <f t="shared" si="19"/>
        <v>0</v>
      </c>
      <c r="AK51">
        <v>19600</v>
      </c>
      <c r="AL51">
        <v>7.3</v>
      </c>
      <c r="AM51">
        <v>0.04</v>
      </c>
      <c r="AN51">
        <v>18550</v>
      </c>
      <c r="AO51">
        <v>14.68</v>
      </c>
      <c r="AP51" t="s">
        <v>630</v>
      </c>
      <c r="AQ51">
        <v>1052.75</v>
      </c>
      <c r="AR51">
        <v>-0.96</v>
      </c>
      <c r="AS51">
        <v>100</v>
      </c>
      <c r="AT51">
        <v>-1.45</v>
      </c>
      <c r="AU51">
        <v>2.76</v>
      </c>
      <c r="AV51">
        <v>1.6000000000000001E-4</v>
      </c>
      <c r="AY51">
        <v>675400</v>
      </c>
      <c r="AZ51">
        <v>6.05</v>
      </c>
      <c r="BA51">
        <v>0.03</v>
      </c>
      <c r="BB51">
        <v>18500</v>
      </c>
      <c r="BC51">
        <v>14.09</v>
      </c>
      <c r="BD51" t="s">
        <v>630</v>
      </c>
      <c r="BE51">
        <v>967.9</v>
      </c>
      <c r="BF51">
        <v>-0.97</v>
      </c>
      <c r="BG51">
        <v>130250</v>
      </c>
      <c r="BH51">
        <v>-1.18</v>
      </c>
      <c r="BI51">
        <v>2.5099999999999998</v>
      </c>
      <c r="BJ51">
        <v>1.3999999999999999E-4</v>
      </c>
      <c r="BL51">
        <v>0</v>
      </c>
      <c r="BM51">
        <v>0</v>
      </c>
      <c r="BN51">
        <v>0.26</v>
      </c>
      <c r="BO51">
        <v>18450</v>
      </c>
      <c r="BP51">
        <v>24.02</v>
      </c>
      <c r="BQ51" t="s">
        <v>630</v>
      </c>
      <c r="BR51">
        <v>0</v>
      </c>
      <c r="BS51">
        <v>-0.74</v>
      </c>
      <c r="BT51">
        <v>0</v>
      </c>
      <c r="BU51">
        <v>-5.37</v>
      </c>
      <c r="BV51">
        <v>19.350000000000001</v>
      </c>
      <c r="BW51">
        <v>2.2000000000000001E-4</v>
      </c>
    </row>
    <row r="52" spans="4:75">
      <c r="D52">
        <v>51</v>
      </c>
      <c r="E52">
        <f t="shared" ca="1" si="14"/>
        <v>17100</v>
      </c>
      <c r="F52" t="b">
        <v>0</v>
      </c>
      <c r="G52" s="38" t="e">
        <f t="shared" ca="1" si="17"/>
        <v>#N/A</v>
      </c>
      <c r="H52" s="38" t="e">
        <v>#N/A</v>
      </c>
      <c r="I52" s="40" t="e">
        <v>#N/A</v>
      </c>
      <c r="J52">
        <v>19000</v>
      </c>
      <c r="L52" s="40" t="e">
        <v>#N/A</v>
      </c>
      <c r="M52" s="40" t="e">
        <v>#N/A</v>
      </c>
      <c r="N52" s="84" t="e">
        <v>#DIV/0!</v>
      </c>
      <c r="O52" s="38" t="e">
        <v>#DIV/0!</v>
      </c>
      <c r="P52" s="38" t="e">
        <v>#DIV/0!</v>
      </c>
      <c r="Q52" s="38" t="e">
        <v>#N/A</v>
      </c>
      <c r="R52" s="90"/>
      <c r="S52" s="90" t="e">
        <f t="shared" ca="1" si="21"/>
        <v>#DIV/0!</v>
      </c>
      <c r="T52" s="90" t="e">
        <f t="shared" ca="1" si="21"/>
        <v>#DIV/0!</v>
      </c>
      <c r="U52" s="90" t="e">
        <f t="shared" ca="1" si="20"/>
        <v>#DIV/0!</v>
      </c>
      <c r="V52" s="90" t="e">
        <f t="shared" ca="1" si="20"/>
        <v>#DIV/0!</v>
      </c>
      <c r="W52" s="90" t="e">
        <f t="shared" ca="1" si="20"/>
        <v>#DIV/0!</v>
      </c>
      <c r="X52" s="90" t="e">
        <f t="shared" ca="1" si="20"/>
        <v>#DIV/0!</v>
      </c>
      <c r="Y52" s="90" t="e">
        <f t="shared" ca="1" si="20"/>
        <v>#DIV/0!</v>
      </c>
      <c r="Z52" s="90" t="e">
        <f t="shared" ca="1" si="20"/>
        <v>#DIV/0!</v>
      </c>
      <c r="AA52" s="90" t="e">
        <f t="shared" ca="1" si="20"/>
        <v>#DIV/0!</v>
      </c>
      <c r="AB52" s="90" t="e">
        <f t="shared" ca="1" si="20"/>
        <v>#DIV/0!</v>
      </c>
      <c r="AC52" s="90" t="e">
        <f t="shared" ca="1" si="20"/>
        <v>#DIV/0!</v>
      </c>
      <c r="AD52" s="90" t="e">
        <f t="shared" ca="1" si="22"/>
        <v>#DIV/0!</v>
      </c>
      <c r="AE52" s="90" t="e">
        <f t="shared" ca="1" si="22"/>
        <v>#DIV/0!</v>
      </c>
      <c r="AF52" s="90" t="e">
        <f t="shared" ca="1" si="22"/>
        <v>#DIV/0!</v>
      </c>
      <c r="AH52" s="40">
        <f t="shared" si="13"/>
        <v>1.0550796982245165</v>
      </c>
      <c r="AI52" t="b">
        <f t="shared" si="19"/>
        <v>0</v>
      </c>
      <c r="AK52">
        <v>143500</v>
      </c>
      <c r="AL52">
        <v>6.4</v>
      </c>
      <c r="AM52">
        <v>0.03</v>
      </c>
      <c r="AN52">
        <v>18600</v>
      </c>
      <c r="AO52">
        <v>14.95</v>
      </c>
      <c r="AP52" t="s">
        <v>630</v>
      </c>
      <c r="AQ52">
        <v>991</v>
      </c>
      <c r="AR52">
        <v>-0.97</v>
      </c>
      <c r="AS52">
        <v>6150</v>
      </c>
      <c r="AT52">
        <v>-1.32</v>
      </c>
      <c r="AU52">
        <v>2.48</v>
      </c>
      <c r="AV52">
        <v>1.3999999999999999E-4</v>
      </c>
      <c r="AY52">
        <v>27550</v>
      </c>
      <c r="AZ52">
        <v>5.55</v>
      </c>
      <c r="BA52">
        <v>0.03</v>
      </c>
      <c r="BB52">
        <v>18550</v>
      </c>
      <c r="BC52">
        <v>14.46</v>
      </c>
      <c r="BD52" t="s">
        <v>630</v>
      </c>
      <c r="BE52">
        <v>1180.25</v>
      </c>
      <c r="BF52">
        <v>-0.97</v>
      </c>
      <c r="BG52">
        <v>100</v>
      </c>
      <c r="BH52">
        <v>-1.1100000000000001</v>
      </c>
      <c r="BI52">
        <v>2.31</v>
      </c>
      <c r="BJ52">
        <v>1.2999999999999999E-4</v>
      </c>
      <c r="BL52">
        <v>176500</v>
      </c>
      <c r="BM52">
        <v>36.799999999999997</v>
      </c>
      <c r="BN52">
        <v>0.11</v>
      </c>
      <c r="BO52">
        <v>18500</v>
      </c>
      <c r="BP52">
        <v>11.98</v>
      </c>
      <c r="BQ52" t="s">
        <v>630</v>
      </c>
      <c r="BR52">
        <v>961.85</v>
      </c>
      <c r="BS52">
        <v>-0.89</v>
      </c>
      <c r="BT52">
        <v>50600</v>
      </c>
      <c r="BU52">
        <v>-1.56</v>
      </c>
      <c r="BV52">
        <v>11.17</v>
      </c>
      <c r="BW52">
        <v>2.5999999999999998E-4</v>
      </c>
    </row>
    <row r="53" spans="4:75">
      <c r="D53">
        <v>52</v>
      </c>
      <c r="E53">
        <f t="shared" ca="1" si="14"/>
        <v>17100</v>
      </c>
      <c r="F53" t="b">
        <v>0</v>
      </c>
      <c r="G53" s="38" t="e">
        <f t="shared" ca="1" si="17"/>
        <v>#N/A</v>
      </c>
      <c r="H53" s="38" t="e">
        <v>#N/A</v>
      </c>
      <c r="I53" s="40" t="e">
        <v>#N/A</v>
      </c>
      <c r="J53">
        <v>19000</v>
      </c>
      <c r="L53" s="40" t="e">
        <v>#N/A</v>
      </c>
      <c r="M53" s="40" t="e">
        <v>#N/A</v>
      </c>
      <c r="N53" s="84" t="e">
        <v>#DIV/0!</v>
      </c>
      <c r="O53" s="38" t="e">
        <v>#DIV/0!</v>
      </c>
      <c r="P53" s="38" t="e">
        <v>#DIV/0!</v>
      </c>
      <c r="Q53" s="38" t="e">
        <v>#N/A</v>
      </c>
      <c r="R53" s="90"/>
      <c r="S53" s="90" t="e">
        <f t="shared" ca="1" si="21"/>
        <v>#DIV/0!</v>
      </c>
      <c r="T53" s="90" t="e">
        <f t="shared" ca="1" si="21"/>
        <v>#DIV/0!</v>
      </c>
      <c r="U53" s="90" t="e">
        <f t="shared" ca="1" si="20"/>
        <v>#DIV/0!</v>
      </c>
      <c r="V53" s="90" t="e">
        <f t="shared" ca="1" si="20"/>
        <v>#DIV/0!</v>
      </c>
      <c r="W53" s="90" t="e">
        <f t="shared" ca="1" si="20"/>
        <v>#DIV/0!</v>
      </c>
      <c r="X53" s="90" t="e">
        <f t="shared" ca="1" si="20"/>
        <v>#DIV/0!</v>
      </c>
      <c r="Y53" s="90" t="e">
        <f t="shared" ca="1" si="20"/>
        <v>#DIV/0!</v>
      </c>
      <c r="Z53" s="90" t="e">
        <f t="shared" ca="1" si="20"/>
        <v>#DIV/0!</v>
      </c>
      <c r="AA53" s="90" t="e">
        <f t="shared" ca="1" si="20"/>
        <v>#DIV/0!</v>
      </c>
      <c r="AB53" s="90" t="e">
        <f t="shared" ca="1" si="20"/>
        <v>#DIV/0!</v>
      </c>
      <c r="AC53" s="90" t="e">
        <f t="shared" ca="1" si="20"/>
        <v>#DIV/0!</v>
      </c>
      <c r="AD53" s="90" t="e">
        <f t="shared" ca="1" si="22"/>
        <v>#DIV/0!</v>
      </c>
      <c r="AE53" s="90" t="e">
        <f t="shared" ca="1" si="22"/>
        <v>#DIV/0!</v>
      </c>
      <c r="AF53" s="90" t="e">
        <f t="shared" ca="1" si="22"/>
        <v>#DIV/0!</v>
      </c>
      <c r="AH53" s="40">
        <f t="shared" si="13"/>
        <v>1.0579159339724318</v>
      </c>
      <c r="AI53" t="b">
        <f t="shared" si="19"/>
        <v>0</v>
      </c>
      <c r="AK53">
        <v>15050</v>
      </c>
      <c r="AL53">
        <v>6</v>
      </c>
      <c r="AM53">
        <v>0.03</v>
      </c>
      <c r="AN53">
        <v>18650</v>
      </c>
      <c r="AO53">
        <v>15.39</v>
      </c>
      <c r="AP53" t="s">
        <v>630</v>
      </c>
      <c r="AQ53">
        <v>1036.8</v>
      </c>
      <c r="AR53">
        <v>-0.97</v>
      </c>
      <c r="AS53">
        <v>7550</v>
      </c>
      <c r="AT53">
        <v>-1.27</v>
      </c>
      <c r="AU53">
        <v>2.3199999999999998</v>
      </c>
      <c r="AV53">
        <v>1.2999999999999999E-4</v>
      </c>
      <c r="AY53">
        <v>170450</v>
      </c>
      <c r="AZ53">
        <v>5</v>
      </c>
      <c r="BA53">
        <v>0.03</v>
      </c>
      <c r="BB53">
        <v>18600</v>
      </c>
      <c r="BC53">
        <v>14.78</v>
      </c>
      <c r="BD53" t="s">
        <v>630</v>
      </c>
      <c r="BE53">
        <v>1056.3499999999999</v>
      </c>
      <c r="BF53">
        <v>-0.97</v>
      </c>
      <c r="BG53">
        <v>7350</v>
      </c>
      <c r="BH53">
        <v>-1.04</v>
      </c>
      <c r="BI53">
        <v>2.11</v>
      </c>
      <c r="BJ53">
        <v>1.1E-4</v>
      </c>
      <c r="BL53">
        <v>250</v>
      </c>
      <c r="BM53">
        <v>29.7</v>
      </c>
      <c r="BN53">
        <v>0.09</v>
      </c>
      <c r="BO53">
        <v>18550</v>
      </c>
      <c r="BP53">
        <v>11.74</v>
      </c>
      <c r="BQ53" t="s">
        <v>630</v>
      </c>
      <c r="BR53">
        <v>0</v>
      </c>
      <c r="BS53">
        <v>-0.91</v>
      </c>
      <c r="BT53">
        <v>0</v>
      </c>
      <c r="BU53">
        <v>-1.36</v>
      </c>
      <c r="BV53">
        <v>9.92</v>
      </c>
      <c r="BW53">
        <v>2.3000000000000001E-4</v>
      </c>
    </row>
    <row r="54" spans="4:75">
      <c r="D54">
        <v>53</v>
      </c>
      <c r="E54">
        <f t="shared" ca="1" si="14"/>
        <v>17100</v>
      </c>
      <c r="F54" t="b">
        <v>0</v>
      </c>
      <c r="G54" s="38" t="e">
        <f t="shared" ca="1" si="17"/>
        <v>#N/A</v>
      </c>
      <c r="H54" s="38" t="e">
        <v>#N/A</v>
      </c>
      <c r="I54" s="40" t="e">
        <v>#N/A</v>
      </c>
      <c r="J54">
        <v>19000</v>
      </c>
      <c r="L54" s="40" t="e">
        <v>#N/A</v>
      </c>
      <c r="M54" s="40" t="e">
        <v>#N/A</v>
      </c>
      <c r="N54" s="84" t="e">
        <v>#DIV/0!</v>
      </c>
      <c r="O54" s="38" t="e">
        <v>#DIV/0!</v>
      </c>
      <c r="P54" s="38" t="e">
        <v>#DIV/0!</v>
      </c>
      <c r="Q54" s="38" t="e">
        <v>#N/A</v>
      </c>
      <c r="R54" s="90"/>
      <c r="S54" s="90" t="e">
        <f t="shared" ca="1" si="21"/>
        <v>#DIV/0!</v>
      </c>
      <c r="T54" s="90" t="e">
        <f t="shared" ca="1" si="21"/>
        <v>#DIV/0!</v>
      </c>
      <c r="U54" s="90" t="e">
        <f t="shared" ca="1" si="20"/>
        <v>#DIV/0!</v>
      </c>
      <c r="V54" s="90" t="e">
        <f t="shared" ca="1" si="20"/>
        <v>#DIV/0!</v>
      </c>
      <c r="W54" s="90" t="e">
        <f t="shared" ca="1" si="20"/>
        <v>#DIV/0!</v>
      </c>
      <c r="X54" s="90" t="e">
        <f t="shared" ca="1" si="20"/>
        <v>#DIV/0!</v>
      </c>
      <c r="Y54" s="90" t="e">
        <f t="shared" ca="1" si="20"/>
        <v>#DIV/0!</v>
      </c>
      <c r="Z54" s="90" t="e">
        <f t="shared" ca="1" si="20"/>
        <v>#DIV/0!</v>
      </c>
      <c r="AA54" s="90" t="e">
        <f t="shared" ca="1" si="20"/>
        <v>#DIV/0!</v>
      </c>
      <c r="AB54" s="90" t="e">
        <f t="shared" ca="1" si="20"/>
        <v>#DIV/0!</v>
      </c>
      <c r="AC54" s="90" t="e">
        <f t="shared" ca="1" si="20"/>
        <v>#DIV/0!</v>
      </c>
      <c r="AD54" s="90" t="e">
        <f t="shared" ca="1" si="22"/>
        <v>#DIV/0!</v>
      </c>
      <c r="AE54" s="90" t="e">
        <f t="shared" ca="1" si="22"/>
        <v>#DIV/0!</v>
      </c>
      <c r="AF54" s="90" t="e">
        <f t="shared" ca="1" si="22"/>
        <v>#DIV/0!</v>
      </c>
      <c r="AH54" s="40">
        <f t="shared" si="13"/>
        <v>1.0607521697203472</v>
      </c>
      <c r="AI54" t="b">
        <f t="shared" si="19"/>
        <v>0</v>
      </c>
      <c r="AK54">
        <v>77900</v>
      </c>
      <c r="AL54">
        <v>5</v>
      </c>
      <c r="AM54">
        <v>0.02</v>
      </c>
      <c r="AN54">
        <v>18700</v>
      </c>
      <c r="AO54">
        <v>15.51</v>
      </c>
      <c r="AP54" t="s">
        <v>630</v>
      </c>
      <c r="AQ54">
        <v>1072</v>
      </c>
      <c r="AR54">
        <v>-0.98</v>
      </c>
      <c r="AS54">
        <v>500</v>
      </c>
      <c r="AT54">
        <v>-1.1200000000000001</v>
      </c>
      <c r="AU54">
        <v>2.02</v>
      </c>
      <c r="AV54">
        <v>1.1E-4</v>
      </c>
      <c r="AY54">
        <v>17200</v>
      </c>
      <c r="AZ54">
        <v>4.5</v>
      </c>
      <c r="BA54">
        <v>0.02</v>
      </c>
      <c r="BB54">
        <v>18650</v>
      </c>
      <c r="BC54">
        <v>15.08</v>
      </c>
      <c r="BD54" t="s">
        <v>630</v>
      </c>
      <c r="BE54">
        <v>1105.75</v>
      </c>
      <c r="BF54">
        <v>-0.98</v>
      </c>
      <c r="BG54">
        <v>7250</v>
      </c>
      <c r="BH54">
        <v>-0.96</v>
      </c>
      <c r="BI54">
        <v>1.92</v>
      </c>
      <c r="BJ54">
        <v>1E-4</v>
      </c>
      <c r="BL54">
        <v>38900</v>
      </c>
      <c r="BM54">
        <v>30.95</v>
      </c>
      <c r="BN54">
        <v>0.09</v>
      </c>
      <c r="BO54">
        <v>18600</v>
      </c>
      <c r="BP54">
        <v>12.3</v>
      </c>
      <c r="BQ54" t="s">
        <v>630</v>
      </c>
      <c r="BR54">
        <v>1081.6500000000001</v>
      </c>
      <c r="BS54">
        <v>-0.91</v>
      </c>
      <c r="BT54">
        <v>2200</v>
      </c>
      <c r="BU54">
        <v>-1.42</v>
      </c>
      <c r="BV54">
        <v>9.9</v>
      </c>
      <c r="BW54">
        <v>2.2000000000000001E-4</v>
      </c>
    </row>
    <row r="55" spans="4:75">
      <c r="D55">
        <v>54</v>
      </c>
      <c r="E55">
        <f t="shared" ca="1" si="14"/>
        <v>17100</v>
      </c>
      <c r="F55" t="b">
        <v>0</v>
      </c>
      <c r="G55" s="38" t="e">
        <f t="shared" ca="1" si="17"/>
        <v>#N/A</v>
      </c>
      <c r="H55" s="38" t="e">
        <v>#N/A</v>
      </c>
      <c r="I55" s="40" t="e">
        <v>#N/A</v>
      </c>
      <c r="J55">
        <v>19000</v>
      </c>
      <c r="L55" s="40" t="e">
        <v>#N/A</v>
      </c>
      <c r="M55" s="40" t="e">
        <v>#N/A</v>
      </c>
      <c r="N55" s="84" t="e">
        <v>#DIV/0!</v>
      </c>
      <c r="O55" s="38" t="e">
        <v>#DIV/0!</v>
      </c>
      <c r="P55" s="38" t="e">
        <v>#DIV/0!</v>
      </c>
      <c r="Q55" s="38" t="e">
        <v>#N/A</v>
      </c>
      <c r="R55" s="90"/>
      <c r="S55" s="90" t="e">
        <f t="shared" ca="1" si="21"/>
        <v>#DIV/0!</v>
      </c>
      <c r="T55" s="90" t="e">
        <f t="shared" ca="1" si="21"/>
        <v>#DIV/0!</v>
      </c>
      <c r="U55" s="90" t="e">
        <f t="shared" ca="1" si="20"/>
        <v>#DIV/0!</v>
      </c>
      <c r="V55" s="90" t="e">
        <f t="shared" ca="1" si="20"/>
        <v>#DIV/0!</v>
      </c>
      <c r="W55" s="90" t="e">
        <f t="shared" ca="1" si="20"/>
        <v>#DIV/0!</v>
      </c>
      <c r="X55" s="90" t="e">
        <f t="shared" ca="1" si="20"/>
        <v>#DIV/0!</v>
      </c>
      <c r="Y55" s="90" t="e">
        <f t="shared" ca="1" si="20"/>
        <v>#DIV/0!</v>
      </c>
      <c r="Z55" s="90" t="e">
        <f t="shared" ca="1" si="20"/>
        <v>#DIV/0!</v>
      </c>
      <c r="AA55" s="90" t="e">
        <f t="shared" ca="1" si="20"/>
        <v>#DIV/0!</v>
      </c>
      <c r="AB55" s="90" t="e">
        <f t="shared" ca="1" si="20"/>
        <v>#DIV/0!</v>
      </c>
      <c r="AC55" s="90" t="e">
        <f t="shared" ca="1" si="20"/>
        <v>#DIV/0!</v>
      </c>
      <c r="AD55" s="90" t="e">
        <f t="shared" ca="1" si="22"/>
        <v>#DIV/0!</v>
      </c>
      <c r="AE55" s="90" t="e">
        <f t="shared" ca="1" si="22"/>
        <v>#DIV/0!</v>
      </c>
      <c r="AF55" s="90" t="e">
        <f t="shared" ca="1" si="22"/>
        <v>#DIV/0!</v>
      </c>
      <c r="AH55" s="40">
        <f t="shared" si="13"/>
        <v>1.0635884054682625</v>
      </c>
      <c r="AI55" t="b">
        <f t="shared" si="19"/>
        <v>0</v>
      </c>
      <c r="AK55">
        <v>7400</v>
      </c>
      <c r="AL55">
        <v>4.8</v>
      </c>
      <c r="AM55">
        <v>0.02</v>
      </c>
      <c r="AN55">
        <v>18750</v>
      </c>
      <c r="AO55">
        <v>15.98</v>
      </c>
      <c r="AP55" t="s">
        <v>630</v>
      </c>
      <c r="AQ55">
        <v>1150.95</v>
      </c>
      <c r="AR55">
        <v>-0.98</v>
      </c>
      <c r="AS55">
        <v>100</v>
      </c>
      <c r="AT55">
        <v>-1.0900000000000001</v>
      </c>
      <c r="AU55">
        <v>1.91</v>
      </c>
      <c r="AV55">
        <v>1E-4</v>
      </c>
      <c r="AY55">
        <v>49200</v>
      </c>
      <c r="AZ55">
        <v>4.5999999999999996</v>
      </c>
      <c r="BA55">
        <v>0.02</v>
      </c>
      <c r="BB55">
        <v>18700</v>
      </c>
      <c r="BC55">
        <v>15.69</v>
      </c>
      <c r="BD55" t="s">
        <v>630</v>
      </c>
      <c r="BE55">
        <v>1199.05</v>
      </c>
      <c r="BF55">
        <v>-0.98</v>
      </c>
      <c r="BG55">
        <v>200</v>
      </c>
      <c r="BH55">
        <v>-0.99</v>
      </c>
      <c r="BI55">
        <v>1.89</v>
      </c>
      <c r="BJ55">
        <v>1E-4</v>
      </c>
      <c r="BL55">
        <v>0</v>
      </c>
      <c r="BM55">
        <v>0</v>
      </c>
      <c r="BN55">
        <v>0.22</v>
      </c>
      <c r="BO55">
        <v>18650</v>
      </c>
      <c r="BP55">
        <v>23.96</v>
      </c>
      <c r="BQ55" t="s">
        <v>630</v>
      </c>
      <c r="BR55">
        <v>0</v>
      </c>
      <c r="BS55">
        <v>-0.78</v>
      </c>
      <c r="BT55">
        <v>0</v>
      </c>
      <c r="BU55">
        <v>-4.87</v>
      </c>
      <c r="BV55">
        <v>17.59</v>
      </c>
      <c r="BW55">
        <v>2.0000000000000001E-4</v>
      </c>
    </row>
    <row r="56" spans="4:75">
      <c r="D56">
        <v>55</v>
      </c>
      <c r="E56">
        <f t="shared" ca="1" si="14"/>
        <v>17100</v>
      </c>
      <c r="F56" t="b">
        <v>0</v>
      </c>
      <c r="G56" s="38" t="e">
        <f t="shared" ca="1" si="17"/>
        <v>#N/A</v>
      </c>
      <c r="H56" s="38" t="e">
        <v>#N/A</v>
      </c>
      <c r="I56" s="40" t="e">
        <v>#N/A</v>
      </c>
      <c r="J56">
        <v>19000</v>
      </c>
      <c r="L56" s="40" t="e">
        <v>#N/A</v>
      </c>
      <c r="M56" s="40" t="e">
        <v>#N/A</v>
      </c>
      <c r="N56" s="84" t="e">
        <v>#DIV/0!</v>
      </c>
      <c r="O56" s="38" t="e">
        <v>#DIV/0!</v>
      </c>
      <c r="P56" s="38" t="e">
        <v>#DIV/0!</v>
      </c>
      <c r="Q56" s="38" t="e">
        <v>#N/A</v>
      </c>
      <c r="R56" s="90"/>
      <c r="S56" s="90" t="e">
        <f t="shared" ca="1" si="21"/>
        <v>#DIV/0!</v>
      </c>
      <c r="T56" s="90" t="e">
        <f t="shared" ca="1" si="21"/>
        <v>#DIV/0!</v>
      </c>
      <c r="U56" s="90" t="e">
        <f t="shared" ca="1" si="20"/>
        <v>#DIV/0!</v>
      </c>
      <c r="V56" s="90" t="e">
        <f t="shared" ca="1" si="20"/>
        <v>#DIV/0!</v>
      </c>
      <c r="W56" s="90" t="e">
        <f t="shared" ca="1" si="20"/>
        <v>#DIV/0!</v>
      </c>
      <c r="X56" s="90" t="e">
        <f t="shared" ca="1" si="20"/>
        <v>#DIV/0!</v>
      </c>
      <c r="Y56" s="90" t="e">
        <f t="shared" ca="1" si="20"/>
        <v>#DIV/0!</v>
      </c>
      <c r="Z56" s="90" t="e">
        <f t="shared" ca="1" si="20"/>
        <v>#DIV/0!</v>
      </c>
      <c r="AA56" s="90" t="e">
        <f t="shared" ca="1" si="20"/>
        <v>#DIV/0!</v>
      </c>
      <c r="AB56" s="90" t="e">
        <f t="shared" ca="1" si="20"/>
        <v>#DIV/0!</v>
      </c>
      <c r="AC56" s="90" t="e">
        <f t="shared" ca="1" si="20"/>
        <v>#DIV/0!</v>
      </c>
      <c r="AD56" s="90" t="e">
        <f t="shared" ca="1" si="22"/>
        <v>#DIV/0!</v>
      </c>
      <c r="AE56" s="90" t="e">
        <f t="shared" ca="1" si="22"/>
        <v>#DIV/0!</v>
      </c>
      <c r="AF56" s="90" t="e">
        <f t="shared" ca="1" si="22"/>
        <v>#DIV/0!</v>
      </c>
      <c r="AH56" s="40">
        <f t="shared" si="13"/>
        <v>1.066424641216178</v>
      </c>
      <c r="AI56" t="b">
        <f t="shared" si="19"/>
        <v>0</v>
      </c>
      <c r="AK56">
        <v>134350</v>
      </c>
      <c r="AL56">
        <v>4.3499999999999996</v>
      </c>
      <c r="AM56">
        <v>0.02</v>
      </c>
      <c r="AN56">
        <v>18800</v>
      </c>
      <c r="AO56">
        <v>16.3</v>
      </c>
      <c r="AP56" t="s">
        <v>630</v>
      </c>
      <c r="AQ56">
        <v>1199.7</v>
      </c>
      <c r="AR56">
        <v>-0.98</v>
      </c>
      <c r="AS56">
        <v>32200</v>
      </c>
      <c r="AT56">
        <v>-1.02</v>
      </c>
      <c r="AU56">
        <v>1.75</v>
      </c>
      <c r="AV56">
        <v>9.0000000000000006E-5</v>
      </c>
      <c r="AY56">
        <v>5300</v>
      </c>
      <c r="AZ56">
        <v>3.9</v>
      </c>
      <c r="BA56">
        <v>0.02</v>
      </c>
      <c r="BB56">
        <v>18750</v>
      </c>
      <c r="BC56">
        <v>15.83</v>
      </c>
      <c r="BD56" t="s">
        <v>630</v>
      </c>
      <c r="BE56">
        <v>1364.7</v>
      </c>
      <c r="BF56">
        <v>-0.98</v>
      </c>
      <c r="BG56">
        <v>100</v>
      </c>
      <c r="BH56">
        <v>-0.88</v>
      </c>
      <c r="BI56">
        <v>1.66</v>
      </c>
      <c r="BJ56">
        <v>8.0000000000000007E-5</v>
      </c>
      <c r="BL56">
        <v>1350</v>
      </c>
      <c r="BM56">
        <v>24.05</v>
      </c>
      <c r="BN56">
        <v>7.0000000000000007E-2</v>
      </c>
      <c r="BO56">
        <v>18700</v>
      </c>
      <c r="BP56">
        <v>12.37</v>
      </c>
      <c r="BQ56" t="s">
        <v>630</v>
      </c>
      <c r="BR56">
        <v>0</v>
      </c>
      <c r="BS56">
        <v>-0.93</v>
      </c>
      <c r="BT56">
        <v>0</v>
      </c>
      <c r="BU56">
        <v>-1.21</v>
      </c>
      <c r="BV56">
        <v>8.4</v>
      </c>
      <c r="BW56">
        <v>1.9000000000000001E-4</v>
      </c>
    </row>
    <row r="57" spans="4:75">
      <c r="D57">
        <v>56</v>
      </c>
      <c r="E57">
        <f t="shared" ca="1" si="14"/>
        <v>17100</v>
      </c>
      <c r="F57" t="b">
        <v>0</v>
      </c>
      <c r="G57" s="38" t="e">
        <f t="shared" ca="1" si="17"/>
        <v>#N/A</v>
      </c>
      <c r="H57" s="38" t="e">
        <v>#N/A</v>
      </c>
      <c r="I57" s="40" t="e">
        <v>#N/A</v>
      </c>
      <c r="J57">
        <v>19000</v>
      </c>
      <c r="L57" s="40" t="e">
        <v>#N/A</v>
      </c>
      <c r="M57" s="40" t="e">
        <v>#N/A</v>
      </c>
      <c r="N57" s="84" t="e">
        <v>#DIV/0!</v>
      </c>
      <c r="O57" s="38" t="e">
        <v>#DIV/0!</v>
      </c>
      <c r="P57" s="38" t="e">
        <v>#DIV/0!</v>
      </c>
      <c r="Q57" s="38" t="e">
        <v>#N/A</v>
      </c>
      <c r="R57" s="90"/>
      <c r="S57" s="90" t="e">
        <f t="shared" ca="1" si="21"/>
        <v>#DIV/0!</v>
      </c>
      <c r="T57" s="90" t="e">
        <f t="shared" ca="1" si="21"/>
        <v>#DIV/0!</v>
      </c>
      <c r="U57" s="90" t="e">
        <f t="shared" ca="1" si="20"/>
        <v>#DIV/0!</v>
      </c>
      <c r="V57" s="90" t="e">
        <f t="shared" ca="1" si="20"/>
        <v>#DIV/0!</v>
      </c>
      <c r="W57" s="90" t="e">
        <f t="shared" ca="1" si="20"/>
        <v>#DIV/0!</v>
      </c>
      <c r="X57" s="90" t="e">
        <f t="shared" ca="1" si="20"/>
        <v>#DIV/0!</v>
      </c>
      <c r="Y57" s="90" t="e">
        <f t="shared" ca="1" si="20"/>
        <v>#DIV/0!</v>
      </c>
      <c r="Z57" s="90" t="e">
        <f t="shared" ca="1" si="20"/>
        <v>#DIV/0!</v>
      </c>
      <c r="AA57" s="90" t="e">
        <f t="shared" ca="1" si="20"/>
        <v>#DIV/0!</v>
      </c>
      <c r="AB57" s="90" t="e">
        <f t="shared" ca="1" si="20"/>
        <v>#DIV/0!</v>
      </c>
      <c r="AC57" s="90" t="e">
        <f t="shared" ca="1" si="20"/>
        <v>#DIV/0!</v>
      </c>
      <c r="AD57" s="90" t="e">
        <f t="shared" ca="1" si="22"/>
        <v>#DIV/0!</v>
      </c>
      <c r="AE57" s="90" t="e">
        <f t="shared" ca="1" si="22"/>
        <v>#DIV/0!</v>
      </c>
      <c r="AF57" s="90" t="e">
        <f t="shared" ca="1" si="22"/>
        <v>#DIV/0!</v>
      </c>
      <c r="AH57" s="40">
        <f t="shared" si="13"/>
        <v>1.0692608769640932</v>
      </c>
      <c r="AI57" t="b">
        <f t="shared" si="19"/>
        <v>0</v>
      </c>
      <c r="AK57">
        <v>22150</v>
      </c>
      <c r="AL57">
        <v>2.6</v>
      </c>
      <c r="AM57">
        <v>0.01</v>
      </c>
      <c r="AN57">
        <v>18850</v>
      </c>
      <c r="AO57">
        <v>15.66</v>
      </c>
      <c r="AP57" t="s">
        <v>630</v>
      </c>
      <c r="AQ57">
        <v>0</v>
      </c>
      <c r="AR57">
        <v>-0.99</v>
      </c>
      <c r="AS57">
        <v>0</v>
      </c>
      <c r="AT57">
        <v>-0.68</v>
      </c>
      <c r="AU57">
        <v>1.22</v>
      </c>
      <c r="AV57">
        <v>6.9999999999999994E-5</v>
      </c>
      <c r="AY57">
        <v>112650</v>
      </c>
      <c r="AZ57">
        <v>4.0999999999999996</v>
      </c>
      <c r="BA57">
        <v>0.02</v>
      </c>
      <c r="BB57">
        <v>18800</v>
      </c>
      <c r="BC57">
        <v>16.489999999999998</v>
      </c>
      <c r="BD57" t="s">
        <v>630</v>
      </c>
      <c r="BE57">
        <v>1260.0999999999999</v>
      </c>
      <c r="BF57">
        <v>-0.98</v>
      </c>
      <c r="BG57">
        <v>32400</v>
      </c>
      <c r="BH57">
        <v>-0.92</v>
      </c>
      <c r="BI57">
        <v>1.67</v>
      </c>
      <c r="BJ57">
        <v>8.0000000000000007E-5</v>
      </c>
      <c r="BL57">
        <v>0</v>
      </c>
      <c r="BM57">
        <v>0</v>
      </c>
      <c r="BN57">
        <v>0.2</v>
      </c>
      <c r="BO57">
        <v>18750</v>
      </c>
      <c r="BP57">
        <v>23.95</v>
      </c>
      <c r="BQ57" t="s">
        <v>630</v>
      </c>
      <c r="BR57">
        <v>0</v>
      </c>
      <c r="BS57">
        <v>-0.8</v>
      </c>
      <c r="BT57">
        <v>0</v>
      </c>
      <c r="BU57">
        <v>-4.6100000000000003</v>
      </c>
      <c r="BV57">
        <v>16.670000000000002</v>
      </c>
      <c r="BW57">
        <v>1.9000000000000001E-4</v>
      </c>
    </row>
    <row r="58" spans="4:75">
      <c r="D58">
        <v>57</v>
      </c>
      <c r="E58">
        <f t="shared" ca="1" si="14"/>
        <v>17100</v>
      </c>
      <c r="F58" t="b">
        <v>0</v>
      </c>
      <c r="G58" s="38" t="e">
        <f t="shared" ca="1" si="17"/>
        <v>#N/A</v>
      </c>
      <c r="H58" s="38" t="e">
        <v>#N/A</v>
      </c>
      <c r="I58" s="40" t="e">
        <v>#N/A</v>
      </c>
      <c r="J58">
        <v>19000</v>
      </c>
      <c r="L58" s="40" t="e">
        <v>#N/A</v>
      </c>
      <c r="M58" s="40" t="e">
        <v>#N/A</v>
      </c>
      <c r="N58" s="84" t="e">
        <v>#DIV/0!</v>
      </c>
      <c r="O58" s="38" t="e">
        <v>#DIV/0!</v>
      </c>
      <c r="P58" s="38" t="e">
        <v>#DIV/0!</v>
      </c>
      <c r="Q58" s="38" t="e">
        <v>#N/A</v>
      </c>
      <c r="R58" s="90"/>
      <c r="S58" s="90" t="e">
        <f t="shared" ca="1" si="21"/>
        <v>#DIV/0!</v>
      </c>
      <c r="T58" s="90" t="e">
        <f t="shared" ca="1" si="21"/>
        <v>#DIV/0!</v>
      </c>
      <c r="U58" s="90" t="e">
        <f t="shared" ca="1" si="20"/>
        <v>#DIV/0!</v>
      </c>
      <c r="V58" s="90" t="e">
        <f t="shared" ca="1" si="20"/>
        <v>#DIV/0!</v>
      </c>
      <c r="W58" s="90" t="e">
        <f t="shared" ca="1" si="20"/>
        <v>#DIV/0!</v>
      </c>
      <c r="X58" s="90" t="e">
        <f t="shared" ca="1" si="20"/>
        <v>#DIV/0!</v>
      </c>
      <c r="Y58" s="90" t="e">
        <f t="shared" ca="1" si="20"/>
        <v>#DIV/0!</v>
      </c>
      <c r="Z58" s="90" t="e">
        <f t="shared" ca="1" si="20"/>
        <v>#DIV/0!</v>
      </c>
      <c r="AA58" s="90" t="e">
        <f t="shared" ca="1" si="20"/>
        <v>#DIV/0!</v>
      </c>
      <c r="AB58" s="90" t="e">
        <f t="shared" ca="1" si="20"/>
        <v>#DIV/0!</v>
      </c>
      <c r="AC58" s="90" t="e">
        <f t="shared" ca="1" si="20"/>
        <v>#DIV/0!</v>
      </c>
      <c r="AD58" s="90" t="e">
        <f t="shared" ca="1" si="22"/>
        <v>#DIV/0!</v>
      </c>
      <c r="AE58" s="90" t="e">
        <f t="shared" ca="1" si="22"/>
        <v>#DIV/0!</v>
      </c>
      <c r="AF58" s="90" t="e">
        <f t="shared" ca="1" si="22"/>
        <v>#DIV/0!</v>
      </c>
      <c r="AH58" s="40">
        <f t="shared" si="13"/>
        <v>1.0720971127120087</v>
      </c>
      <c r="AI58" t="b">
        <f t="shared" si="19"/>
        <v>0</v>
      </c>
      <c r="AK58">
        <v>76850</v>
      </c>
      <c r="AL58">
        <v>3.65</v>
      </c>
      <c r="AM58">
        <v>0.02</v>
      </c>
      <c r="AN58">
        <v>18900</v>
      </c>
      <c r="AO58">
        <v>16.97</v>
      </c>
      <c r="AP58" t="s">
        <v>630</v>
      </c>
      <c r="AQ58">
        <v>1288.1500000000001</v>
      </c>
      <c r="AR58">
        <v>-0.98</v>
      </c>
      <c r="AS58">
        <v>9250</v>
      </c>
      <c r="AT58">
        <v>-0.9</v>
      </c>
      <c r="AU58">
        <v>1.49</v>
      </c>
      <c r="AV58">
        <v>6.9999999999999994E-5</v>
      </c>
      <c r="AY58">
        <v>20350</v>
      </c>
      <c r="AZ58">
        <v>3.85</v>
      </c>
      <c r="BA58">
        <v>0.02</v>
      </c>
      <c r="BB58">
        <v>18850</v>
      </c>
      <c r="BC58">
        <v>16.86</v>
      </c>
      <c r="BD58" t="s">
        <v>630</v>
      </c>
      <c r="BE58">
        <v>0</v>
      </c>
      <c r="BF58">
        <v>-0.98</v>
      </c>
      <c r="BG58">
        <v>0</v>
      </c>
      <c r="BH58">
        <v>-0.88</v>
      </c>
      <c r="BI58">
        <v>1.57</v>
      </c>
      <c r="BJ58">
        <v>6.9999999999999994E-5</v>
      </c>
      <c r="BL58">
        <v>22500</v>
      </c>
      <c r="BM58">
        <v>22</v>
      </c>
      <c r="BN58">
        <v>7.0000000000000007E-2</v>
      </c>
      <c r="BO58">
        <v>18800</v>
      </c>
      <c r="BP58">
        <v>12.91</v>
      </c>
      <c r="BQ58" t="s">
        <v>630</v>
      </c>
      <c r="BR58">
        <v>0</v>
      </c>
      <c r="BS58">
        <v>-0.93</v>
      </c>
      <c r="BT58">
        <v>0</v>
      </c>
      <c r="BU58">
        <v>-1.1599999999999999</v>
      </c>
      <c r="BV58">
        <v>7.71</v>
      </c>
      <c r="BW58">
        <v>1.6000000000000001E-4</v>
      </c>
    </row>
    <row r="59" spans="4:75">
      <c r="D59">
        <v>58</v>
      </c>
      <c r="E59">
        <f t="shared" ca="1" si="14"/>
        <v>17100</v>
      </c>
      <c r="F59" t="b">
        <v>0</v>
      </c>
      <c r="G59" s="38" t="e">
        <f t="shared" ca="1" si="17"/>
        <v>#N/A</v>
      </c>
      <c r="H59" s="38" t="e">
        <v>#N/A</v>
      </c>
      <c r="I59" s="40" t="e">
        <v>#N/A</v>
      </c>
      <c r="J59">
        <v>19000</v>
      </c>
      <c r="L59" s="40" t="e">
        <v>#N/A</v>
      </c>
      <c r="M59" s="40" t="e">
        <v>#N/A</v>
      </c>
      <c r="N59" s="84" t="e">
        <v>#DIV/0!</v>
      </c>
      <c r="O59" s="38" t="e">
        <v>#DIV/0!</v>
      </c>
      <c r="P59" s="38" t="e">
        <v>#DIV/0!</v>
      </c>
      <c r="Q59" s="38" t="e">
        <v>#N/A</v>
      </c>
      <c r="R59" s="91"/>
      <c r="S59" s="91" t="e">
        <f t="shared" ca="1" si="21"/>
        <v>#DIV/0!</v>
      </c>
      <c r="T59" s="91" t="e">
        <f t="shared" ca="1" si="21"/>
        <v>#DIV/0!</v>
      </c>
      <c r="U59" s="91" t="e">
        <f t="shared" ca="1" si="20"/>
        <v>#DIV/0!</v>
      </c>
      <c r="V59" s="91" t="e">
        <f t="shared" ca="1" si="20"/>
        <v>#DIV/0!</v>
      </c>
      <c r="W59" s="91" t="e">
        <f t="shared" ca="1" si="20"/>
        <v>#DIV/0!</v>
      </c>
      <c r="X59" s="91" t="e">
        <f t="shared" ca="1" si="20"/>
        <v>#DIV/0!</v>
      </c>
      <c r="Y59" s="91" t="e">
        <f t="shared" ca="1" si="20"/>
        <v>#DIV/0!</v>
      </c>
      <c r="Z59" s="91" t="e">
        <f t="shared" ca="1" si="20"/>
        <v>#DIV/0!</v>
      </c>
      <c r="AA59" s="91" t="e">
        <f t="shared" ca="1" si="20"/>
        <v>#DIV/0!</v>
      </c>
      <c r="AB59" s="91" t="e">
        <f t="shared" ca="1" si="20"/>
        <v>#DIV/0!</v>
      </c>
      <c r="AC59" s="91" t="e">
        <f t="shared" ca="1" si="20"/>
        <v>#DIV/0!</v>
      </c>
      <c r="AD59" s="91" t="e">
        <f t="shared" ca="1" si="22"/>
        <v>#DIV/0!</v>
      </c>
      <c r="AE59" s="91" t="e">
        <f t="shared" ca="1" si="22"/>
        <v>#DIV/0!</v>
      </c>
      <c r="AF59" s="91" t="e">
        <f t="shared" ca="1" si="22"/>
        <v>#DIV/0!</v>
      </c>
      <c r="AH59" s="40">
        <f t="shared" si="13"/>
        <v>1.0749333484599239</v>
      </c>
      <c r="AI59" t="b">
        <f t="shared" si="19"/>
        <v>0</v>
      </c>
      <c r="AK59">
        <v>0</v>
      </c>
      <c r="AL59">
        <v>0</v>
      </c>
      <c r="AM59">
        <v>0.05</v>
      </c>
      <c r="AN59">
        <v>18950</v>
      </c>
      <c r="AO59">
        <v>24.14</v>
      </c>
      <c r="AP59" t="s">
        <v>630</v>
      </c>
      <c r="AQ59">
        <v>0</v>
      </c>
      <c r="AR59">
        <v>-0.95</v>
      </c>
      <c r="AS59">
        <v>0</v>
      </c>
      <c r="AT59">
        <v>-3.22</v>
      </c>
      <c r="AU59">
        <v>3.8</v>
      </c>
      <c r="AV59">
        <v>1.2999999999999999E-4</v>
      </c>
      <c r="AY59">
        <v>73700</v>
      </c>
      <c r="AZ59">
        <v>3.7</v>
      </c>
      <c r="BA59">
        <v>0.02</v>
      </c>
      <c r="BB59">
        <v>18900</v>
      </c>
      <c r="BC59">
        <v>17.28</v>
      </c>
      <c r="BD59" t="s">
        <v>630</v>
      </c>
      <c r="BE59">
        <v>1354.45</v>
      </c>
      <c r="BF59">
        <v>-0.98</v>
      </c>
      <c r="BG59">
        <v>9050</v>
      </c>
      <c r="BH59">
        <v>-0.86</v>
      </c>
      <c r="BI59">
        <v>1.49</v>
      </c>
      <c r="BJ59">
        <v>6.9999999999999994E-5</v>
      </c>
      <c r="BL59">
        <v>50</v>
      </c>
      <c r="BM59">
        <v>135.1</v>
      </c>
      <c r="BN59">
        <v>0.19</v>
      </c>
      <c r="BO59">
        <v>18850</v>
      </c>
      <c r="BP59">
        <v>22.34</v>
      </c>
      <c r="BQ59" t="s">
        <v>630</v>
      </c>
      <c r="BR59">
        <v>0</v>
      </c>
      <c r="BS59">
        <v>-0.81</v>
      </c>
      <c r="BT59">
        <v>0</v>
      </c>
      <c r="BU59">
        <v>-4.24</v>
      </c>
      <c r="BV59">
        <v>16.309999999999999</v>
      </c>
      <c r="BW59">
        <v>2.0000000000000001E-4</v>
      </c>
    </row>
    <row r="60" spans="4:75">
      <c r="AK60">
        <v>31850</v>
      </c>
      <c r="AL60">
        <v>3.4</v>
      </c>
      <c r="AM60">
        <v>0.02</v>
      </c>
      <c r="AN60">
        <v>19000</v>
      </c>
      <c r="AO60">
        <v>17.86</v>
      </c>
      <c r="AP60" t="s">
        <v>630</v>
      </c>
      <c r="AQ60">
        <v>1380</v>
      </c>
      <c r="AR60">
        <v>-0.98</v>
      </c>
      <c r="AS60">
        <v>20000</v>
      </c>
      <c r="AT60">
        <v>-0.86</v>
      </c>
      <c r="AU60">
        <v>1.36</v>
      </c>
      <c r="AV60">
        <v>6.0000000000000002E-5</v>
      </c>
      <c r="BL60">
        <v>850</v>
      </c>
      <c r="BM60">
        <v>11.5</v>
      </c>
      <c r="BN60">
        <v>0.04</v>
      </c>
      <c r="BO60">
        <v>18900</v>
      </c>
      <c r="BP60">
        <v>12.02</v>
      </c>
      <c r="BQ60" t="s">
        <v>630</v>
      </c>
      <c r="BR60">
        <v>0</v>
      </c>
      <c r="BS60">
        <v>-0.96</v>
      </c>
      <c r="BT60">
        <v>0</v>
      </c>
      <c r="BU60">
        <v>-0.72</v>
      </c>
      <c r="BV60">
        <v>5.19</v>
      </c>
      <c r="BW60">
        <v>1.2E-4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Q29"/>
  <sheetViews>
    <sheetView workbookViewId="0">
      <selection activeCell="F29" sqref="F29"/>
    </sheetView>
  </sheetViews>
  <sheetFormatPr defaultRowHeight="15"/>
  <cols>
    <col min="2" max="2" width="9.7109375" bestFit="1" customWidth="1"/>
  </cols>
  <sheetData>
    <row r="1" spans="1:17">
      <c r="A1" t="s">
        <v>658</v>
      </c>
      <c r="B1" t="s">
        <v>99</v>
      </c>
      <c r="C1" t="s">
        <v>639</v>
      </c>
      <c r="D1" t="s">
        <v>640</v>
      </c>
      <c r="E1" t="s">
        <v>139</v>
      </c>
      <c r="F1" t="s">
        <v>643</v>
      </c>
    </row>
    <row r="2" spans="1:17">
      <c r="A2" t="str">
        <f>B2&amp;C2&amp;D2</f>
        <v>444971660016100</v>
      </c>
      <c r="B2" s="39">
        <v>44497</v>
      </c>
      <c r="C2">
        <v>16600</v>
      </c>
      <c r="D2">
        <v>16100</v>
      </c>
      <c r="E2">
        <v>32000</v>
      </c>
      <c r="L2">
        <v>16950</v>
      </c>
      <c r="M2">
        <v>16050</v>
      </c>
      <c r="N2">
        <v>955.00000000000011</v>
      </c>
      <c r="O2">
        <v>-44045</v>
      </c>
      <c r="P2">
        <v>2.1682370303099104E-2</v>
      </c>
    </row>
    <row r="3" spans="1:17">
      <c r="A3" t="str">
        <f t="shared" ref="A3:A29" si="0">B3&amp;C3&amp;D3</f>
        <v>444971660016200</v>
      </c>
      <c r="B3" s="39">
        <v>44497</v>
      </c>
      <c r="C3">
        <v>16600</v>
      </c>
      <c r="D3">
        <v>16200</v>
      </c>
      <c r="E3">
        <v>30000</v>
      </c>
      <c r="L3">
        <v>16950</v>
      </c>
      <c r="M3">
        <v>16100</v>
      </c>
      <c r="N3">
        <v>960</v>
      </c>
      <c r="O3">
        <v>-41540</v>
      </c>
      <c r="P3">
        <v>2.3110255175734232E-2</v>
      </c>
      <c r="Q3">
        <v>32000</v>
      </c>
    </row>
    <row r="4" spans="1:17">
      <c r="A4" t="str">
        <f t="shared" si="0"/>
        <v>444971660016250</v>
      </c>
      <c r="B4" s="39">
        <v>44497</v>
      </c>
      <c r="C4">
        <v>16600</v>
      </c>
      <c r="D4">
        <v>16250</v>
      </c>
      <c r="E4">
        <v>28000</v>
      </c>
      <c r="L4">
        <v>16950</v>
      </c>
      <c r="M4">
        <v>16150</v>
      </c>
      <c r="N4">
        <v>930.00000000000011</v>
      </c>
      <c r="O4">
        <v>-39070</v>
      </c>
      <c r="P4">
        <v>2.3803429741489638E-2</v>
      </c>
    </row>
    <row r="5" spans="1:17">
      <c r="A5" t="str">
        <f t="shared" si="0"/>
        <v>444971660016300</v>
      </c>
      <c r="B5" s="39">
        <v>44497</v>
      </c>
      <c r="C5">
        <v>16600</v>
      </c>
      <c r="D5">
        <v>16300</v>
      </c>
      <c r="E5">
        <v>27000</v>
      </c>
      <c r="L5">
        <v>16950</v>
      </c>
      <c r="M5">
        <v>16200</v>
      </c>
      <c r="N5">
        <v>927.49999999999989</v>
      </c>
      <c r="O5">
        <v>-36572.5</v>
      </c>
      <c r="P5">
        <v>2.5360585139107248E-2</v>
      </c>
      <c r="Q5">
        <v>30000</v>
      </c>
    </row>
    <row r="6" spans="1:17">
      <c r="A6" t="str">
        <f t="shared" si="0"/>
        <v>444971660016350</v>
      </c>
      <c r="B6" s="39">
        <v>44497</v>
      </c>
      <c r="C6">
        <v>16600</v>
      </c>
      <c r="D6">
        <v>16350</v>
      </c>
      <c r="E6">
        <v>25500</v>
      </c>
      <c r="L6">
        <v>16950</v>
      </c>
      <c r="M6">
        <v>16250</v>
      </c>
      <c r="N6">
        <v>900</v>
      </c>
      <c r="O6">
        <v>-34100</v>
      </c>
      <c r="P6">
        <v>2.6392961876832845E-2</v>
      </c>
      <c r="Q6">
        <v>28000</v>
      </c>
    </row>
    <row r="7" spans="1:17">
      <c r="A7" t="str">
        <f t="shared" si="0"/>
        <v>444971660016400</v>
      </c>
      <c r="B7" s="39">
        <v>44497</v>
      </c>
      <c r="C7">
        <v>16600</v>
      </c>
      <c r="D7">
        <v>16400</v>
      </c>
      <c r="E7">
        <v>24000</v>
      </c>
      <c r="L7">
        <v>16950</v>
      </c>
      <c r="M7">
        <v>16300</v>
      </c>
      <c r="N7">
        <v>822.5</v>
      </c>
      <c r="O7">
        <v>-31677.5</v>
      </c>
      <c r="P7">
        <v>2.5964801515271092E-2</v>
      </c>
      <c r="Q7">
        <v>27000</v>
      </c>
    </row>
    <row r="8" spans="1:17">
      <c r="A8" t="str">
        <f t="shared" si="0"/>
        <v>444971660016450</v>
      </c>
      <c r="B8" s="39">
        <v>44497</v>
      </c>
      <c r="C8">
        <v>16600</v>
      </c>
      <c r="D8">
        <v>16450</v>
      </c>
      <c r="E8">
        <v>22500</v>
      </c>
      <c r="L8">
        <v>16950</v>
      </c>
      <c r="M8">
        <v>16350</v>
      </c>
      <c r="N8">
        <v>880.00000000000011</v>
      </c>
      <c r="O8">
        <v>-29120</v>
      </c>
      <c r="P8">
        <v>3.0219780219780223E-2</v>
      </c>
      <c r="Q8">
        <v>25500</v>
      </c>
    </row>
    <row r="9" spans="1:17">
      <c r="A9" t="str">
        <f t="shared" si="0"/>
        <v>444971660016500</v>
      </c>
      <c r="B9" s="39">
        <v>44497</v>
      </c>
      <c r="C9">
        <v>16600</v>
      </c>
      <c r="D9">
        <v>16500</v>
      </c>
      <c r="E9">
        <v>20700</v>
      </c>
      <c r="L9">
        <v>16950</v>
      </c>
      <c r="M9">
        <v>16400</v>
      </c>
      <c r="N9">
        <v>850</v>
      </c>
      <c r="O9">
        <v>-26650</v>
      </c>
      <c r="P9">
        <v>3.1894934333958722E-2</v>
      </c>
      <c r="Q9">
        <v>24000</v>
      </c>
    </row>
    <row r="10" spans="1:17">
      <c r="A10" t="str">
        <f t="shared" si="0"/>
        <v>444971660016550</v>
      </c>
      <c r="B10" s="39">
        <v>44497</v>
      </c>
      <c r="C10">
        <v>16600</v>
      </c>
      <c r="D10">
        <v>16550</v>
      </c>
      <c r="E10">
        <v>19000</v>
      </c>
      <c r="L10">
        <v>16950</v>
      </c>
      <c r="M10">
        <v>16450</v>
      </c>
      <c r="N10">
        <v>830.00000000000011</v>
      </c>
      <c r="O10">
        <v>-24170</v>
      </c>
      <c r="P10">
        <v>3.4340091021928018E-2</v>
      </c>
      <c r="Q10">
        <v>22500</v>
      </c>
    </row>
    <row r="11" spans="1:17">
      <c r="A11" t="str">
        <f t="shared" si="0"/>
        <v>444691695016050</v>
      </c>
      <c r="B11" s="39">
        <v>44469</v>
      </c>
      <c r="C11">
        <v>16950</v>
      </c>
      <c r="D11">
        <v>16050</v>
      </c>
      <c r="E11">
        <v>53890</v>
      </c>
      <c r="F11">
        <v>1160</v>
      </c>
      <c r="L11">
        <v>16950</v>
      </c>
      <c r="M11">
        <v>16500</v>
      </c>
      <c r="N11">
        <v>802.49999999999989</v>
      </c>
      <c r="O11">
        <v>-21697.5</v>
      </c>
      <c r="P11">
        <v>3.6985827860352573E-2</v>
      </c>
      <c r="Q11">
        <v>20700</v>
      </c>
    </row>
    <row r="12" spans="1:17">
      <c r="A12" t="str">
        <f t="shared" si="0"/>
        <v>444691695016100</v>
      </c>
      <c r="B12" s="39">
        <v>44469</v>
      </c>
      <c r="C12">
        <v>16950</v>
      </c>
      <c r="D12">
        <v>16100</v>
      </c>
      <c r="E12">
        <v>52062</v>
      </c>
      <c r="F12">
        <v>1128</v>
      </c>
      <c r="L12">
        <v>16950</v>
      </c>
      <c r="M12">
        <v>16550</v>
      </c>
      <c r="N12">
        <v>752.5</v>
      </c>
      <c r="O12">
        <v>-19247.5</v>
      </c>
      <c r="P12">
        <v>3.9095986491752173E-2</v>
      </c>
      <c r="Q12">
        <v>19000</v>
      </c>
    </row>
    <row r="13" spans="1:17">
      <c r="A13" t="str">
        <f t="shared" si="0"/>
        <v>444691695016150</v>
      </c>
      <c r="B13" s="39">
        <v>44469</v>
      </c>
      <c r="C13">
        <v>16950</v>
      </c>
      <c r="D13">
        <v>16150</v>
      </c>
      <c r="E13">
        <v>50193</v>
      </c>
      <c r="F13">
        <v>1108</v>
      </c>
    </row>
    <row r="14" spans="1:17">
      <c r="A14" t="str">
        <f t="shared" si="0"/>
        <v>444691695016200</v>
      </c>
      <c r="B14" s="39">
        <v>44469</v>
      </c>
      <c r="C14">
        <v>16950</v>
      </c>
      <c r="D14">
        <v>16200</v>
      </c>
      <c r="E14">
        <v>48281</v>
      </c>
      <c r="F14">
        <v>1093</v>
      </c>
    </row>
    <row r="15" spans="1:17">
      <c r="A15" t="str">
        <f t="shared" si="0"/>
        <v>444691695016250</v>
      </c>
      <c r="B15" s="39">
        <v>44469</v>
      </c>
      <c r="C15">
        <v>16950</v>
      </c>
      <c r="D15">
        <v>16250</v>
      </c>
      <c r="E15">
        <v>46321</v>
      </c>
      <c r="F15">
        <v>1070</v>
      </c>
    </row>
    <row r="16" spans="1:17">
      <c r="A16" t="str">
        <f t="shared" si="0"/>
        <v>444691695016300</v>
      </c>
      <c r="B16" s="39">
        <v>44469</v>
      </c>
      <c r="C16">
        <v>16950</v>
      </c>
      <c r="D16">
        <v>16300</v>
      </c>
      <c r="E16">
        <v>44322</v>
      </c>
      <c r="F16">
        <v>1040</v>
      </c>
    </row>
    <row r="17" spans="1:6">
      <c r="A17" t="str">
        <f t="shared" si="0"/>
        <v>444691695016350</v>
      </c>
      <c r="B17" s="39">
        <v>44469</v>
      </c>
      <c r="C17">
        <v>16950</v>
      </c>
      <c r="D17">
        <v>16350</v>
      </c>
      <c r="E17">
        <v>42331</v>
      </c>
      <c r="F17">
        <v>1045</v>
      </c>
    </row>
    <row r="18" spans="1:6">
      <c r="A18" t="str">
        <f t="shared" si="0"/>
        <v>444691695016400</v>
      </c>
      <c r="B18" s="39">
        <v>44469</v>
      </c>
      <c r="C18">
        <v>16950</v>
      </c>
      <c r="D18">
        <v>16400</v>
      </c>
      <c r="E18">
        <v>40273</v>
      </c>
      <c r="F18">
        <v>1003</v>
      </c>
    </row>
    <row r="19" spans="1:6">
      <c r="A19" t="str">
        <f t="shared" si="0"/>
        <v>444691695016450</v>
      </c>
      <c r="B19" s="39">
        <v>44469</v>
      </c>
      <c r="C19">
        <v>16950</v>
      </c>
      <c r="D19">
        <v>16450</v>
      </c>
      <c r="E19">
        <v>38229</v>
      </c>
      <c r="F19">
        <v>988</v>
      </c>
    </row>
    <row r="20" spans="1:6">
      <c r="A20" t="str">
        <f t="shared" si="0"/>
        <v>444691695016500</v>
      </c>
      <c r="B20" s="39">
        <v>44469</v>
      </c>
      <c r="C20">
        <v>16950</v>
      </c>
      <c r="D20">
        <v>16500</v>
      </c>
      <c r="E20">
        <v>36141</v>
      </c>
      <c r="F20">
        <v>935</v>
      </c>
    </row>
    <row r="21" spans="1:6">
      <c r="A21" t="str">
        <f t="shared" si="0"/>
        <v>444691695016550</v>
      </c>
      <c r="B21" s="39">
        <v>44469</v>
      </c>
      <c r="C21">
        <v>16950</v>
      </c>
      <c r="D21">
        <v>16550</v>
      </c>
      <c r="E21">
        <v>34058</v>
      </c>
    </row>
    <row r="22" spans="1:6">
      <c r="A22" t="str">
        <f t="shared" si="0"/>
        <v>444691695016600</v>
      </c>
      <c r="B22" s="39">
        <v>44469</v>
      </c>
      <c r="C22">
        <v>16950</v>
      </c>
      <c r="D22">
        <v>16600</v>
      </c>
      <c r="E22">
        <v>31975</v>
      </c>
    </row>
    <row r="23" spans="1:6">
      <c r="A23" t="str">
        <f t="shared" si="0"/>
        <v>444691695016650</v>
      </c>
      <c r="B23" s="39">
        <v>44469</v>
      </c>
      <c r="C23">
        <v>16950</v>
      </c>
      <c r="D23">
        <v>16650</v>
      </c>
      <c r="E23">
        <v>29889</v>
      </c>
    </row>
    <row r="24" spans="1:6">
      <c r="A24" t="str">
        <f t="shared" si="0"/>
        <v>444691695016700</v>
      </c>
      <c r="B24" s="39">
        <v>44469</v>
      </c>
      <c r="C24">
        <v>16950</v>
      </c>
      <c r="D24">
        <v>16700</v>
      </c>
      <c r="E24">
        <v>27799</v>
      </c>
    </row>
    <row r="25" spans="1:6">
      <c r="A25" t="str">
        <f t="shared" si="0"/>
        <v>444691695016750</v>
      </c>
      <c r="B25" s="39">
        <v>44469</v>
      </c>
      <c r="C25">
        <v>16950</v>
      </c>
      <c r="D25">
        <v>16750</v>
      </c>
      <c r="E25">
        <v>25718</v>
      </c>
    </row>
    <row r="26" spans="1:6">
      <c r="A26" t="str">
        <f t="shared" si="0"/>
        <v>444691695016800</v>
      </c>
      <c r="B26" s="39">
        <v>44469</v>
      </c>
      <c r="C26">
        <v>16950</v>
      </c>
      <c r="D26">
        <v>16800</v>
      </c>
      <c r="E26">
        <v>23647</v>
      </c>
    </row>
    <row r="27" spans="1:6">
      <c r="A27" t="str">
        <f t="shared" si="0"/>
        <v>444691695016850</v>
      </c>
      <c r="B27" s="39">
        <v>44469</v>
      </c>
      <c r="C27">
        <v>16950</v>
      </c>
      <c r="D27">
        <v>16850</v>
      </c>
      <c r="E27">
        <v>21583</v>
      </c>
    </row>
    <row r="28" spans="1:6">
      <c r="A28" t="str">
        <f t="shared" si="0"/>
        <v>444691695016900</v>
      </c>
      <c r="B28" s="39">
        <v>44469</v>
      </c>
      <c r="C28">
        <v>16950</v>
      </c>
      <c r="D28">
        <v>16900</v>
      </c>
      <c r="E28">
        <v>19556</v>
      </c>
    </row>
    <row r="29" spans="1:6">
      <c r="A29" t="str">
        <f t="shared" si="0"/>
        <v>444691695016950</v>
      </c>
      <c r="B29" s="39">
        <v>44469</v>
      </c>
      <c r="C29">
        <v>16950</v>
      </c>
      <c r="D29">
        <v>16950</v>
      </c>
      <c r="E29">
        <v>77411</v>
      </c>
      <c r="F29">
        <v>1638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177"/>
  <sheetViews>
    <sheetView topLeftCell="A155" workbookViewId="0">
      <selection sqref="A1:E177"/>
    </sheetView>
  </sheetViews>
  <sheetFormatPr defaultRowHeight="15"/>
  <cols>
    <col min="2" max="2" width="14.5703125" bestFit="1" customWidth="1"/>
  </cols>
  <sheetData>
    <row r="1" spans="1:16">
      <c r="A1" t="s">
        <v>171</v>
      </c>
      <c r="B1" t="s">
        <v>172</v>
      </c>
      <c r="C1" s="45">
        <v>44440</v>
      </c>
      <c r="D1" s="45">
        <v>44470</v>
      </c>
      <c r="E1" s="45">
        <v>44501</v>
      </c>
      <c r="F1" s="45">
        <v>44531</v>
      </c>
      <c r="G1" s="45">
        <v>44621</v>
      </c>
      <c r="H1" s="45">
        <v>44713</v>
      </c>
      <c r="I1" s="45">
        <v>44896</v>
      </c>
      <c r="J1" s="45">
        <v>45078</v>
      </c>
      <c r="K1" s="45">
        <v>45261</v>
      </c>
      <c r="L1" s="45">
        <v>45444</v>
      </c>
      <c r="M1" s="45">
        <v>45627</v>
      </c>
      <c r="N1" s="45">
        <v>45809</v>
      </c>
      <c r="O1" s="45">
        <v>45992</v>
      </c>
      <c r="P1" s="45">
        <v>46174</v>
      </c>
    </row>
    <row r="2" spans="1:16">
      <c r="A2" t="s">
        <v>173</v>
      </c>
      <c r="B2" t="s">
        <v>174</v>
      </c>
      <c r="C2">
        <v>25</v>
      </c>
      <c r="D2">
        <v>25</v>
      </c>
      <c r="E2">
        <v>25</v>
      </c>
      <c r="F2">
        <v>25</v>
      </c>
      <c r="G2">
        <v>25</v>
      </c>
      <c r="H2">
        <v>25</v>
      </c>
      <c r="I2" t="s">
        <v>175</v>
      </c>
      <c r="J2" t="s">
        <v>175</v>
      </c>
      <c r="K2" t="s">
        <v>175</v>
      </c>
      <c r="L2" t="s">
        <v>175</v>
      </c>
      <c r="M2" t="s">
        <v>175</v>
      </c>
      <c r="N2" t="s">
        <v>175</v>
      </c>
      <c r="O2" t="s">
        <v>175</v>
      </c>
      <c r="P2" t="s">
        <v>175</v>
      </c>
    </row>
    <row r="3" spans="1:16">
      <c r="A3" t="s">
        <v>176</v>
      </c>
      <c r="B3" t="s">
        <v>177</v>
      </c>
      <c r="C3">
        <v>50</v>
      </c>
      <c r="D3">
        <v>50</v>
      </c>
      <c r="E3">
        <v>50</v>
      </c>
      <c r="F3">
        <v>50</v>
      </c>
      <c r="G3">
        <v>50</v>
      </c>
      <c r="H3">
        <v>50</v>
      </c>
      <c r="I3">
        <v>50</v>
      </c>
      <c r="J3">
        <v>50</v>
      </c>
      <c r="K3">
        <v>50</v>
      </c>
      <c r="L3">
        <v>50</v>
      </c>
      <c r="M3">
        <v>50</v>
      </c>
      <c r="N3">
        <v>50</v>
      </c>
      <c r="O3">
        <v>50</v>
      </c>
      <c r="P3">
        <v>50</v>
      </c>
    </row>
    <row r="4" spans="1:16">
      <c r="A4" t="s">
        <v>178</v>
      </c>
      <c r="B4" t="s">
        <v>179</v>
      </c>
      <c r="C4">
        <v>40</v>
      </c>
      <c r="D4">
        <v>40</v>
      </c>
      <c r="E4">
        <v>40</v>
      </c>
      <c r="F4" t="s">
        <v>175</v>
      </c>
      <c r="G4" t="s">
        <v>175</v>
      </c>
      <c r="H4" t="s">
        <v>175</v>
      </c>
      <c r="I4" t="s">
        <v>175</v>
      </c>
      <c r="J4" t="s">
        <v>175</v>
      </c>
      <c r="K4" t="s">
        <v>175</v>
      </c>
      <c r="L4" t="s">
        <v>175</v>
      </c>
      <c r="M4" t="s">
        <v>175</v>
      </c>
      <c r="N4" t="s">
        <v>175</v>
      </c>
      <c r="O4" t="s">
        <v>175</v>
      </c>
      <c r="P4" t="s">
        <v>175</v>
      </c>
    </row>
    <row r="5" spans="1:16">
      <c r="A5" t="s">
        <v>180</v>
      </c>
      <c r="B5" t="s">
        <v>181</v>
      </c>
      <c r="C5" s="45">
        <v>44440</v>
      </c>
      <c r="D5" s="45">
        <v>44470</v>
      </c>
      <c r="E5" s="45">
        <v>44501</v>
      </c>
      <c r="F5" t="s">
        <v>175</v>
      </c>
      <c r="G5" t="s">
        <v>175</v>
      </c>
      <c r="H5" t="s">
        <v>175</v>
      </c>
      <c r="I5" t="s">
        <v>175</v>
      </c>
      <c r="J5" t="s">
        <v>175</v>
      </c>
      <c r="K5" t="s">
        <v>175</v>
      </c>
      <c r="L5" t="s">
        <v>175</v>
      </c>
      <c r="M5" t="s">
        <v>175</v>
      </c>
      <c r="N5" t="s">
        <v>175</v>
      </c>
      <c r="O5" t="s">
        <v>175</v>
      </c>
      <c r="P5" t="s">
        <v>175</v>
      </c>
    </row>
    <row r="6" spans="1:16">
      <c r="A6" t="s">
        <v>182</v>
      </c>
      <c r="B6" t="s">
        <v>113</v>
      </c>
      <c r="C6">
        <v>500</v>
      </c>
      <c r="D6">
        <v>500</v>
      </c>
      <c r="E6">
        <v>500</v>
      </c>
      <c r="F6" t="s">
        <v>175</v>
      </c>
      <c r="H6" t="s">
        <v>175</v>
      </c>
      <c r="I6" t="s">
        <v>175</v>
      </c>
      <c r="J6" t="s">
        <v>175</v>
      </c>
      <c r="K6" t="s">
        <v>175</v>
      </c>
      <c r="L6" t="s">
        <v>175</v>
      </c>
      <c r="M6" t="s">
        <v>175</v>
      </c>
      <c r="N6" t="s">
        <v>175</v>
      </c>
      <c r="O6" t="s">
        <v>175</v>
      </c>
      <c r="P6" t="s">
        <v>175</v>
      </c>
    </row>
    <row r="7" spans="1:16">
      <c r="A7" t="s">
        <v>183</v>
      </c>
      <c r="B7" t="s">
        <v>184</v>
      </c>
      <c r="C7">
        <v>1250</v>
      </c>
      <c r="D7">
        <v>1250</v>
      </c>
      <c r="E7">
        <v>1250</v>
      </c>
      <c r="F7" t="s">
        <v>175</v>
      </c>
      <c r="H7" t="s">
        <v>175</v>
      </c>
      <c r="I7" t="s">
        <v>175</v>
      </c>
      <c r="J7" t="s">
        <v>175</v>
      </c>
      <c r="K7" t="s">
        <v>175</v>
      </c>
      <c r="L7" t="s">
        <v>175</v>
      </c>
      <c r="M7" t="s">
        <v>175</v>
      </c>
      <c r="N7" t="s">
        <v>175</v>
      </c>
      <c r="O7" t="s">
        <v>175</v>
      </c>
      <c r="P7" t="s">
        <v>175</v>
      </c>
    </row>
    <row r="8" spans="1:16">
      <c r="A8" t="s">
        <v>185</v>
      </c>
      <c r="B8" t="s">
        <v>386</v>
      </c>
      <c r="C8">
        <v>850</v>
      </c>
      <c r="D8">
        <v>850</v>
      </c>
      <c r="E8">
        <v>850</v>
      </c>
      <c r="F8" t="s">
        <v>175</v>
      </c>
      <c r="H8" t="s">
        <v>175</v>
      </c>
      <c r="I8" t="s">
        <v>175</v>
      </c>
      <c r="J8" t="s">
        <v>175</v>
      </c>
      <c r="K8" t="s">
        <v>175</v>
      </c>
      <c r="L8" t="s">
        <v>175</v>
      </c>
      <c r="M8" t="s">
        <v>175</v>
      </c>
      <c r="N8" t="s">
        <v>175</v>
      </c>
      <c r="O8" t="s">
        <v>175</v>
      </c>
      <c r="P8" t="s">
        <v>175</v>
      </c>
    </row>
    <row r="9" spans="1:16">
      <c r="A9" t="s">
        <v>186</v>
      </c>
      <c r="B9" t="s">
        <v>387</v>
      </c>
      <c r="C9">
        <v>200</v>
      </c>
      <c r="D9">
        <v>200</v>
      </c>
      <c r="E9">
        <v>200</v>
      </c>
      <c r="F9" t="s">
        <v>175</v>
      </c>
      <c r="H9" t="s">
        <v>175</v>
      </c>
      <c r="I9" t="s">
        <v>175</v>
      </c>
      <c r="J9" t="s">
        <v>175</v>
      </c>
      <c r="K9" t="s">
        <v>175</v>
      </c>
      <c r="L9" t="s">
        <v>175</v>
      </c>
      <c r="M9" t="s">
        <v>175</v>
      </c>
      <c r="N9" t="s">
        <v>175</v>
      </c>
      <c r="O9" t="s">
        <v>175</v>
      </c>
      <c r="P9" t="s">
        <v>175</v>
      </c>
    </row>
    <row r="10" spans="1:16">
      <c r="A10" t="s">
        <v>187</v>
      </c>
      <c r="B10" t="s">
        <v>388</v>
      </c>
      <c r="C10">
        <v>4500</v>
      </c>
      <c r="D10">
        <v>4500</v>
      </c>
      <c r="E10">
        <v>4500</v>
      </c>
      <c r="F10" t="s">
        <v>175</v>
      </c>
      <c r="H10" t="s">
        <v>175</v>
      </c>
      <c r="I10" t="s">
        <v>175</v>
      </c>
      <c r="J10" t="s">
        <v>175</v>
      </c>
      <c r="K10" t="s">
        <v>175</v>
      </c>
      <c r="L10" t="s">
        <v>175</v>
      </c>
      <c r="M10" t="s">
        <v>175</v>
      </c>
      <c r="N10" t="s">
        <v>175</v>
      </c>
      <c r="O10" t="s">
        <v>175</v>
      </c>
      <c r="P10" t="s">
        <v>175</v>
      </c>
    </row>
    <row r="11" spans="1:16">
      <c r="A11" t="s">
        <v>188</v>
      </c>
      <c r="B11" t="s">
        <v>118</v>
      </c>
      <c r="C11">
        <v>300</v>
      </c>
      <c r="D11">
        <v>300</v>
      </c>
      <c r="E11">
        <v>300</v>
      </c>
      <c r="F11" t="s">
        <v>175</v>
      </c>
      <c r="H11" t="s">
        <v>175</v>
      </c>
      <c r="I11" t="s">
        <v>175</v>
      </c>
      <c r="J11" t="s">
        <v>175</v>
      </c>
      <c r="K11" t="s">
        <v>175</v>
      </c>
      <c r="L11" t="s">
        <v>175</v>
      </c>
      <c r="M11" t="s">
        <v>175</v>
      </c>
      <c r="N11" t="s">
        <v>175</v>
      </c>
      <c r="O11" t="s">
        <v>175</v>
      </c>
      <c r="P11" t="s">
        <v>175</v>
      </c>
    </row>
    <row r="12" spans="1:16">
      <c r="A12" t="s">
        <v>189</v>
      </c>
      <c r="B12" t="s">
        <v>120</v>
      </c>
      <c r="C12">
        <v>1200</v>
      </c>
      <c r="D12">
        <v>1200</v>
      </c>
      <c r="E12">
        <v>1200</v>
      </c>
      <c r="F12" t="s">
        <v>175</v>
      </c>
      <c r="H12" t="s">
        <v>175</v>
      </c>
      <c r="I12" t="s">
        <v>175</v>
      </c>
      <c r="J12" t="s">
        <v>175</v>
      </c>
      <c r="K12" t="s">
        <v>175</v>
      </c>
      <c r="L12" t="s">
        <v>175</v>
      </c>
      <c r="M12" t="s">
        <v>175</v>
      </c>
      <c r="N12" t="s">
        <v>175</v>
      </c>
      <c r="O12" t="s">
        <v>175</v>
      </c>
      <c r="P12" t="s">
        <v>175</v>
      </c>
    </row>
    <row r="13" spans="1:16">
      <c r="A13" t="s">
        <v>190</v>
      </c>
      <c r="B13" t="s">
        <v>389</v>
      </c>
      <c r="C13">
        <v>2600</v>
      </c>
      <c r="D13">
        <v>2600</v>
      </c>
      <c r="E13">
        <v>2600</v>
      </c>
      <c r="F13" t="s">
        <v>175</v>
      </c>
      <c r="H13" t="s">
        <v>175</v>
      </c>
      <c r="I13" t="s">
        <v>175</v>
      </c>
      <c r="J13" t="s">
        <v>175</v>
      </c>
      <c r="K13" t="s">
        <v>175</v>
      </c>
      <c r="L13" t="s">
        <v>175</v>
      </c>
      <c r="M13" t="s">
        <v>175</v>
      </c>
      <c r="N13" t="s">
        <v>175</v>
      </c>
      <c r="O13" t="s">
        <v>175</v>
      </c>
      <c r="P13" t="s">
        <v>175</v>
      </c>
    </row>
    <row r="14" spans="1:16">
      <c r="A14" t="s">
        <v>191</v>
      </c>
      <c r="B14" t="s">
        <v>390</v>
      </c>
      <c r="C14">
        <v>3000</v>
      </c>
      <c r="D14">
        <v>3000</v>
      </c>
      <c r="E14">
        <v>3000</v>
      </c>
      <c r="F14" t="s">
        <v>175</v>
      </c>
      <c r="H14" t="s">
        <v>175</v>
      </c>
      <c r="I14" t="s">
        <v>175</v>
      </c>
      <c r="J14" t="s">
        <v>175</v>
      </c>
      <c r="K14" t="s">
        <v>175</v>
      </c>
      <c r="L14" t="s">
        <v>175</v>
      </c>
      <c r="M14" t="s">
        <v>175</v>
      </c>
      <c r="N14" t="s">
        <v>175</v>
      </c>
      <c r="O14" t="s">
        <v>175</v>
      </c>
      <c r="P14" t="s">
        <v>175</v>
      </c>
    </row>
    <row r="15" spans="1:16">
      <c r="A15" t="s">
        <v>192</v>
      </c>
      <c r="B15" t="s">
        <v>193</v>
      </c>
      <c r="C15">
        <v>250</v>
      </c>
      <c r="D15">
        <v>250</v>
      </c>
      <c r="E15">
        <v>250</v>
      </c>
      <c r="F15" t="s">
        <v>175</v>
      </c>
      <c r="H15" t="s">
        <v>175</v>
      </c>
      <c r="I15" t="s">
        <v>175</v>
      </c>
      <c r="J15" t="s">
        <v>175</v>
      </c>
      <c r="K15" t="s">
        <v>175</v>
      </c>
      <c r="L15" t="s">
        <v>175</v>
      </c>
      <c r="M15" t="s">
        <v>175</v>
      </c>
      <c r="N15" t="s">
        <v>175</v>
      </c>
      <c r="O15" t="s">
        <v>175</v>
      </c>
      <c r="P15" t="s">
        <v>175</v>
      </c>
    </row>
    <row r="16" spans="1:16">
      <c r="A16" t="s">
        <v>194</v>
      </c>
      <c r="B16" t="s">
        <v>195</v>
      </c>
      <c r="C16">
        <v>1800</v>
      </c>
      <c r="D16">
        <v>1800</v>
      </c>
      <c r="E16">
        <v>1800</v>
      </c>
      <c r="F16" t="s">
        <v>175</v>
      </c>
      <c r="H16" t="s">
        <v>175</v>
      </c>
      <c r="I16" t="s">
        <v>175</v>
      </c>
      <c r="J16" t="s">
        <v>175</v>
      </c>
      <c r="K16" t="s">
        <v>175</v>
      </c>
      <c r="L16" t="s">
        <v>175</v>
      </c>
      <c r="M16" t="s">
        <v>175</v>
      </c>
      <c r="N16" t="s">
        <v>175</v>
      </c>
      <c r="O16" t="s">
        <v>175</v>
      </c>
      <c r="P16" t="s">
        <v>175</v>
      </c>
    </row>
    <row r="17" spans="1:16">
      <c r="A17" t="s">
        <v>196</v>
      </c>
      <c r="B17" t="s">
        <v>391</v>
      </c>
      <c r="C17">
        <v>1000</v>
      </c>
      <c r="D17">
        <v>1000</v>
      </c>
      <c r="E17">
        <v>1000</v>
      </c>
      <c r="F17" t="s">
        <v>175</v>
      </c>
      <c r="H17" t="s">
        <v>175</v>
      </c>
      <c r="I17" t="s">
        <v>175</v>
      </c>
      <c r="J17" t="s">
        <v>175</v>
      </c>
      <c r="K17" t="s">
        <v>175</v>
      </c>
      <c r="L17" t="s">
        <v>175</v>
      </c>
      <c r="M17" t="s">
        <v>175</v>
      </c>
      <c r="N17" t="s">
        <v>175</v>
      </c>
      <c r="O17" t="s">
        <v>175</v>
      </c>
      <c r="P17" t="s">
        <v>175</v>
      </c>
    </row>
    <row r="18" spans="1:16">
      <c r="A18" t="s">
        <v>197</v>
      </c>
      <c r="B18" t="s">
        <v>392</v>
      </c>
      <c r="C18">
        <v>10500</v>
      </c>
      <c r="D18">
        <v>10500</v>
      </c>
      <c r="E18">
        <v>10500</v>
      </c>
      <c r="F18" t="s">
        <v>175</v>
      </c>
      <c r="H18" t="s">
        <v>175</v>
      </c>
      <c r="I18" t="s">
        <v>175</v>
      </c>
      <c r="J18" t="s">
        <v>175</v>
      </c>
      <c r="K18" t="s">
        <v>175</v>
      </c>
      <c r="L18" t="s">
        <v>175</v>
      </c>
      <c r="M18" t="s">
        <v>175</v>
      </c>
      <c r="N18" t="s">
        <v>175</v>
      </c>
      <c r="O18" t="s">
        <v>175</v>
      </c>
      <c r="P18" t="s">
        <v>175</v>
      </c>
    </row>
    <row r="19" spans="1:16">
      <c r="A19" t="s">
        <v>198</v>
      </c>
      <c r="B19" t="s">
        <v>199</v>
      </c>
      <c r="C19">
        <v>1000</v>
      </c>
      <c r="D19">
        <v>1000</v>
      </c>
      <c r="E19">
        <v>1000</v>
      </c>
      <c r="F19" t="s">
        <v>175</v>
      </c>
      <c r="H19" t="s">
        <v>175</v>
      </c>
      <c r="I19" t="s">
        <v>175</v>
      </c>
      <c r="J19" t="s">
        <v>175</v>
      </c>
      <c r="K19" t="s">
        <v>175</v>
      </c>
      <c r="L19" t="s">
        <v>175</v>
      </c>
      <c r="M19" t="s">
        <v>175</v>
      </c>
      <c r="N19" t="s">
        <v>175</v>
      </c>
      <c r="O19" t="s">
        <v>175</v>
      </c>
      <c r="P19" t="s">
        <v>175</v>
      </c>
    </row>
    <row r="20" spans="1:16">
      <c r="A20" t="s">
        <v>200</v>
      </c>
      <c r="B20" t="s">
        <v>393</v>
      </c>
      <c r="C20">
        <v>1250</v>
      </c>
      <c r="D20">
        <v>1250</v>
      </c>
      <c r="E20">
        <v>1250</v>
      </c>
      <c r="F20" t="s">
        <v>175</v>
      </c>
      <c r="H20" t="s">
        <v>175</v>
      </c>
      <c r="I20" t="s">
        <v>175</v>
      </c>
      <c r="J20" t="s">
        <v>175</v>
      </c>
      <c r="K20" t="s">
        <v>175</v>
      </c>
      <c r="L20" t="s">
        <v>175</v>
      </c>
      <c r="M20" t="s">
        <v>175</v>
      </c>
      <c r="N20" t="s">
        <v>175</v>
      </c>
      <c r="O20" t="s">
        <v>175</v>
      </c>
      <c r="P20" t="s">
        <v>175</v>
      </c>
    </row>
    <row r="21" spans="1:16">
      <c r="A21" t="s">
        <v>201</v>
      </c>
      <c r="B21" t="s">
        <v>394</v>
      </c>
      <c r="C21">
        <v>500</v>
      </c>
      <c r="D21">
        <v>500</v>
      </c>
      <c r="E21">
        <v>500</v>
      </c>
      <c r="F21" t="s">
        <v>175</v>
      </c>
      <c r="H21" t="s">
        <v>175</v>
      </c>
      <c r="I21" t="s">
        <v>175</v>
      </c>
      <c r="J21" t="s">
        <v>175</v>
      </c>
      <c r="K21" t="s">
        <v>175</v>
      </c>
      <c r="L21" t="s">
        <v>175</v>
      </c>
      <c r="M21" t="s">
        <v>175</v>
      </c>
      <c r="N21" t="s">
        <v>175</v>
      </c>
      <c r="O21" t="s">
        <v>175</v>
      </c>
      <c r="P21" t="s">
        <v>175</v>
      </c>
    </row>
    <row r="22" spans="1:16">
      <c r="A22" t="s">
        <v>202</v>
      </c>
      <c r="B22" t="s">
        <v>119</v>
      </c>
      <c r="C22">
        <v>650</v>
      </c>
      <c r="D22">
        <v>650</v>
      </c>
      <c r="E22">
        <v>650</v>
      </c>
      <c r="F22" t="s">
        <v>175</v>
      </c>
      <c r="H22" t="s">
        <v>175</v>
      </c>
      <c r="I22" t="s">
        <v>175</v>
      </c>
      <c r="J22" t="s">
        <v>175</v>
      </c>
      <c r="K22" t="s">
        <v>175</v>
      </c>
      <c r="L22" t="s">
        <v>175</v>
      </c>
      <c r="M22" t="s">
        <v>175</v>
      </c>
      <c r="N22" t="s">
        <v>175</v>
      </c>
      <c r="O22" t="s">
        <v>175</v>
      </c>
      <c r="P22" t="s">
        <v>175</v>
      </c>
    </row>
    <row r="23" spans="1:16">
      <c r="A23" t="s">
        <v>203</v>
      </c>
      <c r="B23" t="s">
        <v>395</v>
      </c>
      <c r="C23">
        <v>500</v>
      </c>
      <c r="D23">
        <v>500</v>
      </c>
      <c r="E23">
        <v>500</v>
      </c>
      <c r="F23" t="s">
        <v>175</v>
      </c>
      <c r="H23" t="s">
        <v>175</v>
      </c>
      <c r="I23" t="s">
        <v>175</v>
      </c>
      <c r="J23" t="s">
        <v>175</v>
      </c>
      <c r="K23" t="s">
        <v>175</v>
      </c>
      <c r="L23" t="s">
        <v>175</v>
      </c>
      <c r="M23" t="s">
        <v>175</v>
      </c>
      <c r="N23" t="s">
        <v>175</v>
      </c>
      <c r="O23" t="s">
        <v>175</v>
      </c>
      <c r="P23" t="s">
        <v>175</v>
      </c>
    </row>
    <row r="24" spans="1:16">
      <c r="A24" t="s">
        <v>204</v>
      </c>
      <c r="B24" t="s">
        <v>205</v>
      </c>
      <c r="C24">
        <v>250</v>
      </c>
      <c r="D24">
        <v>250</v>
      </c>
      <c r="E24">
        <v>250</v>
      </c>
      <c r="F24" t="s">
        <v>175</v>
      </c>
      <c r="H24" t="s">
        <v>175</v>
      </c>
      <c r="I24" t="s">
        <v>175</v>
      </c>
      <c r="J24" t="s">
        <v>175</v>
      </c>
      <c r="K24" t="s">
        <v>175</v>
      </c>
      <c r="L24" t="s">
        <v>175</v>
      </c>
      <c r="M24" t="s">
        <v>175</v>
      </c>
      <c r="N24" t="s">
        <v>175</v>
      </c>
      <c r="O24" t="s">
        <v>175</v>
      </c>
      <c r="P24" t="s">
        <v>175</v>
      </c>
    </row>
    <row r="25" spans="1:16">
      <c r="A25" t="s">
        <v>206</v>
      </c>
      <c r="B25" t="s">
        <v>121</v>
      </c>
      <c r="C25">
        <v>75</v>
      </c>
      <c r="D25">
        <v>75</v>
      </c>
      <c r="E25">
        <v>75</v>
      </c>
      <c r="F25" t="s">
        <v>175</v>
      </c>
      <c r="H25" t="s">
        <v>175</v>
      </c>
      <c r="I25" t="s">
        <v>175</v>
      </c>
      <c r="J25" t="s">
        <v>175</v>
      </c>
      <c r="K25" t="s">
        <v>175</v>
      </c>
      <c r="L25" t="s">
        <v>175</v>
      </c>
      <c r="M25" t="s">
        <v>175</v>
      </c>
      <c r="N25" t="s">
        <v>175</v>
      </c>
      <c r="O25" t="s">
        <v>175</v>
      </c>
      <c r="P25" t="s">
        <v>175</v>
      </c>
    </row>
    <row r="26" spans="1:16">
      <c r="A26" t="s">
        <v>207</v>
      </c>
      <c r="B26" t="s">
        <v>133</v>
      </c>
      <c r="C26">
        <v>125</v>
      </c>
      <c r="D26">
        <v>125</v>
      </c>
      <c r="E26">
        <v>125</v>
      </c>
      <c r="F26" t="s">
        <v>175</v>
      </c>
      <c r="H26" t="s">
        <v>175</v>
      </c>
      <c r="I26" t="s">
        <v>175</v>
      </c>
      <c r="J26" t="s">
        <v>175</v>
      </c>
      <c r="K26" t="s">
        <v>175</v>
      </c>
      <c r="L26" t="s">
        <v>175</v>
      </c>
      <c r="M26" t="s">
        <v>175</v>
      </c>
      <c r="N26" t="s">
        <v>175</v>
      </c>
      <c r="O26" t="s">
        <v>175</v>
      </c>
      <c r="P26" t="s">
        <v>175</v>
      </c>
    </row>
    <row r="27" spans="1:16">
      <c r="A27" t="s">
        <v>208</v>
      </c>
      <c r="B27" t="s">
        <v>209</v>
      </c>
      <c r="C27">
        <v>11700</v>
      </c>
      <c r="D27">
        <v>11700</v>
      </c>
      <c r="E27">
        <v>11700</v>
      </c>
      <c r="F27" t="s">
        <v>175</v>
      </c>
      <c r="H27" t="s">
        <v>175</v>
      </c>
      <c r="I27" t="s">
        <v>175</v>
      </c>
      <c r="J27" t="s">
        <v>175</v>
      </c>
      <c r="K27" t="s">
        <v>175</v>
      </c>
      <c r="L27" t="s">
        <v>175</v>
      </c>
      <c r="M27" t="s">
        <v>175</v>
      </c>
      <c r="N27" t="s">
        <v>175</v>
      </c>
      <c r="O27" t="s">
        <v>175</v>
      </c>
      <c r="P27" t="s">
        <v>175</v>
      </c>
    </row>
    <row r="28" spans="1:16">
      <c r="A28" t="s">
        <v>210</v>
      </c>
      <c r="B28" t="s">
        <v>396</v>
      </c>
      <c r="C28">
        <v>550</v>
      </c>
      <c r="D28">
        <v>550</v>
      </c>
      <c r="E28">
        <v>550</v>
      </c>
      <c r="F28" t="s">
        <v>175</v>
      </c>
      <c r="H28" t="s">
        <v>175</v>
      </c>
      <c r="I28" t="s">
        <v>175</v>
      </c>
      <c r="J28" t="s">
        <v>175</v>
      </c>
      <c r="K28" t="s">
        <v>175</v>
      </c>
      <c r="L28" t="s">
        <v>175</v>
      </c>
      <c r="M28" t="s">
        <v>175</v>
      </c>
      <c r="N28" t="s">
        <v>175</v>
      </c>
      <c r="O28" t="s">
        <v>175</v>
      </c>
      <c r="P28" t="s">
        <v>175</v>
      </c>
    </row>
    <row r="29" spans="1:16">
      <c r="A29" t="s">
        <v>211</v>
      </c>
      <c r="B29" t="s">
        <v>212</v>
      </c>
      <c r="C29">
        <v>650</v>
      </c>
      <c r="D29">
        <v>650</v>
      </c>
      <c r="E29">
        <v>650</v>
      </c>
      <c r="F29" t="s">
        <v>175</v>
      </c>
      <c r="H29" t="s">
        <v>175</v>
      </c>
      <c r="I29" t="s">
        <v>175</v>
      </c>
      <c r="J29" t="s">
        <v>175</v>
      </c>
      <c r="K29" t="s">
        <v>175</v>
      </c>
      <c r="L29" t="s">
        <v>175</v>
      </c>
      <c r="M29" t="s">
        <v>175</v>
      </c>
      <c r="N29" t="s">
        <v>175</v>
      </c>
      <c r="O29" t="s">
        <v>175</v>
      </c>
      <c r="P29" t="s">
        <v>175</v>
      </c>
    </row>
    <row r="30" spans="1:16">
      <c r="A30" t="s">
        <v>213</v>
      </c>
      <c r="B30" t="s">
        <v>122</v>
      </c>
      <c r="C30">
        <v>3800</v>
      </c>
      <c r="D30">
        <v>3800</v>
      </c>
      <c r="E30">
        <v>3800</v>
      </c>
      <c r="F30" t="s">
        <v>175</v>
      </c>
      <c r="H30" t="s">
        <v>175</v>
      </c>
      <c r="I30" t="s">
        <v>175</v>
      </c>
      <c r="J30" t="s">
        <v>175</v>
      </c>
      <c r="K30" t="s">
        <v>175</v>
      </c>
      <c r="L30" t="s">
        <v>175</v>
      </c>
      <c r="M30" t="s">
        <v>175</v>
      </c>
      <c r="N30" t="s">
        <v>175</v>
      </c>
      <c r="O30" t="s">
        <v>175</v>
      </c>
      <c r="P30" t="s">
        <v>175</v>
      </c>
    </row>
    <row r="31" spans="1:16">
      <c r="A31" t="s">
        <v>214</v>
      </c>
      <c r="B31" t="s">
        <v>215</v>
      </c>
      <c r="C31">
        <v>1851</v>
      </c>
      <c r="D31">
        <v>1851</v>
      </c>
      <c r="E31">
        <v>1851</v>
      </c>
      <c r="F31" t="s">
        <v>175</v>
      </c>
      <c r="H31" t="s">
        <v>175</v>
      </c>
      <c r="I31" t="s">
        <v>175</v>
      </c>
      <c r="J31" t="s">
        <v>175</v>
      </c>
      <c r="K31" t="s">
        <v>175</v>
      </c>
      <c r="L31" t="s">
        <v>175</v>
      </c>
      <c r="M31" t="s">
        <v>175</v>
      </c>
      <c r="N31" t="s">
        <v>175</v>
      </c>
      <c r="O31" t="s">
        <v>175</v>
      </c>
      <c r="P31" t="s">
        <v>175</v>
      </c>
    </row>
    <row r="32" spans="1:16">
      <c r="A32" t="s">
        <v>216</v>
      </c>
      <c r="B32" t="s">
        <v>397</v>
      </c>
      <c r="C32">
        <v>1800</v>
      </c>
      <c r="D32">
        <v>1800</v>
      </c>
      <c r="E32">
        <v>1800</v>
      </c>
      <c r="F32" t="s">
        <v>175</v>
      </c>
      <c r="H32" t="s">
        <v>175</v>
      </c>
      <c r="I32" t="s">
        <v>175</v>
      </c>
      <c r="J32" t="s">
        <v>175</v>
      </c>
      <c r="K32" t="s">
        <v>175</v>
      </c>
      <c r="L32" t="s">
        <v>175</v>
      </c>
      <c r="M32" t="s">
        <v>175</v>
      </c>
      <c r="N32" t="s">
        <v>175</v>
      </c>
      <c r="O32" t="s">
        <v>175</v>
      </c>
      <c r="P32" t="s">
        <v>175</v>
      </c>
    </row>
    <row r="33" spans="1:16">
      <c r="A33" t="s">
        <v>217</v>
      </c>
      <c r="B33" t="s">
        <v>398</v>
      </c>
      <c r="C33">
        <v>2700</v>
      </c>
      <c r="D33">
        <v>2700</v>
      </c>
      <c r="E33">
        <v>2700</v>
      </c>
      <c r="F33" t="s">
        <v>175</v>
      </c>
      <c r="H33" t="s">
        <v>175</v>
      </c>
      <c r="I33" t="s">
        <v>175</v>
      </c>
      <c r="J33" t="s">
        <v>175</v>
      </c>
      <c r="K33" t="s">
        <v>175</v>
      </c>
      <c r="L33" t="s">
        <v>175</v>
      </c>
      <c r="M33" t="s">
        <v>175</v>
      </c>
      <c r="N33" t="s">
        <v>175</v>
      </c>
      <c r="O33" t="s">
        <v>175</v>
      </c>
      <c r="P33" t="s">
        <v>175</v>
      </c>
    </row>
    <row r="34" spans="1:16">
      <c r="A34" t="s">
        <v>218</v>
      </c>
      <c r="B34" t="s">
        <v>399</v>
      </c>
      <c r="C34">
        <v>500</v>
      </c>
      <c r="D34">
        <v>500</v>
      </c>
      <c r="E34">
        <v>500</v>
      </c>
      <c r="F34" t="s">
        <v>175</v>
      </c>
      <c r="H34" t="s">
        <v>175</v>
      </c>
      <c r="I34" t="s">
        <v>175</v>
      </c>
      <c r="J34" t="s">
        <v>175</v>
      </c>
      <c r="K34" t="s">
        <v>175</v>
      </c>
      <c r="L34" t="s">
        <v>175</v>
      </c>
      <c r="M34" t="s">
        <v>175</v>
      </c>
      <c r="N34" t="s">
        <v>175</v>
      </c>
      <c r="O34" t="s">
        <v>175</v>
      </c>
      <c r="P34" t="s">
        <v>175</v>
      </c>
    </row>
    <row r="35" spans="1:16">
      <c r="A35" t="s">
        <v>219</v>
      </c>
      <c r="B35" t="s">
        <v>400</v>
      </c>
      <c r="C35">
        <v>5400</v>
      </c>
      <c r="D35">
        <v>5400</v>
      </c>
      <c r="E35">
        <v>5400</v>
      </c>
      <c r="F35" t="s">
        <v>175</v>
      </c>
      <c r="H35" t="s">
        <v>175</v>
      </c>
      <c r="I35" t="s">
        <v>175</v>
      </c>
      <c r="J35" t="s">
        <v>175</v>
      </c>
      <c r="K35" t="s">
        <v>175</v>
      </c>
      <c r="L35" t="s">
        <v>175</v>
      </c>
      <c r="M35" t="s">
        <v>175</v>
      </c>
      <c r="N35" t="s">
        <v>175</v>
      </c>
      <c r="O35" t="s">
        <v>175</v>
      </c>
      <c r="P35" t="s">
        <v>175</v>
      </c>
    </row>
    <row r="36" spans="1:16">
      <c r="A36" t="s">
        <v>220</v>
      </c>
      <c r="B36" t="s">
        <v>401</v>
      </c>
      <c r="C36">
        <v>6500</v>
      </c>
      <c r="D36">
        <v>6500</v>
      </c>
      <c r="E36">
        <v>6500</v>
      </c>
      <c r="F36" t="s">
        <v>175</v>
      </c>
      <c r="H36" t="s">
        <v>175</v>
      </c>
      <c r="I36" t="s">
        <v>175</v>
      </c>
      <c r="J36" t="s">
        <v>175</v>
      </c>
      <c r="K36" t="s">
        <v>175</v>
      </c>
      <c r="L36" t="s">
        <v>175</v>
      </c>
      <c r="M36" t="s">
        <v>175</v>
      </c>
      <c r="N36" t="s">
        <v>175</v>
      </c>
      <c r="O36" t="s">
        <v>175</v>
      </c>
      <c r="P36" t="s">
        <v>175</v>
      </c>
    </row>
    <row r="37" spans="1:16">
      <c r="A37" t="s">
        <v>221</v>
      </c>
      <c r="B37" t="s">
        <v>402</v>
      </c>
      <c r="C37">
        <v>650</v>
      </c>
      <c r="D37">
        <v>650</v>
      </c>
      <c r="E37">
        <v>650</v>
      </c>
      <c r="F37" t="s">
        <v>175</v>
      </c>
      <c r="H37" t="s">
        <v>175</v>
      </c>
      <c r="I37" t="s">
        <v>175</v>
      </c>
      <c r="J37" t="s">
        <v>175</v>
      </c>
      <c r="K37" t="s">
        <v>175</v>
      </c>
      <c r="L37" t="s">
        <v>175</v>
      </c>
      <c r="M37" t="s">
        <v>175</v>
      </c>
      <c r="N37" t="s">
        <v>175</v>
      </c>
      <c r="O37" t="s">
        <v>175</v>
      </c>
      <c r="P37" t="s">
        <v>175</v>
      </c>
    </row>
    <row r="38" spans="1:16">
      <c r="A38" t="s">
        <v>222</v>
      </c>
      <c r="B38" t="s">
        <v>123</v>
      </c>
      <c r="C38">
        <v>4200</v>
      </c>
      <c r="D38">
        <v>4200</v>
      </c>
      <c r="E38">
        <v>4200</v>
      </c>
      <c r="F38" t="s">
        <v>175</v>
      </c>
      <c r="H38" t="s">
        <v>175</v>
      </c>
      <c r="I38" t="s">
        <v>175</v>
      </c>
      <c r="J38" t="s">
        <v>175</v>
      </c>
      <c r="K38" t="s">
        <v>175</v>
      </c>
      <c r="L38" t="s">
        <v>175</v>
      </c>
      <c r="M38" t="s">
        <v>175</v>
      </c>
      <c r="N38" t="s">
        <v>175</v>
      </c>
      <c r="O38" t="s">
        <v>175</v>
      </c>
      <c r="P38" t="s">
        <v>175</v>
      </c>
    </row>
    <row r="39" spans="1:16">
      <c r="A39" t="s">
        <v>223</v>
      </c>
      <c r="B39" t="s">
        <v>403</v>
      </c>
      <c r="C39">
        <v>350</v>
      </c>
      <c r="D39">
        <v>350</v>
      </c>
      <c r="E39">
        <v>350</v>
      </c>
      <c r="F39" t="s">
        <v>175</v>
      </c>
      <c r="H39" t="s">
        <v>175</v>
      </c>
      <c r="I39" t="s">
        <v>175</v>
      </c>
      <c r="J39" t="s">
        <v>175</v>
      </c>
      <c r="K39" t="s">
        <v>175</v>
      </c>
      <c r="L39" t="s">
        <v>175</v>
      </c>
      <c r="M39" t="s">
        <v>175</v>
      </c>
      <c r="N39" t="s">
        <v>175</v>
      </c>
      <c r="O39" t="s">
        <v>175</v>
      </c>
      <c r="P39" t="s">
        <v>175</v>
      </c>
    </row>
    <row r="40" spans="1:16">
      <c r="A40" t="s">
        <v>224</v>
      </c>
      <c r="B40" t="s">
        <v>404</v>
      </c>
      <c r="C40">
        <v>250</v>
      </c>
      <c r="D40">
        <v>250</v>
      </c>
      <c r="E40">
        <v>250</v>
      </c>
      <c r="F40" t="s">
        <v>175</v>
      </c>
      <c r="H40" t="s">
        <v>175</v>
      </c>
      <c r="I40" t="s">
        <v>175</v>
      </c>
      <c r="J40" t="s">
        <v>175</v>
      </c>
      <c r="K40" t="s">
        <v>175</v>
      </c>
      <c r="L40" t="s">
        <v>175</v>
      </c>
      <c r="M40" t="s">
        <v>175</v>
      </c>
      <c r="N40" t="s">
        <v>175</v>
      </c>
      <c r="O40" t="s">
        <v>175</v>
      </c>
      <c r="P40" t="s">
        <v>175</v>
      </c>
    </row>
    <row r="41" spans="1:16">
      <c r="A41" t="s">
        <v>225</v>
      </c>
      <c r="B41" t="s">
        <v>226</v>
      </c>
      <c r="C41">
        <v>625</v>
      </c>
      <c r="D41">
        <v>625</v>
      </c>
      <c r="E41">
        <v>625</v>
      </c>
      <c r="F41" t="s">
        <v>175</v>
      </c>
      <c r="H41" t="s">
        <v>175</v>
      </c>
      <c r="I41" t="s">
        <v>175</v>
      </c>
      <c r="J41" t="s">
        <v>175</v>
      </c>
      <c r="K41" t="s">
        <v>175</v>
      </c>
      <c r="L41" t="s">
        <v>175</v>
      </c>
      <c r="M41" t="s">
        <v>175</v>
      </c>
      <c r="N41" t="s">
        <v>175</v>
      </c>
      <c r="O41" t="s">
        <v>175</v>
      </c>
      <c r="P41" t="s">
        <v>175</v>
      </c>
    </row>
    <row r="42" spans="1:16">
      <c r="A42" t="s">
        <v>227</v>
      </c>
      <c r="B42" t="s">
        <v>405</v>
      </c>
      <c r="C42">
        <v>150</v>
      </c>
      <c r="D42">
        <v>150</v>
      </c>
      <c r="E42">
        <v>150</v>
      </c>
      <c r="F42" t="s">
        <v>175</v>
      </c>
      <c r="H42" t="s">
        <v>175</v>
      </c>
      <c r="I42" t="s">
        <v>175</v>
      </c>
      <c r="J42" t="s">
        <v>175</v>
      </c>
      <c r="K42" t="s">
        <v>175</v>
      </c>
      <c r="L42" t="s">
        <v>175</v>
      </c>
      <c r="M42" t="s">
        <v>175</v>
      </c>
      <c r="N42" t="s">
        <v>175</v>
      </c>
      <c r="O42" t="s">
        <v>175</v>
      </c>
      <c r="P42" t="s">
        <v>175</v>
      </c>
    </row>
    <row r="43" spans="1:16">
      <c r="A43" t="s">
        <v>228</v>
      </c>
      <c r="B43" t="s">
        <v>406</v>
      </c>
      <c r="C43">
        <v>3100</v>
      </c>
      <c r="D43">
        <v>3100</v>
      </c>
      <c r="E43">
        <v>3100</v>
      </c>
      <c r="F43" t="s">
        <v>175</v>
      </c>
      <c r="H43" t="s">
        <v>175</v>
      </c>
      <c r="I43" t="s">
        <v>175</v>
      </c>
      <c r="J43" t="s">
        <v>175</v>
      </c>
      <c r="K43" t="s">
        <v>175</v>
      </c>
      <c r="L43" t="s">
        <v>175</v>
      </c>
      <c r="M43" t="s">
        <v>175</v>
      </c>
      <c r="N43" t="s">
        <v>175</v>
      </c>
      <c r="O43" t="s">
        <v>175</v>
      </c>
      <c r="P43" t="s">
        <v>175</v>
      </c>
    </row>
    <row r="44" spans="1:16">
      <c r="A44" t="s">
        <v>229</v>
      </c>
      <c r="B44" t="s">
        <v>407</v>
      </c>
      <c r="C44">
        <v>2000</v>
      </c>
      <c r="D44">
        <v>2000</v>
      </c>
      <c r="E44">
        <v>2000</v>
      </c>
      <c r="F44" t="s">
        <v>175</v>
      </c>
      <c r="H44" t="s">
        <v>175</v>
      </c>
      <c r="I44" t="s">
        <v>175</v>
      </c>
      <c r="J44" t="s">
        <v>175</v>
      </c>
      <c r="K44" t="s">
        <v>175</v>
      </c>
      <c r="L44" t="s">
        <v>175</v>
      </c>
      <c r="M44" t="s">
        <v>175</v>
      </c>
      <c r="N44" t="s">
        <v>175</v>
      </c>
      <c r="O44" t="s">
        <v>175</v>
      </c>
      <c r="P44" t="s">
        <v>175</v>
      </c>
    </row>
    <row r="45" spans="1:16">
      <c r="A45" t="s">
        <v>230</v>
      </c>
      <c r="B45" t="s">
        <v>11</v>
      </c>
      <c r="C45">
        <v>600</v>
      </c>
      <c r="D45">
        <v>600</v>
      </c>
      <c r="E45">
        <v>600</v>
      </c>
      <c r="F45" t="s">
        <v>175</v>
      </c>
      <c r="H45" t="s">
        <v>175</v>
      </c>
      <c r="I45" t="s">
        <v>175</v>
      </c>
      <c r="J45" t="s">
        <v>175</v>
      </c>
      <c r="K45" t="s">
        <v>175</v>
      </c>
      <c r="L45" t="s">
        <v>175</v>
      </c>
      <c r="M45" t="s">
        <v>175</v>
      </c>
      <c r="N45" t="s">
        <v>175</v>
      </c>
      <c r="O45" t="s">
        <v>175</v>
      </c>
      <c r="P45" t="s">
        <v>175</v>
      </c>
    </row>
    <row r="46" spans="1:16">
      <c r="A46" t="s">
        <v>231</v>
      </c>
      <c r="B46" t="s">
        <v>408</v>
      </c>
      <c r="C46">
        <v>400</v>
      </c>
      <c r="D46">
        <v>400</v>
      </c>
      <c r="E46">
        <v>400</v>
      </c>
      <c r="F46" t="s">
        <v>175</v>
      </c>
      <c r="H46" t="s">
        <v>175</v>
      </c>
      <c r="I46" t="s">
        <v>175</v>
      </c>
      <c r="J46" t="s">
        <v>175</v>
      </c>
      <c r="K46" t="s">
        <v>175</v>
      </c>
      <c r="L46" t="s">
        <v>175</v>
      </c>
      <c r="M46" t="s">
        <v>175</v>
      </c>
      <c r="N46" t="s">
        <v>175</v>
      </c>
      <c r="O46" t="s">
        <v>175</v>
      </c>
      <c r="P46" t="s">
        <v>175</v>
      </c>
    </row>
    <row r="47" spans="1:16">
      <c r="A47" t="s">
        <v>232</v>
      </c>
      <c r="B47" t="s">
        <v>145</v>
      </c>
      <c r="C47">
        <v>3300</v>
      </c>
      <c r="D47">
        <v>3300</v>
      </c>
      <c r="E47">
        <v>3300</v>
      </c>
      <c r="F47" t="s">
        <v>175</v>
      </c>
      <c r="H47" t="s">
        <v>175</v>
      </c>
      <c r="I47" t="s">
        <v>175</v>
      </c>
      <c r="J47" t="s">
        <v>175</v>
      </c>
      <c r="K47" t="s">
        <v>175</v>
      </c>
      <c r="L47" t="s">
        <v>175</v>
      </c>
      <c r="M47" t="s">
        <v>175</v>
      </c>
      <c r="N47" t="s">
        <v>175</v>
      </c>
      <c r="O47" t="s">
        <v>175</v>
      </c>
      <c r="P47" t="s">
        <v>175</v>
      </c>
    </row>
    <row r="48" spans="1:16">
      <c r="A48" t="s">
        <v>233</v>
      </c>
      <c r="B48" t="s">
        <v>234</v>
      </c>
      <c r="C48">
        <v>17000</v>
      </c>
      <c r="D48">
        <v>17000</v>
      </c>
      <c r="E48">
        <v>17000</v>
      </c>
      <c r="F48" t="s">
        <v>175</v>
      </c>
      <c r="H48" t="s">
        <v>175</v>
      </c>
      <c r="I48" t="s">
        <v>175</v>
      </c>
      <c r="J48" t="s">
        <v>175</v>
      </c>
      <c r="K48" t="s">
        <v>175</v>
      </c>
      <c r="L48" t="s">
        <v>175</v>
      </c>
      <c r="M48" t="s">
        <v>175</v>
      </c>
      <c r="N48" t="s">
        <v>175</v>
      </c>
      <c r="O48" t="s">
        <v>175</v>
      </c>
      <c r="P48" t="s">
        <v>175</v>
      </c>
    </row>
    <row r="49" spans="1:16">
      <c r="A49" t="s">
        <v>235</v>
      </c>
      <c r="B49" t="s">
        <v>409</v>
      </c>
      <c r="C49">
        <v>550</v>
      </c>
      <c r="D49">
        <v>550</v>
      </c>
      <c r="E49">
        <v>550</v>
      </c>
      <c r="F49" t="s">
        <v>175</v>
      </c>
      <c r="H49" t="s">
        <v>175</v>
      </c>
      <c r="I49" t="s">
        <v>175</v>
      </c>
      <c r="J49" t="s">
        <v>175</v>
      </c>
      <c r="K49" t="s">
        <v>175</v>
      </c>
      <c r="L49" t="s">
        <v>175</v>
      </c>
      <c r="M49" t="s">
        <v>175</v>
      </c>
      <c r="N49" t="s">
        <v>175</v>
      </c>
      <c r="O49" t="s">
        <v>175</v>
      </c>
      <c r="P49" t="s">
        <v>175</v>
      </c>
    </row>
    <row r="50" spans="1:16">
      <c r="A50" t="s">
        <v>236</v>
      </c>
      <c r="B50" t="s">
        <v>237</v>
      </c>
      <c r="C50">
        <v>10000</v>
      </c>
      <c r="D50">
        <v>10000</v>
      </c>
      <c r="E50">
        <v>10000</v>
      </c>
      <c r="F50" t="s">
        <v>175</v>
      </c>
      <c r="H50" t="s">
        <v>175</v>
      </c>
      <c r="I50" t="s">
        <v>175</v>
      </c>
      <c r="J50" t="s">
        <v>175</v>
      </c>
      <c r="K50" t="s">
        <v>175</v>
      </c>
      <c r="L50" t="s">
        <v>175</v>
      </c>
      <c r="M50" t="s">
        <v>175</v>
      </c>
      <c r="N50" t="s">
        <v>175</v>
      </c>
      <c r="O50" t="s">
        <v>175</v>
      </c>
      <c r="P50" t="s">
        <v>175</v>
      </c>
    </row>
    <row r="51" spans="1:16">
      <c r="A51" t="s">
        <v>238</v>
      </c>
      <c r="B51" t="s">
        <v>410</v>
      </c>
      <c r="C51">
        <v>1150</v>
      </c>
      <c r="D51">
        <v>1150</v>
      </c>
      <c r="E51">
        <v>1150</v>
      </c>
      <c r="F51" t="s">
        <v>175</v>
      </c>
      <c r="H51" t="s">
        <v>175</v>
      </c>
      <c r="I51" t="s">
        <v>175</v>
      </c>
      <c r="J51" t="s">
        <v>175</v>
      </c>
      <c r="K51" t="s">
        <v>175</v>
      </c>
      <c r="L51" t="s">
        <v>175</v>
      </c>
      <c r="M51" t="s">
        <v>175</v>
      </c>
      <c r="N51" t="s">
        <v>175</v>
      </c>
      <c r="O51" t="s">
        <v>175</v>
      </c>
      <c r="P51" t="s">
        <v>175</v>
      </c>
    </row>
    <row r="52" spans="1:16">
      <c r="A52" t="s">
        <v>239</v>
      </c>
      <c r="B52" t="s">
        <v>411</v>
      </c>
      <c r="C52">
        <v>5333</v>
      </c>
      <c r="D52">
        <v>5333</v>
      </c>
      <c r="E52">
        <v>5333</v>
      </c>
      <c r="F52" t="s">
        <v>175</v>
      </c>
      <c r="H52" t="s">
        <v>175</v>
      </c>
      <c r="I52" t="s">
        <v>175</v>
      </c>
      <c r="J52" t="s">
        <v>175</v>
      </c>
      <c r="K52" t="s">
        <v>175</v>
      </c>
      <c r="L52" t="s">
        <v>175</v>
      </c>
      <c r="M52" t="s">
        <v>175</v>
      </c>
      <c r="N52" t="s">
        <v>175</v>
      </c>
      <c r="O52" t="s">
        <v>175</v>
      </c>
      <c r="P52" t="s">
        <v>175</v>
      </c>
    </row>
    <row r="53" spans="1:16">
      <c r="A53" t="s">
        <v>240</v>
      </c>
      <c r="B53" t="s">
        <v>412</v>
      </c>
      <c r="C53">
        <v>1550</v>
      </c>
      <c r="D53">
        <v>1550</v>
      </c>
      <c r="E53">
        <v>1550</v>
      </c>
      <c r="F53" t="s">
        <v>175</v>
      </c>
      <c r="H53" t="s">
        <v>175</v>
      </c>
      <c r="I53" t="s">
        <v>175</v>
      </c>
      <c r="J53" t="s">
        <v>175</v>
      </c>
      <c r="K53" t="s">
        <v>175</v>
      </c>
      <c r="L53" t="s">
        <v>175</v>
      </c>
      <c r="M53" t="s">
        <v>175</v>
      </c>
      <c r="N53" t="s">
        <v>175</v>
      </c>
      <c r="O53" t="s">
        <v>175</v>
      </c>
      <c r="P53" t="s">
        <v>175</v>
      </c>
    </row>
    <row r="54" spans="1:16">
      <c r="A54" t="s">
        <v>241</v>
      </c>
      <c r="B54" t="s">
        <v>413</v>
      </c>
      <c r="C54">
        <v>1250</v>
      </c>
      <c r="D54">
        <v>1250</v>
      </c>
      <c r="E54">
        <v>1250</v>
      </c>
      <c r="F54" t="s">
        <v>175</v>
      </c>
      <c r="H54" t="s">
        <v>175</v>
      </c>
      <c r="I54" t="s">
        <v>175</v>
      </c>
      <c r="J54" t="s">
        <v>175</v>
      </c>
      <c r="K54" t="s">
        <v>175</v>
      </c>
      <c r="L54" t="s">
        <v>175</v>
      </c>
      <c r="M54" t="s">
        <v>175</v>
      </c>
      <c r="N54" t="s">
        <v>175</v>
      </c>
      <c r="O54" t="s">
        <v>175</v>
      </c>
      <c r="P54" t="s">
        <v>175</v>
      </c>
    </row>
    <row r="55" spans="1:16">
      <c r="A55" t="s">
        <v>242</v>
      </c>
      <c r="B55" t="s">
        <v>414</v>
      </c>
      <c r="C55">
        <v>700</v>
      </c>
      <c r="D55">
        <v>700</v>
      </c>
      <c r="E55">
        <v>700</v>
      </c>
      <c r="F55" t="s">
        <v>175</v>
      </c>
      <c r="H55" t="s">
        <v>175</v>
      </c>
      <c r="I55" t="s">
        <v>175</v>
      </c>
      <c r="J55" t="s">
        <v>175</v>
      </c>
      <c r="K55" t="s">
        <v>175</v>
      </c>
      <c r="L55" t="s">
        <v>175</v>
      </c>
      <c r="M55" t="s">
        <v>175</v>
      </c>
      <c r="N55" t="s">
        <v>175</v>
      </c>
      <c r="O55" t="s">
        <v>175</v>
      </c>
      <c r="P55" t="s">
        <v>175</v>
      </c>
    </row>
    <row r="56" spans="1:16">
      <c r="A56" t="s">
        <v>243</v>
      </c>
      <c r="B56" t="s">
        <v>415</v>
      </c>
      <c r="C56">
        <v>200</v>
      </c>
      <c r="D56">
        <v>200</v>
      </c>
      <c r="E56">
        <v>200</v>
      </c>
      <c r="F56" t="s">
        <v>175</v>
      </c>
      <c r="H56" t="s">
        <v>175</v>
      </c>
      <c r="I56" t="s">
        <v>175</v>
      </c>
      <c r="J56" t="s">
        <v>175</v>
      </c>
      <c r="K56" t="s">
        <v>175</v>
      </c>
      <c r="L56" t="s">
        <v>175</v>
      </c>
      <c r="M56" t="s">
        <v>175</v>
      </c>
      <c r="N56" t="s">
        <v>175</v>
      </c>
      <c r="O56" t="s">
        <v>175</v>
      </c>
      <c r="P56" t="s">
        <v>175</v>
      </c>
    </row>
    <row r="57" spans="1:16">
      <c r="A57" t="s">
        <v>244</v>
      </c>
      <c r="B57" t="s">
        <v>125</v>
      </c>
      <c r="C57">
        <v>550</v>
      </c>
      <c r="D57">
        <v>550</v>
      </c>
      <c r="E57">
        <v>550</v>
      </c>
      <c r="F57" t="s">
        <v>175</v>
      </c>
      <c r="H57" t="s">
        <v>175</v>
      </c>
      <c r="I57" t="s">
        <v>175</v>
      </c>
      <c r="J57" t="s">
        <v>175</v>
      </c>
      <c r="K57" t="s">
        <v>175</v>
      </c>
      <c r="L57" t="s">
        <v>175</v>
      </c>
      <c r="M57" t="s">
        <v>175</v>
      </c>
      <c r="N57" t="s">
        <v>175</v>
      </c>
      <c r="O57" t="s">
        <v>175</v>
      </c>
      <c r="P57" t="s">
        <v>175</v>
      </c>
    </row>
    <row r="58" spans="1:16">
      <c r="A58" t="s">
        <v>245</v>
      </c>
      <c r="B58" t="s">
        <v>416</v>
      </c>
      <c r="C58">
        <v>1100</v>
      </c>
      <c r="D58">
        <v>1100</v>
      </c>
      <c r="E58">
        <v>1100</v>
      </c>
      <c r="F58" t="s">
        <v>175</v>
      </c>
      <c r="H58" t="s">
        <v>175</v>
      </c>
      <c r="I58" t="s">
        <v>175</v>
      </c>
      <c r="J58" t="s">
        <v>175</v>
      </c>
      <c r="K58" t="s">
        <v>175</v>
      </c>
      <c r="L58" t="s">
        <v>175</v>
      </c>
      <c r="M58" t="s">
        <v>175</v>
      </c>
      <c r="N58" t="s">
        <v>175</v>
      </c>
      <c r="O58" t="s">
        <v>175</v>
      </c>
      <c r="P58" t="s">
        <v>175</v>
      </c>
    </row>
    <row r="59" spans="1:16">
      <c r="A59" t="s">
        <v>246</v>
      </c>
      <c r="B59" t="s">
        <v>247</v>
      </c>
      <c r="C59">
        <v>300</v>
      </c>
      <c r="D59">
        <v>300</v>
      </c>
      <c r="E59">
        <v>300</v>
      </c>
      <c r="F59" t="s">
        <v>175</v>
      </c>
      <c r="H59" t="s">
        <v>175</v>
      </c>
      <c r="I59" t="s">
        <v>175</v>
      </c>
      <c r="J59" t="s">
        <v>175</v>
      </c>
      <c r="K59" t="s">
        <v>175</v>
      </c>
      <c r="L59" t="s">
        <v>175</v>
      </c>
      <c r="M59" t="s">
        <v>175</v>
      </c>
      <c r="N59" t="s">
        <v>175</v>
      </c>
      <c r="O59" t="s">
        <v>175</v>
      </c>
      <c r="P59" t="s">
        <v>175</v>
      </c>
    </row>
    <row r="60" spans="1:16">
      <c r="A60" t="s">
        <v>248</v>
      </c>
      <c r="B60" t="s">
        <v>115</v>
      </c>
      <c r="C60">
        <v>2150</v>
      </c>
      <c r="D60">
        <v>2150</v>
      </c>
      <c r="E60">
        <v>2150</v>
      </c>
      <c r="F60" t="s">
        <v>175</v>
      </c>
      <c r="H60" t="s">
        <v>175</v>
      </c>
      <c r="I60" t="s">
        <v>175</v>
      </c>
      <c r="J60" t="s">
        <v>175</v>
      </c>
      <c r="K60" t="s">
        <v>175</v>
      </c>
      <c r="L60" t="s">
        <v>175</v>
      </c>
      <c r="M60" t="s">
        <v>175</v>
      </c>
      <c r="N60" t="s">
        <v>175</v>
      </c>
      <c r="O60" t="s">
        <v>175</v>
      </c>
      <c r="P60" t="s">
        <v>175</v>
      </c>
    </row>
    <row r="61" spans="1:16">
      <c r="A61" t="s">
        <v>249</v>
      </c>
      <c r="B61" t="s">
        <v>126</v>
      </c>
      <c r="C61">
        <v>300</v>
      </c>
      <c r="D61">
        <v>300</v>
      </c>
      <c r="E61">
        <v>300</v>
      </c>
      <c r="F61" t="s">
        <v>175</v>
      </c>
      <c r="H61" t="s">
        <v>175</v>
      </c>
      <c r="I61" t="s">
        <v>175</v>
      </c>
      <c r="J61" t="s">
        <v>175</v>
      </c>
      <c r="K61" t="s">
        <v>175</v>
      </c>
      <c r="L61" t="s">
        <v>175</v>
      </c>
      <c r="M61" t="s">
        <v>175</v>
      </c>
      <c r="N61" t="s">
        <v>175</v>
      </c>
      <c r="O61" t="s">
        <v>175</v>
      </c>
      <c r="P61" t="s">
        <v>175</v>
      </c>
    </row>
    <row r="62" spans="1:16">
      <c r="A62" t="s">
        <v>250</v>
      </c>
      <c r="B62" t="s">
        <v>147</v>
      </c>
      <c r="C62">
        <v>3100</v>
      </c>
      <c r="D62">
        <v>3100</v>
      </c>
      <c r="E62">
        <v>3100</v>
      </c>
      <c r="F62" t="s">
        <v>175</v>
      </c>
      <c r="H62" t="s">
        <v>175</v>
      </c>
      <c r="I62" t="s">
        <v>175</v>
      </c>
      <c r="J62" t="s">
        <v>175</v>
      </c>
      <c r="K62" t="s">
        <v>175</v>
      </c>
      <c r="L62" t="s">
        <v>175</v>
      </c>
      <c r="M62" t="s">
        <v>175</v>
      </c>
      <c r="N62" t="s">
        <v>175</v>
      </c>
      <c r="O62" t="s">
        <v>175</v>
      </c>
      <c r="P62" t="s">
        <v>175</v>
      </c>
    </row>
    <row r="63" spans="1:16">
      <c r="A63" t="s">
        <v>251</v>
      </c>
      <c r="B63" t="s">
        <v>417</v>
      </c>
      <c r="C63">
        <v>125</v>
      </c>
      <c r="D63">
        <v>125</v>
      </c>
      <c r="E63">
        <v>125</v>
      </c>
      <c r="F63" t="s">
        <v>175</v>
      </c>
      <c r="H63" t="s">
        <v>175</v>
      </c>
      <c r="I63" t="s">
        <v>175</v>
      </c>
      <c r="J63" t="s">
        <v>175</v>
      </c>
      <c r="K63" t="s">
        <v>175</v>
      </c>
      <c r="L63" t="s">
        <v>175</v>
      </c>
      <c r="M63" t="s">
        <v>175</v>
      </c>
      <c r="N63" t="s">
        <v>175</v>
      </c>
      <c r="O63" t="s">
        <v>175</v>
      </c>
      <c r="P63" t="s">
        <v>175</v>
      </c>
    </row>
    <row r="64" spans="1:16">
      <c r="A64" t="s">
        <v>252</v>
      </c>
      <c r="B64" t="s">
        <v>124</v>
      </c>
      <c r="C64">
        <v>1375</v>
      </c>
      <c r="D64">
        <v>1375</v>
      </c>
      <c r="E64">
        <v>1375</v>
      </c>
      <c r="F64" t="s">
        <v>175</v>
      </c>
      <c r="H64" t="s">
        <v>175</v>
      </c>
      <c r="I64" t="s">
        <v>175</v>
      </c>
      <c r="J64" t="s">
        <v>175</v>
      </c>
      <c r="K64" t="s">
        <v>175</v>
      </c>
      <c r="L64" t="s">
        <v>175</v>
      </c>
      <c r="M64" t="s">
        <v>175</v>
      </c>
      <c r="N64" t="s">
        <v>175</v>
      </c>
      <c r="O64" t="s">
        <v>175</v>
      </c>
      <c r="P64" t="s">
        <v>175</v>
      </c>
    </row>
    <row r="65" spans="1:16">
      <c r="A65" t="s">
        <v>253</v>
      </c>
      <c r="B65" t="s">
        <v>418</v>
      </c>
      <c r="C65">
        <v>425</v>
      </c>
      <c r="D65">
        <v>425</v>
      </c>
      <c r="E65">
        <v>425</v>
      </c>
      <c r="F65" t="s">
        <v>175</v>
      </c>
      <c r="H65" t="s">
        <v>175</v>
      </c>
      <c r="I65" t="s">
        <v>175</v>
      </c>
      <c r="J65" t="s">
        <v>175</v>
      </c>
      <c r="K65" t="s">
        <v>175</v>
      </c>
      <c r="L65" t="s">
        <v>175</v>
      </c>
      <c r="M65" t="s">
        <v>175</v>
      </c>
      <c r="N65" t="s">
        <v>175</v>
      </c>
      <c r="O65" t="s">
        <v>175</v>
      </c>
      <c r="P65" t="s">
        <v>175</v>
      </c>
    </row>
    <row r="66" spans="1:16">
      <c r="A66" t="s">
        <v>254</v>
      </c>
      <c r="B66" t="s">
        <v>255</v>
      </c>
      <c r="C66">
        <v>1500</v>
      </c>
      <c r="D66">
        <v>1500</v>
      </c>
      <c r="E66">
        <v>1500</v>
      </c>
      <c r="F66" t="s">
        <v>175</v>
      </c>
      <c r="H66" t="s">
        <v>175</v>
      </c>
      <c r="I66" t="s">
        <v>175</v>
      </c>
      <c r="J66" t="s">
        <v>175</v>
      </c>
      <c r="K66" t="s">
        <v>175</v>
      </c>
      <c r="L66" t="s">
        <v>175</v>
      </c>
      <c r="M66" t="s">
        <v>175</v>
      </c>
      <c r="N66" t="s">
        <v>175</v>
      </c>
      <c r="O66" t="s">
        <v>175</v>
      </c>
      <c r="P66" t="s">
        <v>175</v>
      </c>
    </row>
    <row r="67" spans="1:16">
      <c r="A67" t="s">
        <v>256</v>
      </c>
      <c r="B67" t="s">
        <v>419</v>
      </c>
      <c r="C67">
        <v>70000</v>
      </c>
      <c r="D67">
        <v>70000</v>
      </c>
      <c r="E67">
        <v>70000</v>
      </c>
      <c r="F67" t="s">
        <v>175</v>
      </c>
      <c r="H67" t="s">
        <v>175</v>
      </c>
      <c r="I67" t="s">
        <v>175</v>
      </c>
      <c r="J67" t="s">
        <v>175</v>
      </c>
      <c r="K67" t="s">
        <v>175</v>
      </c>
      <c r="L67" t="s">
        <v>175</v>
      </c>
      <c r="M67" t="s">
        <v>175</v>
      </c>
      <c r="N67" t="s">
        <v>175</v>
      </c>
      <c r="O67" t="s">
        <v>175</v>
      </c>
      <c r="P67" t="s">
        <v>175</v>
      </c>
    </row>
    <row r="68" spans="1:16">
      <c r="A68" t="s">
        <v>257</v>
      </c>
      <c r="B68" t="s">
        <v>420</v>
      </c>
      <c r="C68">
        <v>1400</v>
      </c>
      <c r="D68">
        <v>1400</v>
      </c>
      <c r="E68">
        <v>1400</v>
      </c>
      <c r="F68" t="s">
        <v>175</v>
      </c>
      <c r="H68" t="s">
        <v>175</v>
      </c>
      <c r="I68" t="s">
        <v>175</v>
      </c>
      <c r="J68" t="s">
        <v>175</v>
      </c>
      <c r="K68" t="s">
        <v>175</v>
      </c>
      <c r="L68" t="s">
        <v>175</v>
      </c>
      <c r="M68" t="s">
        <v>175</v>
      </c>
      <c r="N68" t="s">
        <v>175</v>
      </c>
      <c r="O68" t="s">
        <v>175</v>
      </c>
      <c r="P68" t="s">
        <v>175</v>
      </c>
    </row>
    <row r="69" spans="1:16">
      <c r="A69" t="s">
        <v>258</v>
      </c>
      <c r="B69" t="s">
        <v>259</v>
      </c>
      <c r="C69">
        <v>9500</v>
      </c>
      <c r="D69">
        <v>9500</v>
      </c>
      <c r="E69">
        <v>9500</v>
      </c>
      <c r="F69" t="s">
        <v>175</v>
      </c>
      <c r="H69" t="s">
        <v>175</v>
      </c>
      <c r="I69" t="s">
        <v>175</v>
      </c>
      <c r="J69" t="s">
        <v>175</v>
      </c>
      <c r="K69" t="s">
        <v>175</v>
      </c>
      <c r="L69" t="s">
        <v>175</v>
      </c>
      <c r="M69" t="s">
        <v>175</v>
      </c>
      <c r="N69" t="s">
        <v>175</v>
      </c>
      <c r="O69" t="s">
        <v>175</v>
      </c>
      <c r="P69" t="s">
        <v>175</v>
      </c>
    </row>
    <row r="70" spans="1:16">
      <c r="A70" t="s">
        <v>260</v>
      </c>
      <c r="B70" t="s">
        <v>421</v>
      </c>
      <c r="C70">
        <v>3900</v>
      </c>
      <c r="D70">
        <v>3900</v>
      </c>
      <c r="E70">
        <v>3900</v>
      </c>
      <c r="F70" t="s">
        <v>175</v>
      </c>
      <c r="H70" t="s">
        <v>175</v>
      </c>
      <c r="I70" t="s">
        <v>175</v>
      </c>
      <c r="J70" t="s">
        <v>175</v>
      </c>
      <c r="K70" t="s">
        <v>175</v>
      </c>
      <c r="L70" t="s">
        <v>175</v>
      </c>
      <c r="M70" t="s">
        <v>175</v>
      </c>
      <c r="N70" t="s">
        <v>175</v>
      </c>
      <c r="O70" t="s">
        <v>175</v>
      </c>
      <c r="P70" t="s">
        <v>175</v>
      </c>
    </row>
    <row r="71" spans="1:16">
      <c r="A71" t="s">
        <v>261</v>
      </c>
      <c r="B71" t="s">
        <v>127</v>
      </c>
      <c r="C71">
        <v>900</v>
      </c>
      <c r="D71">
        <v>900</v>
      </c>
      <c r="E71">
        <v>900</v>
      </c>
      <c r="F71" t="s">
        <v>175</v>
      </c>
      <c r="H71" t="s">
        <v>175</v>
      </c>
      <c r="I71" t="s">
        <v>175</v>
      </c>
      <c r="J71" t="s">
        <v>175</v>
      </c>
      <c r="K71" t="s">
        <v>175</v>
      </c>
      <c r="L71" t="s">
        <v>175</v>
      </c>
      <c r="M71" t="s">
        <v>175</v>
      </c>
      <c r="N71" t="s">
        <v>175</v>
      </c>
      <c r="O71" t="s">
        <v>175</v>
      </c>
      <c r="P71" t="s">
        <v>175</v>
      </c>
    </row>
    <row r="72" spans="1:16">
      <c r="A72" t="s">
        <v>262</v>
      </c>
      <c r="B72" t="s">
        <v>116</v>
      </c>
      <c r="C72">
        <v>600</v>
      </c>
      <c r="D72">
        <v>600</v>
      </c>
      <c r="E72">
        <v>600</v>
      </c>
      <c r="F72" t="s">
        <v>175</v>
      </c>
      <c r="H72" t="s">
        <v>175</v>
      </c>
      <c r="I72" t="s">
        <v>175</v>
      </c>
      <c r="J72" t="s">
        <v>175</v>
      </c>
      <c r="K72" t="s">
        <v>175</v>
      </c>
      <c r="L72" t="s">
        <v>175</v>
      </c>
      <c r="M72" t="s">
        <v>175</v>
      </c>
      <c r="N72" t="s">
        <v>175</v>
      </c>
      <c r="O72" t="s">
        <v>175</v>
      </c>
      <c r="P72" t="s">
        <v>175</v>
      </c>
    </row>
    <row r="73" spans="1:16">
      <c r="A73" t="s">
        <v>263</v>
      </c>
      <c r="B73" t="s">
        <v>422</v>
      </c>
      <c r="C73">
        <v>325</v>
      </c>
      <c r="D73">
        <v>325</v>
      </c>
      <c r="E73">
        <v>325</v>
      </c>
      <c r="F73" t="s">
        <v>175</v>
      </c>
      <c r="H73" t="s">
        <v>175</v>
      </c>
      <c r="I73" t="s">
        <v>175</v>
      </c>
      <c r="J73" t="s">
        <v>175</v>
      </c>
      <c r="K73" t="s">
        <v>175</v>
      </c>
      <c r="L73" t="s">
        <v>175</v>
      </c>
      <c r="M73" t="s">
        <v>175</v>
      </c>
      <c r="N73" t="s">
        <v>175</v>
      </c>
      <c r="O73" t="s">
        <v>175</v>
      </c>
      <c r="P73" t="s">
        <v>175</v>
      </c>
    </row>
    <row r="74" spans="1:16">
      <c r="A74" t="s">
        <v>264</v>
      </c>
      <c r="B74" t="s">
        <v>423</v>
      </c>
      <c r="C74">
        <v>3200</v>
      </c>
      <c r="D74">
        <v>3200</v>
      </c>
      <c r="E74">
        <v>3200</v>
      </c>
      <c r="F74" t="s">
        <v>175</v>
      </c>
      <c r="H74" t="s">
        <v>175</v>
      </c>
      <c r="I74" t="s">
        <v>175</v>
      </c>
      <c r="J74" t="s">
        <v>175</v>
      </c>
      <c r="K74" t="s">
        <v>175</v>
      </c>
      <c r="L74" t="s">
        <v>175</v>
      </c>
      <c r="M74" t="s">
        <v>175</v>
      </c>
      <c r="N74" t="s">
        <v>175</v>
      </c>
      <c r="O74" t="s">
        <v>175</v>
      </c>
      <c r="P74" t="s">
        <v>175</v>
      </c>
    </row>
    <row r="75" spans="1:16">
      <c r="A75" t="s">
        <v>265</v>
      </c>
      <c r="B75" t="s">
        <v>266</v>
      </c>
      <c r="C75">
        <v>2500</v>
      </c>
      <c r="D75">
        <v>2500</v>
      </c>
      <c r="E75">
        <v>2500</v>
      </c>
      <c r="F75" t="s">
        <v>175</v>
      </c>
      <c r="H75" t="s">
        <v>175</v>
      </c>
      <c r="I75" t="s">
        <v>175</v>
      </c>
      <c r="J75" t="s">
        <v>175</v>
      </c>
      <c r="K75" t="s">
        <v>175</v>
      </c>
      <c r="L75" t="s">
        <v>175</v>
      </c>
      <c r="M75" t="s">
        <v>175</v>
      </c>
      <c r="N75" t="s">
        <v>175</v>
      </c>
      <c r="O75" t="s">
        <v>175</v>
      </c>
      <c r="P75" t="s">
        <v>175</v>
      </c>
    </row>
    <row r="76" spans="1:16">
      <c r="A76" t="s">
        <v>267</v>
      </c>
      <c r="B76" t="s">
        <v>155</v>
      </c>
      <c r="C76">
        <v>1350</v>
      </c>
      <c r="D76">
        <v>1350</v>
      </c>
      <c r="E76">
        <v>1350</v>
      </c>
      <c r="F76" t="s">
        <v>175</v>
      </c>
      <c r="H76" t="s">
        <v>175</v>
      </c>
      <c r="I76" t="s">
        <v>175</v>
      </c>
      <c r="J76" t="s">
        <v>175</v>
      </c>
      <c r="K76" t="s">
        <v>175</v>
      </c>
      <c r="L76" t="s">
        <v>175</v>
      </c>
      <c r="M76" t="s">
        <v>175</v>
      </c>
      <c r="N76" t="s">
        <v>175</v>
      </c>
      <c r="O76" t="s">
        <v>175</v>
      </c>
      <c r="P76" t="s">
        <v>175</v>
      </c>
    </row>
    <row r="77" spans="1:16">
      <c r="A77" t="s">
        <v>268</v>
      </c>
      <c r="B77" t="s">
        <v>269</v>
      </c>
      <c r="C77">
        <v>250</v>
      </c>
      <c r="D77">
        <v>250</v>
      </c>
      <c r="E77">
        <v>250</v>
      </c>
      <c r="F77" t="s">
        <v>175</v>
      </c>
      <c r="H77" t="s">
        <v>175</v>
      </c>
      <c r="I77" t="s">
        <v>175</v>
      </c>
      <c r="J77" t="s">
        <v>175</v>
      </c>
      <c r="K77" t="s">
        <v>175</v>
      </c>
      <c r="L77" t="s">
        <v>175</v>
      </c>
      <c r="M77" t="s">
        <v>175</v>
      </c>
      <c r="N77" t="s">
        <v>175</v>
      </c>
      <c r="O77" t="s">
        <v>175</v>
      </c>
      <c r="P77" t="s">
        <v>175</v>
      </c>
    </row>
    <row r="78" spans="1:16">
      <c r="A78" t="s">
        <v>270</v>
      </c>
      <c r="B78" t="s">
        <v>424</v>
      </c>
      <c r="C78">
        <v>1500</v>
      </c>
      <c r="D78">
        <v>1500</v>
      </c>
      <c r="E78">
        <v>1500</v>
      </c>
      <c r="F78" t="s">
        <v>175</v>
      </c>
      <c r="H78" t="s">
        <v>175</v>
      </c>
      <c r="I78" t="s">
        <v>175</v>
      </c>
      <c r="J78" t="s">
        <v>175</v>
      </c>
      <c r="K78" t="s">
        <v>175</v>
      </c>
      <c r="L78" t="s">
        <v>175</v>
      </c>
      <c r="M78" t="s">
        <v>175</v>
      </c>
      <c r="N78" t="s">
        <v>175</v>
      </c>
      <c r="O78" t="s">
        <v>175</v>
      </c>
      <c r="P78" t="s">
        <v>175</v>
      </c>
    </row>
    <row r="79" spans="1:16">
      <c r="A79" t="s">
        <v>271</v>
      </c>
      <c r="B79" t="s">
        <v>425</v>
      </c>
      <c r="C79">
        <v>2000</v>
      </c>
      <c r="D79">
        <v>2000</v>
      </c>
      <c r="E79">
        <v>2000</v>
      </c>
      <c r="F79" t="s">
        <v>175</v>
      </c>
      <c r="H79" t="s">
        <v>175</v>
      </c>
      <c r="I79" t="s">
        <v>175</v>
      </c>
      <c r="J79" t="s">
        <v>175</v>
      </c>
      <c r="K79" t="s">
        <v>175</v>
      </c>
      <c r="L79" t="s">
        <v>175</v>
      </c>
      <c r="M79" t="s">
        <v>175</v>
      </c>
      <c r="N79" t="s">
        <v>175</v>
      </c>
      <c r="O79" t="s">
        <v>175</v>
      </c>
      <c r="P79" t="s">
        <v>175</v>
      </c>
    </row>
    <row r="80" spans="1:16">
      <c r="A80" t="s">
        <v>272</v>
      </c>
      <c r="B80" t="s">
        <v>426</v>
      </c>
      <c r="C80">
        <v>575</v>
      </c>
      <c r="D80">
        <v>575</v>
      </c>
      <c r="E80">
        <v>575</v>
      </c>
      <c r="F80" t="s">
        <v>175</v>
      </c>
      <c r="H80" t="s">
        <v>175</v>
      </c>
      <c r="I80" t="s">
        <v>175</v>
      </c>
      <c r="J80" t="s">
        <v>175</v>
      </c>
      <c r="K80" t="s">
        <v>175</v>
      </c>
      <c r="L80" t="s">
        <v>175</v>
      </c>
      <c r="M80" t="s">
        <v>175</v>
      </c>
      <c r="N80" t="s">
        <v>175</v>
      </c>
      <c r="O80" t="s">
        <v>175</v>
      </c>
      <c r="P80" t="s">
        <v>175</v>
      </c>
    </row>
    <row r="81" spans="1:16">
      <c r="A81" t="s">
        <v>273</v>
      </c>
      <c r="B81" t="s">
        <v>427</v>
      </c>
      <c r="C81">
        <v>200</v>
      </c>
      <c r="D81">
        <v>200</v>
      </c>
      <c r="E81">
        <v>200</v>
      </c>
      <c r="F81" t="s">
        <v>175</v>
      </c>
      <c r="H81" t="s">
        <v>175</v>
      </c>
      <c r="I81" t="s">
        <v>175</v>
      </c>
      <c r="J81" t="s">
        <v>175</v>
      </c>
      <c r="K81" t="s">
        <v>175</v>
      </c>
      <c r="L81" t="s">
        <v>175</v>
      </c>
      <c r="M81" t="s">
        <v>175</v>
      </c>
      <c r="N81" t="s">
        <v>175</v>
      </c>
      <c r="O81" t="s">
        <v>175</v>
      </c>
      <c r="P81" t="s">
        <v>175</v>
      </c>
    </row>
    <row r="82" spans="1:16">
      <c r="A82" t="s">
        <v>274</v>
      </c>
      <c r="B82" t="s">
        <v>149</v>
      </c>
      <c r="C82">
        <v>850</v>
      </c>
      <c r="D82">
        <v>850</v>
      </c>
      <c r="E82">
        <v>850</v>
      </c>
      <c r="F82" t="s">
        <v>175</v>
      </c>
      <c r="H82" t="s">
        <v>175</v>
      </c>
      <c r="I82" t="s">
        <v>175</v>
      </c>
      <c r="J82" t="s">
        <v>175</v>
      </c>
      <c r="K82" t="s">
        <v>175</v>
      </c>
      <c r="L82" t="s">
        <v>175</v>
      </c>
      <c r="M82" t="s">
        <v>175</v>
      </c>
      <c r="N82" t="s">
        <v>175</v>
      </c>
      <c r="O82" t="s">
        <v>175</v>
      </c>
      <c r="P82" t="s">
        <v>175</v>
      </c>
    </row>
    <row r="83" spans="1:16">
      <c r="A83" t="s">
        <v>275</v>
      </c>
      <c r="B83" t="s">
        <v>428</v>
      </c>
      <c r="C83">
        <v>4000</v>
      </c>
      <c r="D83">
        <v>4000</v>
      </c>
      <c r="E83">
        <v>4000</v>
      </c>
      <c r="F83" t="s">
        <v>175</v>
      </c>
      <c r="H83" t="s">
        <v>175</v>
      </c>
      <c r="I83" t="s">
        <v>175</v>
      </c>
      <c r="J83" t="s">
        <v>175</v>
      </c>
      <c r="K83" t="s">
        <v>175</v>
      </c>
      <c r="L83" t="s">
        <v>175</v>
      </c>
      <c r="M83" t="s">
        <v>175</v>
      </c>
      <c r="N83" t="s">
        <v>175</v>
      </c>
      <c r="O83" t="s">
        <v>175</v>
      </c>
      <c r="P83" t="s">
        <v>175</v>
      </c>
    </row>
    <row r="84" spans="1:16">
      <c r="A84" t="s">
        <v>276</v>
      </c>
      <c r="B84" t="s">
        <v>277</v>
      </c>
      <c r="C84">
        <v>6000</v>
      </c>
      <c r="D84">
        <v>6000</v>
      </c>
      <c r="E84">
        <v>6000</v>
      </c>
      <c r="F84" t="s">
        <v>175</v>
      </c>
      <c r="H84" t="s">
        <v>175</v>
      </c>
      <c r="I84" t="s">
        <v>175</v>
      </c>
      <c r="J84" t="s">
        <v>175</v>
      </c>
      <c r="K84" t="s">
        <v>175</v>
      </c>
      <c r="L84" t="s">
        <v>175</v>
      </c>
      <c r="M84" t="s">
        <v>175</v>
      </c>
      <c r="N84" t="s">
        <v>175</v>
      </c>
      <c r="O84" t="s">
        <v>175</v>
      </c>
      <c r="P84" t="s">
        <v>175</v>
      </c>
    </row>
    <row r="85" spans="1:16">
      <c r="A85" t="s">
        <v>278</v>
      </c>
      <c r="B85" t="s">
        <v>112</v>
      </c>
      <c r="C85">
        <v>300</v>
      </c>
      <c r="D85">
        <v>300</v>
      </c>
      <c r="E85">
        <v>300</v>
      </c>
      <c r="F85" t="s">
        <v>175</v>
      </c>
      <c r="H85" t="s">
        <v>175</v>
      </c>
      <c r="I85" t="s">
        <v>175</v>
      </c>
      <c r="J85" t="s">
        <v>175</v>
      </c>
      <c r="K85" t="s">
        <v>175</v>
      </c>
      <c r="L85" t="s">
        <v>175</v>
      </c>
      <c r="M85" t="s">
        <v>175</v>
      </c>
      <c r="N85" t="s">
        <v>175</v>
      </c>
      <c r="O85" t="s">
        <v>175</v>
      </c>
      <c r="P85" t="s">
        <v>175</v>
      </c>
    </row>
    <row r="86" spans="1:16">
      <c r="A86" t="s">
        <v>279</v>
      </c>
      <c r="B86" t="s">
        <v>429</v>
      </c>
      <c r="C86">
        <v>100</v>
      </c>
      <c r="D86">
        <v>100</v>
      </c>
      <c r="E86">
        <v>100</v>
      </c>
      <c r="F86" t="s">
        <v>175</v>
      </c>
      <c r="H86" t="s">
        <v>175</v>
      </c>
      <c r="I86" t="s">
        <v>175</v>
      </c>
      <c r="J86" t="s">
        <v>175</v>
      </c>
      <c r="K86" t="s">
        <v>175</v>
      </c>
      <c r="L86" t="s">
        <v>175</v>
      </c>
      <c r="M86" t="s">
        <v>175</v>
      </c>
      <c r="N86" t="s">
        <v>175</v>
      </c>
      <c r="O86" t="s">
        <v>175</v>
      </c>
      <c r="P86" t="s">
        <v>175</v>
      </c>
    </row>
    <row r="87" spans="1:16">
      <c r="A87" t="s">
        <v>280</v>
      </c>
      <c r="B87" t="s">
        <v>281</v>
      </c>
      <c r="C87">
        <v>1250</v>
      </c>
      <c r="D87">
        <v>1250</v>
      </c>
      <c r="E87">
        <v>1250</v>
      </c>
      <c r="F87" t="s">
        <v>175</v>
      </c>
      <c r="H87" t="s">
        <v>175</v>
      </c>
      <c r="I87" t="s">
        <v>175</v>
      </c>
      <c r="J87" t="s">
        <v>175</v>
      </c>
      <c r="K87" t="s">
        <v>175</v>
      </c>
      <c r="L87" t="s">
        <v>175</v>
      </c>
      <c r="M87" t="s">
        <v>175</v>
      </c>
      <c r="N87" t="s">
        <v>175</v>
      </c>
      <c r="O87" t="s">
        <v>175</v>
      </c>
      <c r="P87" t="s">
        <v>175</v>
      </c>
    </row>
    <row r="88" spans="1:16">
      <c r="A88" t="s">
        <v>282</v>
      </c>
      <c r="B88" t="s">
        <v>430</v>
      </c>
      <c r="C88">
        <v>600</v>
      </c>
      <c r="D88">
        <v>600</v>
      </c>
      <c r="E88">
        <v>600</v>
      </c>
      <c r="F88" t="s">
        <v>175</v>
      </c>
      <c r="H88" t="s">
        <v>175</v>
      </c>
      <c r="I88" t="s">
        <v>175</v>
      </c>
      <c r="J88" t="s">
        <v>175</v>
      </c>
      <c r="K88" t="s">
        <v>175</v>
      </c>
      <c r="L88" t="s">
        <v>175</v>
      </c>
      <c r="M88" t="s">
        <v>175</v>
      </c>
      <c r="N88" t="s">
        <v>175</v>
      </c>
      <c r="O88" t="s">
        <v>175</v>
      </c>
      <c r="P88" t="s">
        <v>175</v>
      </c>
    </row>
    <row r="89" spans="1:16">
      <c r="A89" t="s">
        <v>283</v>
      </c>
      <c r="B89" t="s">
        <v>284</v>
      </c>
      <c r="C89">
        <v>200</v>
      </c>
      <c r="D89">
        <v>200</v>
      </c>
      <c r="E89">
        <v>200</v>
      </c>
      <c r="F89" t="s">
        <v>175</v>
      </c>
      <c r="H89" t="s">
        <v>175</v>
      </c>
      <c r="I89" t="s">
        <v>175</v>
      </c>
      <c r="J89" t="s">
        <v>175</v>
      </c>
      <c r="K89" t="s">
        <v>175</v>
      </c>
      <c r="L89" t="s">
        <v>175</v>
      </c>
      <c r="M89" t="s">
        <v>175</v>
      </c>
      <c r="N89" t="s">
        <v>175</v>
      </c>
      <c r="O89" t="s">
        <v>175</v>
      </c>
      <c r="P89" t="s">
        <v>175</v>
      </c>
    </row>
    <row r="90" spans="1:16">
      <c r="A90" t="s">
        <v>285</v>
      </c>
      <c r="B90" t="s">
        <v>431</v>
      </c>
      <c r="C90">
        <v>650</v>
      </c>
      <c r="D90">
        <v>650</v>
      </c>
      <c r="E90">
        <v>650</v>
      </c>
      <c r="F90" t="s">
        <v>175</v>
      </c>
      <c r="H90" t="s">
        <v>175</v>
      </c>
      <c r="I90" t="s">
        <v>175</v>
      </c>
      <c r="J90" t="s">
        <v>175</v>
      </c>
      <c r="K90" t="s">
        <v>175</v>
      </c>
      <c r="L90" t="s">
        <v>175</v>
      </c>
      <c r="M90" t="s">
        <v>175</v>
      </c>
      <c r="N90" t="s">
        <v>175</v>
      </c>
      <c r="O90" t="s">
        <v>175</v>
      </c>
      <c r="P90" t="s">
        <v>175</v>
      </c>
    </row>
    <row r="91" spans="1:16">
      <c r="A91" t="s">
        <v>286</v>
      </c>
      <c r="B91" t="s">
        <v>432</v>
      </c>
      <c r="C91">
        <v>3100</v>
      </c>
      <c r="D91">
        <v>3100</v>
      </c>
      <c r="E91">
        <v>3100</v>
      </c>
      <c r="F91" t="s">
        <v>175</v>
      </c>
      <c r="H91" t="s">
        <v>175</v>
      </c>
      <c r="I91" t="s">
        <v>175</v>
      </c>
      <c r="J91" t="s">
        <v>175</v>
      </c>
      <c r="K91" t="s">
        <v>175</v>
      </c>
      <c r="L91" t="s">
        <v>175</v>
      </c>
      <c r="M91" t="s">
        <v>175</v>
      </c>
      <c r="N91" t="s">
        <v>175</v>
      </c>
      <c r="O91" t="s">
        <v>175</v>
      </c>
      <c r="P91" t="s">
        <v>175</v>
      </c>
    </row>
    <row r="92" spans="1:16">
      <c r="A92" t="s">
        <v>287</v>
      </c>
      <c r="B92" t="s">
        <v>129</v>
      </c>
      <c r="C92">
        <v>600</v>
      </c>
      <c r="D92">
        <v>600</v>
      </c>
      <c r="E92">
        <v>600</v>
      </c>
      <c r="F92" t="s">
        <v>175</v>
      </c>
      <c r="H92" t="s">
        <v>175</v>
      </c>
      <c r="I92" t="s">
        <v>175</v>
      </c>
      <c r="J92" t="s">
        <v>175</v>
      </c>
      <c r="K92" t="s">
        <v>175</v>
      </c>
      <c r="L92" t="s">
        <v>175</v>
      </c>
      <c r="M92" t="s">
        <v>175</v>
      </c>
      <c r="N92" t="s">
        <v>175</v>
      </c>
      <c r="O92" t="s">
        <v>175</v>
      </c>
      <c r="P92" t="s">
        <v>175</v>
      </c>
    </row>
    <row r="93" spans="1:16">
      <c r="A93" t="s">
        <v>288</v>
      </c>
      <c r="B93" t="s">
        <v>24</v>
      </c>
      <c r="C93">
        <v>550</v>
      </c>
      <c r="D93">
        <v>550</v>
      </c>
      <c r="E93">
        <v>550</v>
      </c>
      <c r="F93" t="s">
        <v>175</v>
      </c>
      <c r="H93" t="s">
        <v>175</v>
      </c>
      <c r="I93" t="s">
        <v>175</v>
      </c>
      <c r="J93" t="s">
        <v>175</v>
      </c>
      <c r="K93" t="s">
        <v>175</v>
      </c>
      <c r="L93" t="s">
        <v>175</v>
      </c>
      <c r="M93" t="s">
        <v>175</v>
      </c>
      <c r="N93" t="s">
        <v>175</v>
      </c>
      <c r="O93" t="s">
        <v>175</v>
      </c>
      <c r="P93" t="s">
        <v>175</v>
      </c>
    </row>
    <row r="94" spans="1:16">
      <c r="A94" t="s">
        <v>289</v>
      </c>
      <c r="B94" t="s">
        <v>433</v>
      </c>
      <c r="C94">
        <v>10</v>
      </c>
      <c r="D94">
        <v>10</v>
      </c>
      <c r="E94">
        <v>10</v>
      </c>
      <c r="F94" t="s">
        <v>175</v>
      </c>
      <c r="H94" t="s">
        <v>175</v>
      </c>
      <c r="I94" t="s">
        <v>175</v>
      </c>
      <c r="J94" t="s">
        <v>175</v>
      </c>
      <c r="K94" t="s">
        <v>175</v>
      </c>
      <c r="L94" t="s">
        <v>175</v>
      </c>
      <c r="M94" t="s">
        <v>175</v>
      </c>
      <c r="N94" t="s">
        <v>175</v>
      </c>
      <c r="O94" t="s">
        <v>175</v>
      </c>
      <c r="P94" t="s">
        <v>175</v>
      </c>
    </row>
    <row r="95" spans="1:16">
      <c r="A95" t="s">
        <v>290</v>
      </c>
      <c r="B95" t="s">
        <v>154</v>
      </c>
      <c r="C95">
        <v>750</v>
      </c>
      <c r="D95">
        <v>750</v>
      </c>
      <c r="E95">
        <v>750</v>
      </c>
      <c r="F95" t="s">
        <v>175</v>
      </c>
      <c r="H95" t="s">
        <v>175</v>
      </c>
      <c r="I95" t="s">
        <v>175</v>
      </c>
      <c r="J95" t="s">
        <v>175</v>
      </c>
      <c r="K95" t="s">
        <v>175</v>
      </c>
      <c r="L95" t="s">
        <v>175</v>
      </c>
      <c r="M95" t="s">
        <v>175</v>
      </c>
      <c r="N95" t="s">
        <v>175</v>
      </c>
      <c r="O95" t="s">
        <v>175</v>
      </c>
      <c r="P95" t="s">
        <v>175</v>
      </c>
    </row>
    <row r="96" spans="1:16">
      <c r="A96" t="s">
        <v>291</v>
      </c>
      <c r="B96" t="s">
        <v>292</v>
      </c>
      <c r="C96">
        <v>400</v>
      </c>
      <c r="D96">
        <v>400</v>
      </c>
      <c r="E96">
        <v>400</v>
      </c>
      <c r="F96" t="s">
        <v>175</v>
      </c>
      <c r="H96" t="s">
        <v>175</v>
      </c>
      <c r="I96" t="s">
        <v>175</v>
      </c>
      <c r="J96" t="s">
        <v>175</v>
      </c>
      <c r="K96" t="s">
        <v>175</v>
      </c>
      <c r="L96" t="s">
        <v>175</v>
      </c>
      <c r="M96" t="s">
        <v>175</v>
      </c>
      <c r="N96" t="s">
        <v>175</v>
      </c>
      <c r="O96" t="s">
        <v>175</v>
      </c>
      <c r="P96" t="s">
        <v>175</v>
      </c>
    </row>
    <row r="97" spans="1:16">
      <c r="A97" t="s">
        <v>293</v>
      </c>
      <c r="B97" t="s">
        <v>434</v>
      </c>
      <c r="C97">
        <v>125</v>
      </c>
      <c r="D97">
        <v>125</v>
      </c>
      <c r="E97">
        <v>125</v>
      </c>
      <c r="F97" t="s">
        <v>175</v>
      </c>
      <c r="H97" t="s">
        <v>175</v>
      </c>
      <c r="I97" t="s">
        <v>175</v>
      </c>
      <c r="J97" t="s">
        <v>175</v>
      </c>
      <c r="K97" t="s">
        <v>175</v>
      </c>
      <c r="L97" t="s">
        <v>175</v>
      </c>
      <c r="M97" t="s">
        <v>175</v>
      </c>
      <c r="N97" t="s">
        <v>175</v>
      </c>
      <c r="O97" t="s">
        <v>175</v>
      </c>
      <c r="P97" t="s">
        <v>175</v>
      </c>
    </row>
    <row r="98" spans="1:16">
      <c r="A98" t="s">
        <v>294</v>
      </c>
      <c r="B98" t="s">
        <v>435</v>
      </c>
      <c r="C98">
        <v>275</v>
      </c>
      <c r="D98">
        <v>275</v>
      </c>
      <c r="E98">
        <v>275</v>
      </c>
      <c r="F98" t="s">
        <v>175</v>
      </c>
      <c r="H98" t="s">
        <v>175</v>
      </c>
      <c r="I98" t="s">
        <v>175</v>
      </c>
      <c r="J98" t="s">
        <v>175</v>
      </c>
      <c r="K98" t="s">
        <v>175</v>
      </c>
      <c r="L98" t="s">
        <v>175</v>
      </c>
      <c r="M98" t="s">
        <v>175</v>
      </c>
      <c r="N98" t="s">
        <v>175</v>
      </c>
      <c r="O98" t="s">
        <v>175</v>
      </c>
      <c r="P98" t="s">
        <v>175</v>
      </c>
    </row>
    <row r="99" spans="1:16">
      <c r="A99" t="s">
        <v>295</v>
      </c>
      <c r="B99" t="s">
        <v>150</v>
      </c>
      <c r="C99">
        <v>225</v>
      </c>
      <c r="D99">
        <v>225</v>
      </c>
      <c r="E99">
        <v>225</v>
      </c>
      <c r="F99" t="s">
        <v>175</v>
      </c>
      <c r="H99" t="s">
        <v>175</v>
      </c>
      <c r="I99" t="s">
        <v>175</v>
      </c>
      <c r="J99" t="s">
        <v>175</v>
      </c>
      <c r="K99" t="s">
        <v>175</v>
      </c>
      <c r="L99" t="s">
        <v>175</v>
      </c>
      <c r="M99" t="s">
        <v>175</v>
      </c>
      <c r="N99" t="s">
        <v>175</v>
      </c>
      <c r="O99" t="s">
        <v>175</v>
      </c>
      <c r="P99" t="s">
        <v>175</v>
      </c>
    </row>
    <row r="100" spans="1:16">
      <c r="A100" t="s">
        <v>296</v>
      </c>
      <c r="B100" t="s">
        <v>436</v>
      </c>
      <c r="C100">
        <v>50</v>
      </c>
      <c r="D100">
        <v>50</v>
      </c>
      <c r="E100">
        <v>50</v>
      </c>
      <c r="F100" t="s">
        <v>175</v>
      </c>
      <c r="H100" t="s">
        <v>175</v>
      </c>
      <c r="I100" t="s">
        <v>175</v>
      </c>
      <c r="J100" t="s">
        <v>175</v>
      </c>
      <c r="K100" t="s">
        <v>175</v>
      </c>
      <c r="L100" t="s">
        <v>175</v>
      </c>
      <c r="M100" t="s">
        <v>175</v>
      </c>
      <c r="N100" t="s">
        <v>175</v>
      </c>
      <c r="O100" t="s">
        <v>175</v>
      </c>
      <c r="P100" t="s">
        <v>175</v>
      </c>
    </row>
    <row r="101" spans="1:16">
      <c r="A101" t="s">
        <v>297</v>
      </c>
      <c r="B101" t="s">
        <v>437</v>
      </c>
      <c r="C101">
        <v>6700</v>
      </c>
      <c r="D101">
        <v>6700</v>
      </c>
      <c r="E101">
        <v>6700</v>
      </c>
      <c r="F101" t="s">
        <v>175</v>
      </c>
      <c r="H101" t="s">
        <v>175</v>
      </c>
      <c r="I101" t="s">
        <v>175</v>
      </c>
      <c r="J101" t="s">
        <v>175</v>
      </c>
      <c r="K101" t="s">
        <v>175</v>
      </c>
      <c r="L101" t="s">
        <v>175</v>
      </c>
      <c r="M101" t="s">
        <v>175</v>
      </c>
      <c r="N101" t="s">
        <v>175</v>
      </c>
      <c r="O101" t="s">
        <v>175</v>
      </c>
      <c r="P101" t="s">
        <v>175</v>
      </c>
    </row>
    <row r="102" spans="1:16">
      <c r="A102" t="s">
        <v>298</v>
      </c>
      <c r="B102" t="s">
        <v>438</v>
      </c>
      <c r="C102">
        <v>5700</v>
      </c>
      <c r="D102">
        <v>5700</v>
      </c>
      <c r="E102">
        <v>5700</v>
      </c>
      <c r="F102" t="s">
        <v>175</v>
      </c>
      <c r="H102" t="s">
        <v>175</v>
      </c>
      <c r="I102" t="s">
        <v>175</v>
      </c>
      <c r="J102" t="s">
        <v>175</v>
      </c>
      <c r="K102" t="s">
        <v>175</v>
      </c>
      <c r="L102" t="s">
        <v>175</v>
      </c>
      <c r="M102" t="s">
        <v>175</v>
      </c>
      <c r="N102" t="s">
        <v>175</v>
      </c>
      <c r="O102" t="s">
        <v>175</v>
      </c>
      <c r="P102" t="s">
        <v>175</v>
      </c>
    </row>
    <row r="103" spans="1:16">
      <c r="A103" t="s">
        <v>299</v>
      </c>
      <c r="B103" t="s">
        <v>439</v>
      </c>
      <c r="C103">
        <v>7700</v>
      </c>
      <c r="D103">
        <v>7700</v>
      </c>
      <c r="E103">
        <v>7700</v>
      </c>
      <c r="F103" t="s">
        <v>175</v>
      </c>
      <c r="H103" t="s">
        <v>175</v>
      </c>
      <c r="I103" t="s">
        <v>175</v>
      </c>
      <c r="J103" t="s">
        <v>175</v>
      </c>
      <c r="K103" t="s">
        <v>175</v>
      </c>
      <c r="L103" t="s">
        <v>175</v>
      </c>
      <c r="M103" t="s">
        <v>175</v>
      </c>
      <c r="N103" t="s">
        <v>175</v>
      </c>
      <c r="O103" t="s">
        <v>175</v>
      </c>
      <c r="P103" t="s">
        <v>175</v>
      </c>
    </row>
    <row r="104" spans="1:16">
      <c r="A104" t="s">
        <v>300</v>
      </c>
      <c r="B104" t="s">
        <v>151</v>
      </c>
      <c r="C104">
        <v>125</v>
      </c>
      <c r="D104">
        <v>125</v>
      </c>
      <c r="E104">
        <v>125</v>
      </c>
      <c r="F104" t="s">
        <v>175</v>
      </c>
      <c r="H104" t="s">
        <v>175</v>
      </c>
      <c r="I104" t="s">
        <v>175</v>
      </c>
      <c r="J104" t="s">
        <v>175</v>
      </c>
      <c r="K104" t="s">
        <v>175</v>
      </c>
      <c r="L104" t="s">
        <v>175</v>
      </c>
      <c r="M104" t="s">
        <v>175</v>
      </c>
      <c r="N104" t="s">
        <v>175</v>
      </c>
      <c r="O104" t="s">
        <v>175</v>
      </c>
      <c r="P104" t="s">
        <v>175</v>
      </c>
    </row>
    <row r="105" spans="1:16">
      <c r="A105" t="s">
        <v>301</v>
      </c>
      <c r="B105" t="s">
        <v>302</v>
      </c>
      <c r="C105">
        <v>500</v>
      </c>
      <c r="D105">
        <v>500</v>
      </c>
      <c r="E105">
        <v>500</v>
      </c>
      <c r="F105" t="s">
        <v>175</v>
      </c>
      <c r="H105" t="s">
        <v>175</v>
      </c>
      <c r="I105" t="s">
        <v>175</v>
      </c>
      <c r="J105" t="s">
        <v>175</v>
      </c>
      <c r="K105" t="s">
        <v>175</v>
      </c>
      <c r="L105" t="s">
        <v>175</v>
      </c>
      <c r="M105" t="s">
        <v>175</v>
      </c>
      <c r="N105" t="s">
        <v>175</v>
      </c>
      <c r="O105" t="s">
        <v>175</v>
      </c>
      <c r="P105" t="s">
        <v>175</v>
      </c>
    </row>
    <row r="106" spans="1:16">
      <c r="A106" t="s">
        <v>303</v>
      </c>
      <c r="B106" t="s">
        <v>440</v>
      </c>
      <c r="C106">
        <v>250</v>
      </c>
      <c r="D106">
        <v>250</v>
      </c>
      <c r="E106">
        <v>250</v>
      </c>
      <c r="F106" t="s">
        <v>175</v>
      </c>
      <c r="H106" t="s">
        <v>175</v>
      </c>
      <c r="I106" t="s">
        <v>175</v>
      </c>
      <c r="J106" t="s">
        <v>175</v>
      </c>
      <c r="K106" t="s">
        <v>175</v>
      </c>
      <c r="L106" t="s">
        <v>175</v>
      </c>
      <c r="M106" t="s">
        <v>175</v>
      </c>
      <c r="N106" t="s">
        <v>175</v>
      </c>
      <c r="O106" t="s">
        <v>175</v>
      </c>
      <c r="P106" t="s">
        <v>175</v>
      </c>
    </row>
    <row r="107" spans="1:16">
      <c r="A107" t="s">
        <v>304</v>
      </c>
      <c r="B107" t="s">
        <v>441</v>
      </c>
      <c r="C107">
        <v>2900</v>
      </c>
      <c r="D107">
        <v>2900</v>
      </c>
      <c r="E107">
        <v>2900</v>
      </c>
      <c r="F107" t="s">
        <v>175</v>
      </c>
      <c r="H107" t="s">
        <v>175</v>
      </c>
      <c r="I107" t="s">
        <v>175</v>
      </c>
      <c r="J107" t="s">
        <v>175</v>
      </c>
      <c r="K107" t="s">
        <v>175</v>
      </c>
      <c r="L107" t="s">
        <v>175</v>
      </c>
      <c r="M107" t="s">
        <v>175</v>
      </c>
      <c r="N107" t="s">
        <v>175</v>
      </c>
      <c r="O107" t="s">
        <v>175</v>
      </c>
      <c r="P107" t="s">
        <v>175</v>
      </c>
    </row>
    <row r="108" spans="1:16">
      <c r="A108" t="s">
        <v>305</v>
      </c>
      <c r="B108" t="s">
        <v>117</v>
      </c>
      <c r="C108">
        <v>250</v>
      </c>
      <c r="D108">
        <v>250</v>
      </c>
      <c r="E108">
        <v>250</v>
      </c>
      <c r="F108" t="s">
        <v>175</v>
      </c>
      <c r="H108" t="s">
        <v>175</v>
      </c>
      <c r="I108" t="s">
        <v>175</v>
      </c>
      <c r="J108" t="s">
        <v>175</v>
      </c>
      <c r="K108" t="s">
        <v>175</v>
      </c>
      <c r="L108" t="s">
        <v>175</v>
      </c>
      <c r="M108" t="s">
        <v>175</v>
      </c>
      <c r="N108" t="s">
        <v>175</v>
      </c>
      <c r="O108" t="s">
        <v>175</v>
      </c>
      <c r="P108" t="s">
        <v>175</v>
      </c>
    </row>
    <row r="109" spans="1:16">
      <c r="A109" t="s">
        <v>306</v>
      </c>
      <c r="B109" t="s">
        <v>442</v>
      </c>
      <c r="C109">
        <v>9500</v>
      </c>
      <c r="D109">
        <v>9500</v>
      </c>
      <c r="E109">
        <v>9500</v>
      </c>
      <c r="F109" t="s">
        <v>175</v>
      </c>
      <c r="H109" t="s">
        <v>175</v>
      </c>
      <c r="I109" t="s">
        <v>175</v>
      </c>
      <c r="J109" t="s">
        <v>175</v>
      </c>
      <c r="K109" t="s">
        <v>175</v>
      </c>
      <c r="L109" t="s">
        <v>175</v>
      </c>
      <c r="M109" t="s">
        <v>175</v>
      </c>
      <c r="N109" t="s">
        <v>175</v>
      </c>
      <c r="O109" t="s">
        <v>175</v>
      </c>
      <c r="P109" t="s">
        <v>175</v>
      </c>
    </row>
    <row r="110" spans="1:16">
      <c r="A110" t="s">
        <v>307</v>
      </c>
      <c r="B110" t="s">
        <v>443</v>
      </c>
      <c r="C110">
        <v>750</v>
      </c>
      <c r="D110">
        <v>750</v>
      </c>
      <c r="E110">
        <v>750</v>
      </c>
      <c r="F110" t="s">
        <v>175</v>
      </c>
      <c r="H110" t="s">
        <v>175</v>
      </c>
      <c r="I110" t="s">
        <v>175</v>
      </c>
      <c r="J110" t="s">
        <v>175</v>
      </c>
      <c r="K110" t="s">
        <v>175</v>
      </c>
      <c r="L110" t="s">
        <v>175</v>
      </c>
      <c r="M110" t="s">
        <v>175</v>
      </c>
      <c r="N110" t="s">
        <v>175</v>
      </c>
      <c r="O110" t="s">
        <v>175</v>
      </c>
      <c r="P110" t="s">
        <v>175</v>
      </c>
    </row>
    <row r="111" spans="1:16">
      <c r="A111" t="s">
        <v>308</v>
      </c>
      <c r="B111" t="s">
        <v>130</v>
      </c>
      <c r="C111">
        <v>1500</v>
      </c>
      <c r="D111">
        <v>1500</v>
      </c>
      <c r="E111">
        <v>1500</v>
      </c>
      <c r="F111" t="s">
        <v>175</v>
      </c>
      <c r="H111" t="s">
        <v>175</v>
      </c>
      <c r="I111" t="s">
        <v>175</v>
      </c>
      <c r="J111" t="s">
        <v>175</v>
      </c>
      <c r="K111" t="s">
        <v>175</v>
      </c>
      <c r="L111" t="s">
        <v>175</v>
      </c>
      <c r="M111" t="s">
        <v>175</v>
      </c>
      <c r="N111" t="s">
        <v>175</v>
      </c>
      <c r="O111" t="s">
        <v>175</v>
      </c>
      <c r="P111" t="s">
        <v>175</v>
      </c>
    </row>
    <row r="112" spans="1:16">
      <c r="A112" t="s">
        <v>309</v>
      </c>
      <c r="B112" t="s">
        <v>444</v>
      </c>
      <c r="C112">
        <v>1000</v>
      </c>
      <c r="D112">
        <v>1000</v>
      </c>
      <c r="E112">
        <v>1000</v>
      </c>
      <c r="F112" t="s">
        <v>175</v>
      </c>
      <c r="H112" t="s">
        <v>175</v>
      </c>
      <c r="I112" t="s">
        <v>175</v>
      </c>
      <c r="J112" t="s">
        <v>175</v>
      </c>
      <c r="K112" t="s">
        <v>175</v>
      </c>
      <c r="L112" t="s">
        <v>175</v>
      </c>
      <c r="M112" t="s">
        <v>175</v>
      </c>
      <c r="N112" t="s">
        <v>175</v>
      </c>
      <c r="O112" t="s">
        <v>175</v>
      </c>
      <c r="P112" t="s">
        <v>175</v>
      </c>
    </row>
    <row r="113" spans="1:16">
      <c r="A113" t="s">
        <v>310</v>
      </c>
      <c r="B113" t="s">
        <v>311</v>
      </c>
      <c r="C113">
        <v>2850</v>
      </c>
      <c r="D113">
        <v>2850</v>
      </c>
      <c r="E113">
        <v>2850</v>
      </c>
      <c r="F113" t="s">
        <v>175</v>
      </c>
      <c r="H113" t="s">
        <v>175</v>
      </c>
      <c r="I113" t="s">
        <v>175</v>
      </c>
      <c r="J113" t="s">
        <v>175</v>
      </c>
      <c r="K113" t="s">
        <v>175</v>
      </c>
      <c r="L113" t="s">
        <v>175</v>
      </c>
      <c r="M113" t="s">
        <v>175</v>
      </c>
      <c r="N113" t="s">
        <v>175</v>
      </c>
      <c r="O113" t="s">
        <v>175</v>
      </c>
      <c r="P113" t="s">
        <v>175</v>
      </c>
    </row>
    <row r="114" spans="1:16">
      <c r="A114" t="s">
        <v>312</v>
      </c>
      <c r="B114" t="s">
        <v>445</v>
      </c>
      <c r="C114">
        <v>850</v>
      </c>
      <c r="D114">
        <v>850</v>
      </c>
      <c r="E114">
        <v>850</v>
      </c>
      <c r="F114" t="s">
        <v>175</v>
      </c>
      <c r="H114" t="s">
        <v>175</v>
      </c>
      <c r="I114" t="s">
        <v>175</v>
      </c>
      <c r="J114" t="s">
        <v>175</v>
      </c>
      <c r="K114" t="s">
        <v>175</v>
      </c>
      <c r="L114" t="s">
        <v>175</v>
      </c>
      <c r="M114" t="s">
        <v>175</v>
      </c>
      <c r="N114" t="s">
        <v>175</v>
      </c>
      <c r="O114" t="s">
        <v>175</v>
      </c>
      <c r="P114" t="s">
        <v>175</v>
      </c>
    </row>
    <row r="115" spans="1:16">
      <c r="A115" t="s">
        <v>313</v>
      </c>
      <c r="B115" t="s">
        <v>446</v>
      </c>
      <c r="C115">
        <v>375</v>
      </c>
      <c r="D115">
        <v>375</v>
      </c>
      <c r="E115">
        <v>375</v>
      </c>
      <c r="F115" t="s">
        <v>175</v>
      </c>
      <c r="H115" t="s">
        <v>175</v>
      </c>
      <c r="I115" t="s">
        <v>175</v>
      </c>
      <c r="J115" t="s">
        <v>175</v>
      </c>
      <c r="K115" t="s">
        <v>175</v>
      </c>
      <c r="L115" t="s">
        <v>175</v>
      </c>
      <c r="M115" t="s">
        <v>175</v>
      </c>
      <c r="N115" t="s">
        <v>175</v>
      </c>
      <c r="O115" t="s">
        <v>175</v>
      </c>
      <c r="P115" t="s">
        <v>175</v>
      </c>
    </row>
    <row r="116" spans="1:16">
      <c r="A116" t="s">
        <v>314</v>
      </c>
      <c r="B116" t="s">
        <v>447</v>
      </c>
      <c r="C116">
        <v>1400</v>
      </c>
      <c r="D116">
        <v>1400</v>
      </c>
      <c r="E116">
        <v>1400</v>
      </c>
      <c r="F116" t="s">
        <v>175</v>
      </c>
      <c r="H116" t="s">
        <v>175</v>
      </c>
      <c r="I116" t="s">
        <v>175</v>
      </c>
      <c r="J116" t="s">
        <v>175</v>
      </c>
      <c r="K116" t="s">
        <v>175</v>
      </c>
      <c r="L116" t="s">
        <v>175</v>
      </c>
      <c r="M116" t="s">
        <v>175</v>
      </c>
      <c r="N116" t="s">
        <v>175</v>
      </c>
      <c r="O116" t="s">
        <v>175</v>
      </c>
      <c r="P116" t="s">
        <v>175</v>
      </c>
    </row>
    <row r="117" spans="1:16">
      <c r="A117" t="s">
        <v>315</v>
      </c>
      <c r="B117" t="s">
        <v>448</v>
      </c>
      <c r="C117">
        <v>200</v>
      </c>
      <c r="D117">
        <v>200</v>
      </c>
      <c r="E117">
        <v>200</v>
      </c>
      <c r="F117" t="s">
        <v>175</v>
      </c>
      <c r="H117" t="s">
        <v>175</v>
      </c>
      <c r="I117" t="s">
        <v>175</v>
      </c>
      <c r="J117" t="s">
        <v>175</v>
      </c>
      <c r="K117" t="s">
        <v>175</v>
      </c>
      <c r="L117" t="s">
        <v>175</v>
      </c>
      <c r="M117" t="s">
        <v>175</v>
      </c>
      <c r="N117" t="s">
        <v>175</v>
      </c>
      <c r="O117" t="s">
        <v>175</v>
      </c>
      <c r="P117" t="s">
        <v>175</v>
      </c>
    </row>
    <row r="118" spans="1:16">
      <c r="A118" t="s">
        <v>316</v>
      </c>
      <c r="B118" t="s">
        <v>131</v>
      </c>
      <c r="C118">
        <v>100</v>
      </c>
      <c r="D118">
        <v>100</v>
      </c>
      <c r="E118">
        <v>100</v>
      </c>
      <c r="F118" t="s">
        <v>175</v>
      </c>
      <c r="H118" t="s">
        <v>175</v>
      </c>
      <c r="I118" t="s">
        <v>175</v>
      </c>
      <c r="J118" t="s">
        <v>175</v>
      </c>
      <c r="K118" t="s">
        <v>175</v>
      </c>
      <c r="L118" t="s">
        <v>175</v>
      </c>
      <c r="M118" t="s">
        <v>175</v>
      </c>
      <c r="N118" t="s">
        <v>175</v>
      </c>
      <c r="O118" t="s">
        <v>175</v>
      </c>
      <c r="P118" t="s">
        <v>175</v>
      </c>
    </row>
    <row r="119" spans="1:16">
      <c r="A119" t="s">
        <v>317</v>
      </c>
      <c r="B119" t="s">
        <v>449</v>
      </c>
      <c r="C119">
        <v>3000</v>
      </c>
      <c r="D119">
        <v>3000</v>
      </c>
      <c r="E119">
        <v>3000</v>
      </c>
      <c r="F119" t="s">
        <v>175</v>
      </c>
      <c r="H119" t="s">
        <v>175</v>
      </c>
      <c r="I119" t="s">
        <v>175</v>
      </c>
      <c r="J119" t="s">
        <v>175</v>
      </c>
      <c r="K119" t="s">
        <v>175</v>
      </c>
      <c r="L119" t="s">
        <v>175</v>
      </c>
      <c r="M119" t="s">
        <v>175</v>
      </c>
      <c r="N119" t="s">
        <v>175</v>
      </c>
      <c r="O119" t="s">
        <v>175</v>
      </c>
      <c r="P119" t="s">
        <v>175</v>
      </c>
    </row>
    <row r="120" spans="1:16">
      <c r="A120" t="s">
        <v>318</v>
      </c>
      <c r="B120" t="s">
        <v>319</v>
      </c>
      <c r="C120">
        <v>2500</v>
      </c>
      <c r="D120">
        <v>2500</v>
      </c>
      <c r="E120">
        <v>2500</v>
      </c>
      <c r="F120" t="s">
        <v>175</v>
      </c>
      <c r="H120" t="s">
        <v>175</v>
      </c>
      <c r="I120" t="s">
        <v>175</v>
      </c>
      <c r="J120" t="s">
        <v>175</v>
      </c>
      <c r="K120" t="s">
        <v>175</v>
      </c>
      <c r="L120" t="s">
        <v>175</v>
      </c>
      <c r="M120" t="s">
        <v>175</v>
      </c>
      <c r="N120" t="s">
        <v>175</v>
      </c>
      <c r="O120" t="s">
        <v>175</v>
      </c>
      <c r="P120" t="s">
        <v>175</v>
      </c>
    </row>
    <row r="121" spans="1:16">
      <c r="A121" t="s">
        <v>320</v>
      </c>
      <c r="B121" t="s">
        <v>321</v>
      </c>
      <c r="C121">
        <v>1100</v>
      </c>
      <c r="D121">
        <v>1100</v>
      </c>
      <c r="E121">
        <v>1100</v>
      </c>
      <c r="F121" t="s">
        <v>175</v>
      </c>
      <c r="H121" t="s">
        <v>175</v>
      </c>
      <c r="I121" t="s">
        <v>175</v>
      </c>
      <c r="J121" t="s">
        <v>175</v>
      </c>
      <c r="K121" t="s">
        <v>175</v>
      </c>
      <c r="L121" t="s">
        <v>175</v>
      </c>
      <c r="M121" t="s">
        <v>175</v>
      </c>
      <c r="N121" t="s">
        <v>175</v>
      </c>
      <c r="O121" t="s">
        <v>175</v>
      </c>
      <c r="P121" t="s">
        <v>175</v>
      </c>
    </row>
    <row r="122" spans="1:16">
      <c r="A122" t="s">
        <v>322</v>
      </c>
      <c r="B122" t="s">
        <v>450</v>
      </c>
      <c r="C122">
        <v>2300</v>
      </c>
      <c r="D122">
        <v>2300</v>
      </c>
      <c r="E122">
        <v>2300</v>
      </c>
      <c r="F122" t="s">
        <v>175</v>
      </c>
      <c r="H122" t="s">
        <v>175</v>
      </c>
      <c r="I122" t="s">
        <v>175</v>
      </c>
      <c r="J122" t="s">
        <v>175</v>
      </c>
      <c r="K122" t="s">
        <v>175</v>
      </c>
      <c r="L122" t="s">
        <v>175</v>
      </c>
      <c r="M122" t="s">
        <v>175</v>
      </c>
      <c r="N122" t="s">
        <v>175</v>
      </c>
      <c r="O122" t="s">
        <v>175</v>
      </c>
      <c r="P122" t="s">
        <v>175</v>
      </c>
    </row>
    <row r="123" spans="1:16">
      <c r="A123" t="s">
        <v>323</v>
      </c>
      <c r="B123" t="s">
        <v>451</v>
      </c>
      <c r="C123">
        <v>50</v>
      </c>
      <c r="D123">
        <v>50</v>
      </c>
      <c r="E123">
        <v>50</v>
      </c>
      <c r="F123" t="s">
        <v>175</v>
      </c>
      <c r="H123" t="s">
        <v>175</v>
      </c>
      <c r="I123" t="s">
        <v>175</v>
      </c>
      <c r="J123" t="s">
        <v>175</v>
      </c>
      <c r="K123" t="s">
        <v>175</v>
      </c>
      <c r="L123" t="s">
        <v>175</v>
      </c>
      <c r="M123" t="s">
        <v>175</v>
      </c>
      <c r="N123" t="s">
        <v>175</v>
      </c>
      <c r="O123" t="s">
        <v>175</v>
      </c>
      <c r="P123" t="s">
        <v>175</v>
      </c>
    </row>
    <row r="124" spans="1:16">
      <c r="A124" t="s">
        <v>324</v>
      </c>
      <c r="B124" t="s">
        <v>452</v>
      </c>
      <c r="C124">
        <v>200</v>
      </c>
      <c r="D124">
        <v>200</v>
      </c>
      <c r="E124">
        <v>200</v>
      </c>
      <c r="F124" t="s">
        <v>175</v>
      </c>
      <c r="H124" t="s">
        <v>175</v>
      </c>
      <c r="I124" t="s">
        <v>175</v>
      </c>
      <c r="J124" t="s">
        <v>175</v>
      </c>
      <c r="K124" t="s">
        <v>175</v>
      </c>
      <c r="L124" t="s">
        <v>175</v>
      </c>
      <c r="M124" t="s">
        <v>175</v>
      </c>
      <c r="N124" t="s">
        <v>175</v>
      </c>
      <c r="O124" t="s">
        <v>175</v>
      </c>
      <c r="P124" t="s">
        <v>175</v>
      </c>
    </row>
    <row r="125" spans="1:16">
      <c r="A125" t="s">
        <v>325</v>
      </c>
      <c r="B125" t="s">
        <v>453</v>
      </c>
      <c r="C125">
        <v>2200</v>
      </c>
      <c r="D125">
        <v>2200</v>
      </c>
      <c r="E125">
        <v>2200</v>
      </c>
      <c r="F125" t="s">
        <v>175</v>
      </c>
      <c r="H125" t="s">
        <v>175</v>
      </c>
      <c r="I125" t="s">
        <v>175</v>
      </c>
      <c r="J125" t="s">
        <v>175</v>
      </c>
      <c r="K125" t="s">
        <v>175</v>
      </c>
      <c r="L125" t="s">
        <v>175</v>
      </c>
      <c r="M125" t="s">
        <v>175</v>
      </c>
      <c r="N125" t="s">
        <v>175</v>
      </c>
      <c r="O125" t="s">
        <v>175</v>
      </c>
      <c r="P125" t="s">
        <v>175</v>
      </c>
    </row>
    <row r="126" spans="1:16">
      <c r="A126" t="s">
        <v>326</v>
      </c>
      <c r="B126" t="s">
        <v>454</v>
      </c>
      <c r="C126">
        <v>475</v>
      </c>
      <c r="D126">
        <v>475</v>
      </c>
      <c r="E126">
        <v>475</v>
      </c>
      <c r="F126" t="s">
        <v>175</v>
      </c>
      <c r="H126" t="s">
        <v>175</v>
      </c>
      <c r="I126" t="s">
        <v>175</v>
      </c>
      <c r="J126" t="s">
        <v>175</v>
      </c>
      <c r="K126" t="s">
        <v>175</v>
      </c>
      <c r="L126" t="s">
        <v>175</v>
      </c>
      <c r="M126" t="s">
        <v>175</v>
      </c>
      <c r="N126" t="s">
        <v>175</v>
      </c>
      <c r="O126" t="s">
        <v>175</v>
      </c>
      <c r="P126" t="s">
        <v>175</v>
      </c>
    </row>
    <row r="127" spans="1:16">
      <c r="A127" t="s">
        <v>327</v>
      </c>
      <c r="B127" t="s">
        <v>455</v>
      </c>
      <c r="C127">
        <v>1250</v>
      </c>
      <c r="D127">
        <v>1250</v>
      </c>
      <c r="E127">
        <v>1250</v>
      </c>
      <c r="F127" t="s">
        <v>175</v>
      </c>
      <c r="H127" t="s">
        <v>175</v>
      </c>
      <c r="I127" t="s">
        <v>175</v>
      </c>
      <c r="J127" t="s">
        <v>175</v>
      </c>
      <c r="K127" t="s">
        <v>175</v>
      </c>
      <c r="L127" t="s">
        <v>175</v>
      </c>
      <c r="M127" t="s">
        <v>175</v>
      </c>
      <c r="N127" t="s">
        <v>175</v>
      </c>
      <c r="O127" t="s">
        <v>175</v>
      </c>
      <c r="P127" t="s">
        <v>175</v>
      </c>
    </row>
    <row r="128" spans="1:16">
      <c r="A128" t="s">
        <v>328</v>
      </c>
      <c r="B128" t="s">
        <v>146</v>
      </c>
      <c r="C128">
        <v>125</v>
      </c>
      <c r="D128">
        <v>125</v>
      </c>
      <c r="E128">
        <v>125</v>
      </c>
      <c r="F128" t="s">
        <v>175</v>
      </c>
      <c r="H128" t="s">
        <v>175</v>
      </c>
      <c r="I128" t="s">
        <v>175</v>
      </c>
      <c r="J128" t="s">
        <v>175</v>
      </c>
      <c r="K128" t="s">
        <v>175</v>
      </c>
      <c r="L128" t="s">
        <v>175</v>
      </c>
      <c r="M128" t="s">
        <v>175</v>
      </c>
      <c r="N128" t="s">
        <v>175</v>
      </c>
      <c r="O128" t="s">
        <v>175</v>
      </c>
      <c r="P128" t="s">
        <v>175</v>
      </c>
    </row>
    <row r="129" spans="1:16">
      <c r="A129" t="s">
        <v>329</v>
      </c>
      <c r="B129" t="s">
        <v>456</v>
      </c>
      <c r="C129">
        <v>350</v>
      </c>
      <c r="D129">
        <v>350</v>
      </c>
      <c r="E129">
        <v>350</v>
      </c>
      <c r="F129" t="s">
        <v>175</v>
      </c>
      <c r="H129" t="s">
        <v>175</v>
      </c>
      <c r="I129" t="s">
        <v>175</v>
      </c>
      <c r="J129" t="s">
        <v>175</v>
      </c>
      <c r="K129" t="s">
        <v>175</v>
      </c>
      <c r="L129" t="s">
        <v>175</v>
      </c>
      <c r="M129" t="s">
        <v>175</v>
      </c>
      <c r="N129" t="s">
        <v>175</v>
      </c>
      <c r="O129" t="s">
        <v>175</v>
      </c>
      <c r="P129" t="s">
        <v>175</v>
      </c>
    </row>
    <row r="130" spans="1:16">
      <c r="A130" t="s">
        <v>330</v>
      </c>
      <c r="B130" t="s">
        <v>457</v>
      </c>
      <c r="C130">
        <v>22500</v>
      </c>
      <c r="D130">
        <v>22500</v>
      </c>
      <c r="E130">
        <v>22500</v>
      </c>
      <c r="F130" t="s">
        <v>175</v>
      </c>
      <c r="H130" t="s">
        <v>175</v>
      </c>
      <c r="I130" t="s">
        <v>175</v>
      </c>
      <c r="J130" t="s">
        <v>175</v>
      </c>
      <c r="K130" t="s">
        <v>175</v>
      </c>
      <c r="L130" t="s">
        <v>175</v>
      </c>
      <c r="M130" t="s">
        <v>175</v>
      </c>
      <c r="N130" t="s">
        <v>175</v>
      </c>
      <c r="O130" t="s">
        <v>175</v>
      </c>
      <c r="P130" t="s">
        <v>175</v>
      </c>
    </row>
    <row r="131" spans="1:16">
      <c r="A131" t="s">
        <v>331</v>
      </c>
      <c r="B131" t="s">
        <v>458</v>
      </c>
      <c r="C131">
        <v>275</v>
      </c>
      <c r="D131">
        <v>275</v>
      </c>
      <c r="E131">
        <v>275</v>
      </c>
      <c r="F131" t="s">
        <v>175</v>
      </c>
      <c r="H131" t="s">
        <v>175</v>
      </c>
      <c r="I131" t="s">
        <v>175</v>
      </c>
      <c r="J131" t="s">
        <v>175</v>
      </c>
      <c r="K131" t="s">
        <v>175</v>
      </c>
      <c r="L131" t="s">
        <v>175</v>
      </c>
      <c r="M131" t="s">
        <v>175</v>
      </c>
      <c r="N131" t="s">
        <v>175</v>
      </c>
      <c r="O131" t="s">
        <v>175</v>
      </c>
      <c r="P131" t="s">
        <v>175</v>
      </c>
    </row>
    <row r="132" spans="1:16">
      <c r="A132" t="s">
        <v>332</v>
      </c>
      <c r="B132" t="s">
        <v>36</v>
      </c>
      <c r="C132">
        <v>6200</v>
      </c>
      <c r="D132">
        <v>6200</v>
      </c>
      <c r="E132">
        <v>6200</v>
      </c>
      <c r="F132" t="s">
        <v>175</v>
      </c>
      <c r="H132" t="s">
        <v>175</v>
      </c>
      <c r="I132" t="s">
        <v>175</v>
      </c>
      <c r="J132" t="s">
        <v>175</v>
      </c>
      <c r="K132" t="s">
        <v>175</v>
      </c>
      <c r="L132" t="s">
        <v>175</v>
      </c>
      <c r="M132" t="s">
        <v>175</v>
      </c>
      <c r="N132" t="s">
        <v>175</v>
      </c>
      <c r="O132" t="s">
        <v>175</v>
      </c>
      <c r="P132" t="s">
        <v>175</v>
      </c>
    </row>
    <row r="133" spans="1:16">
      <c r="A133" t="s">
        <v>333</v>
      </c>
      <c r="B133" t="s">
        <v>459</v>
      </c>
      <c r="C133">
        <v>1375</v>
      </c>
      <c r="D133">
        <v>1375</v>
      </c>
      <c r="E133">
        <v>1375</v>
      </c>
      <c r="F133" t="s">
        <v>175</v>
      </c>
      <c r="H133" t="s">
        <v>175</v>
      </c>
      <c r="I133" t="s">
        <v>175</v>
      </c>
      <c r="J133" t="s">
        <v>175</v>
      </c>
      <c r="K133" t="s">
        <v>175</v>
      </c>
      <c r="L133" t="s">
        <v>175</v>
      </c>
      <c r="M133" t="s">
        <v>175</v>
      </c>
      <c r="N133" t="s">
        <v>175</v>
      </c>
      <c r="O133" t="s">
        <v>175</v>
      </c>
      <c r="P133" t="s">
        <v>175</v>
      </c>
    </row>
    <row r="134" spans="1:16">
      <c r="A134" t="s">
        <v>334</v>
      </c>
      <c r="B134" t="s">
        <v>460</v>
      </c>
      <c r="C134">
        <v>6000</v>
      </c>
      <c r="D134">
        <v>6000</v>
      </c>
      <c r="E134">
        <v>6000</v>
      </c>
      <c r="F134" t="s">
        <v>175</v>
      </c>
      <c r="H134" t="s">
        <v>175</v>
      </c>
      <c r="I134" t="s">
        <v>175</v>
      </c>
      <c r="J134" t="s">
        <v>175</v>
      </c>
      <c r="K134" t="s">
        <v>175</v>
      </c>
      <c r="L134" t="s">
        <v>175</v>
      </c>
      <c r="M134" t="s">
        <v>175</v>
      </c>
      <c r="N134" t="s">
        <v>175</v>
      </c>
      <c r="O134" t="s">
        <v>175</v>
      </c>
      <c r="P134" t="s">
        <v>175</v>
      </c>
    </row>
    <row r="135" spans="1:16">
      <c r="A135" t="s">
        <v>335</v>
      </c>
      <c r="B135" t="s">
        <v>461</v>
      </c>
      <c r="C135">
        <v>1600</v>
      </c>
      <c r="D135">
        <v>1600</v>
      </c>
      <c r="E135">
        <v>1600</v>
      </c>
      <c r="F135" t="s">
        <v>175</v>
      </c>
      <c r="H135" t="s">
        <v>175</v>
      </c>
      <c r="I135" t="s">
        <v>175</v>
      </c>
      <c r="J135" t="s">
        <v>175</v>
      </c>
      <c r="K135" t="s">
        <v>175</v>
      </c>
      <c r="L135" t="s">
        <v>175</v>
      </c>
      <c r="M135" t="s">
        <v>175</v>
      </c>
      <c r="N135" t="s">
        <v>175</v>
      </c>
      <c r="O135" t="s">
        <v>175</v>
      </c>
      <c r="P135" t="s">
        <v>175</v>
      </c>
    </row>
    <row r="136" spans="1:16">
      <c r="A136" t="s">
        <v>336</v>
      </c>
      <c r="B136" t="s">
        <v>462</v>
      </c>
      <c r="C136">
        <v>25</v>
      </c>
      <c r="D136">
        <v>25</v>
      </c>
      <c r="E136">
        <v>25</v>
      </c>
      <c r="F136" t="s">
        <v>175</v>
      </c>
      <c r="H136" t="s">
        <v>175</v>
      </c>
      <c r="I136" t="s">
        <v>175</v>
      </c>
      <c r="J136" t="s">
        <v>175</v>
      </c>
      <c r="K136" t="s">
        <v>175</v>
      </c>
      <c r="L136" t="s">
        <v>175</v>
      </c>
      <c r="M136" t="s">
        <v>175</v>
      </c>
      <c r="N136" t="s">
        <v>175</v>
      </c>
      <c r="O136" t="s">
        <v>175</v>
      </c>
      <c r="P136" t="s">
        <v>175</v>
      </c>
    </row>
    <row r="137" spans="1:16">
      <c r="A137" t="s">
        <v>337</v>
      </c>
      <c r="B137" t="s">
        <v>463</v>
      </c>
      <c r="C137">
        <v>675</v>
      </c>
      <c r="D137">
        <v>675</v>
      </c>
      <c r="E137">
        <v>675</v>
      </c>
      <c r="F137" t="s">
        <v>175</v>
      </c>
      <c r="H137" t="s">
        <v>175</v>
      </c>
      <c r="I137" t="s">
        <v>175</v>
      </c>
      <c r="J137" t="s">
        <v>175</v>
      </c>
      <c r="K137" t="s">
        <v>175</v>
      </c>
      <c r="L137" t="s">
        <v>175</v>
      </c>
      <c r="M137" t="s">
        <v>175</v>
      </c>
      <c r="N137" t="s">
        <v>175</v>
      </c>
      <c r="O137" t="s">
        <v>175</v>
      </c>
      <c r="P137" t="s">
        <v>175</v>
      </c>
    </row>
    <row r="138" spans="1:16">
      <c r="A138" t="s">
        <v>338</v>
      </c>
      <c r="B138" t="s">
        <v>153</v>
      </c>
      <c r="C138">
        <v>6750</v>
      </c>
      <c r="D138">
        <v>6750</v>
      </c>
      <c r="E138">
        <v>6750</v>
      </c>
      <c r="F138" t="s">
        <v>175</v>
      </c>
      <c r="H138" t="s">
        <v>175</v>
      </c>
      <c r="I138" t="s">
        <v>175</v>
      </c>
      <c r="J138" t="s">
        <v>175</v>
      </c>
      <c r="K138" t="s">
        <v>175</v>
      </c>
      <c r="L138" t="s">
        <v>175</v>
      </c>
      <c r="M138" t="s">
        <v>175</v>
      </c>
      <c r="N138" t="s">
        <v>175</v>
      </c>
      <c r="O138" t="s">
        <v>175</v>
      </c>
      <c r="P138" t="s">
        <v>175</v>
      </c>
    </row>
    <row r="139" spans="1:16">
      <c r="A139" t="s">
        <v>339</v>
      </c>
      <c r="B139" t="s">
        <v>464</v>
      </c>
      <c r="C139">
        <v>16000</v>
      </c>
      <c r="D139">
        <v>16000</v>
      </c>
      <c r="E139">
        <v>16000</v>
      </c>
      <c r="F139" t="s">
        <v>175</v>
      </c>
      <c r="H139" t="s">
        <v>175</v>
      </c>
      <c r="I139" t="s">
        <v>175</v>
      </c>
      <c r="J139" t="s">
        <v>175</v>
      </c>
      <c r="K139" t="s">
        <v>175</v>
      </c>
      <c r="L139" t="s">
        <v>175</v>
      </c>
      <c r="M139" t="s">
        <v>175</v>
      </c>
      <c r="N139" t="s">
        <v>175</v>
      </c>
      <c r="O139" t="s">
        <v>175</v>
      </c>
      <c r="P139" t="s">
        <v>175</v>
      </c>
    </row>
    <row r="140" spans="1:16">
      <c r="A140" t="s">
        <v>340</v>
      </c>
      <c r="B140" t="s">
        <v>465</v>
      </c>
      <c r="C140">
        <v>725</v>
      </c>
      <c r="D140">
        <v>725</v>
      </c>
      <c r="E140">
        <v>725</v>
      </c>
      <c r="F140" t="s">
        <v>175</v>
      </c>
      <c r="H140" t="s">
        <v>175</v>
      </c>
      <c r="I140" t="s">
        <v>175</v>
      </c>
      <c r="J140" t="s">
        <v>175</v>
      </c>
      <c r="K140" t="s">
        <v>175</v>
      </c>
      <c r="L140" t="s">
        <v>175</v>
      </c>
      <c r="M140" t="s">
        <v>175</v>
      </c>
      <c r="N140" t="s">
        <v>175</v>
      </c>
      <c r="O140" t="s">
        <v>175</v>
      </c>
      <c r="P140" t="s">
        <v>175</v>
      </c>
    </row>
    <row r="141" spans="1:16">
      <c r="A141" t="s">
        <v>341</v>
      </c>
      <c r="B141" t="s">
        <v>342</v>
      </c>
      <c r="C141">
        <v>400</v>
      </c>
      <c r="D141">
        <v>400</v>
      </c>
      <c r="E141">
        <v>400</v>
      </c>
      <c r="F141" t="s">
        <v>175</v>
      </c>
      <c r="H141" t="s">
        <v>175</v>
      </c>
      <c r="I141" t="s">
        <v>175</v>
      </c>
      <c r="J141" t="s">
        <v>175</v>
      </c>
      <c r="K141" t="s">
        <v>175</v>
      </c>
      <c r="L141" t="s">
        <v>175</v>
      </c>
      <c r="M141" t="s">
        <v>175</v>
      </c>
      <c r="N141" t="s">
        <v>175</v>
      </c>
      <c r="O141" t="s">
        <v>175</v>
      </c>
      <c r="P141" t="s">
        <v>175</v>
      </c>
    </row>
    <row r="142" spans="1:16">
      <c r="A142" t="s">
        <v>343</v>
      </c>
      <c r="B142" t="s">
        <v>344</v>
      </c>
      <c r="C142">
        <v>1350</v>
      </c>
      <c r="D142">
        <v>1350</v>
      </c>
      <c r="E142">
        <v>1350</v>
      </c>
      <c r="F142" t="s">
        <v>175</v>
      </c>
      <c r="H142" t="s">
        <v>175</v>
      </c>
      <c r="I142" t="s">
        <v>175</v>
      </c>
      <c r="J142" t="s">
        <v>175</v>
      </c>
      <c r="K142" t="s">
        <v>175</v>
      </c>
      <c r="L142" t="s">
        <v>175</v>
      </c>
      <c r="M142" t="s">
        <v>175</v>
      </c>
      <c r="N142" t="s">
        <v>175</v>
      </c>
      <c r="O142" t="s">
        <v>175</v>
      </c>
      <c r="P142" t="s">
        <v>175</v>
      </c>
    </row>
    <row r="143" spans="1:16">
      <c r="A143" t="s">
        <v>345</v>
      </c>
      <c r="B143" t="s">
        <v>346</v>
      </c>
      <c r="C143">
        <v>250</v>
      </c>
      <c r="D143">
        <v>250</v>
      </c>
      <c r="E143">
        <v>250</v>
      </c>
      <c r="F143" t="s">
        <v>175</v>
      </c>
      <c r="H143" t="s">
        <v>175</v>
      </c>
      <c r="I143" t="s">
        <v>175</v>
      </c>
      <c r="J143" t="s">
        <v>175</v>
      </c>
      <c r="K143" t="s">
        <v>175</v>
      </c>
      <c r="L143" t="s">
        <v>175</v>
      </c>
      <c r="M143" t="s">
        <v>175</v>
      </c>
      <c r="N143" t="s">
        <v>175</v>
      </c>
      <c r="O143" t="s">
        <v>175</v>
      </c>
      <c r="P143" t="s">
        <v>175</v>
      </c>
    </row>
    <row r="144" spans="1:16">
      <c r="A144" t="s">
        <v>347</v>
      </c>
      <c r="B144" t="s">
        <v>466</v>
      </c>
      <c r="C144">
        <v>700</v>
      </c>
      <c r="D144">
        <v>700</v>
      </c>
      <c r="E144">
        <v>700</v>
      </c>
      <c r="F144" t="s">
        <v>175</v>
      </c>
      <c r="H144" t="s">
        <v>175</v>
      </c>
      <c r="I144" t="s">
        <v>175</v>
      </c>
      <c r="J144" t="s">
        <v>175</v>
      </c>
      <c r="K144" t="s">
        <v>175</v>
      </c>
      <c r="L144" t="s">
        <v>175</v>
      </c>
      <c r="M144" t="s">
        <v>175</v>
      </c>
      <c r="N144" t="s">
        <v>175</v>
      </c>
      <c r="O144" t="s">
        <v>175</v>
      </c>
      <c r="P144" t="s">
        <v>175</v>
      </c>
    </row>
    <row r="145" spans="1:16">
      <c r="A145" t="s">
        <v>348</v>
      </c>
      <c r="B145" t="s">
        <v>467</v>
      </c>
      <c r="C145">
        <v>500</v>
      </c>
      <c r="D145">
        <v>500</v>
      </c>
      <c r="E145">
        <v>500</v>
      </c>
      <c r="F145" t="s">
        <v>175</v>
      </c>
      <c r="H145" t="s">
        <v>175</v>
      </c>
      <c r="I145" t="s">
        <v>175</v>
      </c>
      <c r="J145" t="s">
        <v>175</v>
      </c>
      <c r="K145" t="s">
        <v>175</v>
      </c>
      <c r="L145" t="s">
        <v>175</v>
      </c>
      <c r="M145" t="s">
        <v>175</v>
      </c>
      <c r="N145" t="s">
        <v>175</v>
      </c>
      <c r="O145" t="s">
        <v>175</v>
      </c>
      <c r="P145" t="s">
        <v>175</v>
      </c>
    </row>
    <row r="146" spans="1:16">
      <c r="A146" t="s">
        <v>349</v>
      </c>
      <c r="B146" t="s">
        <v>350</v>
      </c>
      <c r="C146">
        <v>1500</v>
      </c>
      <c r="D146">
        <v>1500</v>
      </c>
      <c r="E146">
        <v>1500</v>
      </c>
      <c r="F146" t="s">
        <v>175</v>
      </c>
      <c r="H146" t="s">
        <v>175</v>
      </c>
      <c r="I146" t="s">
        <v>175</v>
      </c>
      <c r="J146" t="s">
        <v>175</v>
      </c>
      <c r="K146" t="s">
        <v>175</v>
      </c>
      <c r="L146" t="s">
        <v>175</v>
      </c>
      <c r="M146" t="s">
        <v>175</v>
      </c>
      <c r="N146" t="s">
        <v>175</v>
      </c>
      <c r="O146" t="s">
        <v>175</v>
      </c>
      <c r="P146" t="s">
        <v>175</v>
      </c>
    </row>
    <row r="147" spans="1:16">
      <c r="A147" t="s">
        <v>351</v>
      </c>
      <c r="B147" t="s">
        <v>468</v>
      </c>
      <c r="C147">
        <v>1563</v>
      </c>
      <c r="D147">
        <v>1563</v>
      </c>
      <c r="E147">
        <v>1563</v>
      </c>
      <c r="F147" t="s">
        <v>175</v>
      </c>
      <c r="H147" t="s">
        <v>175</v>
      </c>
      <c r="I147" t="s">
        <v>175</v>
      </c>
      <c r="J147" t="s">
        <v>175</v>
      </c>
      <c r="K147" t="s">
        <v>175</v>
      </c>
      <c r="L147" t="s">
        <v>175</v>
      </c>
      <c r="M147" t="s">
        <v>175</v>
      </c>
      <c r="N147" t="s">
        <v>175</v>
      </c>
      <c r="O147" t="s">
        <v>175</v>
      </c>
      <c r="P147" t="s">
        <v>175</v>
      </c>
    </row>
    <row r="148" spans="1:16">
      <c r="A148" t="s">
        <v>352</v>
      </c>
      <c r="B148" t="s">
        <v>469</v>
      </c>
      <c r="C148">
        <v>1000</v>
      </c>
      <c r="D148">
        <v>1000</v>
      </c>
      <c r="E148">
        <v>1000</v>
      </c>
      <c r="F148" t="s">
        <v>175</v>
      </c>
      <c r="H148" t="s">
        <v>175</v>
      </c>
      <c r="I148" t="s">
        <v>175</v>
      </c>
      <c r="J148" t="s">
        <v>175</v>
      </c>
      <c r="K148" t="s">
        <v>175</v>
      </c>
      <c r="L148" t="s">
        <v>175</v>
      </c>
      <c r="M148" t="s">
        <v>175</v>
      </c>
      <c r="N148" t="s">
        <v>175</v>
      </c>
      <c r="O148" t="s">
        <v>175</v>
      </c>
      <c r="P148" t="s">
        <v>175</v>
      </c>
    </row>
    <row r="149" spans="1:16">
      <c r="A149" t="s">
        <v>353</v>
      </c>
      <c r="B149" t="s">
        <v>470</v>
      </c>
      <c r="C149">
        <v>500</v>
      </c>
      <c r="D149">
        <v>500</v>
      </c>
      <c r="E149">
        <v>500</v>
      </c>
      <c r="F149" t="s">
        <v>175</v>
      </c>
      <c r="H149" t="s">
        <v>175</v>
      </c>
      <c r="I149" t="s">
        <v>175</v>
      </c>
      <c r="J149" t="s">
        <v>175</v>
      </c>
      <c r="K149" t="s">
        <v>175</v>
      </c>
      <c r="L149" t="s">
        <v>175</v>
      </c>
      <c r="M149" t="s">
        <v>175</v>
      </c>
      <c r="N149" t="s">
        <v>175</v>
      </c>
      <c r="O149" t="s">
        <v>175</v>
      </c>
      <c r="P149" t="s">
        <v>175</v>
      </c>
    </row>
    <row r="150" spans="1:16">
      <c r="A150" t="s">
        <v>354</v>
      </c>
      <c r="B150" t="s">
        <v>355</v>
      </c>
      <c r="C150">
        <v>2800</v>
      </c>
      <c r="D150">
        <v>2800</v>
      </c>
      <c r="E150">
        <v>2800</v>
      </c>
      <c r="F150" t="s">
        <v>175</v>
      </c>
      <c r="H150" t="s">
        <v>175</v>
      </c>
      <c r="I150" t="s">
        <v>175</v>
      </c>
      <c r="J150" t="s">
        <v>175</v>
      </c>
      <c r="K150" t="s">
        <v>175</v>
      </c>
      <c r="L150" t="s">
        <v>175</v>
      </c>
      <c r="M150" t="s">
        <v>175</v>
      </c>
      <c r="N150" t="s">
        <v>175</v>
      </c>
      <c r="O150" t="s">
        <v>175</v>
      </c>
      <c r="P150" t="s">
        <v>175</v>
      </c>
    </row>
    <row r="151" spans="1:16">
      <c r="A151" t="s">
        <v>356</v>
      </c>
      <c r="B151" t="s">
        <v>128</v>
      </c>
      <c r="C151">
        <v>400</v>
      </c>
      <c r="D151">
        <v>400</v>
      </c>
      <c r="E151">
        <v>400</v>
      </c>
      <c r="F151" t="s">
        <v>175</v>
      </c>
      <c r="H151" t="s">
        <v>175</v>
      </c>
      <c r="I151" t="s">
        <v>175</v>
      </c>
      <c r="J151" t="s">
        <v>175</v>
      </c>
      <c r="K151" t="s">
        <v>175</v>
      </c>
      <c r="L151" t="s">
        <v>175</v>
      </c>
      <c r="M151" t="s">
        <v>175</v>
      </c>
      <c r="N151" t="s">
        <v>175</v>
      </c>
      <c r="O151" t="s">
        <v>175</v>
      </c>
      <c r="P151" t="s">
        <v>175</v>
      </c>
    </row>
    <row r="152" spans="1:16">
      <c r="A152" t="s">
        <v>357</v>
      </c>
      <c r="B152" t="s">
        <v>471</v>
      </c>
      <c r="C152">
        <v>8924</v>
      </c>
      <c r="D152">
        <v>8924</v>
      </c>
      <c r="E152">
        <v>8924</v>
      </c>
      <c r="F152" t="s">
        <v>175</v>
      </c>
      <c r="H152" t="s">
        <v>175</v>
      </c>
      <c r="I152" t="s">
        <v>175</v>
      </c>
      <c r="J152" t="s">
        <v>175</v>
      </c>
      <c r="K152" t="s">
        <v>175</v>
      </c>
      <c r="L152" t="s">
        <v>175</v>
      </c>
      <c r="M152" t="s">
        <v>175</v>
      </c>
      <c r="N152" t="s">
        <v>175</v>
      </c>
      <c r="O152" t="s">
        <v>175</v>
      </c>
      <c r="P152" t="s">
        <v>175</v>
      </c>
    </row>
    <row r="153" spans="1:16">
      <c r="A153" t="s">
        <v>358</v>
      </c>
      <c r="B153" t="s">
        <v>472</v>
      </c>
      <c r="C153">
        <v>700</v>
      </c>
      <c r="D153">
        <v>700</v>
      </c>
      <c r="E153">
        <v>700</v>
      </c>
      <c r="F153" t="s">
        <v>175</v>
      </c>
      <c r="H153" t="s">
        <v>175</v>
      </c>
      <c r="I153" t="s">
        <v>175</v>
      </c>
      <c r="J153" t="s">
        <v>175</v>
      </c>
      <c r="K153" t="s">
        <v>175</v>
      </c>
      <c r="L153" t="s">
        <v>175</v>
      </c>
      <c r="M153" t="s">
        <v>175</v>
      </c>
      <c r="N153" t="s">
        <v>175</v>
      </c>
      <c r="O153" t="s">
        <v>175</v>
      </c>
      <c r="P153" t="s">
        <v>175</v>
      </c>
    </row>
    <row r="154" spans="1:16">
      <c r="A154" t="s">
        <v>359</v>
      </c>
      <c r="B154" t="s">
        <v>473</v>
      </c>
      <c r="C154">
        <v>3600</v>
      </c>
      <c r="D154">
        <v>3600</v>
      </c>
      <c r="E154">
        <v>3600</v>
      </c>
      <c r="F154" t="s">
        <v>175</v>
      </c>
      <c r="H154" t="s">
        <v>175</v>
      </c>
      <c r="I154" t="s">
        <v>175</v>
      </c>
      <c r="J154" t="s">
        <v>175</v>
      </c>
      <c r="K154" t="s">
        <v>175</v>
      </c>
      <c r="L154" t="s">
        <v>175</v>
      </c>
      <c r="M154" t="s">
        <v>175</v>
      </c>
      <c r="N154" t="s">
        <v>175</v>
      </c>
      <c r="O154" t="s">
        <v>175</v>
      </c>
      <c r="P154" t="s">
        <v>175</v>
      </c>
    </row>
    <row r="155" spans="1:16">
      <c r="A155" t="s">
        <v>360</v>
      </c>
      <c r="B155" t="s">
        <v>474</v>
      </c>
      <c r="C155">
        <v>325</v>
      </c>
      <c r="D155">
        <v>325</v>
      </c>
      <c r="E155">
        <v>325</v>
      </c>
      <c r="F155" t="s">
        <v>175</v>
      </c>
      <c r="H155" t="s">
        <v>175</v>
      </c>
      <c r="I155" t="s">
        <v>175</v>
      </c>
      <c r="J155" t="s">
        <v>175</v>
      </c>
      <c r="K155" t="s">
        <v>175</v>
      </c>
      <c r="L155" t="s">
        <v>175</v>
      </c>
      <c r="M155" t="s">
        <v>175</v>
      </c>
      <c r="N155" t="s">
        <v>175</v>
      </c>
      <c r="O155" t="s">
        <v>175</v>
      </c>
      <c r="P155" t="s">
        <v>175</v>
      </c>
    </row>
    <row r="156" spans="1:16">
      <c r="A156" t="s">
        <v>361</v>
      </c>
      <c r="B156" t="s">
        <v>475</v>
      </c>
      <c r="C156">
        <v>3000</v>
      </c>
      <c r="D156">
        <v>3000</v>
      </c>
      <c r="E156">
        <v>3000</v>
      </c>
      <c r="F156" t="s">
        <v>175</v>
      </c>
      <c r="H156" t="s">
        <v>175</v>
      </c>
      <c r="I156" t="s">
        <v>175</v>
      </c>
      <c r="J156" t="s">
        <v>175</v>
      </c>
      <c r="K156" t="s">
        <v>175</v>
      </c>
      <c r="L156" t="s">
        <v>175</v>
      </c>
      <c r="M156" t="s">
        <v>175</v>
      </c>
      <c r="N156" t="s">
        <v>175</v>
      </c>
      <c r="O156" t="s">
        <v>175</v>
      </c>
      <c r="P156" t="s">
        <v>175</v>
      </c>
    </row>
    <row r="157" spans="1:16">
      <c r="A157" t="s">
        <v>362</v>
      </c>
      <c r="B157" t="s">
        <v>476</v>
      </c>
      <c r="C157">
        <v>407</v>
      </c>
      <c r="D157">
        <v>407</v>
      </c>
      <c r="E157">
        <v>407</v>
      </c>
      <c r="F157" t="s">
        <v>175</v>
      </c>
      <c r="H157" t="s">
        <v>175</v>
      </c>
      <c r="I157" t="s">
        <v>175</v>
      </c>
      <c r="J157" t="s">
        <v>175</v>
      </c>
      <c r="K157" t="s">
        <v>175</v>
      </c>
      <c r="L157" t="s">
        <v>175</v>
      </c>
      <c r="M157" t="s">
        <v>175</v>
      </c>
      <c r="N157" t="s">
        <v>175</v>
      </c>
      <c r="O157" t="s">
        <v>175</v>
      </c>
      <c r="P157" t="s">
        <v>175</v>
      </c>
    </row>
    <row r="158" spans="1:16">
      <c r="A158" t="s">
        <v>363</v>
      </c>
      <c r="B158" t="s">
        <v>477</v>
      </c>
      <c r="C158">
        <v>275</v>
      </c>
      <c r="D158">
        <v>275</v>
      </c>
      <c r="E158">
        <v>275</v>
      </c>
      <c r="F158" t="s">
        <v>175</v>
      </c>
      <c r="H158" t="s">
        <v>175</v>
      </c>
      <c r="I158" t="s">
        <v>175</v>
      </c>
      <c r="J158" t="s">
        <v>175</v>
      </c>
      <c r="K158" t="s">
        <v>175</v>
      </c>
      <c r="L158" t="s">
        <v>175</v>
      </c>
      <c r="M158" t="s">
        <v>175</v>
      </c>
      <c r="N158" t="s">
        <v>175</v>
      </c>
      <c r="O158" t="s">
        <v>175</v>
      </c>
      <c r="P158" t="s">
        <v>175</v>
      </c>
    </row>
    <row r="159" spans="1:16">
      <c r="A159" t="s">
        <v>364</v>
      </c>
      <c r="B159" t="s">
        <v>478</v>
      </c>
      <c r="C159">
        <v>1600</v>
      </c>
      <c r="D159">
        <v>1600</v>
      </c>
      <c r="E159">
        <v>1600</v>
      </c>
      <c r="F159" t="s">
        <v>175</v>
      </c>
      <c r="H159" t="s">
        <v>175</v>
      </c>
      <c r="I159" t="s">
        <v>175</v>
      </c>
      <c r="J159" t="s">
        <v>175</v>
      </c>
      <c r="K159" t="s">
        <v>175</v>
      </c>
      <c r="L159" t="s">
        <v>175</v>
      </c>
      <c r="M159" t="s">
        <v>175</v>
      </c>
      <c r="N159" t="s">
        <v>175</v>
      </c>
      <c r="O159" t="s">
        <v>175</v>
      </c>
      <c r="P159" t="s">
        <v>175</v>
      </c>
    </row>
    <row r="160" spans="1:16">
      <c r="A160" t="s">
        <v>365</v>
      </c>
      <c r="B160" t="s">
        <v>479</v>
      </c>
      <c r="C160">
        <v>200</v>
      </c>
      <c r="D160">
        <v>200</v>
      </c>
      <c r="E160">
        <v>200</v>
      </c>
      <c r="F160" t="s">
        <v>175</v>
      </c>
      <c r="H160" t="s">
        <v>175</v>
      </c>
      <c r="I160" t="s">
        <v>175</v>
      </c>
      <c r="J160" t="s">
        <v>175</v>
      </c>
      <c r="K160" t="s">
        <v>175</v>
      </c>
      <c r="L160" t="s">
        <v>175</v>
      </c>
      <c r="M160" t="s">
        <v>175</v>
      </c>
      <c r="N160" t="s">
        <v>175</v>
      </c>
      <c r="O160" t="s">
        <v>175</v>
      </c>
      <c r="P160" t="s">
        <v>175</v>
      </c>
    </row>
    <row r="161" spans="1:16">
      <c r="A161" t="s">
        <v>366</v>
      </c>
      <c r="B161" t="s">
        <v>480</v>
      </c>
      <c r="C161">
        <v>6100</v>
      </c>
      <c r="D161">
        <v>6100</v>
      </c>
      <c r="E161">
        <v>6100</v>
      </c>
      <c r="F161" t="s">
        <v>175</v>
      </c>
      <c r="H161" t="s">
        <v>175</v>
      </c>
      <c r="I161" t="s">
        <v>175</v>
      </c>
      <c r="J161" t="s">
        <v>175</v>
      </c>
      <c r="K161" t="s">
        <v>175</v>
      </c>
      <c r="L161" t="s">
        <v>175</v>
      </c>
      <c r="M161" t="s">
        <v>175</v>
      </c>
      <c r="N161" t="s">
        <v>175</v>
      </c>
      <c r="O161" t="s">
        <v>175</v>
      </c>
      <c r="P161" t="s">
        <v>175</v>
      </c>
    </row>
    <row r="162" spans="1:16">
      <c r="A162" t="s">
        <v>367</v>
      </c>
      <c r="B162" t="s">
        <v>368</v>
      </c>
      <c r="C162">
        <v>3500</v>
      </c>
      <c r="D162">
        <v>3500</v>
      </c>
      <c r="E162">
        <v>3500</v>
      </c>
      <c r="F162" t="s">
        <v>175</v>
      </c>
      <c r="H162" t="s">
        <v>175</v>
      </c>
      <c r="I162" t="s">
        <v>175</v>
      </c>
      <c r="J162" t="s">
        <v>175</v>
      </c>
      <c r="K162" t="s">
        <v>175</v>
      </c>
      <c r="L162" t="s">
        <v>175</v>
      </c>
      <c r="M162" t="s">
        <v>175</v>
      </c>
      <c r="N162" t="s">
        <v>175</v>
      </c>
      <c r="O162" t="s">
        <v>175</v>
      </c>
      <c r="P162" t="s">
        <v>175</v>
      </c>
    </row>
    <row r="163" spans="1:16">
      <c r="A163" t="s">
        <v>369</v>
      </c>
      <c r="B163" t="s">
        <v>481</v>
      </c>
      <c r="C163">
        <v>30</v>
      </c>
      <c r="D163">
        <v>30</v>
      </c>
      <c r="E163">
        <v>30</v>
      </c>
      <c r="F163" t="s">
        <v>175</v>
      </c>
      <c r="H163" t="s">
        <v>175</v>
      </c>
      <c r="I163" t="s">
        <v>175</v>
      </c>
      <c r="J163" t="s">
        <v>175</v>
      </c>
      <c r="K163" t="s">
        <v>175</v>
      </c>
      <c r="L163" t="s">
        <v>175</v>
      </c>
      <c r="M163" t="s">
        <v>175</v>
      </c>
      <c r="N163" t="s">
        <v>175</v>
      </c>
      <c r="O163" t="s">
        <v>175</v>
      </c>
      <c r="P163" t="s">
        <v>175</v>
      </c>
    </row>
    <row r="164" spans="1:16">
      <c r="A164" t="s">
        <v>370</v>
      </c>
      <c r="B164" t="s">
        <v>482</v>
      </c>
      <c r="C164">
        <v>850</v>
      </c>
      <c r="D164">
        <v>850</v>
      </c>
      <c r="E164">
        <v>850</v>
      </c>
      <c r="F164" t="s">
        <v>175</v>
      </c>
      <c r="H164" t="s">
        <v>175</v>
      </c>
      <c r="I164" t="s">
        <v>175</v>
      </c>
      <c r="J164" t="s">
        <v>175</v>
      </c>
      <c r="K164" t="s">
        <v>175</v>
      </c>
      <c r="L164" t="s">
        <v>175</v>
      </c>
      <c r="M164" t="s">
        <v>175</v>
      </c>
      <c r="N164" t="s">
        <v>175</v>
      </c>
      <c r="O164" t="s">
        <v>175</v>
      </c>
      <c r="P164" t="s">
        <v>175</v>
      </c>
    </row>
    <row r="165" spans="1:16">
      <c r="A165" t="s">
        <v>371</v>
      </c>
      <c r="B165" t="s">
        <v>372</v>
      </c>
      <c r="C165">
        <v>1500</v>
      </c>
      <c r="D165">
        <v>1500</v>
      </c>
      <c r="E165">
        <v>1500</v>
      </c>
      <c r="F165" t="s">
        <v>175</v>
      </c>
      <c r="H165" t="s">
        <v>175</v>
      </c>
      <c r="I165" t="s">
        <v>175</v>
      </c>
      <c r="J165" t="s">
        <v>175</v>
      </c>
      <c r="K165" t="s">
        <v>175</v>
      </c>
      <c r="L165" t="s">
        <v>175</v>
      </c>
      <c r="M165" t="s">
        <v>175</v>
      </c>
      <c r="N165" t="s">
        <v>175</v>
      </c>
      <c r="O165" t="s">
        <v>175</v>
      </c>
      <c r="P165" t="s">
        <v>175</v>
      </c>
    </row>
    <row r="166" spans="1:16">
      <c r="A166" t="s">
        <v>373</v>
      </c>
      <c r="B166" t="s">
        <v>483</v>
      </c>
      <c r="C166">
        <v>1300</v>
      </c>
      <c r="D166">
        <v>1300</v>
      </c>
      <c r="E166">
        <v>1300</v>
      </c>
      <c r="F166" t="s">
        <v>175</v>
      </c>
      <c r="H166" t="s">
        <v>175</v>
      </c>
      <c r="I166" t="s">
        <v>175</v>
      </c>
      <c r="J166" t="s">
        <v>175</v>
      </c>
      <c r="K166" t="s">
        <v>175</v>
      </c>
      <c r="L166" t="s">
        <v>175</v>
      </c>
      <c r="M166" t="s">
        <v>175</v>
      </c>
      <c r="N166" t="s">
        <v>175</v>
      </c>
      <c r="O166" t="s">
        <v>175</v>
      </c>
      <c r="P166" t="s">
        <v>175</v>
      </c>
    </row>
    <row r="167" spans="1:16">
      <c r="A167" t="s">
        <v>374</v>
      </c>
      <c r="B167" t="s">
        <v>114</v>
      </c>
      <c r="C167">
        <v>300</v>
      </c>
      <c r="D167">
        <v>300</v>
      </c>
      <c r="E167">
        <v>300</v>
      </c>
      <c r="F167" t="s">
        <v>175</v>
      </c>
      <c r="H167" t="s">
        <v>175</v>
      </c>
      <c r="I167" t="s">
        <v>175</v>
      </c>
      <c r="J167" t="s">
        <v>175</v>
      </c>
      <c r="K167" t="s">
        <v>175</v>
      </c>
      <c r="L167" t="s">
        <v>175</v>
      </c>
      <c r="M167" t="s">
        <v>175</v>
      </c>
      <c r="N167" t="s">
        <v>175</v>
      </c>
      <c r="O167" t="s">
        <v>175</v>
      </c>
      <c r="P167" t="s">
        <v>175</v>
      </c>
    </row>
    <row r="168" spans="1:16">
      <c r="A168" t="s">
        <v>375</v>
      </c>
      <c r="B168" t="s">
        <v>376</v>
      </c>
      <c r="C168">
        <v>975</v>
      </c>
      <c r="D168">
        <v>975</v>
      </c>
      <c r="E168">
        <v>975</v>
      </c>
      <c r="F168" t="s">
        <v>175</v>
      </c>
      <c r="H168" t="s">
        <v>175</v>
      </c>
      <c r="I168" t="s">
        <v>175</v>
      </c>
      <c r="J168" t="s">
        <v>175</v>
      </c>
      <c r="K168" t="s">
        <v>175</v>
      </c>
      <c r="L168" t="s">
        <v>175</v>
      </c>
      <c r="M168" t="s">
        <v>175</v>
      </c>
      <c r="N168" t="s">
        <v>175</v>
      </c>
      <c r="O168" t="s">
        <v>175</v>
      </c>
      <c r="P168" t="s">
        <v>175</v>
      </c>
    </row>
    <row r="169" spans="1:16">
      <c r="A169" t="s">
        <v>377</v>
      </c>
      <c r="B169" t="s">
        <v>484</v>
      </c>
      <c r="C169">
        <v>125</v>
      </c>
      <c r="D169">
        <v>125</v>
      </c>
      <c r="E169">
        <v>125</v>
      </c>
      <c r="F169" t="s">
        <v>175</v>
      </c>
      <c r="H169" t="s">
        <v>175</v>
      </c>
      <c r="I169" t="s">
        <v>175</v>
      </c>
      <c r="J169" t="s">
        <v>175</v>
      </c>
      <c r="K169" t="s">
        <v>175</v>
      </c>
      <c r="L169" t="s">
        <v>175</v>
      </c>
      <c r="M169" t="s">
        <v>175</v>
      </c>
      <c r="N169" t="s">
        <v>175</v>
      </c>
      <c r="O169" t="s">
        <v>175</v>
      </c>
      <c r="P169" t="s">
        <v>175</v>
      </c>
    </row>
    <row r="170" spans="1:16">
      <c r="A170" t="s">
        <v>378</v>
      </c>
      <c r="B170" t="s">
        <v>485</v>
      </c>
      <c r="C170">
        <v>475</v>
      </c>
      <c r="D170">
        <v>475</v>
      </c>
      <c r="E170">
        <v>475</v>
      </c>
      <c r="F170" t="s">
        <v>175</v>
      </c>
      <c r="H170" t="s">
        <v>175</v>
      </c>
      <c r="I170" t="s">
        <v>175</v>
      </c>
      <c r="J170" t="s">
        <v>175</v>
      </c>
      <c r="K170" t="s">
        <v>175</v>
      </c>
      <c r="L170" t="s">
        <v>175</v>
      </c>
      <c r="M170" t="s">
        <v>175</v>
      </c>
      <c r="N170" t="s">
        <v>175</v>
      </c>
      <c r="O170" t="s">
        <v>175</v>
      </c>
      <c r="P170" t="s">
        <v>175</v>
      </c>
    </row>
    <row r="171" spans="1:16">
      <c r="A171" t="s">
        <v>379</v>
      </c>
      <c r="B171" t="s">
        <v>148</v>
      </c>
      <c r="C171">
        <v>1250</v>
      </c>
      <c r="D171">
        <v>1250</v>
      </c>
      <c r="E171">
        <v>1250</v>
      </c>
      <c r="F171" t="s">
        <v>175</v>
      </c>
      <c r="H171" t="s">
        <v>175</v>
      </c>
      <c r="I171" t="s">
        <v>175</v>
      </c>
      <c r="J171" t="s">
        <v>175</v>
      </c>
      <c r="K171" t="s">
        <v>175</v>
      </c>
      <c r="L171" t="s">
        <v>175</v>
      </c>
      <c r="M171" t="s">
        <v>175</v>
      </c>
      <c r="N171" t="s">
        <v>175</v>
      </c>
      <c r="O171" t="s">
        <v>175</v>
      </c>
      <c r="P171" t="s">
        <v>175</v>
      </c>
    </row>
    <row r="172" spans="1:16">
      <c r="A172" t="s">
        <v>380</v>
      </c>
      <c r="B172" t="s">
        <v>486</v>
      </c>
      <c r="C172">
        <v>75</v>
      </c>
      <c r="D172">
        <v>75</v>
      </c>
      <c r="E172">
        <v>75</v>
      </c>
      <c r="F172" t="s">
        <v>175</v>
      </c>
      <c r="H172" t="s">
        <v>175</v>
      </c>
      <c r="I172" t="s">
        <v>175</v>
      </c>
      <c r="J172" t="s">
        <v>175</v>
      </c>
      <c r="K172" t="s">
        <v>175</v>
      </c>
      <c r="L172" t="s">
        <v>175</v>
      </c>
      <c r="M172" t="s">
        <v>175</v>
      </c>
      <c r="N172" t="s">
        <v>175</v>
      </c>
      <c r="O172" t="s">
        <v>175</v>
      </c>
      <c r="P172" t="s">
        <v>175</v>
      </c>
    </row>
    <row r="173" spans="1:16">
      <c r="A173" t="s">
        <v>381</v>
      </c>
      <c r="B173" t="s">
        <v>487</v>
      </c>
      <c r="C173">
        <v>225</v>
      </c>
      <c r="D173">
        <v>225</v>
      </c>
      <c r="E173">
        <v>225</v>
      </c>
      <c r="F173" t="s">
        <v>175</v>
      </c>
      <c r="H173" t="s">
        <v>175</v>
      </c>
      <c r="I173" t="s">
        <v>175</v>
      </c>
      <c r="J173" t="s">
        <v>175</v>
      </c>
      <c r="K173" t="s">
        <v>175</v>
      </c>
      <c r="L173" t="s">
        <v>175</v>
      </c>
      <c r="M173" t="s">
        <v>175</v>
      </c>
      <c r="N173" t="s">
        <v>175</v>
      </c>
      <c r="O173" t="s">
        <v>175</v>
      </c>
      <c r="P173" t="s">
        <v>175</v>
      </c>
    </row>
    <row r="174" spans="1:16">
      <c r="A174" t="s">
        <v>382</v>
      </c>
      <c r="B174" t="s">
        <v>488</v>
      </c>
      <c r="C174">
        <v>350</v>
      </c>
      <c r="D174">
        <v>350</v>
      </c>
      <c r="E174">
        <v>350</v>
      </c>
      <c r="F174" t="s">
        <v>175</v>
      </c>
      <c r="H174" t="s">
        <v>175</v>
      </c>
      <c r="I174" t="s">
        <v>175</v>
      </c>
      <c r="J174" t="s">
        <v>175</v>
      </c>
      <c r="K174" t="s">
        <v>175</v>
      </c>
      <c r="L174" t="s">
        <v>175</v>
      </c>
      <c r="M174" t="s">
        <v>175</v>
      </c>
      <c r="N174" t="s">
        <v>175</v>
      </c>
      <c r="O174" t="s">
        <v>175</v>
      </c>
      <c r="P174" t="s">
        <v>175</v>
      </c>
    </row>
    <row r="175" spans="1:16">
      <c r="A175" t="s">
        <v>383</v>
      </c>
      <c r="B175" t="s">
        <v>489</v>
      </c>
      <c r="C175">
        <v>125</v>
      </c>
      <c r="D175">
        <v>125</v>
      </c>
      <c r="E175">
        <v>125</v>
      </c>
      <c r="F175" t="s">
        <v>175</v>
      </c>
      <c r="H175" t="s">
        <v>175</v>
      </c>
      <c r="I175" t="s">
        <v>175</v>
      </c>
      <c r="J175" t="s">
        <v>175</v>
      </c>
      <c r="K175" t="s">
        <v>175</v>
      </c>
      <c r="L175" t="s">
        <v>175</v>
      </c>
      <c r="M175" t="s">
        <v>175</v>
      </c>
      <c r="N175" t="s">
        <v>175</v>
      </c>
      <c r="O175" t="s">
        <v>175</v>
      </c>
      <c r="P175" t="s">
        <v>175</v>
      </c>
    </row>
    <row r="176" spans="1:16">
      <c r="A176" t="s">
        <v>384</v>
      </c>
      <c r="B176" t="s">
        <v>490</v>
      </c>
      <c r="C176">
        <v>300</v>
      </c>
      <c r="D176">
        <v>300</v>
      </c>
      <c r="E176">
        <v>300</v>
      </c>
      <c r="F176" t="s">
        <v>175</v>
      </c>
      <c r="H176" t="s">
        <v>175</v>
      </c>
      <c r="I176" t="s">
        <v>175</v>
      </c>
      <c r="J176" t="s">
        <v>175</v>
      </c>
      <c r="K176" t="s">
        <v>175</v>
      </c>
      <c r="L176" t="s">
        <v>175</v>
      </c>
      <c r="M176" t="s">
        <v>175</v>
      </c>
      <c r="N176" t="s">
        <v>175</v>
      </c>
      <c r="O176" t="s">
        <v>175</v>
      </c>
      <c r="P176" t="s">
        <v>175</v>
      </c>
    </row>
    <row r="177" spans="1:16">
      <c r="A177" t="s">
        <v>385</v>
      </c>
      <c r="B177" t="s">
        <v>491</v>
      </c>
      <c r="C177">
        <v>850</v>
      </c>
      <c r="D177">
        <v>850</v>
      </c>
      <c r="E177">
        <v>850</v>
      </c>
      <c r="F177" t="s">
        <v>175</v>
      </c>
      <c r="H177" t="s">
        <v>175</v>
      </c>
      <c r="I177" t="s">
        <v>175</v>
      </c>
      <c r="J177" t="s">
        <v>175</v>
      </c>
      <c r="K177" t="s">
        <v>175</v>
      </c>
      <c r="L177" t="s">
        <v>175</v>
      </c>
      <c r="M177" t="s">
        <v>175</v>
      </c>
      <c r="N177" t="s">
        <v>175</v>
      </c>
      <c r="O177" t="s">
        <v>175</v>
      </c>
      <c r="P177" t="s">
        <v>175</v>
      </c>
    </row>
  </sheetData>
  <autoFilter ref="A1:P177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S306"/>
  <sheetViews>
    <sheetView zoomScale="85" zoomScaleNormal="85" workbookViewId="0">
      <pane ySplit="1" topLeftCell="A2" activePane="bottomLeft" state="frozen"/>
      <selection pane="bottomLeft" activeCell="S6" sqref="S6"/>
    </sheetView>
  </sheetViews>
  <sheetFormatPr defaultRowHeight="15"/>
  <cols>
    <col min="1" max="1" width="9.85546875" bestFit="1" customWidth="1"/>
    <col min="2" max="2" width="12.7109375" style="38" bestFit="1" customWidth="1"/>
    <col min="3" max="3" width="9.28515625" style="38" bestFit="1" customWidth="1"/>
    <col min="4" max="4" width="10.28515625" bestFit="1" customWidth="1"/>
    <col min="5" max="5" width="9.140625" style="37"/>
    <col min="7" max="8" width="9.28515625" style="38" bestFit="1" customWidth="1"/>
    <col min="9" max="9" width="12.7109375" style="38" bestFit="1" customWidth="1"/>
    <col min="10" max="11" width="9.140625" style="38"/>
    <col min="15" max="15" width="12.7109375" bestFit="1" customWidth="1"/>
  </cols>
  <sheetData>
    <row r="1" spans="1:19">
      <c r="A1" t="s">
        <v>99</v>
      </c>
      <c r="B1" s="38" t="s">
        <v>89</v>
      </c>
      <c r="C1" s="38" t="s">
        <v>90</v>
      </c>
      <c r="D1" t="s">
        <v>91</v>
      </c>
      <c r="E1" s="37" t="s">
        <v>43</v>
      </c>
      <c r="F1" t="s">
        <v>92</v>
      </c>
      <c r="G1" s="38" t="s">
        <v>93</v>
      </c>
      <c r="H1" s="38" t="s">
        <v>94</v>
      </c>
      <c r="I1" s="38" t="s">
        <v>95</v>
      </c>
      <c r="J1" s="38" t="s">
        <v>96</v>
      </c>
      <c r="K1" s="38" t="s">
        <v>97</v>
      </c>
      <c r="L1" t="s">
        <v>98</v>
      </c>
      <c r="M1" s="38" t="s">
        <v>100</v>
      </c>
      <c r="N1" s="38" t="s">
        <v>103</v>
      </c>
      <c r="O1" s="38" t="s">
        <v>104</v>
      </c>
      <c r="P1" s="38" t="s">
        <v>105</v>
      </c>
      <c r="Q1" s="38" t="s">
        <v>106</v>
      </c>
      <c r="R1" s="38" t="s">
        <v>107</v>
      </c>
      <c r="S1" s="38" t="s">
        <v>108</v>
      </c>
    </row>
    <row r="2" spans="1:19">
      <c r="A2" s="39">
        <v>44469</v>
      </c>
      <c r="B2" s="38">
        <v>5800</v>
      </c>
      <c r="C2" s="38">
        <v>1467.15</v>
      </c>
      <c r="D2">
        <v>0.96</v>
      </c>
      <c r="E2" s="37">
        <v>15750</v>
      </c>
      <c r="F2">
        <v>18.559999999999999</v>
      </c>
      <c r="G2" s="38">
        <v>13.15</v>
      </c>
      <c r="H2" s="38">
        <v>-0.04</v>
      </c>
      <c r="I2" s="38">
        <v>16450</v>
      </c>
      <c r="J2" s="38">
        <v>-1.27</v>
      </c>
      <c r="K2" s="38">
        <v>3.82</v>
      </c>
      <c r="L2">
        <v>9.0000000000000006E-5</v>
      </c>
      <c r="M2" s="41">
        <f>C2/F2</f>
        <v>79.049030172413808</v>
      </c>
      <c r="N2" s="40" t="e">
        <f>Market!$C$3*Market!$D$3*NIFTY_OC!$D2/$C2</f>
        <v>#VALUE!</v>
      </c>
      <c r="O2" s="40" t="e">
        <f>Market!$C$3*Market!$E$3*NIFTY_OC!$D2/$C2</f>
        <v>#VALUE!</v>
      </c>
      <c r="P2" s="40" t="e">
        <f>Market!$C$3*Market!$F$3*NIFTY_OC!$D2/$C2</f>
        <v>#VALUE!</v>
      </c>
      <c r="Q2" s="40" t="e">
        <f>Market!$C$3*Market!$G$3*NIFTY_OC!$D2/$C2</f>
        <v>#VALUE!</v>
      </c>
      <c r="R2" s="40" t="e">
        <f>Market!$C$3*Market!$H$3*NIFTY_OC!$D2/$C2</f>
        <v>#VALUE!</v>
      </c>
      <c r="S2" s="40" t="e">
        <f>Market!$C$3*Market!$I$3*NIFTY_OC!$D2/$C2</f>
        <v>#VALUE!</v>
      </c>
    </row>
    <row r="3" spans="1:19">
      <c r="A3" s="39">
        <v>44469</v>
      </c>
      <c r="B3" s="38">
        <v>113300</v>
      </c>
      <c r="C3" s="38">
        <v>1450.5</v>
      </c>
      <c r="D3">
        <v>0.96</v>
      </c>
      <c r="E3" s="37">
        <v>15800</v>
      </c>
      <c r="F3">
        <v>18.22</v>
      </c>
      <c r="G3" s="38">
        <v>13.9</v>
      </c>
      <c r="H3" s="38">
        <v>-0.04</v>
      </c>
      <c r="I3" s="38">
        <v>710800</v>
      </c>
      <c r="J3" s="38">
        <v>-1.31</v>
      </c>
      <c r="K3" s="38">
        <v>4.03</v>
      </c>
      <c r="L3">
        <v>1E-4</v>
      </c>
      <c r="M3" s="41">
        <f t="shared" ref="M3:M66" si="0">C3/F3</f>
        <v>79.610318331503848</v>
      </c>
      <c r="N3" s="40" t="e">
        <f>Market!$C$3*Market!$D$3*NIFTY_OC!$D3/$C3</f>
        <v>#VALUE!</v>
      </c>
      <c r="O3" s="40" t="e">
        <f>Market!$C$3*Market!$E$3*NIFTY_OC!$D3/$C3</f>
        <v>#VALUE!</v>
      </c>
      <c r="P3" s="40" t="e">
        <f>Market!$C$3*Market!$F$3*NIFTY_OC!$D3/$C3</f>
        <v>#VALUE!</v>
      </c>
      <c r="Q3" s="40" t="e">
        <f>Market!$C$3*Market!$G$3*NIFTY_OC!$D3/$C3</f>
        <v>#VALUE!</v>
      </c>
      <c r="R3" s="40" t="e">
        <f>Market!$C$3*Market!$H$3*NIFTY_OC!$D3/$C3</f>
        <v>#VALUE!</v>
      </c>
      <c r="S3" s="40" t="e">
        <f>Market!$C$3*Market!$I$3*NIFTY_OC!$D3/$C3</f>
        <v>#VALUE!</v>
      </c>
    </row>
    <row r="4" spans="1:19">
      <c r="A4" s="39">
        <v>44469</v>
      </c>
      <c r="B4" s="38">
        <v>12800</v>
      </c>
      <c r="C4" s="38">
        <v>1415.05</v>
      </c>
      <c r="D4">
        <v>0.96</v>
      </c>
      <c r="E4" s="37">
        <v>15850</v>
      </c>
      <c r="F4">
        <v>17.829999999999998</v>
      </c>
      <c r="G4" s="38">
        <v>14.55</v>
      </c>
      <c r="H4" s="38">
        <v>-0.04</v>
      </c>
      <c r="I4" s="38">
        <v>19650</v>
      </c>
      <c r="J4" s="38">
        <v>-1.35</v>
      </c>
      <c r="K4" s="38">
        <v>4.2300000000000004</v>
      </c>
      <c r="L4">
        <v>1E-4</v>
      </c>
      <c r="M4" s="41">
        <f t="shared" si="0"/>
        <v>79.363432417274268</v>
      </c>
      <c r="N4" s="40" t="e">
        <f>Market!$C$3*Market!$D$3*NIFTY_OC!$D4/$C4</f>
        <v>#VALUE!</v>
      </c>
      <c r="O4" s="40" t="e">
        <f>Market!$C$3*Market!$E$3*NIFTY_OC!$D4/$C4</f>
        <v>#VALUE!</v>
      </c>
      <c r="P4" s="40" t="e">
        <f>Market!$C$3*Market!$F$3*NIFTY_OC!$D4/$C4</f>
        <v>#VALUE!</v>
      </c>
      <c r="Q4" s="40" t="e">
        <f>Market!$C$3*Market!$G$3*NIFTY_OC!$D4/$C4</f>
        <v>#VALUE!</v>
      </c>
      <c r="R4" s="40" t="e">
        <f>Market!$C$3*Market!$H$3*NIFTY_OC!$D4/$C4</f>
        <v>#VALUE!</v>
      </c>
      <c r="S4" s="40" t="e">
        <f>Market!$C$3*Market!$I$3*NIFTY_OC!$D4/$C4</f>
        <v>#VALUE!</v>
      </c>
    </row>
    <row r="5" spans="1:19">
      <c r="A5" s="39">
        <v>44469</v>
      </c>
      <c r="B5" s="38">
        <v>159450</v>
      </c>
      <c r="C5" s="38">
        <v>1357.05</v>
      </c>
      <c r="D5">
        <v>0.96</v>
      </c>
      <c r="E5" s="37">
        <v>15900</v>
      </c>
      <c r="F5">
        <v>17.55</v>
      </c>
      <c r="G5" s="38">
        <v>15.7</v>
      </c>
      <c r="H5" s="38">
        <v>-0.04</v>
      </c>
      <c r="I5" s="38">
        <v>554750</v>
      </c>
      <c r="J5" s="38">
        <v>-1.41</v>
      </c>
      <c r="K5" s="38">
        <v>4.51</v>
      </c>
      <c r="L5">
        <v>1.1E-4</v>
      </c>
      <c r="M5" s="41">
        <f t="shared" si="0"/>
        <v>77.324786324786317</v>
      </c>
      <c r="N5" s="40" t="e">
        <f>Market!$C$3*Market!$D$3*NIFTY_OC!$D5/$C5</f>
        <v>#VALUE!</v>
      </c>
      <c r="O5" s="40" t="e">
        <f>Market!$C$3*Market!$E$3*NIFTY_OC!$D5/$C5</f>
        <v>#VALUE!</v>
      </c>
      <c r="P5" s="40" t="e">
        <f>Market!$C$3*Market!$F$3*NIFTY_OC!$D5/$C5</f>
        <v>#VALUE!</v>
      </c>
      <c r="Q5" s="40" t="e">
        <f>Market!$C$3*Market!$G$3*NIFTY_OC!$D5/$C5</f>
        <v>#VALUE!</v>
      </c>
      <c r="R5" s="40" t="e">
        <f>Market!$C$3*Market!$H$3*NIFTY_OC!$D5/$C5</f>
        <v>#VALUE!</v>
      </c>
      <c r="S5" s="40" t="e">
        <f>Market!$C$3*Market!$I$3*NIFTY_OC!$D5/$C5</f>
        <v>#VALUE!</v>
      </c>
    </row>
    <row r="6" spans="1:19">
      <c r="A6" s="39">
        <v>44469</v>
      </c>
      <c r="B6" s="38">
        <v>10150</v>
      </c>
      <c r="C6" s="38">
        <v>1309.3</v>
      </c>
      <c r="D6">
        <v>0.95</v>
      </c>
      <c r="E6" s="37">
        <v>15950</v>
      </c>
      <c r="F6">
        <v>17.170000000000002</v>
      </c>
      <c r="G6" s="38">
        <v>16.5</v>
      </c>
      <c r="H6" s="38">
        <v>-0.05</v>
      </c>
      <c r="I6" s="38">
        <v>63400</v>
      </c>
      <c r="J6" s="38">
        <v>-1.45</v>
      </c>
      <c r="K6" s="38">
        <v>4.74</v>
      </c>
      <c r="L6">
        <v>1.2E-4</v>
      </c>
      <c r="M6" s="41">
        <f t="shared" si="0"/>
        <v>76.255096097845069</v>
      </c>
      <c r="N6" s="40" t="e">
        <f>Market!$C$3*Market!$D$3*NIFTY_OC!$D6/$C6</f>
        <v>#VALUE!</v>
      </c>
      <c r="O6" s="40" t="e">
        <f>Market!$C$3*Market!$E$3*NIFTY_OC!$D6/$C6</f>
        <v>#VALUE!</v>
      </c>
      <c r="P6" s="40" t="e">
        <f>Market!$C$3*Market!$F$3*NIFTY_OC!$D6/$C6</f>
        <v>#VALUE!</v>
      </c>
      <c r="Q6" s="40" t="e">
        <f>Market!$C$3*Market!$G$3*NIFTY_OC!$D6/$C6</f>
        <v>#VALUE!</v>
      </c>
      <c r="R6" s="40" t="e">
        <f>Market!$C$3*Market!$H$3*NIFTY_OC!$D6/$C6</f>
        <v>#VALUE!</v>
      </c>
      <c r="S6" s="40" t="e">
        <f>Market!$C$3*Market!$I$3*NIFTY_OC!$D6/$C6</f>
        <v>#VALUE!</v>
      </c>
    </row>
    <row r="7" spans="1:19">
      <c r="A7" s="39">
        <v>44469</v>
      </c>
      <c r="B7" s="38">
        <v>630625</v>
      </c>
      <c r="C7" s="38">
        <v>1259.9000000000001</v>
      </c>
      <c r="D7">
        <v>0.95</v>
      </c>
      <c r="E7" s="37">
        <v>16000</v>
      </c>
      <c r="F7">
        <v>17.07</v>
      </c>
      <c r="G7" s="38">
        <v>18.8</v>
      </c>
      <c r="H7" s="38">
        <v>-0.05</v>
      </c>
      <c r="I7" s="38">
        <v>2058575</v>
      </c>
      <c r="J7" s="38">
        <v>-1.59</v>
      </c>
      <c r="K7" s="38">
        <v>5.21</v>
      </c>
      <c r="L7">
        <v>1.2999999999999999E-4</v>
      </c>
      <c r="M7" s="41">
        <f t="shared" si="0"/>
        <v>73.80785002929116</v>
      </c>
      <c r="N7" s="40" t="e">
        <f>Market!$C$3*Market!$D$3*NIFTY_OC!$D7/$C7</f>
        <v>#VALUE!</v>
      </c>
      <c r="O7" s="40" t="e">
        <f>Market!$C$3*Market!$E$3*NIFTY_OC!$D7/$C7</f>
        <v>#VALUE!</v>
      </c>
      <c r="P7" s="40" t="e">
        <f>Market!$C$3*Market!$F$3*NIFTY_OC!$D7/$C7</f>
        <v>#VALUE!</v>
      </c>
      <c r="Q7" s="40" t="e">
        <f>Market!$C$3*Market!$G$3*NIFTY_OC!$D7/$C7</f>
        <v>#VALUE!</v>
      </c>
      <c r="R7" s="40" t="e">
        <f>Market!$C$3*Market!$H$3*NIFTY_OC!$D7/$C7</f>
        <v>#VALUE!</v>
      </c>
      <c r="S7" s="40" t="e">
        <f>Market!$C$3*Market!$I$3*NIFTY_OC!$D7/$C7</f>
        <v>#VALUE!</v>
      </c>
    </row>
    <row r="8" spans="1:19">
      <c r="A8" s="39">
        <v>44469</v>
      </c>
      <c r="B8" s="38">
        <v>5850</v>
      </c>
      <c r="C8" s="38">
        <v>1214</v>
      </c>
      <c r="D8">
        <v>0.94</v>
      </c>
      <c r="E8" s="37">
        <v>16050</v>
      </c>
      <c r="F8">
        <v>16.54</v>
      </c>
      <c r="G8" s="38">
        <v>19</v>
      </c>
      <c r="H8" s="38">
        <v>-0.06</v>
      </c>
      <c r="I8" s="38">
        <v>22050</v>
      </c>
      <c r="J8" s="38">
        <v>-1.58</v>
      </c>
      <c r="K8" s="38">
        <v>5.36</v>
      </c>
      <c r="L8">
        <v>1.3999999999999999E-4</v>
      </c>
      <c r="M8" s="41">
        <f t="shared" si="0"/>
        <v>73.397823458282957</v>
      </c>
      <c r="N8" s="40" t="e">
        <f>Market!$C$3*Market!$D$3*NIFTY_OC!$D8/$C8</f>
        <v>#VALUE!</v>
      </c>
      <c r="O8" s="40" t="e">
        <f>Market!$C$3*Market!$E$3*NIFTY_OC!$D8/$C8</f>
        <v>#VALUE!</v>
      </c>
      <c r="P8" s="40" t="e">
        <f>Market!$C$3*Market!$F$3*NIFTY_OC!$D8/$C8</f>
        <v>#VALUE!</v>
      </c>
      <c r="Q8" s="40" t="e">
        <f>Market!$C$3*Market!$G$3*NIFTY_OC!$D8/$C8</f>
        <v>#VALUE!</v>
      </c>
      <c r="R8" s="40" t="e">
        <f>Market!$C$3*Market!$H$3*NIFTY_OC!$D8/$C8</f>
        <v>#VALUE!</v>
      </c>
      <c r="S8" s="40" t="e">
        <f>Market!$C$3*Market!$I$3*NIFTY_OC!$D8/$C8</f>
        <v>#VALUE!</v>
      </c>
    </row>
    <row r="9" spans="1:19">
      <c r="A9" s="39">
        <v>44469</v>
      </c>
      <c r="B9" s="38">
        <v>78800</v>
      </c>
      <c r="C9" s="38">
        <v>1159.05</v>
      </c>
      <c r="D9">
        <v>0.94</v>
      </c>
      <c r="E9" s="37">
        <v>16100</v>
      </c>
      <c r="F9">
        <v>16.22</v>
      </c>
      <c r="G9" s="38">
        <v>20.350000000000001</v>
      </c>
      <c r="H9" s="38">
        <v>-0.06</v>
      </c>
      <c r="I9" s="38">
        <v>434000</v>
      </c>
      <c r="J9" s="38">
        <v>-1.65</v>
      </c>
      <c r="K9" s="38">
        <v>5.69</v>
      </c>
      <c r="L9">
        <v>1.4999999999999999E-4</v>
      </c>
      <c r="M9" s="41">
        <f t="shared" si="0"/>
        <v>71.458076448828606</v>
      </c>
      <c r="N9" s="40" t="e">
        <f>Market!$C$3*Market!$D$3*NIFTY_OC!$D9/$C9</f>
        <v>#VALUE!</v>
      </c>
      <c r="O9" s="40" t="e">
        <f>Market!$C$3*Market!$E$3*NIFTY_OC!$D9/$C9</f>
        <v>#VALUE!</v>
      </c>
      <c r="P9" s="40" t="e">
        <f>Market!$C$3*Market!$F$3*NIFTY_OC!$D9/$C9</f>
        <v>#VALUE!</v>
      </c>
      <c r="Q9" s="40" t="e">
        <f>Market!$C$3*Market!$G$3*NIFTY_OC!$D9/$C9</f>
        <v>#VALUE!</v>
      </c>
      <c r="R9" s="40" t="e">
        <f>Market!$C$3*Market!$H$3*NIFTY_OC!$D9/$C9</f>
        <v>#VALUE!</v>
      </c>
      <c r="S9" s="40" t="e">
        <f>Market!$C$3*Market!$I$3*NIFTY_OC!$D9/$C9</f>
        <v>#VALUE!</v>
      </c>
    </row>
    <row r="10" spans="1:19">
      <c r="A10" s="39">
        <v>44469</v>
      </c>
      <c r="B10" s="38">
        <v>3900</v>
      </c>
      <c r="C10" s="38">
        <v>1215.3499999999999</v>
      </c>
      <c r="D10">
        <v>0.93</v>
      </c>
      <c r="E10" s="37">
        <v>16150</v>
      </c>
      <c r="F10">
        <v>15.92</v>
      </c>
      <c r="G10" s="38">
        <v>22</v>
      </c>
      <c r="H10" s="38">
        <v>-7.0000000000000007E-2</v>
      </c>
      <c r="I10" s="38">
        <v>36850</v>
      </c>
      <c r="J10" s="38">
        <v>-1.72</v>
      </c>
      <c r="K10" s="38">
        <v>6.07</v>
      </c>
      <c r="L10">
        <v>1.7000000000000001E-4</v>
      </c>
      <c r="M10" s="41">
        <f t="shared" si="0"/>
        <v>76.34108040201005</v>
      </c>
      <c r="N10" s="40" t="e">
        <f>Market!$C$3*Market!$D$3*NIFTY_OC!$D10/$C10</f>
        <v>#VALUE!</v>
      </c>
      <c r="O10" s="40" t="e">
        <f>Market!$C$3*Market!$E$3*NIFTY_OC!$D10/$C10</f>
        <v>#VALUE!</v>
      </c>
      <c r="P10" s="40" t="e">
        <f>Market!$C$3*Market!$F$3*NIFTY_OC!$D10/$C10</f>
        <v>#VALUE!</v>
      </c>
      <c r="Q10" s="40" t="e">
        <f>Market!$C$3*Market!$G$3*NIFTY_OC!$D10/$C10</f>
        <v>#VALUE!</v>
      </c>
      <c r="R10" s="40" t="e">
        <f>Market!$C$3*Market!$H$3*NIFTY_OC!$D10/$C10</f>
        <v>#VALUE!</v>
      </c>
      <c r="S10" s="40" t="e">
        <f>Market!$C$3*Market!$I$3*NIFTY_OC!$D10/$C10</f>
        <v>#VALUE!</v>
      </c>
    </row>
    <row r="11" spans="1:19">
      <c r="A11" s="39">
        <v>44469</v>
      </c>
      <c r="B11" s="38">
        <v>187300</v>
      </c>
      <c r="C11" s="38">
        <v>1062.9000000000001</v>
      </c>
      <c r="D11">
        <v>0.93</v>
      </c>
      <c r="E11" s="37">
        <v>16200</v>
      </c>
      <c r="F11">
        <v>15.57</v>
      </c>
      <c r="G11" s="38">
        <v>23.5</v>
      </c>
      <c r="H11" s="38">
        <v>-7.0000000000000007E-2</v>
      </c>
      <c r="I11" s="38">
        <v>788050</v>
      </c>
      <c r="J11" s="38">
        <v>-1.79</v>
      </c>
      <c r="K11" s="38">
        <v>6.43</v>
      </c>
      <c r="L11">
        <v>1.8000000000000001E-4</v>
      </c>
      <c r="M11" s="41">
        <f t="shared" si="0"/>
        <v>68.265895953757223</v>
      </c>
      <c r="N11" s="40" t="e">
        <f>Market!$C$3*Market!$D$3*NIFTY_OC!$D11/$C11</f>
        <v>#VALUE!</v>
      </c>
      <c r="O11" s="40" t="e">
        <f>Market!$C$3*Market!$E$3*NIFTY_OC!$D11/$C11</f>
        <v>#VALUE!</v>
      </c>
      <c r="P11" s="40" t="e">
        <f>Market!$C$3*Market!$F$3*NIFTY_OC!$D11/$C11</f>
        <v>#VALUE!</v>
      </c>
      <c r="Q11" s="40" t="e">
        <f>Market!$C$3*Market!$G$3*NIFTY_OC!$D11/$C11</f>
        <v>#VALUE!</v>
      </c>
      <c r="R11" s="40" t="e">
        <f>Market!$C$3*Market!$H$3*NIFTY_OC!$D11/$C11</f>
        <v>#VALUE!</v>
      </c>
      <c r="S11" s="40" t="e">
        <f>Market!$C$3*Market!$I$3*NIFTY_OC!$D11/$C11</f>
        <v>#VALUE!</v>
      </c>
    </row>
    <row r="12" spans="1:19">
      <c r="A12" s="39">
        <v>44469</v>
      </c>
      <c r="B12" s="38">
        <v>13600</v>
      </c>
      <c r="C12" s="38">
        <v>1012.5</v>
      </c>
      <c r="D12">
        <v>0.92</v>
      </c>
      <c r="E12" s="37">
        <v>16250</v>
      </c>
      <c r="F12">
        <v>15.33</v>
      </c>
      <c r="G12" s="38">
        <v>25.9</v>
      </c>
      <c r="H12" s="38">
        <v>-0.08</v>
      </c>
      <c r="I12" s="38">
        <v>59000</v>
      </c>
      <c r="J12" s="38">
        <v>-1.89</v>
      </c>
      <c r="K12" s="38">
        <v>6.91</v>
      </c>
      <c r="L12">
        <v>2.0000000000000001E-4</v>
      </c>
      <c r="M12" s="41">
        <f t="shared" si="0"/>
        <v>66.046966731898237</v>
      </c>
      <c r="N12" s="40" t="e">
        <f>Market!$C$3*Market!$D$3*NIFTY_OC!$D12/$C12</f>
        <v>#VALUE!</v>
      </c>
      <c r="O12" s="40" t="e">
        <f>Market!$C$3*Market!$E$3*NIFTY_OC!$D12/$C12</f>
        <v>#VALUE!</v>
      </c>
      <c r="P12" s="40" t="e">
        <f>Market!$C$3*Market!$F$3*NIFTY_OC!$D12/$C12</f>
        <v>#VALUE!</v>
      </c>
      <c r="Q12" s="40" t="e">
        <f>Market!$C$3*Market!$G$3*NIFTY_OC!$D12/$C12</f>
        <v>#VALUE!</v>
      </c>
      <c r="R12" s="40" t="e">
        <f>Market!$C$3*Market!$H$3*NIFTY_OC!$D12/$C12</f>
        <v>#VALUE!</v>
      </c>
      <c r="S12" s="40" t="e">
        <f>Market!$C$3*Market!$I$3*NIFTY_OC!$D12/$C12</f>
        <v>#VALUE!</v>
      </c>
    </row>
    <row r="13" spans="1:19">
      <c r="A13" s="39">
        <v>44469</v>
      </c>
      <c r="B13" s="38">
        <v>331400</v>
      </c>
      <c r="C13" s="38">
        <v>967.7</v>
      </c>
      <c r="D13">
        <v>0.91</v>
      </c>
      <c r="E13" s="37">
        <v>16300</v>
      </c>
      <c r="F13">
        <v>15.1</v>
      </c>
      <c r="G13" s="38">
        <v>28.65</v>
      </c>
      <c r="H13" s="38">
        <v>-0.09</v>
      </c>
      <c r="I13" s="38">
        <v>829800</v>
      </c>
      <c r="J13" s="38">
        <v>-2.0099999999999998</v>
      </c>
      <c r="K13" s="38">
        <v>7.44</v>
      </c>
      <c r="L13">
        <v>2.2000000000000001E-4</v>
      </c>
      <c r="M13" s="41">
        <f t="shared" si="0"/>
        <v>64.086092715231786</v>
      </c>
      <c r="N13" s="40" t="e">
        <f>Market!$C$3*Market!$D$3*NIFTY_OC!$D13/$C13</f>
        <v>#VALUE!</v>
      </c>
      <c r="O13" s="40" t="e">
        <f>Market!$C$3*Market!$E$3*NIFTY_OC!$D13/$C13</f>
        <v>#VALUE!</v>
      </c>
      <c r="P13" s="40" t="e">
        <f>Market!$C$3*Market!$F$3*NIFTY_OC!$D13/$C13</f>
        <v>#VALUE!</v>
      </c>
      <c r="Q13" s="40" t="e">
        <f>Market!$C$3*Market!$G$3*NIFTY_OC!$D13/$C13</f>
        <v>#VALUE!</v>
      </c>
      <c r="R13" s="40" t="e">
        <f>Market!$C$3*Market!$H$3*NIFTY_OC!$D13/$C13</f>
        <v>#VALUE!</v>
      </c>
      <c r="S13" s="40" t="e">
        <f>Market!$C$3*Market!$I$3*NIFTY_OC!$D13/$C13</f>
        <v>#VALUE!</v>
      </c>
    </row>
    <row r="14" spans="1:19">
      <c r="A14" s="39">
        <v>44469</v>
      </c>
      <c r="B14" s="38">
        <v>18250</v>
      </c>
      <c r="C14" s="38">
        <v>921.6</v>
      </c>
      <c r="D14">
        <v>0.91</v>
      </c>
      <c r="E14" s="37">
        <v>16350</v>
      </c>
      <c r="F14">
        <v>14.76</v>
      </c>
      <c r="G14" s="38">
        <v>30.8</v>
      </c>
      <c r="H14" s="38">
        <v>-0.09</v>
      </c>
      <c r="I14" s="38">
        <v>53700</v>
      </c>
      <c r="J14" s="38">
        <v>-2.08</v>
      </c>
      <c r="K14" s="38">
        <v>7.9</v>
      </c>
      <c r="L14">
        <v>2.3000000000000001E-4</v>
      </c>
      <c r="M14" s="41">
        <f t="shared" si="0"/>
        <v>62.439024390243908</v>
      </c>
      <c r="N14" s="40" t="e">
        <f>Market!$C$3*Market!$D$3*NIFTY_OC!$D14/$C14</f>
        <v>#VALUE!</v>
      </c>
      <c r="O14" s="40" t="e">
        <f>Market!$C$3*Market!$E$3*NIFTY_OC!$D14/$C14</f>
        <v>#VALUE!</v>
      </c>
      <c r="P14" s="40" t="e">
        <f>Market!$C$3*Market!$F$3*NIFTY_OC!$D14/$C14</f>
        <v>#VALUE!</v>
      </c>
      <c r="Q14" s="40" t="e">
        <f>Market!$C$3*Market!$G$3*NIFTY_OC!$D14/$C14</f>
        <v>#VALUE!</v>
      </c>
      <c r="R14" s="40" t="e">
        <f>Market!$C$3*Market!$H$3*NIFTY_OC!$D14/$C14</f>
        <v>#VALUE!</v>
      </c>
      <c r="S14" s="40" t="e">
        <f>Market!$C$3*Market!$I$3*NIFTY_OC!$D14/$C14</f>
        <v>#VALUE!</v>
      </c>
    </row>
    <row r="15" spans="1:19">
      <c r="A15" s="39">
        <v>44469</v>
      </c>
      <c r="B15" s="38">
        <v>456300</v>
      </c>
      <c r="C15" s="38">
        <v>875.6</v>
      </c>
      <c r="D15">
        <v>0.9</v>
      </c>
      <c r="E15" s="37">
        <v>16400</v>
      </c>
      <c r="F15">
        <v>14.5</v>
      </c>
      <c r="G15" s="38">
        <v>33.85</v>
      </c>
      <c r="H15" s="38">
        <v>-0.1</v>
      </c>
      <c r="I15" s="38">
        <v>824650</v>
      </c>
      <c r="J15" s="38">
        <v>-2.19</v>
      </c>
      <c r="K15" s="38">
        <v>8.4600000000000009</v>
      </c>
      <c r="L15">
        <v>2.5999999999999998E-4</v>
      </c>
      <c r="M15" s="41">
        <f t="shared" si="0"/>
        <v>60.386206896551727</v>
      </c>
      <c r="N15" s="40" t="e">
        <f>Market!$C$3*Market!$D$3*NIFTY_OC!$D15/$C15</f>
        <v>#VALUE!</v>
      </c>
      <c r="O15" s="40" t="e">
        <f>Market!$C$3*Market!$E$3*NIFTY_OC!$D15/$C15</f>
        <v>#VALUE!</v>
      </c>
      <c r="P15" s="40" t="e">
        <f>Market!$C$3*Market!$F$3*NIFTY_OC!$D15/$C15</f>
        <v>#VALUE!</v>
      </c>
      <c r="Q15" s="40" t="e">
        <f>Market!$C$3*Market!$G$3*NIFTY_OC!$D15/$C15</f>
        <v>#VALUE!</v>
      </c>
      <c r="R15" s="40" t="e">
        <f>Market!$C$3*Market!$H$3*NIFTY_OC!$D15/$C15</f>
        <v>#VALUE!</v>
      </c>
      <c r="S15" s="40" t="e">
        <f>Market!$C$3*Market!$I$3*NIFTY_OC!$D15/$C15</f>
        <v>#VALUE!</v>
      </c>
    </row>
    <row r="16" spans="1:19">
      <c r="A16" s="39">
        <v>44469</v>
      </c>
      <c r="B16" s="38">
        <v>20050</v>
      </c>
      <c r="C16" s="38">
        <v>831.45</v>
      </c>
      <c r="D16">
        <v>0.89</v>
      </c>
      <c r="E16" s="37">
        <v>16450</v>
      </c>
      <c r="F16">
        <v>14.23</v>
      </c>
      <c r="G16" s="38">
        <v>37.15</v>
      </c>
      <c r="H16" s="38">
        <v>-0.11</v>
      </c>
      <c r="I16" s="38">
        <v>91900</v>
      </c>
      <c r="J16" s="38">
        <v>-2.2999999999999998</v>
      </c>
      <c r="K16" s="38">
        <v>9.0500000000000007</v>
      </c>
      <c r="L16">
        <v>2.7999999999999998E-4</v>
      </c>
      <c r="M16" s="41">
        <f t="shared" si="0"/>
        <v>58.429374560787068</v>
      </c>
      <c r="N16" s="40" t="e">
        <f>Market!$C$3*Market!$D$3*NIFTY_OC!$D16/$C16</f>
        <v>#VALUE!</v>
      </c>
      <c r="O16" s="40" t="e">
        <f>Market!$C$3*Market!$E$3*NIFTY_OC!$D16/$C16</f>
        <v>#VALUE!</v>
      </c>
      <c r="P16" s="40" t="e">
        <f>Market!$C$3*Market!$F$3*NIFTY_OC!$D16/$C16</f>
        <v>#VALUE!</v>
      </c>
      <c r="Q16" s="40" t="e">
        <f>Market!$C$3*Market!$G$3*NIFTY_OC!$D16/$C16</f>
        <v>#VALUE!</v>
      </c>
      <c r="R16" s="40" t="e">
        <f>Market!$C$3*Market!$H$3*NIFTY_OC!$D16/$C16</f>
        <v>#VALUE!</v>
      </c>
      <c r="S16" s="40" t="e">
        <f>Market!$C$3*Market!$I$3*NIFTY_OC!$D16/$C16</f>
        <v>#VALUE!</v>
      </c>
    </row>
    <row r="17" spans="1:19">
      <c r="A17" s="39">
        <v>44469</v>
      </c>
      <c r="B17" s="38">
        <v>1519975</v>
      </c>
      <c r="C17" s="38">
        <v>782.9</v>
      </c>
      <c r="D17">
        <v>0.88</v>
      </c>
      <c r="E17" s="37">
        <v>16500</v>
      </c>
      <c r="F17">
        <v>14.08</v>
      </c>
      <c r="G17" s="38">
        <v>42</v>
      </c>
      <c r="H17" s="38">
        <v>-0.12</v>
      </c>
      <c r="I17" s="38">
        <v>2877425</v>
      </c>
      <c r="J17" s="38">
        <v>-2.46</v>
      </c>
      <c r="K17" s="38">
        <v>9.77</v>
      </c>
      <c r="L17">
        <v>2.9999999999999997E-4</v>
      </c>
      <c r="M17" s="41">
        <f t="shared" si="0"/>
        <v>55.60369318181818</v>
      </c>
      <c r="N17" s="40" t="e">
        <f>Market!$C$3*Market!$D$3*NIFTY_OC!$D17/$C17</f>
        <v>#VALUE!</v>
      </c>
      <c r="O17" s="40" t="e">
        <f>Market!$C$3*Market!$E$3*NIFTY_OC!$D17/$C17</f>
        <v>#VALUE!</v>
      </c>
      <c r="P17" s="40" t="e">
        <f>Market!$C$3*Market!$F$3*NIFTY_OC!$D17/$C17</f>
        <v>#VALUE!</v>
      </c>
      <c r="Q17" s="40" t="e">
        <f>Market!$C$3*Market!$G$3*NIFTY_OC!$D17/$C17</f>
        <v>#VALUE!</v>
      </c>
      <c r="R17" s="40" t="e">
        <f>Market!$C$3*Market!$H$3*NIFTY_OC!$D17/$C17</f>
        <v>#VALUE!</v>
      </c>
      <c r="S17" s="40" t="e">
        <f>Market!$C$3*Market!$I$3*NIFTY_OC!$D17/$C17</f>
        <v>#VALUE!</v>
      </c>
    </row>
    <row r="18" spans="1:19">
      <c r="A18" s="39">
        <v>44469</v>
      </c>
      <c r="B18" s="38">
        <v>40500</v>
      </c>
      <c r="C18" s="38">
        <v>734.3</v>
      </c>
      <c r="D18">
        <v>0.86</v>
      </c>
      <c r="E18" s="37">
        <v>16550</v>
      </c>
      <c r="F18">
        <v>13.75</v>
      </c>
      <c r="G18" s="38">
        <v>45.55</v>
      </c>
      <c r="H18" s="38">
        <v>-0.14000000000000001</v>
      </c>
      <c r="I18" s="38">
        <v>82350</v>
      </c>
      <c r="J18" s="38">
        <v>-2.5499999999999998</v>
      </c>
      <c r="K18" s="38">
        <v>10.37</v>
      </c>
      <c r="L18">
        <v>3.3E-4</v>
      </c>
      <c r="M18" s="41">
        <f t="shared" si="0"/>
        <v>53.403636363636359</v>
      </c>
      <c r="N18" s="40" t="e">
        <f>Market!$C$3*Market!$D$3*NIFTY_OC!$D18/$C18</f>
        <v>#VALUE!</v>
      </c>
      <c r="O18" s="40" t="e">
        <f>Market!$C$3*Market!$E$3*NIFTY_OC!$D18/$C18</f>
        <v>#VALUE!</v>
      </c>
      <c r="P18" s="40" t="e">
        <f>Market!$C$3*Market!$F$3*NIFTY_OC!$D18/$C18</f>
        <v>#VALUE!</v>
      </c>
      <c r="Q18" s="40" t="e">
        <f>Market!$C$3*Market!$G$3*NIFTY_OC!$D18/$C18</f>
        <v>#VALUE!</v>
      </c>
      <c r="R18" s="40" t="e">
        <f>Market!$C$3*Market!$H$3*NIFTY_OC!$D18/$C18</f>
        <v>#VALUE!</v>
      </c>
      <c r="S18" s="40" t="e">
        <f>Market!$C$3*Market!$I$3*NIFTY_OC!$D18/$C18</f>
        <v>#VALUE!</v>
      </c>
    </row>
    <row r="19" spans="1:19">
      <c r="A19" s="39">
        <v>44469</v>
      </c>
      <c r="B19" s="38">
        <v>960600</v>
      </c>
      <c r="C19" s="38">
        <v>692.35</v>
      </c>
      <c r="D19">
        <v>0.85</v>
      </c>
      <c r="E19" s="37">
        <v>16600</v>
      </c>
      <c r="F19">
        <v>13.53</v>
      </c>
      <c r="G19" s="38">
        <v>50.8</v>
      </c>
      <c r="H19" s="38">
        <v>-0.15</v>
      </c>
      <c r="I19" s="38">
        <v>1411750</v>
      </c>
      <c r="J19" s="38">
        <v>-2.68</v>
      </c>
      <c r="K19" s="38">
        <v>11.11</v>
      </c>
      <c r="L19">
        <v>3.6000000000000002E-4</v>
      </c>
      <c r="M19" s="41">
        <f t="shared" si="0"/>
        <v>51.171470805617155</v>
      </c>
      <c r="N19" s="40" t="e">
        <f>Market!$C$3*Market!$D$3*NIFTY_OC!$D19/$C19</f>
        <v>#VALUE!</v>
      </c>
      <c r="O19" s="40" t="e">
        <f>Market!$C$3*Market!$E$3*NIFTY_OC!$D19/$C19</f>
        <v>#VALUE!</v>
      </c>
      <c r="P19" s="40" t="e">
        <f>Market!$C$3*Market!$F$3*NIFTY_OC!$D19/$C19</f>
        <v>#VALUE!</v>
      </c>
      <c r="Q19" s="40" t="e">
        <f>Market!$C$3*Market!$G$3*NIFTY_OC!$D19/$C19</f>
        <v>#VALUE!</v>
      </c>
      <c r="R19" s="40" t="e">
        <f>Market!$C$3*Market!$H$3*NIFTY_OC!$D19/$C19</f>
        <v>#VALUE!</v>
      </c>
      <c r="S19" s="40" t="e">
        <f>Market!$C$3*Market!$I$3*NIFTY_OC!$D19/$C19</f>
        <v>#VALUE!</v>
      </c>
    </row>
    <row r="20" spans="1:19">
      <c r="A20" s="39">
        <v>44469</v>
      </c>
      <c r="B20" s="38">
        <v>42000</v>
      </c>
      <c r="C20" s="38">
        <v>649.04999999999995</v>
      </c>
      <c r="D20">
        <v>0.84</v>
      </c>
      <c r="E20" s="37">
        <v>16650</v>
      </c>
      <c r="F20">
        <v>13.25</v>
      </c>
      <c r="G20" s="38">
        <v>55.9</v>
      </c>
      <c r="H20" s="38">
        <v>-0.16</v>
      </c>
      <c r="I20" s="38">
        <v>113900</v>
      </c>
      <c r="J20" s="38">
        <v>-2.8</v>
      </c>
      <c r="K20" s="38">
        <v>11.81</v>
      </c>
      <c r="L20">
        <v>3.8999999999999999E-4</v>
      </c>
      <c r="M20" s="41">
        <f t="shared" si="0"/>
        <v>48.984905660377358</v>
      </c>
      <c r="N20" s="40" t="e">
        <f>Market!$C$3*Market!$D$3*NIFTY_OC!$D20/$C20</f>
        <v>#VALUE!</v>
      </c>
      <c r="O20" s="40" t="e">
        <f>Market!$C$3*Market!$E$3*NIFTY_OC!$D20/$C20</f>
        <v>#VALUE!</v>
      </c>
      <c r="P20" s="40" t="e">
        <f>Market!$C$3*Market!$F$3*NIFTY_OC!$D20/$C20</f>
        <v>#VALUE!</v>
      </c>
      <c r="Q20" s="40" t="e">
        <f>Market!$C$3*Market!$G$3*NIFTY_OC!$D20/$C20</f>
        <v>#VALUE!</v>
      </c>
      <c r="R20" s="40" t="e">
        <f>Market!$C$3*Market!$H$3*NIFTY_OC!$D20/$C20</f>
        <v>#VALUE!</v>
      </c>
      <c r="S20" s="40" t="e">
        <f>Market!$C$3*Market!$I$3*NIFTY_OC!$D20/$C20</f>
        <v>#VALUE!</v>
      </c>
    </row>
    <row r="21" spans="1:19">
      <c r="A21" s="39">
        <v>44469</v>
      </c>
      <c r="B21" s="38">
        <v>1153250</v>
      </c>
      <c r="C21" s="38">
        <v>605.15</v>
      </c>
      <c r="D21">
        <v>0.82</v>
      </c>
      <c r="E21" s="37">
        <v>16700</v>
      </c>
      <c r="F21">
        <v>13.03</v>
      </c>
      <c r="G21" s="38">
        <v>62.25</v>
      </c>
      <c r="H21" s="38">
        <v>-0.18</v>
      </c>
      <c r="I21" s="38">
        <v>1662700</v>
      </c>
      <c r="J21" s="38">
        <v>-2.93</v>
      </c>
      <c r="K21" s="38">
        <v>12.58</v>
      </c>
      <c r="L21">
        <v>4.2000000000000002E-4</v>
      </c>
      <c r="M21" s="41">
        <f t="shared" si="0"/>
        <v>46.442824251726783</v>
      </c>
      <c r="N21" s="40" t="e">
        <f>Market!$C$3*Market!$D$3*NIFTY_OC!$D21/$C21</f>
        <v>#VALUE!</v>
      </c>
      <c r="O21" s="40" t="e">
        <f>Market!$C$3*Market!$E$3*NIFTY_OC!$D21/$C21</f>
        <v>#VALUE!</v>
      </c>
      <c r="P21" s="40" t="e">
        <f>Market!$C$3*Market!$F$3*NIFTY_OC!$D21/$C21</f>
        <v>#VALUE!</v>
      </c>
      <c r="Q21" s="40" t="e">
        <f>Market!$C$3*Market!$G$3*NIFTY_OC!$D21/$C21</f>
        <v>#VALUE!</v>
      </c>
      <c r="R21" s="40" t="e">
        <f>Market!$C$3*Market!$H$3*NIFTY_OC!$D21/$C21</f>
        <v>#VALUE!</v>
      </c>
      <c r="S21" s="40" t="e">
        <f>Market!$C$3*Market!$I$3*NIFTY_OC!$D21/$C21</f>
        <v>#VALUE!</v>
      </c>
    </row>
    <row r="22" spans="1:19">
      <c r="A22" s="39">
        <v>44469</v>
      </c>
      <c r="B22" s="38">
        <v>41800</v>
      </c>
      <c r="C22" s="38">
        <v>559.79999999999995</v>
      </c>
      <c r="D22">
        <v>0.8</v>
      </c>
      <c r="E22" s="37">
        <v>16750</v>
      </c>
      <c r="F22">
        <v>12.76</v>
      </c>
      <c r="G22" s="38">
        <v>68.8</v>
      </c>
      <c r="H22" s="38">
        <v>-0.2</v>
      </c>
      <c r="I22" s="38">
        <v>131250</v>
      </c>
      <c r="J22" s="38">
        <v>-3.04</v>
      </c>
      <c r="K22" s="38">
        <v>13.33</v>
      </c>
      <c r="L22">
        <v>4.6000000000000001E-4</v>
      </c>
      <c r="M22" s="41">
        <f t="shared" si="0"/>
        <v>43.871473354231973</v>
      </c>
      <c r="N22" s="40" t="e">
        <f>Market!$C$3*Market!$D$3*NIFTY_OC!$D22/$C22</f>
        <v>#VALUE!</v>
      </c>
      <c r="O22" s="40" t="e">
        <f>Market!$C$3*Market!$E$3*NIFTY_OC!$D22/$C22</f>
        <v>#VALUE!</v>
      </c>
      <c r="P22" s="40" t="e">
        <f>Market!$C$3*Market!$F$3*NIFTY_OC!$D22/$C22</f>
        <v>#VALUE!</v>
      </c>
      <c r="Q22" s="40" t="e">
        <f>Market!$C$3*Market!$G$3*NIFTY_OC!$D22/$C22</f>
        <v>#VALUE!</v>
      </c>
      <c r="R22" s="40" t="e">
        <f>Market!$C$3*Market!$H$3*NIFTY_OC!$D22/$C22</f>
        <v>#VALUE!</v>
      </c>
      <c r="S22" s="40" t="e">
        <f>Market!$C$3*Market!$I$3*NIFTY_OC!$D22/$C22</f>
        <v>#VALUE!</v>
      </c>
    </row>
    <row r="23" spans="1:19">
      <c r="A23" s="39">
        <v>44469</v>
      </c>
      <c r="B23" s="38">
        <v>666700</v>
      </c>
      <c r="C23" s="38">
        <v>519.65</v>
      </c>
      <c r="D23">
        <v>0.78</v>
      </c>
      <c r="E23" s="37">
        <v>16800</v>
      </c>
      <c r="F23">
        <v>12.65</v>
      </c>
      <c r="G23" s="38">
        <v>78.25</v>
      </c>
      <c r="H23" s="38">
        <v>-0.22</v>
      </c>
      <c r="I23" s="38">
        <v>1542250</v>
      </c>
      <c r="J23" s="38">
        <v>-3.21</v>
      </c>
      <c r="K23" s="38">
        <v>14.2</v>
      </c>
      <c r="L23">
        <v>4.8999999999999998E-4</v>
      </c>
      <c r="M23" s="41">
        <f t="shared" si="0"/>
        <v>41.079051383399204</v>
      </c>
      <c r="N23" s="40" t="e">
        <f>Market!$C$3*Market!$D$3*NIFTY_OC!$D23/$C23</f>
        <v>#VALUE!</v>
      </c>
      <c r="O23" s="40" t="e">
        <f>Market!$C$3*Market!$E$3*NIFTY_OC!$D23/$C23</f>
        <v>#VALUE!</v>
      </c>
      <c r="P23" s="40" t="e">
        <f>Market!$C$3*Market!$F$3*NIFTY_OC!$D23/$C23</f>
        <v>#VALUE!</v>
      </c>
      <c r="Q23" s="40" t="e">
        <f>Market!$C$3*Market!$G$3*NIFTY_OC!$D23/$C23</f>
        <v>#VALUE!</v>
      </c>
      <c r="R23" s="40" t="e">
        <f>Market!$C$3*Market!$H$3*NIFTY_OC!$D23/$C23</f>
        <v>#VALUE!</v>
      </c>
      <c r="S23" s="40" t="e">
        <f>Market!$C$3*Market!$I$3*NIFTY_OC!$D23/$C23</f>
        <v>#VALUE!</v>
      </c>
    </row>
    <row r="24" spans="1:19">
      <c r="A24" s="39">
        <v>44469</v>
      </c>
      <c r="B24" s="38">
        <v>42500</v>
      </c>
      <c r="C24" s="38">
        <v>482</v>
      </c>
      <c r="D24">
        <v>0.76</v>
      </c>
      <c r="E24" s="37">
        <v>16850</v>
      </c>
      <c r="F24">
        <v>12.47</v>
      </c>
      <c r="G24" s="38">
        <v>87.8</v>
      </c>
      <c r="H24" s="38">
        <v>-0.24</v>
      </c>
      <c r="I24" s="38">
        <v>114250</v>
      </c>
      <c r="J24" s="38">
        <v>-3.34</v>
      </c>
      <c r="K24" s="38">
        <v>15</v>
      </c>
      <c r="L24">
        <v>5.2999999999999998E-4</v>
      </c>
      <c r="M24" s="41">
        <f t="shared" si="0"/>
        <v>38.652766639935841</v>
      </c>
      <c r="N24" s="40" t="e">
        <f>Market!$C$3*Market!$D$3*NIFTY_OC!$D24/$C24</f>
        <v>#VALUE!</v>
      </c>
      <c r="O24" s="40" t="e">
        <f>Market!$C$3*Market!$E$3*NIFTY_OC!$D24/$C24</f>
        <v>#VALUE!</v>
      </c>
      <c r="P24" s="40" t="e">
        <f>Market!$C$3*Market!$F$3*NIFTY_OC!$D24/$C24</f>
        <v>#VALUE!</v>
      </c>
      <c r="Q24" s="40" t="e">
        <f>Market!$C$3*Market!$G$3*NIFTY_OC!$D24/$C24</f>
        <v>#VALUE!</v>
      </c>
      <c r="R24" s="40" t="e">
        <f>Market!$C$3*Market!$H$3*NIFTY_OC!$D24/$C24</f>
        <v>#VALUE!</v>
      </c>
      <c r="S24" s="40" t="e">
        <f>Market!$C$3*Market!$I$3*NIFTY_OC!$D24/$C24</f>
        <v>#VALUE!</v>
      </c>
    </row>
    <row r="25" spans="1:19">
      <c r="A25" s="39">
        <v>44469</v>
      </c>
      <c r="B25" s="38">
        <v>620550</v>
      </c>
      <c r="C25" s="38">
        <v>441.05</v>
      </c>
      <c r="D25">
        <v>0.73</v>
      </c>
      <c r="E25" s="37">
        <v>16900</v>
      </c>
      <c r="F25">
        <v>12.36</v>
      </c>
      <c r="G25" s="38">
        <v>99.55</v>
      </c>
      <c r="H25" s="38">
        <v>-0.27</v>
      </c>
      <c r="I25" s="38">
        <v>1387150</v>
      </c>
      <c r="J25" s="38">
        <v>-3.49</v>
      </c>
      <c r="K25" s="38">
        <v>15.81</v>
      </c>
      <c r="L25">
        <v>5.5999999999999995E-4</v>
      </c>
      <c r="M25" s="41">
        <f t="shared" si="0"/>
        <v>35.683656957928804</v>
      </c>
      <c r="N25" s="40" t="e">
        <f>Market!$C$3*Market!$D$3*NIFTY_OC!$D25/$C25</f>
        <v>#VALUE!</v>
      </c>
      <c r="O25" s="40" t="e">
        <f>Market!$C$3*Market!$E$3*NIFTY_OC!$D25/$C25</f>
        <v>#VALUE!</v>
      </c>
      <c r="P25" s="40" t="e">
        <f>Market!$C$3*Market!$F$3*NIFTY_OC!$D25/$C25</f>
        <v>#VALUE!</v>
      </c>
      <c r="Q25" s="40" t="e">
        <f>Market!$C$3*Market!$G$3*NIFTY_OC!$D25/$C25</f>
        <v>#VALUE!</v>
      </c>
      <c r="R25" s="40" t="e">
        <f>Market!$C$3*Market!$H$3*NIFTY_OC!$D25/$C25</f>
        <v>#VALUE!</v>
      </c>
      <c r="S25" s="40" t="e">
        <f>Market!$C$3*Market!$I$3*NIFTY_OC!$D25/$C25</f>
        <v>#VALUE!</v>
      </c>
    </row>
    <row r="26" spans="1:19">
      <c r="A26" s="39">
        <v>44469</v>
      </c>
      <c r="B26" s="38">
        <v>29900</v>
      </c>
      <c r="C26" s="38">
        <v>403.85</v>
      </c>
      <c r="D26">
        <v>0.7</v>
      </c>
      <c r="E26" s="37">
        <v>16950</v>
      </c>
      <c r="F26">
        <v>12.1</v>
      </c>
      <c r="G26" s="38">
        <v>110</v>
      </c>
      <c r="H26" s="38">
        <v>-0.3</v>
      </c>
      <c r="I26" s="38">
        <v>74750</v>
      </c>
      <c r="J26" s="38">
        <v>-3.57</v>
      </c>
      <c r="K26" s="38">
        <v>16.510000000000002</v>
      </c>
      <c r="L26">
        <v>5.9999999999999995E-4</v>
      </c>
      <c r="M26" s="41">
        <f t="shared" si="0"/>
        <v>33.376033057851245</v>
      </c>
      <c r="N26" s="40" t="e">
        <f>Market!$C$3*Market!$D$3*NIFTY_OC!$D26/$C26</f>
        <v>#VALUE!</v>
      </c>
      <c r="O26" s="40" t="e">
        <f>Market!$C$3*Market!$E$3*NIFTY_OC!$D26/$C26</f>
        <v>#VALUE!</v>
      </c>
      <c r="P26" s="40" t="e">
        <f>Market!$C$3*Market!$F$3*NIFTY_OC!$D26/$C26</f>
        <v>#VALUE!</v>
      </c>
      <c r="Q26" s="40" t="e">
        <f>Market!$C$3*Market!$G$3*NIFTY_OC!$D26/$C26</f>
        <v>#VALUE!</v>
      </c>
      <c r="R26" s="40" t="e">
        <f>Market!$C$3*Market!$H$3*NIFTY_OC!$D26/$C26</f>
        <v>#VALUE!</v>
      </c>
      <c r="S26" s="40" t="e">
        <f>Market!$C$3*Market!$I$3*NIFTY_OC!$D26/$C26</f>
        <v>#VALUE!</v>
      </c>
    </row>
    <row r="27" spans="1:19">
      <c r="A27" s="39">
        <v>44469</v>
      </c>
      <c r="B27" s="38">
        <v>1581025</v>
      </c>
      <c r="C27" s="38">
        <v>368.45</v>
      </c>
      <c r="D27">
        <v>0.67</v>
      </c>
      <c r="E27" s="37">
        <v>17000</v>
      </c>
      <c r="F27">
        <v>12.1</v>
      </c>
      <c r="G27" s="38">
        <v>126.15</v>
      </c>
      <c r="H27" s="38">
        <v>-0.33</v>
      </c>
      <c r="I27" s="38">
        <v>2729550</v>
      </c>
      <c r="J27" s="38">
        <v>-3.72</v>
      </c>
      <c r="K27" s="38">
        <v>17.239999999999998</v>
      </c>
      <c r="L27">
        <v>6.2E-4</v>
      </c>
      <c r="M27" s="41">
        <f t="shared" si="0"/>
        <v>30.450413223140497</v>
      </c>
      <c r="N27" s="40" t="e">
        <f>Market!$C$3*Market!$D$3*NIFTY_OC!$D27/$C27</f>
        <v>#VALUE!</v>
      </c>
      <c r="O27" s="40" t="e">
        <f>Market!$C$3*Market!$E$3*NIFTY_OC!$D27/$C27</f>
        <v>#VALUE!</v>
      </c>
      <c r="P27" s="40" t="e">
        <f>Market!$C$3*Market!$F$3*NIFTY_OC!$D27/$C27</f>
        <v>#VALUE!</v>
      </c>
      <c r="Q27" s="40" t="e">
        <f>Market!$C$3*Market!$G$3*NIFTY_OC!$D27/$C27</f>
        <v>#VALUE!</v>
      </c>
      <c r="R27" s="40" t="e">
        <f>Market!$C$3*Market!$H$3*NIFTY_OC!$D27/$C27</f>
        <v>#VALUE!</v>
      </c>
      <c r="S27" s="40" t="e">
        <f>Market!$C$3*Market!$I$3*NIFTY_OC!$D27/$C27</f>
        <v>#VALUE!</v>
      </c>
    </row>
    <row r="28" spans="1:19">
      <c r="A28" s="39">
        <v>44469</v>
      </c>
      <c r="B28" s="38">
        <v>62700</v>
      </c>
      <c r="C28" s="38">
        <v>336.3</v>
      </c>
      <c r="D28">
        <v>0.64</v>
      </c>
      <c r="E28" s="37">
        <v>17050</v>
      </c>
      <c r="F28">
        <v>11.82</v>
      </c>
      <c r="G28" s="38">
        <v>138.94999999999999</v>
      </c>
      <c r="H28" s="38">
        <v>-0.36</v>
      </c>
      <c r="I28" s="38">
        <v>94250</v>
      </c>
      <c r="J28" s="38">
        <v>-3.76</v>
      </c>
      <c r="K28" s="38">
        <v>17.809999999999999</v>
      </c>
      <c r="L28">
        <v>6.6E-4</v>
      </c>
      <c r="M28" s="41">
        <f t="shared" si="0"/>
        <v>28.451776649746193</v>
      </c>
      <c r="N28" s="40" t="e">
        <f>Market!$C$3*Market!$D$3*NIFTY_OC!$D28/$C28</f>
        <v>#VALUE!</v>
      </c>
      <c r="O28" s="40" t="e">
        <f>Market!$C$3*Market!$E$3*NIFTY_OC!$D28/$C28</f>
        <v>#VALUE!</v>
      </c>
      <c r="P28" s="40" t="e">
        <f>Market!$C$3*Market!$F$3*NIFTY_OC!$D28/$C28</f>
        <v>#VALUE!</v>
      </c>
      <c r="Q28" s="40" t="e">
        <f>Market!$C$3*Market!$G$3*NIFTY_OC!$D28/$C28</f>
        <v>#VALUE!</v>
      </c>
      <c r="R28" s="40" t="e">
        <f>Market!$C$3*Market!$H$3*NIFTY_OC!$D28/$C28</f>
        <v>#VALUE!</v>
      </c>
      <c r="S28" s="40" t="e">
        <f>Market!$C$3*Market!$I$3*NIFTY_OC!$D28/$C28</f>
        <v>#VALUE!</v>
      </c>
    </row>
    <row r="29" spans="1:19">
      <c r="A29" s="39">
        <v>44469</v>
      </c>
      <c r="B29" s="38">
        <v>671100</v>
      </c>
      <c r="C29" s="38">
        <v>302.64999999999998</v>
      </c>
      <c r="D29">
        <v>0.61</v>
      </c>
      <c r="E29" s="37">
        <v>17100</v>
      </c>
      <c r="F29">
        <v>11.84</v>
      </c>
      <c r="G29" s="38">
        <v>158.6</v>
      </c>
      <c r="H29" s="38">
        <v>-0.39</v>
      </c>
      <c r="I29" s="38">
        <v>847750</v>
      </c>
      <c r="J29" s="38">
        <v>-3.88</v>
      </c>
      <c r="K29" s="38">
        <v>18.34</v>
      </c>
      <c r="L29">
        <v>6.8000000000000005E-4</v>
      </c>
      <c r="M29" s="41">
        <f t="shared" si="0"/>
        <v>25.561655405405403</v>
      </c>
      <c r="N29" s="40" t="e">
        <f>Market!$C$3*Market!$D$3*NIFTY_OC!$D29/$C29</f>
        <v>#VALUE!</v>
      </c>
      <c r="O29" s="40" t="e">
        <f>Market!$C$3*Market!$E$3*NIFTY_OC!$D29/$C29</f>
        <v>#VALUE!</v>
      </c>
      <c r="P29" s="40" t="e">
        <f>Market!$C$3*Market!$F$3*NIFTY_OC!$D29/$C29</f>
        <v>#VALUE!</v>
      </c>
      <c r="Q29" s="40" t="e">
        <f>Market!$C$3*Market!$G$3*NIFTY_OC!$D29/$C29</f>
        <v>#VALUE!</v>
      </c>
      <c r="R29" s="40" t="e">
        <f>Market!$C$3*Market!$H$3*NIFTY_OC!$D29/$C29</f>
        <v>#VALUE!</v>
      </c>
      <c r="S29" s="40" t="e">
        <f>Market!$C$3*Market!$I$3*NIFTY_OC!$D29/$C29</f>
        <v>#VALUE!</v>
      </c>
    </row>
    <row r="30" spans="1:19">
      <c r="A30" s="39">
        <v>44469</v>
      </c>
      <c r="B30" s="38">
        <v>195000</v>
      </c>
      <c r="C30" s="38">
        <v>272.64999999999998</v>
      </c>
      <c r="D30">
        <v>0.56999999999999995</v>
      </c>
      <c r="E30" s="37">
        <v>17150</v>
      </c>
      <c r="F30">
        <v>11.83</v>
      </c>
      <c r="G30" s="38">
        <v>179.55</v>
      </c>
      <c r="H30" s="38">
        <v>-0.43</v>
      </c>
      <c r="I30" s="38">
        <v>99950</v>
      </c>
      <c r="J30" s="38">
        <v>-3.96</v>
      </c>
      <c r="K30" s="38">
        <v>18.72</v>
      </c>
      <c r="L30">
        <v>6.8999999999999997E-4</v>
      </c>
      <c r="M30" s="41">
        <f t="shared" si="0"/>
        <v>23.047337278106507</v>
      </c>
      <c r="N30" s="40" t="e">
        <f>Market!$C$3*Market!$D$3*NIFTY_OC!$D30/$C30</f>
        <v>#VALUE!</v>
      </c>
      <c r="O30" s="40" t="e">
        <f>Market!$C$3*Market!$E$3*NIFTY_OC!$D30/$C30</f>
        <v>#VALUE!</v>
      </c>
      <c r="P30" s="40" t="e">
        <f>Market!$C$3*Market!$F$3*NIFTY_OC!$D30/$C30</f>
        <v>#VALUE!</v>
      </c>
      <c r="Q30" s="40" t="e">
        <f>Market!$C$3*Market!$G$3*NIFTY_OC!$D30/$C30</f>
        <v>#VALUE!</v>
      </c>
      <c r="R30" s="40" t="e">
        <f>Market!$C$3*Market!$H$3*NIFTY_OC!$D30/$C30</f>
        <v>#VALUE!</v>
      </c>
      <c r="S30" s="40" t="e">
        <f>Market!$C$3*Market!$I$3*NIFTY_OC!$D30/$C30</f>
        <v>#VALUE!</v>
      </c>
    </row>
    <row r="31" spans="1:19">
      <c r="A31" s="39">
        <v>44469</v>
      </c>
      <c r="B31" s="38">
        <v>1228800</v>
      </c>
      <c r="C31" s="38">
        <v>244.3</v>
      </c>
      <c r="D31">
        <v>0.54</v>
      </c>
      <c r="E31" s="37">
        <v>17200</v>
      </c>
      <c r="F31">
        <v>11.71</v>
      </c>
      <c r="G31" s="38">
        <v>199.95</v>
      </c>
      <c r="H31" s="38">
        <v>-0.46</v>
      </c>
      <c r="I31" s="38">
        <v>1476050</v>
      </c>
      <c r="J31" s="38">
        <v>-3.96</v>
      </c>
      <c r="K31" s="38">
        <v>18.96</v>
      </c>
      <c r="L31">
        <v>7.1000000000000002E-4</v>
      </c>
      <c r="M31" s="41">
        <f t="shared" si="0"/>
        <v>20.862510674637061</v>
      </c>
      <c r="N31" s="40" t="e">
        <f>Market!$C$3*Market!$D$3*NIFTY_OC!$D31/$C31</f>
        <v>#VALUE!</v>
      </c>
      <c r="O31" s="40" t="e">
        <f>Market!$C$3*Market!$E$3*NIFTY_OC!$D31/$C31</f>
        <v>#VALUE!</v>
      </c>
      <c r="P31" s="40" t="e">
        <f>Market!$C$3*Market!$F$3*NIFTY_OC!$D31/$C31</f>
        <v>#VALUE!</v>
      </c>
      <c r="Q31" s="40" t="e">
        <f>Market!$C$3*Market!$G$3*NIFTY_OC!$D31/$C31</f>
        <v>#VALUE!</v>
      </c>
      <c r="R31" s="40" t="e">
        <f>Market!$C$3*Market!$H$3*NIFTY_OC!$D31/$C31</f>
        <v>#VALUE!</v>
      </c>
      <c r="S31" s="40" t="e">
        <f>Market!$C$3*Market!$I$3*NIFTY_OC!$D31/$C31</f>
        <v>#VALUE!</v>
      </c>
    </row>
    <row r="32" spans="1:19">
      <c r="A32" s="39">
        <v>44469</v>
      </c>
      <c r="B32" s="38">
        <v>131050</v>
      </c>
      <c r="C32" s="38">
        <v>216.95</v>
      </c>
      <c r="D32">
        <v>0.5</v>
      </c>
      <c r="E32" s="37">
        <v>17250</v>
      </c>
      <c r="F32">
        <v>11.46</v>
      </c>
      <c r="G32" s="38">
        <v>223.1</v>
      </c>
      <c r="H32" s="38">
        <v>-0.5</v>
      </c>
      <c r="I32" s="38">
        <v>86150</v>
      </c>
      <c r="J32" s="38">
        <v>-3.9</v>
      </c>
      <c r="K32" s="38">
        <v>19.059999999999999</v>
      </c>
      <c r="L32">
        <v>7.2999999999999996E-4</v>
      </c>
      <c r="M32" s="41">
        <f t="shared" si="0"/>
        <v>18.931064572425825</v>
      </c>
      <c r="N32" s="40" t="e">
        <f>Market!$C$3*Market!$D$3*NIFTY_OC!$D32/$C32</f>
        <v>#VALUE!</v>
      </c>
      <c r="O32" s="40" t="e">
        <f>Market!$C$3*Market!$E$3*NIFTY_OC!$D32/$C32</f>
        <v>#VALUE!</v>
      </c>
      <c r="P32" s="40" t="e">
        <f>Market!$C$3*Market!$F$3*NIFTY_OC!$D32/$C32</f>
        <v>#VALUE!</v>
      </c>
      <c r="Q32" s="40" t="e">
        <f>Market!$C$3*Market!$G$3*NIFTY_OC!$D32/$C32</f>
        <v>#VALUE!</v>
      </c>
      <c r="R32" s="40" t="e">
        <f>Market!$C$3*Market!$H$3*NIFTY_OC!$D32/$C32</f>
        <v>#VALUE!</v>
      </c>
      <c r="S32" s="40" t="e">
        <f>Market!$C$3*Market!$I$3*NIFTY_OC!$D32/$C32</f>
        <v>#VALUE!</v>
      </c>
    </row>
    <row r="33" spans="1:19">
      <c r="A33" s="39">
        <v>44469</v>
      </c>
      <c r="B33" s="38">
        <v>1142150</v>
      </c>
      <c r="C33" s="38">
        <v>190.15</v>
      </c>
      <c r="D33">
        <v>0.47</v>
      </c>
      <c r="E33" s="37">
        <v>17300</v>
      </c>
      <c r="F33">
        <v>11.29</v>
      </c>
      <c r="G33" s="38">
        <v>246.4</v>
      </c>
      <c r="H33" s="38">
        <v>-0.53</v>
      </c>
      <c r="I33" s="38">
        <v>302650</v>
      </c>
      <c r="J33" s="38">
        <v>-3.83</v>
      </c>
      <c r="K33" s="38">
        <v>18.989999999999998</v>
      </c>
      <c r="L33">
        <v>7.3999999999999999E-4</v>
      </c>
      <c r="M33" s="41">
        <f t="shared" si="0"/>
        <v>16.842338352524358</v>
      </c>
      <c r="N33" s="40" t="e">
        <f>Market!$C$3*Market!$D$3*NIFTY_OC!$D33/$C33</f>
        <v>#VALUE!</v>
      </c>
      <c r="O33" s="40" t="e">
        <f>Market!$C$3*Market!$E$3*NIFTY_OC!$D33/$C33</f>
        <v>#VALUE!</v>
      </c>
      <c r="P33" s="40" t="e">
        <f>Market!$C$3*Market!$F$3*NIFTY_OC!$D33/$C33</f>
        <v>#VALUE!</v>
      </c>
      <c r="Q33" s="40" t="e">
        <f>Market!$C$3*Market!$G$3*NIFTY_OC!$D33/$C33</f>
        <v>#VALUE!</v>
      </c>
      <c r="R33" s="40" t="e">
        <f>Market!$C$3*Market!$H$3*NIFTY_OC!$D33/$C33</f>
        <v>#VALUE!</v>
      </c>
      <c r="S33" s="40" t="e">
        <f>Market!$C$3*Market!$I$3*NIFTY_OC!$D33/$C33</f>
        <v>#VALUE!</v>
      </c>
    </row>
    <row r="34" spans="1:19">
      <c r="A34" s="39">
        <v>44469</v>
      </c>
      <c r="B34" s="38">
        <v>72900</v>
      </c>
      <c r="C34" s="38">
        <v>165.75</v>
      </c>
      <c r="D34">
        <v>0.43</v>
      </c>
      <c r="E34" s="37">
        <v>17350</v>
      </c>
      <c r="F34">
        <v>11.15</v>
      </c>
      <c r="G34" s="38">
        <v>268.14999999999998</v>
      </c>
      <c r="H34" s="38">
        <v>-0.56999999999999995</v>
      </c>
      <c r="I34" s="38">
        <v>8200</v>
      </c>
      <c r="J34" s="38">
        <v>-3.74</v>
      </c>
      <c r="K34" s="38">
        <v>18.760000000000002</v>
      </c>
      <c r="L34">
        <v>7.3999999999999999E-4</v>
      </c>
      <c r="M34" s="41">
        <f t="shared" si="0"/>
        <v>14.865470852017937</v>
      </c>
      <c r="N34" s="40" t="e">
        <f>Market!$C$3*Market!$D$3*NIFTY_OC!$D34/$C34</f>
        <v>#VALUE!</v>
      </c>
      <c r="O34" s="40" t="e">
        <f>Market!$C$3*Market!$E$3*NIFTY_OC!$D34/$C34</f>
        <v>#VALUE!</v>
      </c>
      <c r="P34" s="40" t="e">
        <f>Market!$C$3*Market!$F$3*NIFTY_OC!$D34/$C34</f>
        <v>#VALUE!</v>
      </c>
      <c r="Q34" s="40" t="e">
        <f>Market!$C$3*Market!$G$3*NIFTY_OC!$D34/$C34</f>
        <v>#VALUE!</v>
      </c>
      <c r="R34" s="40" t="e">
        <f>Market!$C$3*Market!$H$3*NIFTY_OC!$D34/$C34</f>
        <v>#VALUE!</v>
      </c>
      <c r="S34" s="40" t="e">
        <f>Market!$C$3*Market!$I$3*NIFTY_OC!$D34/$C34</f>
        <v>#VALUE!</v>
      </c>
    </row>
    <row r="35" spans="1:19">
      <c r="A35" s="39">
        <v>44469</v>
      </c>
      <c r="B35" s="38">
        <v>987800</v>
      </c>
      <c r="C35" s="38">
        <v>145.55000000000001</v>
      </c>
      <c r="D35">
        <v>0.39</v>
      </c>
      <c r="E35" s="37">
        <v>17400</v>
      </c>
      <c r="F35">
        <v>11.14</v>
      </c>
      <c r="G35" s="38">
        <v>300.8</v>
      </c>
      <c r="H35" s="38">
        <v>-0.61</v>
      </c>
      <c r="I35" s="38">
        <v>127400</v>
      </c>
      <c r="J35" s="38">
        <v>-3.66</v>
      </c>
      <c r="K35" s="38">
        <v>18.37</v>
      </c>
      <c r="L35">
        <v>7.2000000000000005E-4</v>
      </c>
      <c r="M35" s="41">
        <f t="shared" si="0"/>
        <v>13.065529622980252</v>
      </c>
      <c r="N35" s="40" t="e">
        <f>Market!$C$3*Market!$D$3*NIFTY_OC!$D35/$C35</f>
        <v>#VALUE!</v>
      </c>
      <c r="O35" s="40" t="e">
        <f>Market!$C$3*Market!$E$3*NIFTY_OC!$D35/$C35</f>
        <v>#VALUE!</v>
      </c>
      <c r="P35" s="40" t="e">
        <f>Market!$C$3*Market!$F$3*NIFTY_OC!$D35/$C35</f>
        <v>#VALUE!</v>
      </c>
      <c r="Q35" s="40" t="e">
        <f>Market!$C$3*Market!$G$3*NIFTY_OC!$D35/$C35</f>
        <v>#VALUE!</v>
      </c>
      <c r="R35" s="40" t="e">
        <f>Market!$C$3*Market!$H$3*NIFTY_OC!$D35/$C35</f>
        <v>#VALUE!</v>
      </c>
      <c r="S35" s="40" t="e">
        <f>Market!$C$3*Market!$I$3*NIFTY_OC!$D35/$C35</f>
        <v>#VALUE!</v>
      </c>
    </row>
    <row r="36" spans="1:19">
      <c r="A36" s="39">
        <v>44469</v>
      </c>
      <c r="B36" s="38">
        <v>55450</v>
      </c>
      <c r="C36" s="38">
        <v>126.65</v>
      </c>
      <c r="D36">
        <v>0.36</v>
      </c>
      <c r="E36" s="37">
        <v>17450</v>
      </c>
      <c r="F36">
        <v>11.1</v>
      </c>
      <c r="G36" s="38">
        <v>330.75</v>
      </c>
      <c r="H36" s="38">
        <v>-0.64</v>
      </c>
      <c r="I36" s="38">
        <v>6850</v>
      </c>
      <c r="J36" s="38">
        <v>-3.54</v>
      </c>
      <c r="K36" s="38">
        <v>17.829999999999998</v>
      </c>
      <c r="L36">
        <v>6.9999999999999999E-4</v>
      </c>
      <c r="M36" s="41">
        <f t="shared" si="0"/>
        <v>11.40990990990991</v>
      </c>
      <c r="N36" s="40" t="e">
        <f>Market!$C$3*Market!$D$3*NIFTY_OC!$D36/$C36</f>
        <v>#VALUE!</v>
      </c>
      <c r="O36" s="40" t="e">
        <f>Market!$C$3*Market!$E$3*NIFTY_OC!$D36/$C36</f>
        <v>#VALUE!</v>
      </c>
      <c r="P36" s="40" t="e">
        <f>Market!$C$3*Market!$F$3*NIFTY_OC!$D36/$C36</f>
        <v>#VALUE!</v>
      </c>
      <c r="Q36" s="40" t="e">
        <f>Market!$C$3*Market!$G$3*NIFTY_OC!$D36/$C36</f>
        <v>#VALUE!</v>
      </c>
      <c r="R36" s="40" t="e">
        <f>Market!$C$3*Market!$H$3*NIFTY_OC!$D36/$C36</f>
        <v>#VALUE!</v>
      </c>
      <c r="S36" s="40" t="e">
        <f>Market!$C$3*Market!$I$3*NIFTY_OC!$D36/$C36</f>
        <v>#VALUE!</v>
      </c>
    </row>
    <row r="37" spans="1:19">
      <c r="A37" s="39">
        <v>44469</v>
      </c>
      <c r="B37" s="38">
        <v>1641475</v>
      </c>
      <c r="C37" s="38">
        <v>109.15</v>
      </c>
      <c r="D37">
        <v>0.32</v>
      </c>
      <c r="E37" s="37">
        <v>17500</v>
      </c>
      <c r="F37">
        <v>11.04</v>
      </c>
      <c r="G37" s="38">
        <v>363.05</v>
      </c>
      <c r="H37" s="38">
        <v>-0.68</v>
      </c>
      <c r="I37" s="38">
        <v>404700</v>
      </c>
      <c r="J37" s="38">
        <v>-3.38</v>
      </c>
      <c r="K37" s="38">
        <v>17.14</v>
      </c>
      <c r="L37">
        <v>6.8000000000000005E-4</v>
      </c>
      <c r="M37" s="41">
        <f t="shared" si="0"/>
        <v>9.8867753623188417</v>
      </c>
      <c r="N37" s="40" t="e">
        <f>Market!$C$3*Market!$D$3*NIFTY_OC!$D37/$C37</f>
        <v>#VALUE!</v>
      </c>
      <c r="O37" s="40" t="e">
        <f>Market!$C$3*Market!$E$3*NIFTY_OC!$D37/$C37</f>
        <v>#VALUE!</v>
      </c>
      <c r="P37" s="40" t="e">
        <f>Market!$C$3*Market!$F$3*NIFTY_OC!$D37/$C37</f>
        <v>#VALUE!</v>
      </c>
      <c r="Q37" s="40" t="e">
        <f>Market!$C$3*Market!$G$3*NIFTY_OC!$D37/$C37</f>
        <v>#VALUE!</v>
      </c>
      <c r="R37" s="40" t="e">
        <f>Market!$C$3*Market!$H$3*NIFTY_OC!$D37/$C37</f>
        <v>#VALUE!</v>
      </c>
      <c r="S37" s="40" t="e">
        <f>Market!$C$3*Market!$I$3*NIFTY_OC!$D37/$C37</f>
        <v>#VALUE!</v>
      </c>
    </row>
    <row r="38" spans="1:19">
      <c r="A38" s="39">
        <v>44469</v>
      </c>
      <c r="B38" s="38">
        <v>79400</v>
      </c>
      <c r="C38" s="38">
        <v>93.3</v>
      </c>
      <c r="D38">
        <v>0.28999999999999998</v>
      </c>
      <c r="E38" s="37">
        <v>17550</v>
      </c>
      <c r="F38">
        <v>10.98</v>
      </c>
      <c r="G38" s="38">
        <v>398.55</v>
      </c>
      <c r="H38" s="38">
        <v>-0.71</v>
      </c>
      <c r="I38" s="38">
        <v>2250</v>
      </c>
      <c r="J38" s="38">
        <v>-3.2</v>
      </c>
      <c r="K38" s="38">
        <v>16.32</v>
      </c>
      <c r="L38">
        <v>6.4999999999999997E-4</v>
      </c>
      <c r="M38" s="41">
        <f t="shared" si="0"/>
        <v>8.4972677595628401</v>
      </c>
      <c r="N38" s="40" t="e">
        <f>Market!$C$3*Market!$D$3*NIFTY_OC!$D38/$C38</f>
        <v>#VALUE!</v>
      </c>
      <c r="O38" s="40" t="e">
        <f>Market!$C$3*Market!$E$3*NIFTY_OC!$D38/$C38</f>
        <v>#VALUE!</v>
      </c>
      <c r="P38" s="40" t="e">
        <f>Market!$C$3*Market!$F$3*NIFTY_OC!$D38/$C38</f>
        <v>#VALUE!</v>
      </c>
      <c r="Q38" s="40" t="e">
        <f>Market!$C$3*Market!$G$3*NIFTY_OC!$D38/$C38</f>
        <v>#VALUE!</v>
      </c>
      <c r="R38" s="40" t="e">
        <f>Market!$C$3*Market!$H$3*NIFTY_OC!$D38/$C38</f>
        <v>#VALUE!</v>
      </c>
      <c r="S38" s="40" t="e">
        <f>Market!$C$3*Market!$I$3*NIFTY_OC!$D38/$C38</f>
        <v>#VALUE!</v>
      </c>
    </row>
    <row r="39" spans="1:19">
      <c r="A39" s="39">
        <v>44469</v>
      </c>
      <c r="B39" s="38">
        <v>421850</v>
      </c>
      <c r="C39" s="38">
        <v>80.849999999999994</v>
      </c>
      <c r="D39">
        <v>0.26</v>
      </c>
      <c r="E39" s="37">
        <v>17600</v>
      </c>
      <c r="F39">
        <v>11.02</v>
      </c>
      <c r="G39" s="38">
        <v>437.3</v>
      </c>
      <c r="H39" s="38">
        <v>-0.74</v>
      </c>
      <c r="I39" s="38">
        <v>69450</v>
      </c>
      <c r="J39" s="38">
        <v>-3.04</v>
      </c>
      <c r="K39" s="38">
        <v>15.45</v>
      </c>
      <c r="L39">
        <v>6.0999999999999997E-4</v>
      </c>
      <c r="M39" s="41">
        <f t="shared" si="0"/>
        <v>7.3366606170598905</v>
      </c>
      <c r="N39" s="40" t="e">
        <f>Market!$C$3*Market!$D$3*NIFTY_OC!$D39/$C39</f>
        <v>#VALUE!</v>
      </c>
      <c r="O39" s="40" t="e">
        <f>Market!$C$3*Market!$E$3*NIFTY_OC!$D39/$C39</f>
        <v>#VALUE!</v>
      </c>
      <c r="P39" s="40" t="e">
        <f>Market!$C$3*Market!$F$3*NIFTY_OC!$D39/$C39</f>
        <v>#VALUE!</v>
      </c>
      <c r="Q39" s="40" t="e">
        <f>Market!$C$3*Market!$G$3*NIFTY_OC!$D39/$C39</f>
        <v>#VALUE!</v>
      </c>
      <c r="R39" s="40" t="e">
        <f>Market!$C$3*Market!$H$3*NIFTY_OC!$D39/$C39</f>
        <v>#VALUE!</v>
      </c>
      <c r="S39" s="40" t="e">
        <f>Market!$C$3*Market!$I$3*NIFTY_OC!$D39/$C39</f>
        <v>#VALUE!</v>
      </c>
    </row>
    <row r="40" spans="1:19">
      <c r="A40" s="39">
        <v>44469</v>
      </c>
      <c r="B40" s="38">
        <v>44300</v>
      </c>
      <c r="C40" s="38">
        <v>69.900000000000006</v>
      </c>
      <c r="D40">
        <v>0.23</v>
      </c>
      <c r="E40" s="37">
        <v>17650</v>
      </c>
      <c r="F40">
        <v>11.08</v>
      </c>
      <c r="G40" s="38">
        <v>479.6</v>
      </c>
      <c r="H40" s="38">
        <v>-0.77</v>
      </c>
      <c r="I40" s="38">
        <v>4750</v>
      </c>
      <c r="J40" s="38">
        <v>-2.87</v>
      </c>
      <c r="K40" s="38">
        <v>14.52</v>
      </c>
      <c r="L40">
        <v>5.6999999999999998E-4</v>
      </c>
      <c r="M40" s="41">
        <f t="shared" si="0"/>
        <v>6.3086642599277987</v>
      </c>
      <c r="N40" s="40" t="e">
        <f>Market!$C$3*Market!$D$3*NIFTY_OC!$D40/$C40</f>
        <v>#VALUE!</v>
      </c>
      <c r="O40" s="40" t="e">
        <f>Market!$C$3*Market!$E$3*NIFTY_OC!$D40/$C40</f>
        <v>#VALUE!</v>
      </c>
      <c r="P40" s="40" t="e">
        <f>Market!$C$3*Market!$F$3*NIFTY_OC!$D40/$C40</f>
        <v>#VALUE!</v>
      </c>
      <c r="Q40" s="40" t="e">
        <f>Market!$C$3*Market!$G$3*NIFTY_OC!$D40/$C40</f>
        <v>#VALUE!</v>
      </c>
      <c r="R40" s="40" t="e">
        <f>Market!$C$3*Market!$H$3*NIFTY_OC!$D40/$C40</f>
        <v>#VALUE!</v>
      </c>
      <c r="S40" s="40" t="e">
        <f>Market!$C$3*Market!$I$3*NIFTY_OC!$D40/$C40</f>
        <v>#VALUE!</v>
      </c>
    </row>
    <row r="41" spans="1:19">
      <c r="A41" s="39">
        <v>44469</v>
      </c>
      <c r="B41" s="38">
        <v>364650</v>
      </c>
      <c r="C41" s="38">
        <v>59.9</v>
      </c>
      <c r="D41">
        <v>0.2</v>
      </c>
      <c r="E41" s="37">
        <v>17700</v>
      </c>
      <c r="F41">
        <v>11.11</v>
      </c>
      <c r="G41" s="38">
        <v>514.5</v>
      </c>
      <c r="H41" s="38">
        <v>-0.8</v>
      </c>
      <c r="I41" s="38">
        <v>26850</v>
      </c>
      <c r="J41" s="38">
        <v>-2.68</v>
      </c>
      <c r="K41" s="38">
        <v>13.54</v>
      </c>
      <c r="L41">
        <v>5.2999999999999998E-4</v>
      </c>
      <c r="M41" s="41">
        <f t="shared" si="0"/>
        <v>5.3915391539153914</v>
      </c>
      <c r="N41" s="40" t="e">
        <f>Market!$C$3*Market!$D$3*NIFTY_OC!$D41/$C41</f>
        <v>#VALUE!</v>
      </c>
      <c r="O41" s="40" t="e">
        <f>Market!$C$3*Market!$E$3*NIFTY_OC!$D41/$C41</f>
        <v>#VALUE!</v>
      </c>
      <c r="P41" s="40" t="e">
        <f>Market!$C$3*Market!$F$3*NIFTY_OC!$D41/$C41</f>
        <v>#VALUE!</v>
      </c>
      <c r="Q41" s="40" t="e">
        <f>Market!$C$3*Market!$G$3*NIFTY_OC!$D41/$C41</f>
        <v>#VALUE!</v>
      </c>
      <c r="R41" s="40" t="e">
        <f>Market!$C$3*Market!$H$3*NIFTY_OC!$D41/$C41</f>
        <v>#VALUE!</v>
      </c>
      <c r="S41" s="40" t="e">
        <f>Market!$C$3*Market!$I$3*NIFTY_OC!$D41/$C41</f>
        <v>#VALUE!</v>
      </c>
    </row>
    <row r="42" spans="1:19">
      <c r="A42" s="39">
        <v>44469</v>
      </c>
      <c r="B42" s="38">
        <v>82550</v>
      </c>
      <c r="C42" s="38">
        <v>51.15</v>
      </c>
      <c r="D42">
        <v>0.18</v>
      </c>
      <c r="E42" s="37">
        <v>17750</v>
      </c>
      <c r="F42">
        <v>11.14</v>
      </c>
      <c r="G42" s="38">
        <v>556.9</v>
      </c>
      <c r="H42" s="38">
        <v>-0.82</v>
      </c>
      <c r="I42" s="38">
        <v>8900</v>
      </c>
      <c r="J42" s="38">
        <v>-2.4900000000000002</v>
      </c>
      <c r="K42" s="38">
        <v>12.53</v>
      </c>
      <c r="L42">
        <v>4.8999999999999998E-4</v>
      </c>
      <c r="M42" s="41">
        <f t="shared" si="0"/>
        <v>4.5915619389587068</v>
      </c>
      <c r="N42" s="40" t="e">
        <f>Market!$C$3*Market!$D$3*NIFTY_OC!$D42/$C42</f>
        <v>#VALUE!</v>
      </c>
      <c r="O42" s="40" t="e">
        <f>Market!$C$3*Market!$E$3*NIFTY_OC!$D42/$C42</f>
        <v>#VALUE!</v>
      </c>
      <c r="P42" s="40" t="e">
        <f>Market!$C$3*Market!$F$3*NIFTY_OC!$D42/$C42</f>
        <v>#VALUE!</v>
      </c>
      <c r="Q42" s="40" t="e">
        <f>Market!$C$3*Market!$G$3*NIFTY_OC!$D42/$C42</f>
        <v>#VALUE!</v>
      </c>
      <c r="R42" s="40" t="e">
        <f>Market!$C$3*Market!$H$3*NIFTY_OC!$D42/$C42</f>
        <v>#VALUE!</v>
      </c>
      <c r="S42" s="40" t="e">
        <f>Market!$C$3*Market!$I$3*NIFTY_OC!$D42/$C42</f>
        <v>#VALUE!</v>
      </c>
    </row>
    <row r="43" spans="1:19">
      <c r="A43" s="39">
        <v>44469</v>
      </c>
      <c r="B43" s="38">
        <v>386100</v>
      </c>
      <c r="C43" s="38">
        <v>43.35</v>
      </c>
      <c r="D43">
        <v>0.16</v>
      </c>
      <c r="E43" s="37">
        <v>17800</v>
      </c>
      <c r="F43">
        <v>11.16</v>
      </c>
      <c r="G43" s="38">
        <v>594.65</v>
      </c>
      <c r="H43" s="38">
        <v>-0.84</v>
      </c>
      <c r="I43" s="38">
        <v>26000</v>
      </c>
      <c r="J43" s="38">
        <v>-2.29</v>
      </c>
      <c r="K43" s="38">
        <v>11.5</v>
      </c>
      <c r="L43">
        <v>4.4999999999999999E-4</v>
      </c>
      <c r="M43" s="41">
        <f t="shared" si="0"/>
        <v>3.8844086021505375</v>
      </c>
      <c r="N43" s="40" t="e">
        <f>Market!$C$3*Market!$D$3*NIFTY_OC!$D43/$C43</f>
        <v>#VALUE!</v>
      </c>
      <c r="O43" s="40" t="e">
        <f>Market!$C$3*Market!$E$3*NIFTY_OC!$D43/$C43</f>
        <v>#VALUE!</v>
      </c>
      <c r="P43" s="40" t="e">
        <f>Market!$C$3*Market!$F$3*NIFTY_OC!$D43/$C43</f>
        <v>#VALUE!</v>
      </c>
      <c r="Q43" s="40" t="e">
        <f>Market!$C$3*Market!$G$3*NIFTY_OC!$D43/$C43</f>
        <v>#VALUE!</v>
      </c>
      <c r="R43" s="40" t="e">
        <f>Market!$C$3*Market!$H$3*NIFTY_OC!$D43/$C43</f>
        <v>#VALUE!</v>
      </c>
      <c r="S43" s="40" t="e">
        <f>Market!$C$3*Market!$I$3*NIFTY_OC!$D43/$C43</f>
        <v>#VALUE!</v>
      </c>
    </row>
    <row r="44" spans="1:19">
      <c r="A44" s="39">
        <v>44469</v>
      </c>
      <c r="B44" s="38">
        <v>28000</v>
      </c>
      <c r="C44" s="38">
        <v>37.5</v>
      </c>
      <c r="D44">
        <v>0.14000000000000001</v>
      </c>
      <c r="E44" s="37">
        <v>17850</v>
      </c>
      <c r="F44">
        <v>11.27</v>
      </c>
      <c r="G44" s="38">
        <v>645</v>
      </c>
      <c r="H44" s="38">
        <v>-0.86</v>
      </c>
      <c r="I44" s="38">
        <v>7600</v>
      </c>
      <c r="J44" s="38">
        <v>-2.13</v>
      </c>
      <c r="K44" s="38">
        <v>10.58</v>
      </c>
      <c r="L44">
        <v>4.0999999999999999E-4</v>
      </c>
      <c r="M44" s="41">
        <f t="shared" si="0"/>
        <v>3.3274179236912156</v>
      </c>
      <c r="N44" s="40" t="e">
        <f>Market!$C$3*Market!$D$3*NIFTY_OC!$D44/$C44</f>
        <v>#VALUE!</v>
      </c>
      <c r="O44" s="40" t="e">
        <f>Market!$C$3*Market!$E$3*NIFTY_OC!$D44/$C44</f>
        <v>#VALUE!</v>
      </c>
      <c r="P44" s="40" t="e">
        <f>Market!$C$3*Market!$F$3*NIFTY_OC!$D44/$C44</f>
        <v>#VALUE!</v>
      </c>
      <c r="Q44" s="40" t="e">
        <f>Market!$C$3*Market!$G$3*NIFTY_OC!$D44/$C44</f>
        <v>#VALUE!</v>
      </c>
      <c r="R44" s="40" t="e">
        <f>Market!$C$3*Market!$H$3*NIFTY_OC!$D44/$C44</f>
        <v>#VALUE!</v>
      </c>
      <c r="S44" s="40" t="e">
        <f>Market!$C$3*Market!$I$3*NIFTY_OC!$D44/$C44</f>
        <v>#VALUE!</v>
      </c>
    </row>
    <row r="45" spans="1:19">
      <c r="A45" s="39">
        <v>44469</v>
      </c>
      <c r="B45" s="38">
        <v>114850</v>
      </c>
      <c r="C45" s="38">
        <v>32.65</v>
      </c>
      <c r="D45">
        <v>0.12</v>
      </c>
      <c r="E45" s="37">
        <v>17900</v>
      </c>
      <c r="F45">
        <v>11.4</v>
      </c>
      <c r="G45" s="38">
        <v>683.3</v>
      </c>
      <c r="H45" s="38">
        <v>-0.88</v>
      </c>
      <c r="I45" s="38">
        <v>18700</v>
      </c>
      <c r="J45" s="38">
        <v>-1.98</v>
      </c>
      <c r="K45" s="38">
        <v>9.7200000000000006</v>
      </c>
      <c r="L45">
        <v>3.6999999999999999E-4</v>
      </c>
      <c r="M45" s="41">
        <f t="shared" si="0"/>
        <v>2.8640350877192979</v>
      </c>
      <c r="N45" s="40" t="e">
        <f>Market!$C$3*Market!$D$3*NIFTY_OC!$D45/$C45</f>
        <v>#VALUE!</v>
      </c>
      <c r="O45" s="40" t="e">
        <f>Market!$C$3*Market!$E$3*NIFTY_OC!$D45/$C45</f>
        <v>#VALUE!</v>
      </c>
      <c r="P45" s="40" t="e">
        <f>Market!$C$3*Market!$F$3*NIFTY_OC!$D45/$C45</f>
        <v>#VALUE!</v>
      </c>
      <c r="Q45" s="40" t="e">
        <f>Market!$C$3*Market!$G$3*NIFTY_OC!$D45/$C45</f>
        <v>#VALUE!</v>
      </c>
      <c r="R45" s="40" t="e">
        <f>Market!$C$3*Market!$H$3*NIFTY_OC!$D45/$C45</f>
        <v>#VALUE!</v>
      </c>
      <c r="S45" s="40" t="e">
        <f>Market!$C$3*Market!$I$3*NIFTY_OC!$D45/$C45</f>
        <v>#VALUE!</v>
      </c>
    </row>
    <row r="46" spans="1:19">
      <c r="A46" s="39">
        <v>44469</v>
      </c>
      <c r="B46" s="38">
        <v>18150</v>
      </c>
      <c r="C46" s="38">
        <v>28.1</v>
      </c>
      <c r="D46">
        <v>0.11</v>
      </c>
      <c r="E46" s="37">
        <v>17950</v>
      </c>
      <c r="F46">
        <v>11.5</v>
      </c>
      <c r="G46" s="38">
        <v>732.5</v>
      </c>
      <c r="H46" s="38">
        <v>-0.89</v>
      </c>
      <c r="I46" s="38">
        <v>9350</v>
      </c>
      <c r="J46" s="38">
        <v>-1.82</v>
      </c>
      <c r="K46" s="38">
        <v>8.85</v>
      </c>
      <c r="L46">
        <v>3.4000000000000002E-4</v>
      </c>
      <c r="M46" s="41">
        <f t="shared" si="0"/>
        <v>2.4434782608695653</v>
      </c>
      <c r="N46" s="40" t="e">
        <f>Market!$C$3*Market!$D$3*NIFTY_OC!$D46/$C46</f>
        <v>#VALUE!</v>
      </c>
      <c r="O46" s="40" t="e">
        <f>Market!$C$3*Market!$E$3*NIFTY_OC!$D46/$C46</f>
        <v>#VALUE!</v>
      </c>
      <c r="P46" s="40" t="e">
        <f>Market!$C$3*Market!$F$3*NIFTY_OC!$D46/$C46</f>
        <v>#VALUE!</v>
      </c>
      <c r="Q46" s="40" t="e">
        <f>Market!$C$3*Market!$G$3*NIFTY_OC!$D46/$C46</f>
        <v>#VALUE!</v>
      </c>
      <c r="R46" s="40" t="e">
        <f>Market!$C$3*Market!$H$3*NIFTY_OC!$D46/$C46</f>
        <v>#VALUE!</v>
      </c>
      <c r="S46" s="40" t="e">
        <f>Market!$C$3*Market!$I$3*NIFTY_OC!$D46/$C46</f>
        <v>#VALUE!</v>
      </c>
    </row>
    <row r="47" spans="1:19">
      <c r="A47" s="39">
        <v>44469</v>
      </c>
      <c r="B47" s="38">
        <v>1057075</v>
      </c>
      <c r="C47" s="38">
        <v>25.1</v>
      </c>
      <c r="D47">
        <v>0.12</v>
      </c>
      <c r="E47" s="37">
        <v>18000</v>
      </c>
      <c r="F47">
        <v>11.71</v>
      </c>
      <c r="G47" s="38">
        <v>775.8</v>
      </c>
      <c r="H47" s="38">
        <v>-0.9</v>
      </c>
      <c r="I47" s="38">
        <v>388250</v>
      </c>
      <c r="J47" s="38">
        <v>-1.71</v>
      </c>
      <c r="K47" s="38">
        <v>8.18</v>
      </c>
      <c r="L47">
        <v>3.1E-4</v>
      </c>
      <c r="M47" s="41">
        <f t="shared" si="0"/>
        <v>2.1434671221178481</v>
      </c>
      <c r="N47" s="40" t="e">
        <f>Market!$C$3*Market!$D$3*NIFTY_OC!$D47/$C47</f>
        <v>#VALUE!</v>
      </c>
      <c r="O47" s="40" t="e">
        <f>Market!$C$3*Market!$E$3*NIFTY_OC!$D47/$C47</f>
        <v>#VALUE!</v>
      </c>
      <c r="P47" s="40" t="e">
        <f>Market!$C$3*Market!$F$3*NIFTY_OC!$D47/$C47</f>
        <v>#VALUE!</v>
      </c>
      <c r="Q47" s="40" t="e">
        <f>Market!$C$3*Market!$G$3*NIFTY_OC!$D47/$C47</f>
        <v>#VALUE!</v>
      </c>
      <c r="R47" s="40" t="e">
        <f>Market!$C$3*Market!$H$3*NIFTY_OC!$D47/$C47</f>
        <v>#VALUE!</v>
      </c>
      <c r="S47" s="40" t="e">
        <f>Market!$C$3*Market!$I$3*NIFTY_OC!$D47/$C47</f>
        <v>#VALUE!</v>
      </c>
    </row>
    <row r="48" spans="1:19">
      <c r="A48" s="39">
        <v>44469</v>
      </c>
      <c r="B48" s="38">
        <v>20000</v>
      </c>
      <c r="C48" s="38">
        <v>21.9</v>
      </c>
      <c r="D48">
        <v>0.09</v>
      </c>
      <c r="E48" s="37">
        <v>18050</v>
      </c>
      <c r="F48">
        <v>11.85</v>
      </c>
      <c r="G48" s="38">
        <v>942.55</v>
      </c>
      <c r="H48" s="38">
        <v>-0.91</v>
      </c>
      <c r="I48" s="38">
        <v>450</v>
      </c>
      <c r="J48" s="38">
        <v>-1.58</v>
      </c>
      <c r="K48" s="38">
        <v>7.46</v>
      </c>
      <c r="L48">
        <v>2.7999999999999998E-4</v>
      </c>
      <c r="M48" s="41">
        <f t="shared" si="0"/>
        <v>1.8481012658227847</v>
      </c>
      <c r="N48" s="40" t="e">
        <f>Market!$C$3*Market!$D$3*NIFTY_OC!$D48/$C48</f>
        <v>#VALUE!</v>
      </c>
      <c r="O48" s="40" t="e">
        <f>Market!$C$3*Market!$E$3*NIFTY_OC!$D48/$C48</f>
        <v>#VALUE!</v>
      </c>
      <c r="P48" s="40" t="e">
        <f>Market!$C$3*Market!$F$3*NIFTY_OC!$D48/$C48</f>
        <v>#VALUE!</v>
      </c>
      <c r="Q48" s="40" t="e">
        <f>Market!$C$3*Market!$G$3*NIFTY_OC!$D48/$C48</f>
        <v>#VALUE!</v>
      </c>
      <c r="R48" s="40" t="e">
        <f>Market!$C$3*Market!$H$3*NIFTY_OC!$D48/$C48</f>
        <v>#VALUE!</v>
      </c>
      <c r="S48" s="40" t="e">
        <f>Market!$C$3*Market!$I$3*NIFTY_OC!$D48/$C48</f>
        <v>#VALUE!</v>
      </c>
    </row>
    <row r="49" spans="1:19">
      <c r="A49" s="39">
        <v>44469</v>
      </c>
      <c r="B49" s="38">
        <v>138750</v>
      </c>
      <c r="C49" s="38">
        <v>19.25</v>
      </c>
      <c r="D49">
        <v>0.08</v>
      </c>
      <c r="E49" s="37">
        <v>18100</v>
      </c>
      <c r="F49">
        <v>12.01</v>
      </c>
      <c r="G49" s="38">
        <v>871.5</v>
      </c>
      <c r="H49" s="38">
        <v>-0.92</v>
      </c>
      <c r="I49" s="38">
        <v>3100</v>
      </c>
      <c r="J49" s="38">
        <v>-1.46</v>
      </c>
      <c r="K49" s="38">
        <v>6.81</v>
      </c>
      <c r="L49">
        <v>2.5000000000000001E-4</v>
      </c>
      <c r="M49" s="41">
        <f t="shared" si="0"/>
        <v>1.6028309741881765</v>
      </c>
      <c r="N49" s="40" t="e">
        <f>Market!$C$3*Market!$D$3*NIFTY_OC!$D49/$C49</f>
        <v>#VALUE!</v>
      </c>
      <c r="O49" s="40" t="e">
        <f>Market!$C$3*Market!$E$3*NIFTY_OC!$D49/$C49</f>
        <v>#VALUE!</v>
      </c>
      <c r="P49" s="40" t="e">
        <f>Market!$C$3*Market!$F$3*NIFTY_OC!$D49/$C49</f>
        <v>#VALUE!</v>
      </c>
      <c r="Q49" s="40" t="e">
        <f>Market!$C$3*Market!$G$3*NIFTY_OC!$D49/$C49</f>
        <v>#VALUE!</v>
      </c>
      <c r="R49" s="40" t="e">
        <f>Market!$C$3*Market!$H$3*NIFTY_OC!$D49/$C49</f>
        <v>#VALUE!</v>
      </c>
      <c r="S49" s="40" t="e">
        <f>Market!$C$3*Market!$I$3*NIFTY_OC!$D49/$C49</f>
        <v>#VALUE!</v>
      </c>
    </row>
    <row r="50" spans="1:19">
      <c r="A50" s="39">
        <v>44469</v>
      </c>
      <c r="B50" s="38">
        <v>15400</v>
      </c>
      <c r="C50" s="38">
        <v>17.350000000000001</v>
      </c>
      <c r="D50">
        <v>7.0000000000000007E-2</v>
      </c>
      <c r="E50" s="37">
        <v>18150</v>
      </c>
      <c r="F50">
        <v>12.24</v>
      </c>
      <c r="G50" s="38">
        <v>918.5</v>
      </c>
      <c r="H50" s="38">
        <v>-0.93</v>
      </c>
      <c r="I50" s="38">
        <v>350</v>
      </c>
      <c r="J50" s="38">
        <v>-1.38</v>
      </c>
      <c r="K50" s="38">
        <v>6.29</v>
      </c>
      <c r="L50">
        <v>2.3000000000000001E-4</v>
      </c>
      <c r="M50" s="41">
        <f t="shared" si="0"/>
        <v>1.417483660130719</v>
      </c>
      <c r="N50" s="40" t="e">
        <f>Market!$C$3*Market!$D$3*NIFTY_OC!$D50/$C50</f>
        <v>#VALUE!</v>
      </c>
      <c r="O50" s="40" t="e">
        <f>Market!$C$3*Market!$E$3*NIFTY_OC!$D50/$C50</f>
        <v>#VALUE!</v>
      </c>
      <c r="P50" s="40" t="e">
        <f>Market!$C$3*Market!$F$3*NIFTY_OC!$D50/$C50</f>
        <v>#VALUE!</v>
      </c>
      <c r="Q50" s="40" t="e">
        <f>Market!$C$3*Market!$G$3*NIFTY_OC!$D50/$C50</f>
        <v>#VALUE!</v>
      </c>
      <c r="R50" s="40" t="e">
        <f>Market!$C$3*Market!$H$3*NIFTY_OC!$D50/$C50</f>
        <v>#VALUE!</v>
      </c>
      <c r="S50" s="40" t="e">
        <f>Market!$C$3*Market!$I$3*NIFTY_OC!$D50/$C50</f>
        <v>#VALUE!</v>
      </c>
    </row>
    <row r="51" spans="1:19">
      <c r="A51" s="39">
        <v>44469</v>
      </c>
      <c r="B51" s="38">
        <v>113650</v>
      </c>
      <c r="C51" s="38">
        <v>15.25</v>
      </c>
      <c r="D51">
        <v>0.06</v>
      </c>
      <c r="E51" s="37">
        <v>18200</v>
      </c>
      <c r="F51">
        <v>12.39</v>
      </c>
      <c r="G51" s="38">
        <v>970</v>
      </c>
      <c r="H51" s="38">
        <v>-0.94</v>
      </c>
      <c r="I51" s="38">
        <v>600</v>
      </c>
      <c r="J51" s="38">
        <v>-1.27</v>
      </c>
      <c r="K51" s="38">
        <v>5.73</v>
      </c>
      <c r="L51">
        <v>2.0000000000000001E-4</v>
      </c>
      <c r="M51" s="41">
        <f t="shared" si="0"/>
        <v>1.2308313155770783</v>
      </c>
      <c r="N51" s="40" t="e">
        <f>Market!$C$3*Market!$D$3*NIFTY_OC!$D51/$C51</f>
        <v>#VALUE!</v>
      </c>
      <c r="O51" s="40" t="e">
        <f>Market!$C$3*Market!$E$3*NIFTY_OC!$D51/$C51</f>
        <v>#VALUE!</v>
      </c>
      <c r="P51" s="40" t="e">
        <f>Market!$C$3*Market!$F$3*NIFTY_OC!$D51/$C51</f>
        <v>#VALUE!</v>
      </c>
      <c r="Q51" s="40" t="e">
        <f>Market!$C$3*Market!$G$3*NIFTY_OC!$D51/$C51</f>
        <v>#VALUE!</v>
      </c>
      <c r="R51" s="40" t="e">
        <f>Market!$C$3*Market!$H$3*NIFTY_OC!$D51/$C51</f>
        <v>#VALUE!</v>
      </c>
      <c r="S51" s="40" t="e">
        <f>Market!$C$3*Market!$I$3*NIFTY_OC!$D51/$C51</f>
        <v>#VALUE!</v>
      </c>
    </row>
    <row r="52" spans="1:19">
      <c r="A52" s="39">
        <v>44469</v>
      </c>
      <c r="B52" s="38">
        <v>8900</v>
      </c>
      <c r="C52" s="38">
        <v>13.7</v>
      </c>
      <c r="D52">
        <v>0.05</v>
      </c>
      <c r="E52" s="37">
        <v>18250</v>
      </c>
      <c r="F52">
        <v>12.59</v>
      </c>
      <c r="G52" s="38">
        <v>1097.8</v>
      </c>
      <c r="H52" s="38">
        <v>-0.95</v>
      </c>
      <c r="I52" s="38">
        <v>0</v>
      </c>
      <c r="J52" s="38">
        <v>-1.19</v>
      </c>
      <c r="K52" s="38">
        <v>5.27</v>
      </c>
      <c r="L52">
        <v>1.8000000000000001E-4</v>
      </c>
      <c r="M52" s="41">
        <f t="shared" si="0"/>
        <v>1.0881652104845114</v>
      </c>
      <c r="N52" s="40" t="e">
        <f>Market!$C$3*Market!$D$3*NIFTY_OC!$D52/$C52</f>
        <v>#VALUE!</v>
      </c>
      <c r="O52" s="40" t="e">
        <f>Market!$C$3*Market!$E$3*NIFTY_OC!$D52/$C52</f>
        <v>#VALUE!</v>
      </c>
      <c r="P52" s="40" t="e">
        <f>Market!$C$3*Market!$F$3*NIFTY_OC!$D52/$C52</f>
        <v>#VALUE!</v>
      </c>
      <c r="Q52" s="40" t="e">
        <f>Market!$C$3*Market!$G$3*NIFTY_OC!$D52/$C52</f>
        <v>#VALUE!</v>
      </c>
      <c r="R52" s="40" t="e">
        <f>Market!$C$3*Market!$H$3*NIFTY_OC!$D52/$C52</f>
        <v>#VALUE!</v>
      </c>
      <c r="S52" s="40" t="e">
        <f>Market!$C$3*Market!$I$3*NIFTY_OC!$D52/$C52</f>
        <v>#VALUE!</v>
      </c>
    </row>
    <row r="53" spans="1:19">
      <c r="A53" s="39">
        <v>44469</v>
      </c>
      <c r="B53" s="38">
        <v>37750</v>
      </c>
      <c r="C53" s="38">
        <v>12.2</v>
      </c>
      <c r="D53">
        <v>0.05</v>
      </c>
      <c r="E53" s="37">
        <v>18300</v>
      </c>
      <c r="F53">
        <v>12.77</v>
      </c>
      <c r="G53" s="38">
        <v>1138.3</v>
      </c>
      <c r="H53" s="38">
        <v>-0.95</v>
      </c>
      <c r="I53" s="38">
        <v>250</v>
      </c>
      <c r="J53" s="38">
        <v>-1.1000000000000001</v>
      </c>
      <c r="K53" s="38">
        <v>4.82</v>
      </c>
      <c r="L53">
        <v>1.7000000000000001E-4</v>
      </c>
      <c r="M53" s="41">
        <f t="shared" si="0"/>
        <v>0.95536413469068127</v>
      </c>
      <c r="N53" s="40" t="e">
        <f>Market!$C$3*Market!$D$3*NIFTY_OC!$D53/$C53</f>
        <v>#VALUE!</v>
      </c>
      <c r="O53" s="40" t="e">
        <f>Market!$C$3*Market!$E$3*NIFTY_OC!$D53/$C53</f>
        <v>#VALUE!</v>
      </c>
      <c r="P53" s="40" t="e">
        <f>Market!$C$3*Market!$F$3*NIFTY_OC!$D53/$C53</f>
        <v>#VALUE!</v>
      </c>
      <c r="Q53" s="40" t="e">
        <f>Market!$C$3*Market!$G$3*NIFTY_OC!$D53/$C53</f>
        <v>#VALUE!</v>
      </c>
      <c r="R53" s="40" t="e">
        <f>Market!$C$3*Market!$H$3*NIFTY_OC!$D53/$C53</f>
        <v>#VALUE!</v>
      </c>
      <c r="S53" s="40" t="e">
        <f>Market!$C$3*Market!$I$3*NIFTY_OC!$D53/$C53</f>
        <v>#VALUE!</v>
      </c>
    </row>
    <row r="54" spans="1:19">
      <c r="A54" s="39">
        <v>44469</v>
      </c>
      <c r="B54" s="38">
        <v>8350</v>
      </c>
      <c r="C54" s="38">
        <v>11.1</v>
      </c>
      <c r="D54">
        <v>0.04</v>
      </c>
      <c r="E54" s="37">
        <v>18350</v>
      </c>
      <c r="F54">
        <v>13</v>
      </c>
      <c r="G54" s="38">
        <v>1179.3</v>
      </c>
      <c r="H54" s="38">
        <v>-0.96</v>
      </c>
      <c r="I54" s="38">
        <v>0</v>
      </c>
      <c r="J54" s="38">
        <v>-1.04</v>
      </c>
      <c r="K54" s="38">
        <v>4.46</v>
      </c>
      <c r="L54">
        <v>1.4999999999999999E-4</v>
      </c>
      <c r="M54" s="41">
        <f t="shared" si="0"/>
        <v>0.85384615384615381</v>
      </c>
      <c r="N54" s="40" t="e">
        <f>Market!$C$3*Market!$D$3*NIFTY_OC!$D54/$C54</f>
        <v>#VALUE!</v>
      </c>
      <c r="O54" s="40" t="e">
        <f>Market!$C$3*Market!$E$3*NIFTY_OC!$D54/$C54</f>
        <v>#VALUE!</v>
      </c>
      <c r="P54" s="40" t="e">
        <f>Market!$C$3*Market!$F$3*NIFTY_OC!$D54/$C54</f>
        <v>#VALUE!</v>
      </c>
      <c r="Q54" s="40" t="e">
        <f>Market!$C$3*Market!$G$3*NIFTY_OC!$D54/$C54</f>
        <v>#VALUE!</v>
      </c>
      <c r="R54" s="40" t="e">
        <f>Market!$C$3*Market!$H$3*NIFTY_OC!$D54/$C54</f>
        <v>#VALUE!</v>
      </c>
      <c r="S54" s="40" t="e">
        <f>Market!$C$3*Market!$I$3*NIFTY_OC!$D54/$C54</f>
        <v>#VALUE!</v>
      </c>
    </row>
    <row r="55" spans="1:19">
      <c r="A55" s="39">
        <v>44469</v>
      </c>
      <c r="B55" s="38">
        <v>136500</v>
      </c>
      <c r="C55" s="38">
        <v>9.85</v>
      </c>
      <c r="D55">
        <v>0.04</v>
      </c>
      <c r="E55" s="37">
        <v>18400</v>
      </c>
      <c r="F55">
        <v>13.16</v>
      </c>
      <c r="G55" s="38">
        <v>1220.8</v>
      </c>
      <c r="H55" s="38">
        <v>-0.96</v>
      </c>
      <c r="I55" s="38">
        <v>50</v>
      </c>
      <c r="J55" s="38">
        <v>-0.96</v>
      </c>
      <c r="K55" s="38">
        <v>4.07</v>
      </c>
      <c r="L55">
        <v>1.3999999999999999E-4</v>
      </c>
      <c r="M55" s="41">
        <f t="shared" si="0"/>
        <v>0.74848024316109418</v>
      </c>
      <c r="N55" s="40" t="e">
        <f>Market!$C$3*Market!$D$3*NIFTY_OC!$D55/$C55</f>
        <v>#VALUE!</v>
      </c>
      <c r="O55" s="40" t="e">
        <f>Market!$C$3*Market!$E$3*NIFTY_OC!$D55/$C55</f>
        <v>#VALUE!</v>
      </c>
      <c r="P55" s="40" t="e">
        <f>Market!$C$3*Market!$F$3*NIFTY_OC!$D55/$C55</f>
        <v>#VALUE!</v>
      </c>
      <c r="Q55" s="40" t="e">
        <f>Market!$C$3*Market!$G$3*NIFTY_OC!$D55/$C55</f>
        <v>#VALUE!</v>
      </c>
      <c r="R55" s="40" t="e">
        <f>Market!$C$3*Market!$H$3*NIFTY_OC!$D55/$C55</f>
        <v>#VALUE!</v>
      </c>
      <c r="S55" s="40" t="e">
        <f>Market!$C$3*Market!$I$3*NIFTY_OC!$D55/$C55</f>
        <v>#VALUE!</v>
      </c>
    </row>
    <row r="56" spans="1:19">
      <c r="A56" s="39">
        <v>44469</v>
      </c>
      <c r="B56" s="38">
        <v>3500</v>
      </c>
      <c r="C56" s="38">
        <v>8.8000000000000007</v>
      </c>
      <c r="D56">
        <v>0.04</v>
      </c>
      <c r="E56" s="37">
        <v>18450</v>
      </c>
      <c r="F56">
        <v>13.33</v>
      </c>
      <c r="G56" s="38">
        <v>1262.8499999999999</v>
      </c>
      <c r="H56" s="38">
        <v>-0.96</v>
      </c>
      <c r="I56" s="38">
        <v>0</v>
      </c>
      <c r="J56" s="38">
        <v>-0.89</v>
      </c>
      <c r="K56" s="38">
        <v>3.72</v>
      </c>
      <c r="L56">
        <v>1.2E-4</v>
      </c>
      <c r="M56" s="41">
        <f t="shared" si="0"/>
        <v>0.66016504126031517</v>
      </c>
      <c r="N56" s="40" t="e">
        <f>Market!$C$3*Market!$D$3*NIFTY_OC!$D56/$C56</f>
        <v>#VALUE!</v>
      </c>
      <c r="O56" s="40" t="e">
        <f>Market!$C$3*Market!$E$3*NIFTY_OC!$D56/$C56</f>
        <v>#VALUE!</v>
      </c>
      <c r="P56" s="40" t="e">
        <f>Market!$C$3*Market!$F$3*NIFTY_OC!$D56/$C56</f>
        <v>#VALUE!</v>
      </c>
      <c r="Q56" s="40" t="e">
        <f>Market!$C$3*Market!$G$3*NIFTY_OC!$D56/$C56</f>
        <v>#VALUE!</v>
      </c>
      <c r="R56" s="40" t="e">
        <f>Market!$C$3*Market!$H$3*NIFTY_OC!$D56/$C56</f>
        <v>#VALUE!</v>
      </c>
      <c r="S56" s="40" t="e">
        <f>Market!$C$3*Market!$I$3*NIFTY_OC!$D56/$C56</f>
        <v>#VALUE!</v>
      </c>
    </row>
    <row r="57" spans="1:19">
      <c r="A57" s="39">
        <v>44469</v>
      </c>
      <c r="B57" s="38">
        <v>431400</v>
      </c>
      <c r="C57" s="38">
        <v>7.7</v>
      </c>
      <c r="D57">
        <v>0.03</v>
      </c>
      <c r="E57" s="37">
        <v>18500</v>
      </c>
      <c r="F57">
        <v>13.45</v>
      </c>
      <c r="G57" s="38">
        <v>1250.05</v>
      </c>
      <c r="H57" s="38">
        <v>-0.97</v>
      </c>
      <c r="I57" s="38">
        <v>135000</v>
      </c>
      <c r="J57" s="38">
        <v>-0.81</v>
      </c>
      <c r="K57" s="38">
        <v>3.36</v>
      </c>
      <c r="L57">
        <v>1.1E-4</v>
      </c>
      <c r="M57" s="41">
        <f t="shared" si="0"/>
        <v>0.57249070631970267</v>
      </c>
      <c r="N57" s="40" t="e">
        <f>Market!$C$3*Market!$D$3*NIFTY_OC!$D57/$C57</f>
        <v>#VALUE!</v>
      </c>
      <c r="O57" s="40" t="e">
        <f>Market!$C$3*Market!$E$3*NIFTY_OC!$D57/$C57</f>
        <v>#VALUE!</v>
      </c>
      <c r="P57" s="40" t="e">
        <f>Market!$C$3*Market!$F$3*NIFTY_OC!$D57/$C57</f>
        <v>#VALUE!</v>
      </c>
      <c r="Q57" s="40" t="e">
        <f>Market!$C$3*Market!$G$3*NIFTY_OC!$D57/$C57</f>
        <v>#VALUE!</v>
      </c>
      <c r="R57" s="40" t="e">
        <f>Market!$C$3*Market!$H$3*NIFTY_OC!$D57/$C57</f>
        <v>#VALUE!</v>
      </c>
      <c r="S57" s="40" t="e">
        <f>Market!$C$3*Market!$I$3*NIFTY_OC!$D57/$C57</f>
        <v>#VALUE!</v>
      </c>
    </row>
    <row r="58" spans="1:19">
      <c r="A58" s="39">
        <v>44469</v>
      </c>
      <c r="B58" s="38">
        <v>2000</v>
      </c>
      <c r="C58" s="38">
        <v>6.8</v>
      </c>
      <c r="D58">
        <v>0.03</v>
      </c>
      <c r="E58" s="37">
        <v>18550</v>
      </c>
      <c r="F58">
        <v>13.59</v>
      </c>
      <c r="G58" s="38">
        <v>1348.35</v>
      </c>
      <c r="H58" s="38">
        <v>-0.97</v>
      </c>
      <c r="I58" s="38">
        <v>0</v>
      </c>
      <c r="J58" s="38">
        <v>-0.74</v>
      </c>
      <c r="K58" s="38">
        <v>3.04</v>
      </c>
      <c r="L58">
        <v>1E-4</v>
      </c>
      <c r="M58" s="41">
        <f t="shared" si="0"/>
        <v>0.5003679175864606</v>
      </c>
      <c r="N58" s="40" t="e">
        <f>Market!$C$3*Market!$D$3*NIFTY_OC!$D58/$C58</f>
        <v>#VALUE!</v>
      </c>
      <c r="O58" s="40" t="e">
        <f>Market!$C$3*Market!$E$3*NIFTY_OC!$D58/$C58</f>
        <v>#VALUE!</v>
      </c>
      <c r="P58" s="40" t="e">
        <f>Market!$C$3*Market!$F$3*NIFTY_OC!$D58/$C58</f>
        <v>#VALUE!</v>
      </c>
      <c r="Q58" s="40" t="e">
        <f>Market!$C$3*Market!$G$3*NIFTY_OC!$D58/$C58</f>
        <v>#VALUE!</v>
      </c>
      <c r="R58" s="40" t="e">
        <f>Market!$C$3*Market!$H$3*NIFTY_OC!$D58/$C58</f>
        <v>#VALUE!</v>
      </c>
      <c r="S58" s="40" t="e">
        <f>Market!$C$3*Market!$I$3*NIFTY_OC!$D58/$C58</f>
        <v>#VALUE!</v>
      </c>
    </row>
    <row r="59" spans="1:19">
      <c r="A59" s="39">
        <v>44469</v>
      </c>
      <c r="B59" s="38">
        <v>8550</v>
      </c>
      <c r="C59" s="38">
        <v>6.65</v>
      </c>
      <c r="D59">
        <v>0.03</v>
      </c>
      <c r="E59" s="37">
        <v>18600</v>
      </c>
      <c r="F59">
        <v>13.96</v>
      </c>
      <c r="G59" s="38">
        <v>1359.95</v>
      </c>
      <c r="H59" s="38">
        <v>-0.97</v>
      </c>
      <c r="I59" s="38">
        <v>1850</v>
      </c>
      <c r="J59" s="38">
        <v>-0.73</v>
      </c>
      <c r="K59" s="38">
        <v>2.94</v>
      </c>
      <c r="L59">
        <v>9.0000000000000006E-5</v>
      </c>
      <c r="M59" s="41">
        <f t="shared" si="0"/>
        <v>0.47636103151862463</v>
      </c>
      <c r="N59" s="40" t="e">
        <f>Market!$C$3*Market!$D$3*NIFTY_OC!$D59/$C59</f>
        <v>#VALUE!</v>
      </c>
      <c r="O59" s="40" t="e">
        <f>Market!$C$3*Market!$E$3*NIFTY_OC!$D59/$C59</f>
        <v>#VALUE!</v>
      </c>
      <c r="P59" s="40" t="e">
        <f>Market!$C$3*Market!$F$3*NIFTY_OC!$D59/$C59</f>
        <v>#VALUE!</v>
      </c>
      <c r="Q59" s="40" t="e">
        <f>Market!$C$3*Market!$G$3*NIFTY_OC!$D59/$C59</f>
        <v>#VALUE!</v>
      </c>
      <c r="R59" s="40" t="e">
        <f>Market!$C$3*Market!$H$3*NIFTY_OC!$D59/$C59</f>
        <v>#VALUE!</v>
      </c>
      <c r="S59" s="40" t="e">
        <f>Market!$C$3*Market!$I$3*NIFTY_OC!$D59/$C59</f>
        <v>#VALUE!</v>
      </c>
    </row>
    <row r="60" spans="1:19">
      <c r="A60" s="39">
        <v>44469</v>
      </c>
      <c r="B60" s="38">
        <v>3650</v>
      </c>
      <c r="C60" s="38">
        <v>5.55</v>
      </c>
      <c r="D60">
        <v>0.02</v>
      </c>
      <c r="E60" s="37">
        <v>18650</v>
      </c>
      <c r="F60">
        <v>13.96</v>
      </c>
      <c r="G60" s="38">
        <v>1435.6</v>
      </c>
      <c r="H60" s="38">
        <v>-0.98</v>
      </c>
      <c r="I60" s="38">
        <v>750</v>
      </c>
      <c r="J60" s="38">
        <v>-0.64</v>
      </c>
      <c r="K60" s="38">
        <v>2.57</v>
      </c>
      <c r="L60">
        <v>8.0000000000000007E-5</v>
      </c>
      <c r="M60" s="41">
        <f t="shared" si="0"/>
        <v>0.3975644699140401</v>
      </c>
      <c r="N60" s="40" t="e">
        <f>Market!$C$3*Market!$D$3*NIFTY_OC!$D60/$C60</f>
        <v>#VALUE!</v>
      </c>
      <c r="O60" s="40" t="e">
        <f>Market!$C$3*Market!$E$3*NIFTY_OC!$D60/$C60</f>
        <v>#VALUE!</v>
      </c>
      <c r="P60" s="40" t="e">
        <f>Market!$C$3*Market!$F$3*NIFTY_OC!$D60/$C60</f>
        <v>#VALUE!</v>
      </c>
      <c r="Q60" s="40" t="e">
        <f>Market!$C$3*Market!$G$3*NIFTY_OC!$D60/$C60</f>
        <v>#VALUE!</v>
      </c>
      <c r="R60" s="40" t="e">
        <f>Market!$C$3*Market!$H$3*NIFTY_OC!$D60/$C60</f>
        <v>#VALUE!</v>
      </c>
      <c r="S60" s="40" t="e">
        <f>Market!$C$3*Market!$I$3*NIFTY_OC!$D60/$C60</f>
        <v>#VALUE!</v>
      </c>
    </row>
    <row r="61" spans="1:19">
      <c r="A61" s="39">
        <v>44469</v>
      </c>
      <c r="B61" s="38">
        <v>0</v>
      </c>
      <c r="C61" s="38">
        <v>66.599999999999994</v>
      </c>
      <c r="D61">
        <v>0.12</v>
      </c>
      <c r="E61" s="37">
        <v>18700</v>
      </c>
      <c r="F61">
        <v>24.2</v>
      </c>
      <c r="G61" s="38">
        <v>1480.15</v>
      </c>
      <c r="H61" s="38">
        <v>-0.88</v>
      </c>
      <c r="I61" s="38">
        <v>0</v>
      </c>
      <c r="J61" s="38">
        <v>-4.1399999999999997</v>
      </c>
      <c r="K61" s="38">
        <v>9.58</v>
      </c>
      <c r="L61">
        <v>1.7000000000000001E-4</v>
      </c>
      <c r="M61" s="41">
        <f t="shared" si="0"/>
        <v>2.7520661157024793</v>
      </c>
      <c r="N61" s="40" t="e">
        <f>Market!$C$3*Market!$D$3*NIFTY_OC!$D61/$C61</f>
        <v>#VALUE!</v>
      </c>
      <c r="O61" s="40" t="e">
        <f>Market!$C$3*Market!$E$3*NIFTY_OC!$D61/$C61</f>
        <v>#VALUE!</v>
      </c>
      <c r="P61" s="40" t="e">
        <f>Market!$C$3*Market!$F$3*NIFTY_OC!$D61/$C61</f>
        <v>#VALUE!</v>
      </c>
      <c r="Q61" s="40" t="e">
        <f>Market!$C$3*Market!$G$3*NIFTY_OC!$D61/$C61</f>
        <v>#VALUE!</v>
      </c>
      <c r="R61" s="40" t="e">
        <f>Market!$C$3*Market!$H$3*NIFTY_OC!$D61/$C61</f>
        <v>#VALUE!</v>
      </c>
      <c r="S61" s="40" t="e">
        <f>Market!$C$3*Market!$I$3*NIFTY_OC!$D61/$C61</f>
        <v>#VALUE!</v>
      </c>
    </row>
    <row r="62" spans="1:19">
      <c r="A62" s="39">
        <v>44469</v>
      </c>
      <c r="B62" s="38">
        <v>0</v>
      </c>
      <c r="C62" s="38">
        <v>61.35</v>
      </c>
      <c r="D62">
        <v>0.11</v>
      </c>
      <c r="E62" s="37">
        <v>18750</v>
      </c>
      <c r="F62">
        <v>24.19</v>
      </c>
      <c r="G62" s="38">
        <v>1524.75</v>
      </c>
      <c r="H62" s="38">
        <v>-0.89</v>
      </c>
      <c r="I62" s="38">
        <v>159325</v>
      </c>
      <c r="J62" s="38">
        <v>-3.94</v>
      </c>
      <c r="K62" s="38">
        <v>9.1300000000000008</v>
      </c>
      <c r="L62">
        <v>1.7000000000000001E-4</v>
      </c>
      <c r="M62" s="41">
        <f t="shared" si="0"/>
        <v>2.5361719718892104</v>
      </c>
      <c r="N62" s="40" t="e">
        <f>Market!$C$3*Market!$D$3*NIFTY_OC!$D62/$C62</f>
        <v>#VALUE!</v>
      </c>
      <c r="O62" s="40" t="e">
        <f>Market!$C$3*Market!$E$3*NIFTY_OC!$D62/$C62</f>
        <v>#VALUE!</v>
      </c>
      <c r="P62" s="40" t="e">
        <f>Market!$C$3*Market!$F$3*NIFTY_OC!$D62/$C62</f>
        <v>#VALUE!</v>
      </c>
      <c r="Q62" s="40" t="e">
        <f>Market!$C$3*Market!$G$3*NIFTY_OC!$D62/$C62</f>
        <v>#VALUE!</v>
      </c>
      <c r="R62" s="40" t="e">
        <f>Market!$C$3*Market!$H$3*NIFTY_OC!$D62/$C62</f>
        <v>#VALUE!</v>
      </c>
      <c r="S62" s="40" t="e">
        <f>Market!$C$3*Market!$I$3*NIFTY_OC!$D62/$C62</f>
        <v>#VALUE!</v>
      </c>
    </row>
    <row r="63" spans="1:19">
      <c r="A63" s="39">
        <v>44497</v>
      </c>
      <c r="B63" s="38">
        <v>0</v>
      </c>
      <c r="C63" s="38">
        <v>1695.75</v>
      </c>
      <c r="D63">
        <v>0.86</v>
      </c>
      <c r="E63" s="37">
        <v>15750</v>
      </c>
      <c r="F63">
        <v>23.1</v>
      </c>
      <c r="G63" s="38">
        <v>119.8</v>
      </c>
      <c r="H63" s="38">
        <v>-0.14000000000000001</v>
      </c>
      <c r="I63" s="38">
        <v>50</v>
      </c>
      <c r="J63" s="38">
        <v>-3.16</v>
      </c>
      <c r="K63" s="38">
        <v>15.32</v>
      </c>
      <c r="L63">
        <v>1.3999999999999999E-4</v>
      </c>
      <c r="M63" s="41">
        <f t="shared" si="0"/>
        <v>73.409090909090907</v>
      </c>
      <c r="N63" s="40" t="e">
        <f>Market!$C$3*Market!$D$3*NIFTY_OC!$D63/$C63</f>
        <v>#VALUE!</v>
      </c>
      <c r="O63" s="40" t="e">
        <f>Market!$C$3*Market!$E$3*NIFTY_OC!$D63/$C63</f>
        <v>#VALUE!</v>
      </c>
      <c r="P63" s="40" t="e">
        <f>Market!$C$3*Market!$F$3*NIFTY_OC!$D63/$C63</f>
        <v>#VALUE!</v>
      </c>
      <c r="Q63" s="40" t="e">
        <f>Market!$C$3*Market!$G$3*NIFTY_OC!$D63/$C63</f>
        <v>#VALUE!</v>
      </c>
      <c r="R63" s="40" t="e">
        <f>Market!$C$3*Market!$H$3*NIFTY_OC!$D63/$C63</f>
        <v>#VALUE!</v>
      </c>
      <c r="S63" s="40" t="e">
        <f>Market!$C$3*Market!$I$3*NIFTY_OC!$D63/$C63</f>
        <v>#VALUE!</v>
      </c>
    </row>
    <row r="64" spans="1:19">
      <c r="A64" s="39">
        <v>44497</v>
      </c>
      <c r="B64" s="38">
        <v>17150</v>
      </c>
      <c r="C64" s="38">
        <v>1494.05</v>
      </c>
      <c r="D64">
        <v>0.92</v>
      </c>
      <c r="E64" s="37">
        <v>15800</v>
      </c>
      <c r="F64">
        <v>16.39</v>
      </c>
      <c r="G64" s="38">
        <v>40</v>
      </c>
      <c r="H64" s="38">
        <v>-0.08</v>
      </c>
      <c r="I64" s="38">
        <v>128050</v>
      </c>
      <c r="J64" s="38">
        <v>-1.44</v>
      </c>
      <c r="K64" s="38">
        <v>9.86</v>
      </c>
      <c r="L64">
        <v>1.2999999999999999E-4</v>
      </c>
      <c r="M64" s="41">
        <f t="shared" si="0"/>
        <v>91.1561928004881</v>
      </c>
      <c r="N64" s="40" t="e">
        <f>Market!$C$3*Market!$D$3*NIFTY_OC!$D64/$C64</f>
        <v>#VALUE!</v>
      </c>
      <c r="O64" s="40" t="e">
        <f>Market!$C$3*Market!$E$3*NIFTY_OC!$D64/$C64</f>
        <v>#VALUE!</v>
      </c>
      <c r="P64" s="40" t="e">
        <f>Market!$C$3*Market!$F$3*NIFTY_OC!$D64/$C64</f>
        <v>#VALUE!</v>
      </c>
      <c r="Q64" s="40" t="e">
        <f>Market!$C$3*Market!$G$3*NIFTY_OC!$D64/$C64</f>
        <v>#VALUE!</v>
      </c>
      <c r="R64" s="40" t="e">
        <f>Market!$C$3*Market!$H$3*NIFTY_OC!$D64/$C64</f>
        <v>#VALUE!</v>
      </c>
      <c r="S64" s="40" t="e">
        <f>Market!$C$3*Market!$I$3*NIFTY_OC!$D64/$C64</f>
        <v>#VALUE!</v>
      </c>
    </row>
    <row r="65" spans="1:19">
      <c r="A65" s="39">
        <v>44497</v>
      </c>
      <c r="B65" s="38">
        <v>0</v>
      </c>
      <c r="C65" s="38">
        <v>1613.35</v>
      </c>
      <c r="D65">
        <v>0.84</v>
      </c>
      <c r="E65" s="37">
        <v>15850</v>
      </c>
      <c r="F65">
        <v>23.08</v>
      </c>
      <c r="G65" s="38">
        <v>136.80000000000001</v>
      </c>
      <c r="H65" s="38">
        <v>-0.16</v>
      </c>
      <c r="I65" s="38">
        <v>0</v>
      </c>
      <c r="J65" s="38">
        <v>-3.39</v>
      </c>
      <c r="K65" s="38">
        <v>16.45</v>
      </c>
      <c r="L65">
        <v>1.6000000000000001E-4</v>
      </c>
      <c r="M65" s="41">
        <f t="shared" si="0"/>
        <v>69.9025129982669</v>
      </c>
      <c r="N65" s="40" t="e">
        <f>Market!$C$3*Market!$D$3*NIFTY_OC!$D65/$C65</f>
        <v>#VALUE!</v>
      </c>
      <c r="O65" s="40" t="e">
        <f>Market!$C$3*Market!$E$3*NIFTY_OC!$D65/$C65</f>
        <v>#VALUE!</v>
      </c>
      <c r="P65" s="40" t="e">
        <f>Market!$C$3*Market!$F$3*NIFTY_OC!$D65/$C65</f>
        <v>#VALUE!</v>
      </c>
      <c r="Q65" s="40" t="e">
        <f>Market!$C$3*Market!$G$3*NIFTY_OC!$D65/$C65</f>
        <v>#VALUE!</v>
      </c>
      <c r="R65" s="40" t="e">
        <f>Market!$C$3*Market!$H$3*NIFTY_OC!$D65/$C65</f>
        <v>#VALUE!</v>
      </c>
      <c r="S65" s="40" t="e">
        <f>Market!$C$3*Market!$I$3*NIFTY_OC!$D65/$C65</f>
        <v>#VALUE!</v>
      </c>
    </row>
    <row r="66" spans="1:19">
      <c r="A66" s="39">
        <v>44497</v>
      </c>
      <c r="B66" s="38">
        <v>3200</v>
      </c>
      <c r="C66" s="38">
        <v>1391.75</v>
      </c>
      <c r="D66">
        <v>0.91</v>
      </c>
      <c r="E66" s="37">
        <v>15900</v>
      </c>
      <c r="F66">
        <v>15.96</v>
      </c>
      <c r="G66" s="38">
        <v>44.9</v>
      </c>
      <c r="H66" s="38">
        <v>-0.09</v>
      </c>
      <c r="I66" s="38">
        <v>69900</v>
      </c>
      <c r="J66" s="38">
        <v>-1.54</v>
      </c>
      <c r="K66" s="38">
        <v>10.79</v>
      </c>
      <c r="L66">
        <v>1.4999999999999999E-4</v>
      </c>
      <c r="M66" s="41">
        <f t="shared" si="0"/>
        <v>87.202380952380949</v>
      </c>
      <c r="N66" s="40" t="e">
        <f>Market!$C$3*Market!$D$3*NIFTY_OC!$D66/$C66</f>
        <v>#VALUE!</v>
      </c>
      <c r="O66" s="40" t="e">
        <f>Market!$C$3*Market!$E$3*NIFTY_OC!$D66/$C66</f>
        <v>#VALUE!</v>
      </c>
      <c r="P66" s="40" t="e">
        <f>Market!$C$3*Market!$F$3*NIFTY_OC!$D66/$C66</f>
        <v>#VALUE!</v>
      </c>
      <c r="Q66" s="40" t="e">
        <f>Market!$C$3*Market!$G$3*NIFTY_OC!$D66/$C66</f>
        <v>#VALUE!</v>
      </c>
      <c r="R66" s="40" t="e">
        <f>Market!$C$3*Market!$H$3*NIFTY_OC!$D66/$C66</f>
        <v>#VALUE!</v>
      </c>
      <c r="S66" s="40" t="e">
        <f>Market!$C$3*Market!$I$3*NIFTY_OC!$D66/$C66</f>
        <v>#VALUE!</v>
      </c>
    </row>
    <row r="67" spans="1:19">
      <c r="A67" s="39">
        <v>44497</v>
      </c>
      <c r="B67" s="38">
        <v>0</v>
      </c>
      <c r="C67" s="38">
        <v>1532.65</v>
      </c>
      <c r="D67">
        <v>0.82</v>
      </c>
      <c r="E67" s="37">
        <v>15950</v>
      </c>
      <c r="F67">
        <v>23.05</v>
      </c>
      <c r="G67" s="38">
        <v>155.55000000000001</v>
      </c>
      <c r="H67" s="38">
        <v>-0.18</v>
      </c>
      <c r="I67" s="38">
        <v>0</v>
      </c>
      <c r="J67" s="38">
        <v>-3.62</v>
      </c>
      <c r="K67" s="38">
        <v>17.57</v>
      </c>
      <c r="L67">
        <v>1.7000000000000001E-4</v>
      </c>
      <c r="M67" s="41">
        <f t="shared" ref="M67:M130" si="1">C67/F67</f>
        <v>66.492407809110631</v>
      </c>
      <c r="N67" s="40" t="e">
        <f>Market!$C$3*Market!$D$3*NIFTY_OC!$D67/$C67</f>
        <v>#VALUE!</v>
      </c>
      <c r="O67" s="40" t="e">
        <f>Market!$C$3*Market!$E$3*NIFTY_OC!$D67/$C67</f>
        <v>#VALUE!</v>
      </c>
      <c r="P67" s="40" t="e">
        <f>Market!$C$3*Market!$F$3*NIFTY_OC!$D67/$C67</f>
        <v>#VALUE!</v>
      </c>
      <c r="Q67" s="40" t="e">
        <f>Market!$C$3*Market!$G$3*NIFTY_OC!$D67/$C67</f>
        <v>#VALUE!</v>
      </c>
      <c r="R67" s="40" t="e">
        <f>Market!$C$3*Market!$H$3*NIFTY_OC!$D67/$C67</f>
        <v>#VALUE!</v>
      </c>
      <c r="S67" s="40" t="e">
        <f>Market!$C$3*Market!$I$3*NIFTY_OC!$D67/$C67</f>
        <v>#VALUE!</v>
      </c>
    </row>
    <row r="68" spans="1:19">
      <c r="A68" s="39">
        <v>44497</v>
      </c>
      <c r="B68" s="38">
        <v>86100</v>
      </c>
      <c r="C68" s="38">
        <v>1304.55</v>
      </c>
      <c r="D68">
        <v>0.9</v>
      </c>
      <c r="E68" s="37">
        <v>16000</v>
      </c>
      <c r="F68">
        <v>15.55</v>
      </c>
      <c r="G68" s="38">
        <v>50.6</v>
      </c>
      <c r="H68" s="38">
        <v>-0.1</v>
      </c>
      <c r="I68" s="38">
        <v>799850</v>
      </c>
      <c r="J68" s="38">
        <v>-1.64</v>
      </c>
      <c r="K68" s="38">
        <v>11.8</v>
      </c>
      <c r="L68">
        <v>1.7000000000000001E-4</v>
      </c>
      <c r="M68" s="41">
        <f t="shared" si="1"/>
        <v>83.893890675241153</v>
      </c>
      <c r="N68" s="40" t="e">
        <f>Market!$C$3*Market!$D$3*NIFTY_OC!$D68/$C68</f>
        <v>#VALUE!</v>
      </c>
      <c r="O68" s="40" t="e">
        <f>Market!$C$3*Market!$E$3*NIFTY_OC!$D68/$C68</f>
        <v>#VALUE!</v>
      </c>
      <c r="P68" s="40" t="e">
        <f>Market!$C$3*Market!$F$3*NIFTY_OC!$D68/$C68</f>
        <v>#VALUE!</v>
      </c>
      <c r="Q68" s="40" t="e">
        <f>Market!$C$3*Market!$G$3*NIFTY_OC!$D68/$C68</f>
        <v>#VALUE!</v>
      </c>
      <c r="R68" s="40" t="e">
        <f>Market!$C$3*Market!$H$3*NIFTY_OC!$D68/$C68</f>
        <v>#VALUE!</v>
      </c>
      <c r="S68" s="40" t="e">
        <f>Market!$C$3*Market!$I$3*NIFTY_OC!$D68/$C68</f>
        <v>#VALUE!</v>
      </c>
    </row>
    <row r="69" spans="1:19">
      <c r="A69" s="39">
        <v>44497</v>
      </c>
      <c r="B69" s="38">
        <v>0</v>
      </c>
      <c r="C69" s="38">
        <v>1453.85</v>
      </c>
      <c r="D69">
        <v>0.8</v>
      </c>
      <c r="E69" s="37">
        <v>16050</v>
      </c>
      <c r="F69">
        <v>23.02</v>
      </c>
      <c r="G69" s="38">
        <v>176.15</v>
      </c>
      <c r="H69" s="38">
        <v>-0.2</v>
      </c>
      <c r="I69" s="38">
        <v>0</v>
      </c>
      <c r="J69" s="38">
        <v>-3.84</v>
      </c>
      <c r="K69" s="38">
        <v>18.670000000000002</v>
      </c>
      <c r="L69">
        <v>1.8000000000000001E-4</v>
      </c>
      <c r="M69" s="41">
        <f t="shared" si="1"/>
        <v>63.15595134665508</v>
      </c>
      <c r="N69" s="40" t="e">
        <f>Market!$C$3*Market!$D$3*NIFTY_OC!$D69/$C69</f>
        <v>#VALUE!</v>
      </c>
      <c r="O69" s="40" t="e">
        <f>Market!$C$3*Market!$E$3*NIFTY_OC!$D69/$C69</f>
        <v>#VALUE!</v>
      </c>
      <c r="P69" s="40" t="e">
        <f>Market!$C$3*Market!$F$3*NIFTY_OC!$D69/$C69</f>
        <v>#VALUE!</v>
      </c>
      <c r="Q69" s="40" t="e">
        <f>Market!$C$3*Market!$G$3*NIFTY_OC!$D69/$C69</f>
        <v>#VALUE!</v>
      </c>
      <c r="R69" s="40" t="e">
        <f>Market!$C$3*Market!$H$3*NIFTY_OC!$D69/$C69</f>
        <v>#VALUE!</v>
      </c>
      <c r="S69" s="40" t="e">
        <f>Market!$C$3*Market!$I$3*NIFTY_OC!$D69/$C69</f>
        <v>#VALUE!</v>
      </c>
    </row>
    <row r="70" spans="1:19">
      <c r="A70" s="39">
        <v>44497</v>
      </c>
      <c r="B70" s="38">
        <v>7550</v>
      </c>
      <c r="C70" s="38">
        <v>1207.3499999999999</v>
      </c>
      <c r="D70">
        <v>0.89</v>
      </c>
      <c r="E70" s="37">
        <v>16100</v>
      </c>
      <c r="F70">
        <v>14.86</v>
      </c>
      <c r="G70" s="38">
        <v>53.7</v>
      </c>
      <c r="H70" s="38">
        <v>-0.11</v>
      </c>
      <c r="I70" s="38">
        <v>111050</v>
      </c>
      <c r="J70" s="38">
        <v>-1.67</v>
      </c>
      <c r="K70" s="38">
        <v>12.58</v>
      </c>
      <c r="L70">
        <v>1.8000000000000001E-4</v>
      </c>
      <c r="M70" s="41">
        <f t="shared" si="1"/>
        <v>81.248317631224765</v>
      </c>
      <c r="N70" s="40" t="e">
        <f>Market!$C$3*Market!$D$3*NIFTY_OC!$D70/$C70</f>
        <v>#VALUE!</v>
      </c>
      <c r="O70" s="40" t="e">
        <f>Market!$C$3*Market!$E$3*NIFTY_OC!$D70/$C70</f>
        <v>#VALUE!</v>
      </c>
      <c r="P70" s="40" t="e">
        <f>Market!$C$3*Market!$F$3*NIFTY_OC!$D70/$C70</f>
        <v>#VALUE!</v>
      </c>
      <c r="Q70" s="40" t="e">
        <f>Market!$C$3*Market!$G$3*NIFTY_OC!$D70/$C70</f>
        <v>#VALUE!</v>
      </c>
      <c r="R70" s="40" t="e">
        <f>Market!$C$3*Market!$H$3*NIFTY_OC!$D70/$C70</f>
        <v>#VALUE!</v>
      </c>
      <c r="S70" s="40" t="e">
        <f>Market!$C$3*Market!$I$3*NIFTY_OC!$D70/$C70</f>
        <v>#VALUE!</v>
      </c>
    </row>
    <row r="71" spans="1:19">
      <c r="A71" s="39">
        <v>44497</v>
      </c>
      <c r="B71" s="38">
        <v>0</v>
      </c>
      <c r="C71" s="38">
        <v>1376.95</v>
      </c>
      <c r="D71">
        <v>0.79</v>
      </c>
      <c r="E71" s="37">
        <v>16150</v>
      </c>
      <c r="F71">
        <v>22.99</v>
      </c>
      <c r="G71" s="38">
        <v>198.7</v>
      </c>
      <c r="H71" s="38">
        <v>-0.21</v>
      </c>
      <c r="I71" s="38">
        <v>0</v>
      </c>
      <c r="J71" s="38">
        <v>-4.05</v>
      </c>
      <c r="K71" s="38">
        <v>19.75</v>
      </c>
      <c r="L71">
        <v>1.9000000000000001E-4</v>
      </c>
      <c r="M71" s="41">
        <f t="shared" si="1"/>
        <v>59.893431926924755</v>
      </c>
      <c r="N71" s="40" t="e">
        <f>Market!$C$3*Market!$D$3*NIFTY_OC!$D71/$C71</f>
        <v>#VALUE!</v>
      </c>
      <c r="O71" s="40" t="e">
        <f>Market!$C$3*Market!$E$3*NIFTY_OC!$D71/$C71</f>
        <v>#VALUE!</v>
      </c>
      <c r="P71" s="40" t="e">
        <f>Market!$C$3*Market!$F$3*NIFTY_OC!$D71/$C71</f>
        <v>#VALUE!</v>
      </c>
      <c r="Q71" s="40" t="e">
        <f>Market!$C$3*Market!$G$3*NIFTY_OC!$D71/$C71</f>
        <v>#VALUE!</v>
      </c>
      <c r="R71" s="40" t="e">
        <f>Market!$C$3*Market!$H$3*NIFTY_OC!$D71/$C71</f>
        <v>#VALUE!</v>
      </c>
      <c r="S71" s="40" t="e">
        <f>Market!$C$3*Market!$I$3*NIFTY_OC!$D71/$C71</f>
        <v>#VALUE!</v>
      </c>
    </row>
    <row r="72" spans="1:19">
      <c r="A72" s="39">
        <v>44497</v>
      </c>
      <c r="B72" s="38">
        <v>19600</v>
      </c>
      <c r="C72" s="38">
        <v>1122.2</v>
      </c>
      <c r="D72">
        <v>0.88</v>
      </c>
      <c r="E72" s="37">
        <v>16200</v>
      </c>
      <c r="F72">
        <v>14.42</v>
      </c>
      <c r="G72" s="38">
        <v>60.65</v>
      </c>
      <c r="H72" s="38">
        <v>-0.12</v>
      </c>
      <c r="I72" s="38">
        <v>180950</v>
      </c>
      <c r="J72" s="38">
        <v>-1.77</v>
      </c>
      <c r="K72" s="38">
        <v>13.74</v>
      </c>
      <c r="L72">
        <v>2.1000000000000001E-4</v>
      </c>
      <c r="M72" s="41">
        <f t="shared" si="1"/>
        <v>77.82246879334258</v>
      </c>
      <c r="N72" s="40" t="e">
        <f>Market!$C$3*Market!$D$3*NIFTY_OC!$D72/$C72</f>
        <v>#VALUE!</v>
      </c>
      <c r="O72" s="40" t="e">
        <f>Market!$C$3*Market!$E$3*NIFTY_OC!$D72/$C72</f>
        <v>#VALUE!</v>
      </c>
      <c r="P72" s="40" t="e">
        <f>Market!$C$3*Market!$F$3*NIFTY_OC!$D72/$C72</f>
        <v>#VALUE!</v>
      </c>
      <c r="Q72" s="40" t="e">
        <f>Market!$C$3*Market!$G$3*NIFTY_OC!$D72/$C72</f>
        <v>#VALUE!</v>
      </c>
      <c r="R72" s="40" t="e">
        <f>Market!$C$3*Market!$H$3*NIFTY_OC!$D72/$C72</f>
        <v>#VALUE!</v>
      </c>
      <c r="S72" s="40" t="e">
        <f>Market!$C$3*Market!$I$3*NIFTY_OC!$D72/$C72</f>
        <v>#VALUE!</v>
      </c>
    </row>
    <row r="73" spans="1:19">
      <c r="A73" s="39">
        <v>44497</v>
      </c>
      <c r="B73" s="38">
        <v>0</v>
      </c>
      <c r="C73" s="38">
        <v>1302.75</v>
      </c>
      <c r="D73">
        <v>0.76</v>
      </c>
      <c r="E73" s="37">
        <v>16250</v>
      </c>
      <c r="F73">
        <v>22.99</v>
      </c>
      <c r="G73" s="38">
        <v>223.9</v>
      </c>
      <c r="H73" s="38">
        <v>-0.24</v>
      </c>
      <c r="I73" s="38">
        <v>4550</v>
      </c>
      <c r="J73" s="38">
        <v>-4.2699999999999996</v>
      </c>
      <c r="K73" s="38">
        <v>20.8</v>
      </c>
      <c r="L73">
        <v>2.0000000000000001E-4</v>
      </c>
      <c r="M73" s="41">
        <f t="shared" si="1"/>
        <v>56.665941713788605</v>
      </c>
      <c r="N73" s="40" t="e">
        <f>Market!$C$3*Market!$D$3*NIFTY_OC!$D73/$C73</f>
        <v>#VALUE!</v>
      </c>
      <c r="O73" s="40" t="e">
        <f>Market!$C$3*Market!$E$3*NIFTY_OC!$D73/$C73</f>
        <v>#VALUE!</v>
      </c>
      <c r="P73" s="40" t="e">
        <f>Market!$C$3*Market!$F$3*NIFTY_OC!$D73/$C73</f>
        <v>#VALUE!</v>
      </c>
      <c r="Q73" s="40" t="e">
        <f>Market!$C$3*Market!$G$3*NIFTY_OC!$D73/$C73</f>
        <v>#VALUE!</v>
      </c>
      <c r="R73" s="40" t="e">
        <f>Market!$C$3*Market!$H$3*NIFTY_OC!$D73/$C73</f>
        <v>#VALUE!</v>
      </c>
      <c r="S73" s="40" t="e">
        <f>Market!$C$3*Market!$I$3*NIFTY_OC!$D73/$C73</f>
        <v>#VALUE!</v>
      </c>
    </row>
    <row r="74" spans="1:19">
      <c r="A74" s="39">
        <v>44497</v>
      </c>
      <c r="B74" s="38">
        <v>15100</v>
      </c>
      <c r="C74" s="38">
        <v>1021.3</v>
      </c>
      <c r="D74">
        <v>0.86</v>
      </c>
      <c r="E74" s="37">
        <v>16300</v>
      </c>
      <c r="F74">
        <v>14.08</v>
      </c>
      <c r="G74" s="38">
        <v>70.099999999999994</v>
      </c>
      <c r="H74" s="38">
        <v>-0.14000000000000001</v>
      </c>
      <c r="I74" s="38">
        <v>413000</v>
      </c>
      <c r="J74" s="38">
        <v>-1.9</v>
      </c>
      <c r="K74" s="38">
        <v>15.11</v>
      </c>
      <c r="L74">
        <v>2.3000000000000001E-4</v>
      </c>
      <c r="M74" s="41">
        <f t="shared" si="1"/>
        <v>72.53551136363636</v>
      </c>
      <c r="N74" s="40" t="e">
        <f>Market!$C$3*Market!$D$3*NIFTY_OC!$D74/$C74</f>
        <v>#VALUE!</v>
      </c>
      <c r="O74" s="40" t="e">
        <f>Market!$C$3*Market!$E$3*NIFTY_OC!$D74/$C74</f>
        <v>#VALUE!</v>
      </c>
      <c r="P74" s="40" t="e">
        <f>Market!$C$3*Market!$F$3*NIFTY_OC!$D74/$C74</f>
        <v>#VALUE!</v>
      </c>
      <c r="Q74" s="40" t="e">
        <f>Market!$C$3*Market!$G$3*NIFTY_OC!$D74/$C74</f>
        <v>#VALUE!</v>
      </c>
      <c r="R74" s="40" t="e">
        <f>Market!$C$3*Market!$H$3*NIFTY_OC!$D74/$C74</f>
        <v>#VALUE!</v>
      </c>
      <c r="S74" s="40" t="e">
        <f>Market!$C$3*Market!$I$3*NIFTY_OC!$D74/$C74</f>
        <v>#VALUE!</v>
      </c>
    </row>
    <row r="75" spans="1:19">
      <c r="A75" s="39">
        <v>44497</v>
      </c>
      <c r="B75" s="38">
        <v>50</v>
      </c>
      <c r="C75" s="38">
        <v>1229.9000000000001</v>
      </c>
      <c r="D75">
        <v>0.85</v>
      </c>
      <c r="E75" s="37">
        <v>16350</v>
      </c>
      <c r="F75">
        <v>14.03</v>
      </c>
      <c r="G75" s="38">
        <v>77.2</v>
      </c>
      <c r="H75" s="38">
        <v>-0.15</v>
      </c>
      <c r="I75" s="38">
        <v>12500</v>
      </c>
      <c r="J75" s="38">
        <v>-2</v>
      </c>
      <c r="K75" s="38">
        <v>15.95</v>
      </c>
      <c r="L75">
        <v>2.5000000000000001E-4</v>
      </c>
      <c r="M75" s="41">
        <f t="shared" si="1"/>
        <v>87.662152530292246</v>
      </c>
      <c r="N75" s="40" t="e">
        <f>Market!$C$3*Market!$D$3*NIFTY_OC!$D75/$C75</f>
        <v>#VALUE!</v>
      </c>
      <c r="O75" s="40" t="e">
        <f>Market!$C$3*Market!$E$3*NIFTY_OC!$D75/$C75</f>
        <v>#VALUE!</v>
      </c>
      <c r="P75" s="40" t="e">
        <f>Market!$C$3*Market!$F$3*NIFTY_OC!$D75/$C75</f>
        <v>#VALUE!</v>
      </c>
      <c r="Q75" s="40" t="e">
        <f>Market!$C$3*Market!$G$3*NIFTY_OC!$D75/$C75</f>
        <v>#VALUE!</v>
      </c>
      <c r="R75" s="40" t="e">
        <f>Market!$C$3*Market!$H$3*NIFTY_OC!$D75/$C75</f>
        <v>#VALUE!</v>
      </c>
      <c r="S75" s="40" t="e">
        <f>Market!$C$3*Market!$I$3*NIFTY_OC!$D75/$C75</f>
        <v>#VALUE!</v>
      </c>
    </row>
    <row r="76" spans="1:19">
      <c r="A76" s="39">
        <v>44497</v>
      </c>
      <c r="B76" s="38">
        <v>22450</v>
      </c>
      <c r="C76" s="38">
        <v>947.8</v>
      </c>
      <c r="D76">
        <v>0.84</v>
      </c>
      <c r="E76" s="37">
        <v>16400</v>
      </c>
      <c r="F76">
        <v>13.71</v>
      </c>
      <c r="G76" s="38">
        <v>80.650000000000006</v>
      </c>
      <c r="H76" s="38">
        <v>-0.16</v>
      </c>
      <c r="I76" s="38">
        <v>273500</v>
      </c>
      <c r="J76" s="38">
        <v>-2.02</v>
      </c>
      <c r="K76" s="38">
        <v>16.52</v>
      </c>
      <c r="L76">
        <v>2.5999999999999998E-4</v>
      </c>
      <c r="M76" s="41">
        <f t="shared" si="1"/>
        <v>69.132020423048857</v>
      </c>
      <c r="N76" s="40" t="e">
        <f>Market!$C$3*Market!$D$3*NIFTY_OC!$D76/$C76</f>
        <v>#VALUE!</v>
      </c>
      <c r="O76" s="40" t="e">
        <f>Market!$C$3*Market!$E$3*NIFTY_OC!$D76/$C76</f>
        <v>#VALUE!</v>
      </c>
      <c r="P76" s="40" t="e">
        <f>Market!$C$3*Market!$F$3*NIFTY_OC!$D76/$C76</f>
        <v>#VALUE!</v>
      </c>
      <c r="Q76" s="40" t="e">
        <f>Market!$C$3*Market!$G$3*NIFTY_OC!$D76/$C76</f>
        <v>#VALUE!</v>
      </c>
      <c r="R76" s="40" t="e">
        <f>Market!$C$3*Market!$H$3*NIFTY_OC!$D76/$C76</f>
        <v>#VALUE!</v>
      </c>
      <c r="S76" s="40" t="e">
        <f>Market!$C$3*Market!$I$3*NIFTY_OC!$D76/$C76</f>
        <v>#VALUE!</v>
      </c>
    </row>
    <row r="77" spans="1:19">
      <c r="A77" s="39">
        <v>44497</v>
      </c>
      <c r="B77" s="38">
        <v>100</v>
      </c>
      <c r="C77" s="38">
        <v>1158.6500000000001</v>
      </c>
      <c r="D77">
        <v>0.83</v>
      </c>
      <c r="E77" s="37">
        <v>16450</v>
      </c>
      <c r="F77">
        <v>13.67</v>
      </c>
      <c r="G77" s="38">
        <v>88.95</v>
      </c>
      <c r="H77" s="38">
        <v>-0.17</v>
      </c>
      <c r="I77" s="38">
        <v>15350</v>
      </c>
      <c r="J77" s="38">
        <v>-2.12</v>
      </c>
      <c r="K77" s="38">
        <v>17.399999999999999</v>
      </c>
      <c r="L77">
        <v>2.7999999999999998E-4</v>
      </c>
      <c r="M77" s="41">
        <f t="shared" si="1"/>
        <v>84.758595464520852</v>
      </c>
      <c r="N77" s="40" t="e">
        <f>Market!$C$3*Market!$D$3*NIFTY_OC!$D77/$C77</f>
        <v>#VALUE!</v>
      </c>
      <c r="O77" s="40" t="e">
        <f>Market!$C$3*Market!$E$3*NIFTY_OC!$D77/$C77</f>
        <v>#VALUE!</v>
      </c>
      <c r="P77" s="40" t="e">
        <f>Market!$C$3*Market!$F$3*NIFTY_OC!$D77/$C77</f>
        <v>#VALUE!</v>
      </c>
      <c r="Q77" s="40" t="e">
        <f>Market!$C$3*Market!$G$3*NIFTY_OC!$D77/$C77</f>
        <v>#VALUE!</v>
      </c>
      <c r="R77" s="40" t="e">
        <f>Market!$C$3*Market!$H$3*NIFTY_OC!$D77/$C77</f>
        <v>#VALUE!</v>
      </c>
      <c r="S77" s="40" t="e">
        <f>Market!$C$3*Market!$I$3*NIFTY_OC!$D77/$C77</f>
        <v>#VALUE!</v>
      </c>
    </row>
    <row r="78" spans="1:19">
      <c r="A78" s="39">
        <v>44497</v>
      </c>
      <c r="B78" s="38">
        <v>577800</v>
      </c>
      <c r="C78" s="38">
        <v>859.4</v>
      </c>
      <c r="D78">
        <v>0.81</v>
      </c>
      <c r="E78" s="37">
        <v>16500</v>
      </c>
      <c r="F78">
        <v>13.58</v>
      </c>
      <c r="G78" s="38">
        <v>97.1</v>
      </c>
      <c r="H78" s="38">
        <v>-0.19</v>
      </c>
      <c r="I78" s="38">
        <v>883100</v>
      </c>
      <c r="J78" s="38">
        <v>-2.21</v>
      </c>
      <c r="K78" s="38">
        <v>18.23</v>
      </c>
      <c r="L78">
        <v>2.9E-4</v>
      </c>
      <c r="M78" s="41">
        <f t="shared" si="1"/>
        <v>63.284241531664208</v>
      </c>
      <c r="N78" s="40" t="e">
        <f>Market!$C$3*Market!$D$3*NIFTY_OC!$D78/$C78</f>
        <v>#VALUE!</v>
      </c>
      <c r="O78" s="40" t="e">
        <f>Market!$C$3*Market!$E$3*NIFTY_OC!$D78/$C78</f>
        <v>#VALUE!</v>
      </c>
      <c r="P78" s="40" t="e">
        <f>Market!$C$3*Market!$F$3*NIFTY_OC!$D78/$C78</f>
        <v>#VALUE!</v>
      </c>
      <c r="Q78" s="40" t="e">
        <f>Market!$C$3*Market!$G$3*NIFTY_OC!$D78/$C78</f>
        <v>#VALUE!</v>
      </c>
      <c r="R78" s="40" t="e">
        <f>Market!$C$3*Market!$H$3*NIFTY_OC!$D78/$C78</f>
        <v>#VALUE!</v>
      </c>
      <c r="S78" s="40" t="e">
        <f>Market!$C$3*Market!$I$3*NIFTY_OC!$D78/$C78</f>
        <v>#VALUE!</v>
      </c>
    </row>
    <row r="79" spans="1:19">
      <c r="A79" s="39">
        <v>44497</v>
      </c>
      <c r="B79" s="38">
        <v>950</v>
      </c>
      <c r="C79" s="38">
        <v>1090.45</v>
      </c>
      <c r="D79">
        <v>0.8</v>
      </c>
      <c r="E79" s="37">
        <v>16550</v>
      </c>
      <c r="F79">
        <v>13.27</v>
      </c>
      <c r="G79" s="38">
        <v>101.8</v>
      </c>
      <c r="H79" s="38">
        <v>-0.2</v>
      </c>
      <c r="I79" s="38">
        <v>92250</v>
      </c>
      <c r="J79" s="38">
        <v>-2.23</v>
      </c>
      <c r="K79" s="38">
        <v>18.86</v>
      </c>
      <c r="L79">
        <v>3.1E-4</v>
      </c>
      <c r="M79" s="41">
        <f t="shared" si="1"/>
        <v>82.174076865109271</v>
      </c>
      <c r="N79" s="40" t="e">
        <f>Market!$C$3*Market!$D$3*NIFTY_OC!$D79/$C79</f>
        <v>#VALUE!</v>
      </c>
      <c r="O79" s="40" t="e">
        <f>Market!$C$3*Market!$E$3*NIFTY_OC!$D79/$C79</f>
        <v>#VALUE!</v>
      </c>
      <c r="P79" s="40" t="e">
        <f>Market!$C$3*Market!$F$3*NIFTY_OC!$D79/$C79</f>
        <v>#VALUE!</v>
      </c>
      <c r="Q79" s="40" t="e">
        <f>Market!$C$3*Market!$G$3*NIFTY_OC!$D79/$C79</f>
        <v>#VALUE!</v>
      </c>
      <c r="R79" s="40" t="e">
        <f>Market!$C$3*Market!$H$3*NIFTY_OC!$D79/$C79</f>
        <v>#VALUE!</v>
      </c>
      <c r="S79" s="40" t="e">
        <f>Market!$C$3*Market!$I$3*NIFTY_OC!$D79/$C79</f>
        <v>#VALUE!</v>
      </c>
    </row>
    <row r="80" spans="1:19">
      <c r="A80" s="39">
        <v>44497</v>
      </c>
      <c r="B80" s="38">
        <v>36150</v>
      </c>
      <c r="C80" s="38">
        <v>776.45</v>
      </c>
      <c r="D80">
        <v>0.78</v>
      </c>
      <c r="E80" s="37">
        <v>16600</v>
      </c>
      <c r="F80">
        <v>13.34</v>
      </c>
      <c r="G80" s="38">
        <v>114.3</v>
      </c>
      <c r="H80" s="38">
        <v>-0.22</v>
      </c>
      <c r="I80" s="38">
        <v>226700</v>
      </c>
      <c r="J80" s="38">
        <v>-2.36</v>
      </c>
      <c r="K80" s="38">
        <v>19.829999999999998</v>
      </c>
      <c r="L80">
        <v>3.2000000000000003E-4</v>
      </c>
      <c r="M80" s="41">
        <f t="shared" si="1"/>
        <v>58.204647676161926</v>
      </c>
      <c r="N80" s="40" t="e">
        <f>Market!$C$3*Market!$D$3*NIFTY_OC!$D80/$C80</f>
        <v>#VALUE!</v>
      </c>
      <c r="O80" s="40" t="e">
        <f>Market!$C$3*Market!$E$3*NIFTY_OC!$D80/$C80</f>
        <v>#VALUE!</v>
      </c>
      <c r="P80" s="40" t="e">
        <f>Market!$C$3*Market!$F$3*NIFTY_OC!$D80/$C80</f>
        <v>#VALUE!</v>
      </c>
      <c r="Q80" s="40" t="e">
        <f>Market!$C$3*Market!$G$3*NIFTY_OC!$D80/$C80</f>
        <v>#VALUE!</v>
      </c>
      <c r="R80" s="40" t="e">
        <f>Market!$C$3*Market!$H$3*NIFTY_OC!$D80/$C80</f>
        <v>#VALUE!</v>
      </c>
      <c r="S80" s="40" t="e">
        <f>Market!$C$3*Market!$I$3*NIFTY_OC!$D80/$C80</f>
        <v>#VALUE!</v>
      </c>
    </row>
    <row r="81" spans="1:19">
      <c r="A81" s="39">
        <v>44497</v>
      </c>
      <c r="B81" s="38">
        <v>24100</v>
      </c>
      <c r="C81" s="38">
        <v>729.8</v>
      </c>
      <c r="D81">
        <v>0.77</v>
      </c>
      <c r="E81" s="37">
        <v>16650</v>
      </c>
      <c r="F81">
        <v>13.36</v>
      </c>
      <c r="G81" s="38">
        <v>126.75</v>
      </c>
      <c r="H81" s="38">
        <v>-0.23</v>
      </c>
      <c r="I81" s="38">
        <v>15300</v>
      </c>
      <c r="J81" s="38">
        <v>-2.4700000000000002</v>
      </c>
      <c r="K81" s="38">
        <v>20.73</v>
      </c>
      <c r="L81">
        <v>3.4000000000000002E-4</v>
      </c>
      <c r="M81" s="41">
        <f t="shared" si="1"/>
        <v>54.625748502994014</v>
      </c>
      <c r="N81" s="40" t="e">
        <f>Market!$C$3*Market!$D$3*NIFTY_OC!$D81/$C81</f>
        <v>#VALUE!</v>
      </c>
      <c r="O81" s="40" t="e">
        <f>Market!$C$3*Market!$E$3*NIFTY_OC!$D81/$C81</f>
        <v>#VALUE!</v>
      </c>
      <c r="P81" s="40" t="e">
        <f>Market!$C$3*Market!$F$3*NIFTY_OC!$D81/$C81</f>
        <v>#VALUE!</v>
      </c>
      <c r="Q81" s="40" t="e">
        <f>Market!$C$3*Market!$G$3*NIFTY_OC!$D81/$C81</f>
        <v>#VALUE!</v>
      </c>
      <c r="R81" s="40" t="e">
        <f>Market!$C$3*Market!$H$3*NIFTY_OC!$D81/$C81</f>
        <v>#VALUE!</v>
      </c>
      <c r="S81" s="40" t="e">
        <f>Market!$C$3*Market!$I$3*NIFTY_OC!$D81/$C81</f>
        <v>#VALUE!</v>
      </c>
    </row>
    <row r="82" spans="1:19">
      <c r="A82" s="39">
        <v>44497</v>
      </c>
      <c r="B82" s="38">
        <v>89850</v>
      </c>
      <c r="C82" s="38">
        <v>700.2</v>
      </c>
      <c r="D82">
        <v>0.75</v>
      </c>
      <c r="E82" s="37">
        <v>16700</v>
      </c>
      <c r="F82">
        <v>13.17</v>
      </c>
      <c r="G82" s="38">
        <v>135.55000000000001</v>
      </c>
      <c r="H82" s="38">
        <v>-0.25</v>
      </c>
      <c r="I82" s="38">
        <v>248700</v>
      </c>
      <c r="J82" s="38">
        <v>-2.52</v>
      </c>
      <c r="K82" s="38">
        <v>21.45</v>
      </c>
      <c r="L82">
        <v>3.6000000000000002E-4</v>
      </c>
      <c r="M82" s="41">
        <f t="shared" si="1"/>
        <v>53.166287015945336</v>
      </c>
      <c r="N82" s="40" t="e">
        <f>Market!$C$3*Market!$D$3*NIFTY_OC!$D82/$C82</f>
        <v>#VALUE!</v>
      </c>
      <c r="O82" s="40" t="e">
        <f>Market!$C$3*Market!$E$3*NIFTY_OC!$D82/$C82</f>
        <v>#VALUE!</v>
      </c>
      <c r="P82" s="40" t="e">
        <f>Market!$C$3*Market!$F$3*NIFTY_OC!$D82/$C82</f>
        <v>#VALUE!</v>
      </c>
      <c r="Q82" s="40" t="e">
        <f>Market!$C$3*Market!$G$3*NIFTY_OC!$D82/$C82</f>
        <v>#VALUE!</v>
      </c>
      <c r="R82" s="40" t="e">
        <f>Market!$C$3*Market!$H$3*NIFTY_OC!$D82/$C82</f>
        <v>#VALUE!</v>
      </c>
      <c r="S82" s="40" t="e">
        <f>Market!$C$3*Market!$I$3*NIFTY_OC!$D82/$C82</f>
        <v>#VALUE!</v>
      </c>
    </row>
    <row r="83" spans="1:19">
      <c r="A83" s="39">
        <v>44497</v>
      </c>
      <c r="B83" s="38">
        <v>2450</v>
      </c>
      <c r="C83" s="38">
        <v>658.65</v>
      </c>
      <c r="D83">
        <v>0.74</v>
      </c>
      <c r="E83" s="37">
        <v>16750</v>
      </c>
      <c r="F83">
        <v>12.84</v>
      </c>
      <c r="G83" s="38">
        <v>142.05000000000001</v>
      </c>
      <c r="H83" s="38">
        <v>-0.26</v>
      </c>
      <c r="I83" s="38">
        <v>8350</v>
      </c>
      <c r="J83" s="38">
        <v>-2.5299999999999998</v>
      </c>
      <c r="K83" s="38">
        <v>22.07</v>
      </c>
      <c r="L83">
        <v>3.8000000000000002E-4</v>
      </c>
      <c r="M83" s="41">
        <f t="shared" si="1"/>
        <v>51.296728971962615</v>
      </c>
      <c r="N83" s="40" t="e">
        <f>Market!$C$3*Market!$D$3*NIFTY_OC!$D83/$C83</f>
        <v>#VALUE!</v>
      </c>
      <c r="O83" s="40" t="e">
        <f>Market!$C$3*Market!$E$3*NIFTY_OC!$D83/$C83</f>
        <v>#VALUE!</v>
      </c>
      <c r="P83" s="40" t="e">
        <f>Market!$C$3*Market!$F$3*NIFTY_OC!$D83/$C83</f>
        <v>#VALUE!</v>
      </c>
      <c r="Q83" s="40" t="e">
        <f>Market!$C$3*Market!$G$3*NIFTY_OC!$D83/$C83</f>
        <v>#VALUE!</v>
      </c>
      <c r="R83" s="40" t="e">
        <f>Market!$C$3*Market!$H$3*NIFTY_OC!$D83/$C83</f>
        <v>#VALUE!</v>
      </c>
      <c r="S83" s="40" t="e">
        <f>Market!$C$3*Market!$I$3*NIFTY_OC!$D83/$C83</f>
        <v>#VALUE!</v>
      </c>
    </row>
    <row r="84" spans="1:19">
      <c r="A84" s="39">
        <v>44497</v>
      </c>
      <c r="B84" s="38">
        <v>49500</v>
      </c>
      <c r="C84" s="38">
        <v>621.85</v>
      </c>
      <c r="D84">
        <v>0.72</v>
      </c>
      <c r="E84" s="37">
        <v>16800</v>
      </c>
      <c r="F84">
        <v>12.89</v>
      </c>
      <c r="G84" s="38">
        <v>157.75</v>
      </c>
      <c r="H84" s="38">
        <v>-0.28000000000000003</v>
      </c>
      <c r="I84" s="38">
        <v>391650</v>
      </c>
      <c r="J84" s="38">
        <v>-2.64</v>
      </c>
      <c r="K84" s="38">
        <v>22.9</v>
      </c>
      <c r="L84">
        <v>3.8999999999999999E-4</v>
      </c>
      <c r="M84" s="41">
        <f t="shared" si="1"/>
        <v>48.242823894491856</v>
      </c>
      <c r="N84" s="40" t="e">
        <f>Market!$C$3*Market!$D$3*NIFTY_OC!$D84/$C84</f>
        <v>#VALUE!</v>
      </c>
      <c r="O84" s="40" t="e">
        <f>Market!$C$3*Market!$E$3*NIFTY_OC!$D84/$C84</f>
        <v>#VALUE!</v>
      </c>
      <c r="P84" s="40" t="e">
        <f>Market!$C$3*Market!$F$3*NIFTY_OC!$D84/$C84</f>
        <v>#VALUE!</v>
      </c>
      <c r="Q84" s="40" t="e">
        <f>Market!$C$3*Market!$G$3*NIFTY_OC!$D84/$C84</f>
        <v>#VALUE!</v>
      </c>
      <c r="R84" s="40" t="e">
        <f>Market!$C$3*Market!$H$3*NIFTY_OC!$D84/$C84</f>
        <v>#VALUE!</v>
      </c>
      <c r="S84" s="40" t="e">
        <f>Market!$C$3*Market!$I$3*NIFTY_OC!$D84/$C84</f>
        <v>#VALUE!</v>
      </c>
    </row>
    <row r="85" spans="1:19">
      <c r="A85" s="39">
        <v>44497</v>
      </c>
      <c r="B85" s="38">
        <v>3500</v>
      </c>
      <c r="C85" s="38">
        <v>590</v>
      </c>
      <c r="D85">
        <v>0.7</v>
      </c>
      <c r="E85" s="37">
        <v>16850</v>
      </c>
      <c r="F85">
        <v>12.78</v>
      </c>
      <c r="G85" s="38">
        <v>170.7</v>
      </c>
      <c r="H85" s="38">
        <v>-0.3</v>
      </c>
      <c r="I85" s="38">
        <v>6150</v>
      </c>
      <c r="J85" s="38">
        <v>-2.69</v>
      </c>
      <c r="K85" s="38">
        <v>23.6</v>
      </c>
      <c r="L85">
        <v>4.0000000000000002E-4</v>
      </c>
      <c r="M85" s="41">
        <f t="shared" si="1"/>
        <v>46.165884194053213</v>
      </c>
      <c r="N85" s="40" t="e">
        <f>Market!$C$3*Market!$D$3*NIFTY_OC!$D85/$C85</f>
        <v>#VALUE!</v>
      </c>
      <c r="O85" s="40" t="e">
        <f>Market!$C$3*Market!$E$3*NIFTY_OC!$D85/$C85</f>
        <v>#VALUE!</v>
      </c>
      <c r="P85" s="40" t="e">
        <f>Market!$C$3*Market!$F$3*NIFTY_OC!$D85/$C85</f>
        <v>#VALUE!</v>
      </c>
      <c r="Q85" s="40" t="e">
        <f>Market!$C$3*Market!$G$3*NIFTY_OC!$D85/$C85</f>
        <v>#VALUE!</v>
      </c>
      <c r="R85" s="40" t="e">
        <f>Market!$C$3*Market!$H$3*NIFTY_OC!$D85/$C85</f>
        <v>#VALUE!</v>
      </c>
      <c r="S85" s="40" t="e">
        <f>Market!$C$3*Market!$I$3*NIFTY_OC!$D85/$C85</f>
        <v>#VALUE!</v>
      </c>
    </row>
    <row r="86" spans="1:19">
      <c r="A86" s="39">
        <v>44497</v>
      </c>
      <c r="B86" s="38">
        <v>85400</v>
      </c>
      <c r="C86" s="38">
        <v>550</v>
      </c>
      <c r="D86">
        <v>0.68</v>
      </c>
      <c r="E86" s="37">
        <v>16900</v>
      </c>
      <c r="F86">
        <v>12.68</v>
      </c>
      <c r="G86" s="38">
        <v>184.8</v>
      </c>
      <c r="H86" s="38">
        <v>-0.32</v>
      </c>
      <c r="I86" s="38">
        <v>127150</v>
      </c>
      <c r="J86" s="38">
        <v>-2.75</v>
      </c>
      <c r="K86" s="38">
        <v>24.25</v>
      </c>
      <c r="L86">
        <v>4.2000000000000002E-4</v>
      </c>
      <c r="M86" s="41">
        <f t="shared" si="1"/>
        <v>43.375394321766564</v>
      </c>
      <c r="N86" s="40" t="e">
        <f>Market!$C$3*Market!$D$3*NIFTY_OC!$D86/$C86</f>
        <v>#VALUE!</v>
      </c>
      <c r="O86" s="40" t="e">
        <f>Market!$C$3*Market!$E$3*NIFTY_OC!$D86/$C86</f>
        <v>#VALUE!</v>
      </c>
      <c r="P86" s="40" t="e">
        <f>Market!$C$3*Market!$F$3*NIFTY_OC!$D86/$C86</f>
        <v>#VALUE!</v>
      </c>
      <c r="Q86" s="40" t="e">
        <f>Market!$C$3*Market!$G$3*NIFTY_OC!$D86/$C86</f>
        <v>#VALUE!</v>
      </c>
      <c r="R86" s="40" t="e">
        <f>Market!$C$3*Market!$H$3*NIFTY_OC!$D86/$C86</f>
        <v>#VALUE!</v>
      </c>
      <c r="S86" s="40" t="e">
        <f>Market!$C$3*Market!$I$3*NIFTY_OC!$D86/$C86</f>
        <v>#VALUE!</v>
      </c>
    </row>
    <row r="87" spans="1:19">
      <c r="A87" s="39">
        <v>44497</v>
      </c>
      <c r="B87" s="38">
        <v>2650</v>
      </c>
      <c r="C87" s="38">
        <v>841.35</v>
      </c>
      <c r="D87">
        <v>0.66</v>
      </c>
      <c r="E87" s="37">
        <v>16950</v>
      </c>
      <c r="F87">
        <v>12.62</v>
      </c>
      <c r="G87" s="38">
        <v>200.7</v>
      </c>
      <c r="H87" s="38">
        <v>-0.34</v>
      </c>
      <c r="I87" s="38">
        <v>3200</v>
      </c>
      <c r="J87" s="38">
        <v>-2.8</v>
      </c>
      <c r="K87" s="38">
        <v>24.87</v>
      </c>
      <c r="L87">
        <v>4.2999999999999999E-4</v>
      </c>
      <c r="M87" s="41">
        <f t="shared" si="1"/>
        <v>66.667987321711578</v>
      </c>
      <c r="N87" s="40" t="e">
        <f>Market!$C$3*Market!$D$3*NIFTY_OC!$D87/$C87</f>
        <v>#VALUE!</v>
      </c>
      <c r="O87" s="40" t="e">
        <f>Market!$C$3*Market!$E$3*NIFTY_OC!$D87/$C87</f>
        <v>#VALUE!</v>
      </c>
      <c r="P87" s="40" t="e">
        <f>Market!$C$3*Market!$F$3*NIFTY_OC!$D87/$C87</f>
        <v>#VALUE!</v>
      </c>
      <c r="Q87" s="40" t="e">
        <f>Market!$C$3*Market!$G$3*NIFTY_OC!$D87/$C87</f>
        <v>#VALUE!</v>
      </c>
      <c r="R87" s="40" t="e">
        <f>Market!$C$3*Market!$H$3*NIFTY_OC!$D87/$C87</f>
        <v>#VALUE!</v>
      </c>
      <c r="S87" s="40" t="e">
        <f>Market!$C$3*Market!$I$3*NIFTY_OC!$D87/$C87</f>
        <v>#VALUE!</v>
      </c>
    </row>
    <row r="88" spans="1:19">
      <c r="A88" s="39">
        <v>44497</v>
      </c>
      <c r="B88" s="38">
        <v>542500</v>
      </c>
      <c r="C88" s="38">
        <v>483.1</v>
      </c>
      <c r="D88">
        <v>0.64</v>
      </c>
      <c r="E88" s="37">
        <v>17000</v>
      </c>
      <c r="F88">
        <v>12.57</v>
      </c>
      <c r="G88" s="38">
        <v>218.1</v>
      </c>
      <c r="H88" s="38">
        <v>-0.36</v>
      </c>
      <c r="I88" s="38">
        <v>605600</v>
      </c>
      <c r="J88" s="38">
        <v>-2.85</v>
      </c>
      <c r="K88" s="38">
        <v>25.42</v>
      </c>
      <c r="L88">
        <v>4.4000000000000002E-4</v>
      </c>
      <c r="M88" s="41">
        <f t="shared" si="1"/>
        <v>38.432776451869529</v>
      </c>
      <c r="N88" s="40" t="e">
        <f>Market!$C$3*Market!$D$3*NIFTY_OC!$D88/$C88</f>
        <v>#VALUE!</v>
      </c>
      <c r="O88" s="40" t="e">
        <f>Market!$C$3*Market!$E$3*NIFTY_OC!$D88/$C88</f>
        <v>#VALUE!</v>
      </c>
      <c r="P88" s="40" t="e">
        <f>Market!$C$3*Market!$F$3*NIFTY_OC!$D88/$C88</f>
        <v>#VALUE!</v>
      </c>
      <c r="Q88" s="40" t="e">
        <f>Market!$C$3*Market!$G$3*NIFTY_OC!$D88/$C88</f>
        <v>#VALUE!</v>
      </c>
      <c r="R88" s="40" t="e">
        <f>Market!$C$3*Market!$H$3*NIFTY_OC!$D88/$C88</f>
        <v>#VALUE!</v>
      </c>
      <c r="S88" s="40" t="e">
        <f>Market!$C$3*Market!$I$3*NIFTY_OC!$D88/$C88</f>
        <v>#VALUE!</v>
      </c>
    </row>
    <row r="89" spans="1:19">
      <c r="A89" s="39">
        <v>44497</v>
      </c>
      <c r="B89" s="38">
        <v>2000</v>
      </c>
      <c r="C89" s="38">
        <v>447.2</v>
      </c>
      <c r="D89">
        <v>0.61</v>
      </c>
      <c r="E89" s="37">
        <v>17050</v>
      </c>
      <c r="F89">
        <v>12.59</v>
      </c>
      <c r="G89" s="38">
        <v>238.45</v>
      </c>
      <c r="H89" s="38">
        <v>-0.39</v>
      </c>
      <c r="I89" s="38">
        <v>2500</v>
      </c>
      <c r="J89" s="38">
        <v>-2.91</v>
      </c>
      <c r="K89" s="38">
        <v>25.91</v>
      </c>
      <c r="L89">
        <v>4.4999999999999999E-4</v>
      </c>
      <c r="M89" s="41">
        <f t="shared" si="1"/>
        <v>35.52025416997617</v>
      </c>
      <c r="N89" s="40" t="e">
        <f>Market!$C$3*Market!$D$3*NIFTY_OC!$D89/$C89</f>
        <v>#VALUE!</v>
      </c>
      <c r="O89" s="40" t="e">
        <f>Market!$C$3*Market!$E$3*NIFTY_OC!$D89/$C89</f>
        <v>#VALUE!</v>
      </c>
      <c r="P89" s="40" t="e">
        <f>Market!$C$3*Market!$F$3*NIFTY_OC!$D89/$C89</f>
        <v>#VALUE!</v>
      </c>
      <c r="Q89" s="40" t="e">
        <f>Market!$C$3*Market!$G$3*NIFTY_OC!$D89/$C89</f>
        <v>#VALUE!</v>
      </c>
      <c r="R89" s="40" t="e">
        <f>Market!$C$3*Market!$H$3*NIFTY_OC!$D89/$C89</f>
        <v>#VALUE!</v>
      </c>
      <c r="S89" s="40" t="e">
        <f>Market!$C$3*Market!$I$3*NIFTY_OC!$D89/$C89</f>
        <v>#VALUE!</v>
      </c>
    </row>
    <row r="90" spans="1:19">
      <c r="A90" s="39">
        <v>44497</v>
      </c>
      <c r="B90" s="38">
        <v>72450</v>
      </c>
      <c r="C90" s="38">
        <v>420.3</v>
      </c>
      <c r="D90">
        <v>0.59</v>
      </c>
      <c r="E90" s="37">
        <v>17100</v>
      </c>
      <c r="F90">
        <v>12.52</v>
      </c>
      <c r="G90" s="38">
        <v>257.35000000000002</v>
      </c>
      <c r="H90" s="38">
        <v>-0.41</v>
      </c>
      <c r="I90" s="38">
        <v>94500</v>
      </c>
      <c r="J90" s="38">
        <v>-2.94</v>
      </c>
      <c r="K90" s="38">
        <v>26.3</v>
      </c>
      <c r="L90">
        <v>4.6000000000000001E-4</v>
      </c>
      <c r="M90" s="41">
        <f t="shared" si="1"/>
        <v>33.570287539936103</v>
      </c>
      <c r="N90" s="40" t="e">
        <f>Market!$C$3*Market!$D$3*NIFTY_OC!$D90/$C90</f>
        <v>#VALUE!</v>
      </c>
      <c r="O90" s="40" t="e">
        <f>Market!$C$3*Market!$E$3*NIFTY_OC!$D90/$C90</f>
        <v>#VALUE!</v>
      </c>
      <c r="P90" s="40" t="e">
        <f>Market!$C$3*Market!$F$3*NIFTY_OC!$D90/$C90</f>
        <v>#VALUE!</v>
      </c>
      <c r="Q90" s="40" t="e">
        <f>Market!$C$3*Market!$G$3*NIFTY_OC!$D90/$C90</f>
        <v>#VALUE!</v>
      </c>
      <c r="R90" s="40" t="e">
        <f>Market!$C$3*Market!$H$3*NIFTY_OC!$D90/$C90</f>
        <v>#VALUE!</v>
      </c>
      <c r="S90" s="40" t="e">
        <f>Market!$C$3*Market!$I$3*NIFTY_OC!$D90/$C90</f>
        <v>#VALUE!</v>
      </c>
    </row>
    <row r="91" spans="1:19">
      <c r="A91" s="39">
        <v>44497</v>
      </c>
      <c r="B91" s="38">
        <v>7700</v>
      </c>
      <c r="C91" s="38">
        <v>388.3</v>
      </c>
      <c r="D91">
        <v>0.56999999999999995</v>
      </c>
      <c r="E91" s="37">
        <v>17150</v>
      </c>
      <c r="F91">
        <v>12.34</v>
      </c>
      <c r="G91" s="38">
        <v>274.64999999999998</v>
      </c>
      <c r="H91" s="38">
        <v>-0.43</v>
      </c>
      <c r="I91" s="38">
        <v>3700</v>
      </c>
      <c r="J91" s="38">
        <v>-2.93</v>
      </c>
      <c r="K91" s="38">
        <v>26.6</v>
      </c>
      <c r="L91">
        <v>4.6999999999999999E-4</v>
      </c>
      <c r="M91" s="41">
        <f t="shared" si="1"/>
        <v>31.466774716369532</v>
      </c>
      <c r="N91" s="40" t="e">
        <f>Market!$C$3*Market!$D$3*NIFTY_OC!$D91/$C91</f>
        <v>#VALUE!</v>
      </c>
      <c r="O91" s="40" t="e">
        <f>Market!$C$3*Market!$E$3*NIFTY_OC!$D91/$C91</f>
        <v>#VALUE!</v>
      </c>
      <c r="P91" s="40" t="e">
        <f>Market!$C$3*Market!$F$3*NIFTY_OC!$D91/$C91</f>
        <v>#VALUE!</v>
      </c>
      <c r="Q91" s="40" t="e">
        <f>Market!$C$3*Market!$G$3*NIFTY_OC!$D91/$C91</f>
        <v>#VALUE!</v>
      </c>
      <c r="R91" s="40" t="e">
        <f>Market!$C$3*Market!$H$3*NIFTY_OC!$D91/$C91</f>
        <v>#VALUE!</v>
      </c>
      <c r="S91" s="40" t="e">
        <f>Market!$C$3*Market!$I$3*NIFTY_OC!$D91/$C91</f>
        <v>#VALUE!</v>
      </c>
    </row>
    <row r="92" spans="1:19">
      <c r="A92" s="39">
        <v>44497</v>
      </c>
      <c r="B92" s="38">
        <v>90400</v>
      </c>
      <c r="C92" s="38">
        <v>363.8</v>
      </c>
      <c r="D92">
        <v>0.54</v>
      </c>
      <c r="E92" s="37">
        <v>17200</v>
      </c>
      <c r="F92">
        <v>12.46</v>
      </c>
      <c r="G92" s="38">
        <v>301.14999999999998</v>
      </c>
      <c r="H92" s="38">
        <v>-0.46</v>
      </c>
      <c r="I92" s="38">
        <v>108400</v>
      </c>
      <c r="J92" s="38">
        <v>-2.99</v>
      </c>
      <c r="K92" s="38">
        <v>26.83</v>
      </c>
      <c r="L92">
        <v>4.6999999999999999E-4</v>
      </c>
      <c r="M92" s="41">
        <f t="shared" si="1"/>
        <v>29.197431781701443</v>
      </c>
      <c r="N92" s="40" t="e">
        <f>Market!$C$3*Market!$D$3*NIFTY_OC!$D92/$C92</f>
        <v>#VALUE!</v>
      </c>
      <c r="O92" s="40" t="e">
        <f>Market!$C$3*Market!$E$3*NIFTY_OC!$D92/$C92</f>
        <v>#VALUE!</v>
      </c>
      <c r="P92" s="40" t="e">
        <f>Market!$C$3*Market!$F$3*NIFTY_OC!$D92/$C92</f>
        <v>#VALUE!</v>
      </c>
      <c r="Q92" s="40" t="e">
        <f>Market!$C$3*Market!$G$3*NIFTY_OC!$D92/$C92</f>
        <v>#VALUE!</v>
      </c>
      <c r="R92" s="40" t="e">
        <f>Market!$C$3*Market!$H$3*NIFTY_OC!$D92/$C92</f>
        <v>#VALUE!</v>
      </c>
      <c r="S92" s="40" t="e">
        <f>Market!$C$3*Market!$I$3*NIFTY_OC!$D92/$C92</f>
        <v>#VALUE!</v>
      </c>
    </row>
    <row r="93" spans="1:19">
      <c r="A93" s="39">
        <v>44497</v>
      </c>
      <c r="B93" s="38">
        <v>5150</v>
      </c>
      <c r="C93" s="38">
        <v>336.85</v>
      </c>
      <c r="D93">
        <v>0.52</v>
      </c>
      <c r="E93" s="37">
        <v>17250</v>
      </c>
      <c r="F93">
        <v>12.35</v>
      </c>
      <c r="G93" s="38">
        <v>322.5</v>
      </c>
      <c r="H93" s="38">
        <v>-0.48</v>
      </c>
      <c r="I93" s="38">
        <v>2300</v>
      </c>
      <c r="J93" s="38">
        <v>-2.97</v>
      </c>
      <c r="K93" s="38">
        <v>26.96</v>
      </c>
      <c r="L93">
        <v>4.8000000000000001E-4</v>
      </c>
      <c r="M93" s="41">
        <f t="shared" si="1"/>
        <v>27.275303643724698</v>
      </c>
      <c r="N93" s="40" t="e">
        <f>Market!$C$3*Market!$D$3*NIFTY_OC!$D93/$C93</f>
        <v>#VALUE!</v>
      </c>
      <c r="O93" s="40" t="e">
        <f>Market!$C$3*Market!$E$3*NIFTY_OC!$D93/$C93</f>
        <v>#VALUE!</v>
      </c>
      <c r="P93" s="40" t="e">
        <f>Market!$C$3*Market!$F$3*NIFTY_OC!$D93/$C93</f>
        <v>#VALUE!</v>
      </c>
      <c r="Q93" s="40" t="e">
        <f>Market!$C$3*Market!$G$3*NIFTY_OC!$D93/$C93</f>
        <v>#VALUE!</v>
      </c>
      <c r="R93" s="40" t="e">
        <f>Market!$C$3*Market!$H$3*NIFTY_OC!$D93/$C93</f>
        <v>#VALUE!</v>
      </c>
      <c r="S93" s="40" t="e">
        <f>Market!$C$3*Market!$I$3*NIFTY_OC!$D93/$C93</f>
        <v>#VALUE!</v>
      </c>
    </row>
    <row r="94" spans="1:19">
      <c r="A94" s="39">
        <v>44497</v>
      </c>
      <c r="B94" s="38">
        <v>79550</v>
      </c>
      <c r="C94" s="38">
        <v>309.75</v>
      </c>
      <c r="D94">
        <v>0.5</v>
      </c>
      <c r="E94" s="37">
        <v>17300</v>
      </c>
      <c r="F94">
        <v>11.99</v>
      </c>
      <c r="G94" s="38">
        <v>345.25</v>
      </c>
      <c r="H94" s="38">
        <v>-0.5</v>
      </c>
      <c r="I94" s="38">
        <v>24550</v>
      </c>
      <c r="J94" s="38">
        <v>-2.89</v>
      </c>
      <c r="K94" s="38">
        <v>26.99</v>
      </c>
      <c r="L94">
        <v>4.8999999999999998E-4</v>
      </c>
      <c r="M94" s="41">
        <f t="shared" si="1"/>
        <v>25.834028356964136</v>
      </c>
      <c r="N94" s="40" t="e">
        <f>Market!$C$3*Market!$D$3*NIFTY_OC!$D94/$C94</f>
        <v>#VALUE!</v>
      </c>
      <c r="O94" s="40" t="e">
        <f>Market!$C$3*Market!$E$3*NIFTY_OC!$D94/$C94</f>
        <v>#VALUE!</v>
      </c>
      <c r="P94" s="40" t="e">
        <f>Market!$C$3*Market!$F$3*NIFTY_OC!$D94/$C94</f>
        <v>#VALUE!</v>
      </c>
      <c r="Q94" s="40" t="e">
        <f>Market!$C$3*Market!$G$3*NIFTY_OC!$D94/$C94</f>
        <v>#VALUE!</v>
      </c>
      <c r="R94" s="40" t="e">
        <f>Market!$C$3*Market!$H$3*NIFTY_OC!$D94/$C94</f>
        <v>#VALUE!</v>
      </c>
      <c r="S94" s="40" t="e">
        <f>Market!$C$3*Market!$I$3*NIFTY_OC!$D94/$C94</f>
        <v>#VALUE!</v>
      </c>
    </row>
    <row r="95" spans="1:19">
      <c r="A95" s="39">
        <v>44497</v>
      </c>
      <c r="B95" s="38">
        <v>1500</v>
      </c>
      <c r="C95" s="38">
        <v>282.3</v>
      </c>
      <c r="D95">
        <v>0.47</v>
      </c>
      <c r="E95" s="37">
        <v>17350</v>
      </c>
      <c r="F95">
        <v>11.83</v>
      </c>
      <c r="G95" s="38">
        <v>362.8</v>
      </c>
      <c r="H95" s="38">
        <v>-0.53</v>
      </c>
      <c r="I95" s="38">
        <v>50</v>
      </c>
      <c r="J95" s="38">
        <v>-2.84</v>
      </c>
      <c r="K95" s="38">
        <v>26.91</v>
      </c>
      <c r="L95">
        <v>5.0000000000000001E-4</v>
      </c>
      <c r="M95" s="41">
        <f t="shared" si="1"/>
        <v>23.863060016906172</v>
      </c>
      <c r="N95" s="40" t="e">
        <f>Market!$C$3*Market!$D$3*NIFTY_OC!$D95/$C95</f>
        <v>#VALUE!</v>
      </c>
      <c r="O95" s="40" t="e">
        <f>Market!$C$3*Market!$E$3*NIFTY_OC!$D95/$C95</f>
        <v>#VALUE!</v>
      </c>
      <c r="P95" s="40" t="e">
        <f>Market!$C$3*Market!$F$3*NIFTY_OC!$D95/$C95</f>
        <v>#VALUE!</v>
      </c>
      <c r="Q95" s="40" t="e">
        <f>Market!$C$3*Market!$G$3*NIFTY_OC!$D95/$C95</f>
        <v>#VALUE!</v>
      </c>
      <c r="R95" s="40" t="e">
        <f>Market!$C$3*Market!$H$3*NIFTY_OC!$D95/$C95</f>
        <v>#VALUE!</v>
      </c>
      <c r="S95" s="40" t="e">
        <f>Market!$C$3*Market!$I$3*NIFTY_OC!$D95/$C95</f>
        <v>#VALUE!</v>
      </c>
    </row>
    <row r="96" spans="1:19">
      <c r="A96" s="39">
        <v>44497</v>
      </c>
      <c r="B96" s="38">
        <v>110500</v>
      </c>
      <c r="C96" s="38">
        <v>262.05</v>
      </c>
      <c r="D96">
        <v>0.45</v>
      </c>
      <c r="E96" s="37">
        <v>17400</v>
      </c>
      <c r="F96">
        <v>11.9</v>
      </c>
      <c r="G96" s="38">
        <v>396.2</v>
      </c>
      <c r="H96" s="38">
        <v>-0.55000000000000004</v>
      </c>
      <c r="I96" s="38">
        <v>14050</v>
      </c>
      <c r="J96" s="38">
        <v>-2.84</v>
      </c>
      <c r="K96" s="38">
        <v>26.74</v>
      </c>
      <c r="L96">
        <v>4.8999999999999998E-4</v>
      </c>
      <c r="M96" s="41">
        <f t="shared" si="1"/>
        <v>22.021008403361346</v>
      </c>
      <c r="N96" s="40" t="e">
        <f>Market!$C$3*Market!$D$3*NIFTY_OC!$D96/$C96</f>
        <v>#VALUE!</v>
      </c>
      <c r="O96" s="40" t="e">
        <f>Market!$C$3*Market!$E$3*NIFTY_OC!$D96/$C96</f>
        <v>#VALUE!</v>
      </c>
      <c r="P96" s="40" t="e">
        <f>Market!$C$3*Market!$F$3*NIFTY_OC!$D96/$C96</f>
        <v>#VALUE!</v>
      </c>
      <c r="Q96" s="40" t="e">
        <f>Market!$C$3*Market!$G$3*NIFTY_OC!$D96/$C96</f>
        <v>#VALUE!</v>
      </c>
      <c r="R96" s="40" t="e">
        <f>Market!$C$3*Market!$H$3*NIFTY_OC!$D96/$C96</f>
        <v>#VALUE!</v>
      </c>
      <c r="S96" s="40" t="e">
        <f>Market!$C$3*Market!$I$3*NIFTY_OC!$D96/$C96</f>
        <v>#VALUE!</v>
      </c>
    </row>
    <row r="97" spans="1:19">
      <c r="A97" s="39">
        <v>44497</v>
      </c>
      <c r="B97" s="38">
        <v>5200</v>
      </c>
      <c r="C97" s="38">
        <v>238.45</v>
      </c>
      <c r="D97">
        <v>0.42</v>
      </c>
      <c r="E97" s="37">
        <v>17450</v>
      </c>
      <c r="F97">
        <v>11.79</v>
      </c>
      <c r="G97" s="38">
        <v>425.65</v>
      </c>
      <c r="H97" s="38">
        <v>-0.57999999999999996</v>
      </c>
      <c r="I97" s="38">
        <v>50</v>
      </c>
      <c r="J97" s="38">
        <v>-2.79</v>
      </c>
      <c r="K97" s="38">
        <v>26.46</v>
      </c>
      <c r="L97">
        <v>4.8999999999999998E-4</v>
      </c>
      <c r="M97" s="41">
        <f t="shared" si="1"/>
        <v>20.22476675148431</v>
      </c>
      <c r="N97" s="40" t="e">
        <f>Market!$C$3*Market!$D$3*NIFTY_OC!$D97/$C97</f>
        <v>#VALUE!</v>
      </c>
      <c r="O97" s="40" t="e">
        <f>Market!$C$3*Market!$E$3*NIFTY_OC!$D97/$C97</f>
        <v>#VALUE!</v>
      </c>
      <c r="P97" s="40" t="e">
        <f>Market!$C$3*Market!$F$3*NIFTY_OC!$D97/$C97</f>
        <v>#VALUE!</v>
      </c>
      <c r="Q97" s="40" t="e">
        <f>Market!$C$3*Market!$G$3*NIFTY_OC!$D97/$C97</f>
        <v>#VALUE!</v>
      </c>
      <c r="R97" s="40" t="e">
        <f>Market!$C$3*Market!$H$3*NIFTY_OC!$D97/$C97</f>
        <v>#VALUE!</v>
      </c>
      <c r="S97" s="40" t="e">
        <f>Market!$C$3*Market!$I$3*NIFTY_OC!$D97/$C97</f>
        <v>#VALUE!</v>
      </c>
    </row>
    <row r="98" spans="1:19">
      <c r="A98" s="39">
        <v>44497</v>
      </c>
      <c r="B98" s="38">
        <v>405000</v>
      </c>
      <c r="C98" s="38">
        <v>219.1</v>
      </c>
      <c r="D98">
        <v>0.4</v>
      </c>
      <c r="E98" s="37">
        <v>17500</v>
      </c>
      <c r="F98">
        <v>11.8</v>
      </c>
      <c r="G98" s="38">
        <v>453.65</v>
      </c>
      <c r="H98" s="38">
        <v>-0.6</v>
      </c>
      <c r="I98" s="38">
        <v>85250</v>
      </c>
      <c r="J98" s="38">
        <v>-2.75</v>
      </c>
      <c r="K98" s="38">
        <v>26.08</v>
      </c>
      <c r="L98">
        <v>4.8000000000000001E-4</v>
      </c>
      <c r="M98" s="41">
        <f t="shared" si="1"/>
        <v>18.567796610169491</v>
      </c>
      <c r="N98" s="40" t="e">
        <f>Market!$C$3*Market!$D$3*NIFTY_OC!$D98/$C98</f>
        <v>#VALUE!</v>
      </c>
      <c r="O98" s="40" t="e">
        <f>Market!$C$3*Market!$E$3*NIFTY_OC!$D98/$C98</f>
        <v>#VALUE!</v>
      </c>
      <c r="P98" s="40" t="e">
        <f>Market!$C$3*Market!$F$3*NIFTY_OC!$D98/$C98</f>
        <v>#VALUE!</v>
      </c>
      <c r="Q98" s="40" t="e">
        <f>Market!$C$3*Market!$G$3*NIFTY_OC!$D98/$C98</f>
        <v>#VALUE!</v>
      </c>
      <c r="R98" s="40" t="e">
        <f>Market!$C$3*Market!$H$3*NIFTY_OC!$D98/$C98</f>
        <v>#VALUE!</v>
      </c>
      <c r="S98" s="40" t="e">
        <f>Market!$C$3*Market!$I$3*NIFTY_OC!$D98/$C98</f>
        <v>#VALUE!</v>
      </c>
    </row>
    <row r="99" spans="1:19">
      <c r="A99" s="39">
        <v>44497</v>
      </c>
      <c r="B99" s="38">
        <v>1750</v>
      </c>
      <c r="C99" s="38">
        <v>201.85</v>
      </c>
      <c r="D99">
        <v>0.37</v>
      </c>
      <c r="E99" s="37">
        <v>17550</v>
      </c>
      <c r="F99">
        <v>11.84</v>
      </c>
      <c r="G99" s="38">
        <v>754.9</v>
      </c>
      <c r="H99" s="38">
        <v>-0.63</v>
      </c>
      <c r="I99" s="38">
        <v>0</v>
      </c>
      <c r="J99" s="38">
        <v>-2.71</v>
      </c>
      <c r="K99" s="38">
        <v>25.63</v>
      </c>
      <c r="L99">
        <v>4.6999999999999999E-4</v>
      </c>
      <c r="M99" s="41">
        <f t="shared" si="1"/>
        <v>17.048141891891891</v>
      </c>
      <c r="N99" s="40" t="e">
        <f>Market!$C$3*Market!$D$3*NIFTY_OC!$D99/$C99</f>
        <v>#VALUE!</v>
      </c>
      <c r="O99" s="40" t="e">
        <f>Market!$C$3*Market!$E$3*NIFTY_OC!$D99/$C99</f>
        <v>#VALUE!</v>
      </c>
      <c r="P99" s="40" t="e">
        <f>Market!$C$3*Market!$F$3*NIFTY_OC!$D99/$C99</f>
        <v>#VALUE!</v>
      </c>
      <c r="Q99" s="40" t="e">
        <f>Market!$C$3*Market!$G$3*NIFTY_OC!$D99/$C99</f>
        <v>#VALUE!</v>
      </c>
      <c r="R99" s="40" t="e">
        <f>Market!$C$3*Market!$H$3*NIFTY_OC!$D99/$C99</f>
        <v>#VALUE!</v>
      </c>
      <c r="S99" s="40" t="e">
        <f>Market!$C$3*Market!$I$3*NIFTY_OC!$D99/$C99</f>
        <v>#VALUE!</v>
      </c>
    </row>
    <row r="100" spans="1:19">
      <c r="A100" s="39">
        <v>44497</v>
      </c>
      <c r="B100" s="38">
        <v>34500</v>
      </c>
      <c r="C100" s="38">
        <v>179.9</v>
      </c>
      <c r="D100">
        <v>0.35</v>
      </c>
      <c r="E100" s="37">
        <v>17600</v>
      </c>
      <c r="F100">
        <v>11.66</v>
      </c>
      <c r="G100" s="38">
        <v>783.55</v>
      </c>
      <c r="H100" s="38">
        <v>-0.65</v>
      </c>
      <c r="I100" s="38">
        <v>250</v>
      </c>
      <c r="J100" s="38">
        <v>-2.6</v>
      </c>
      <c r="K100" s="38">
        <v>25.01</v>
      </c>
      <c r="L100">
        <v>4.6999999999999999E-4</v>
      </c>
      <c r="M100" s="41">
        <f t="shared" si="1"/>
        <v>15.428816466552316</v>
      </c>
      <c r="N100" s="40" t="e">
        <f>Market!$C$3*Market!$D$3*NIFTY_OC!$D100/$C100</f>
        <v>#VALUE!</v>
      </c>
      <c r="O100" s="40" t="e">
        <f>Market!$C$3*Market!$E$3*NIFTY_OC!$D100/$C100</f>
        <v>#VALUE!</v>
      </c>
      <c r="P100" s="40" t="e">
        <f>Market!$C$3*Market!$F$3*NIFTY_OC!$D100/$C100</f>
        <v>#VALUE!</v>
      </c>
      <c r="Q100" s="40" t="e">
        <f>Market!$C$3*Market!$G$3*NIFTY_OC!$D100/$C100</f>
        <v>#VALUE!</v>
      </c>
      <c r="R100" s="40" t="e">
        <f>Market!$C$3*Market!$H$3*NIFTY_OC!$D100/$C100</f>
        <v>#VALUE!</v>
      </c>
      <c r="S100" s="40" t="e">
        <f>Market!$C$3*Market!$I$3*NIFTY_OC!$D100/$C100</f>
        <v>#VALUE!</v>
      </c>
    </row>
    <row r="101" spans="1:19">
      <c r="A101" s="39">
        <v>44497</v>
      </c>
      <c r="B101" s="38">
        <v>2450</v>
      </c>
      <c r="C101" s="38">
        <v>163.80000000000001</v>
      </c>
      <c r="D101">
        <v>0.33</v>
      </c>
      <c r="E101" s="37">
        <v>17650</v>
      </c>
      <c r="F101">
        <v>11.65</v>
      </c>
      <c r="G101" s="38">
        <v>812.85</v>
      </c>
      <c r="H101" s="38">
        <v>-0.67</v>
      </c>
      <c r="I101" s="38">
        <v>0</v>
      </c>
      <c r="J101" s="38">
        <v>-2.5299999999999998</v>
      </c>
      <c r="K101" s="38">
        <v>24.36</v>
      </c>
      <c r="L101">
        <v>4.6000000000000001E-4</v>
      </c>
      <c r="M101" s="41">
        <f t="shared" si="1"/>
        <v>14.060085836909872</v>
      </c>
      <c r="N101" s="40" t="e">
        <f>Market!$C$3*Market!$D$3*NIFTY_OC!$D101/$C101</f>
        <v>#VALUE!</v>
      </c>
      <c r="O101" s="40" t="e">
        <f>Market!$C$3*Market!$E$3*NIFTY_OC!$D101/$C101</f>
        <v>#VALUE!</v>
      </c>
      <c r="P101" s="40" t="e">
        <f>Market!$C$3*Market!$F$3*NIFTY_OC!$D101/$C101</f>
        <v>#VALUE!</v>
      </c>
      <c r="Q101" s="40" t="e">
        <f>Market!$C$3*Market!$G$3*NIFTY_OC!$D101/$C101</f>
        <v>#VALUE!</v>
      </c>
      <c r="R101" s="40" t="e">
        <f>Market!$C$3*Market!$H$3*NIFTY_OC!$D101/$C101</f>
        <v>#VALUE!</v>
      </c>
      <c r="S101" s="40" t="e">
        <f>Market!$C$3*Market!$I$3*NIFTY_OC!$D101/$C101</f>
        <v>#VALUE!</v>
      </c>
    </row>
    <row r="102" spans="1:19">
      <c r="A102" s="39">
        <v>44497</v>
      </c>
      <c r="B102" s="38">
        <v>26350</v>
      </c>
      <c r="C102" s="38">
        <v>147.6</v>
      </c>
      <c r="D102">
        <v>0.3</v>
      </c>
      <c r="E102" s="37">
        <v>17700</v>
      </c>
      <c r="F102">
        <v>11.6</v>
      </c>
      <c r="G102" s="38">
        <v>567.15</v>
      </c>
      <c r="H102" s="38">
        <v>-0.7</v>
      </c>
      <c r="I102" s="38">
        <v>1650</v>
      </c>
      <c r="J102" s="38">
        <v>-2.4500000000000002</v>
      </c>
      <c r="K102" s="38">
        <v>23.61</v>
      </c>
      <c r="L102">
        <v>4.4000000000000002E-4</v>
      </c>
      <c r="M102" s="41">
        <f t="shared" si="1"/>
        <v>12.724137931034482</v>
      </c>
      <c r="N102" s="40" t="e">
        <f>Market!$C$3*Market!$D$3*NIFTY_OC!$D102/$C102</f>
        <v>#VALUE!</v>
      </c>
      <c r="O102" s="40" t="e">
        <f>Market!$C$3*Market!$E$3*NIFTY_OC!$D102/$C102</f>
        <v>#VALUE!</v>
      </c>
      <c r="P102" s="40" t="e">
        <f>Market!$C$3*Market!$F$3*NIFTY_OC!$D102/$C102</f>
        <v>#VALUE!</v>
      </c>
      <c r="Q102" s="40" t="e">
        <f>Market!$C$3*Market!$G$3*NIFTY_OC!$D102/$C102</f>
        <v>#VALUE!</v>
      </c>
      <c r="R102" s="40" t="e">
        <f>Market!$C$3*Market!$H$3*NIFTY_OC!$D102/$C102</f>
        <v>#VALUE!</v>
      </c>
      <c r="S102" s="40" t="e">
        <f>Market!$C$3*Market!$I$3*NIFTY_OC!$D102/$C102</f>
        <v>#VALUE!</v>
      </c>
    </row>
    <row r="103" spans="1:19">
      <c r="A103" s="39">
        <v>44497</v>
      </c>
      <c r="B103" s="38">
        <v>300</v>
      </c>
      <c r="C103" s="38">
        <v>133.65</v>
      </c>
      <c r="D103">
        <v>0.28000000000000003</v>
      </c>
      <c r="E103" s="37">
        <v>17750</v>
      </c>
      <c r="F103">
        <v>11.59</v>
      </c>
      <c r="G103" s="38">
        <v>873.15</v>
      </c>
      <c r="H103" s="38">
        <v>-0.72</v>
      </c>
      <c r="I103" s="38">
        <v>0</v>
      </c>
      <c r="J103" s="38">
        <v>-2.36</v>
      </c>
      <c r="K103" s="38">
        <v>22.82</v>
      </c>
      <c r="L103">
        <v>4.2999999999999999E-4</v>
      </c>
      <c r="M103" s="41">
        <f t="shared" si="1"/>
        <v>11.531492666091459</v>
      </c>
      <c r="N103" s="40" t="e">
        <f>Market!$C$3*Market!$D$3*NIFTY_OC!$D103/$C103</f>
        <v>#VALUE!</v>
      </c>
      <c r="O103" s="40" t="e">
        <f>Market!$C$3*Market!$E$3*NIFTY_OC!$D103/$C103</f>
        <v>#VALUE!</v>
      </c>
      <c r="P103" s="40" t="e">
        <f>Market!$C$3*Market!$F$3*NIFTY_OC!$D103/$C103</f>
        <v>#VALUE!</v>
      </c>
      <c r="Q103" s="40" t="e">
        <f>Market!$C$3*Market!$G$3*NIFTY_OC!$D103/$C103</f>
        <v>#VALUE!</v>
      </c>
      <c r="R103" s="40" t="e">
        <f>Market!$C$3*Market!$H$3*NIFTY_OC!$D103/$C103</f>
        <v>#VALUE!</v>
      </c>
      <c r="S103" s="40" t="e">
        <f>Market!$C$3*Market!$I$3*NIFTY_OC!$D103/$C103</f>
        <v>#VALUE!</v>
      </c>
    </row>
    <row r="104" spans="1:19">
      <c r="A104" s="39">
        <v>44497</v>
      </c>
      <c r="B104" s="38">
        <v>27050</v>
      </c>
      <c r="C104" s="38">
        <v>121.35</v>
      </c>
      <c r="D104">
        <v>0.26</v>
      </c>
      <c r="E104" s="37">
        <v>17800</v>
      </c>
      <c r="F104">
        <v>11.62</v>
      </c>
      <c r="G104" s="38">
        <v>662.45</v>
      </c>
      <c r="H104" s="38">
        <v>-0.74</v>
      </c>
      <c r="I104" s="38">
        <v>200</v>
      </c>
      <c r="J104" s="38">
        <v>-2.2799999999999998</v>
      </c>
      <c r="K104" s="38">
        <v>21.99</v>
      </c>
      <c r="L104">
        <v>4.0999999999999999E-4</v>
      </c>
      <c r="M104" s="41">
        <f t="shared" si="1"/>
        <v>10.443201376936317</v>
      </c>
      <c r="N104" s="40" t="e">
        <f>Market!$C$3*Market!$D$3*NIFTY_OC!$D104/$C104</f>
        <v>#VALUE!</v>
      </c>
      <c r="O104" s="40" t="e">
        <f>Market!$C$3*Market!$E$3*NIFTY_OC!$D104/$C104</f>
        <v>#VALUE!</v>
      </c>
      <c r="P104" s="40" t="e">
        <f>Market!$C$3*Market!$F$3*NIFTY_OC!$D104/$C104</f>
        <v>#VALUE!</v>
      </c>
      <c r="Q104" s="40" t="e">
        <f>Market!$C$3*Market!$G$3*NIFTY_OC!$D104/$C104</f>
        <v>#VALUE!</v>
      </c>
      <c r="R104" s="40" t="e">
        <f>Market!$C$3*Market!$H$3*NIFTY_OC!$D104/$C104</f>
        <v>#VALUE!</v>
      </c>
      <c r="S104" s="40" t="e">
        <f>Market!$C$3*Market!$I$3*NIFTY_OC!$D104/$C104</f>
        <v>#VALUE!</v>
      </c>
    </row>
    <row r="105" spans="1:19">
      <c r="A105" s="39">
        <v>44497</v>
      </c>
      <c r="B105" s="38">
        <v>2600</v>
      </c>
      <c r="C105" s="38">
        <v>423.95</v>
      </c>
      <c r="D105">
        <v>0.38</v>
      </c>
      <c r="E105" s="37">
        <v>17850</v>
      </c>
      <c r="F105">
        <v>24.58</v>
      </c>
      <c r="G105" s="38">
        <v>935.75</v>
      </c>
      <c r="H105" s="38">
        <v>-0.62</v>
      </c>
      <c r="I105" s="38">
        <v>0</v>
      </c>
      <c r="J105" s="38">
        <v>-5.67</v>
      </c>
      <c r="K105" s="38">
        <v>25.85</v>
      </c>
      <c r="L105">
        <v>2.3000000000000001E-4</v>
      </c>
      <c r="M105" s="41">
        <f t="shared" si="1"/>
        <v>17.247762408462165</v>
      </c>
      <c r="N105" s="40" t="e">
        <f>Market!$C$3*Market!$D$3*NIFTY_OC!$D105/$C105</f>
        <v>#VALUE!</v>
      </c>
      <c r="O105" s="40" t="e">
        <f>Market!$C$3*Market!$E$3*NIFTY_OC!$D105/$C105</f>
        <v>#VALUE!</v>
      </c>
      <c r="P105" s="40" t="e">
        <f>Market!$C$3*Market!$F$3*NIFTY_OC!$D105/$C105</f>
        <v>#VALUE!</v>
      </c>
      <c r="Q105" s="40" t="e">
        <f>Market!$C$3*Market!$G$3*NIFTY_OC!$D105/$C105</f>
        <v>#VALUE!</v>
      </c>
      <c r="R105" s="40" t="e">
        <f>Market!$C$3*Market!$H$3*NIFTY_OC!$D105/$C105</f>
        <v>#VALUE!</v>
      </c>
      <c r="S105" s="40" t="e">
        <f>Market!$C$3*Market!$I$3*NIFTY_OC!$D105/$C105</f>
        <v>#VALUE!</v>
      </c>
    </row>
    <row r="106" spans="1:19">
      <c r="A106" s="39">
        <v>44497</v>
      </c>
      <c r="B106" s="38">
        <v>16700</v>
      </c>
      <c r="C106" s="38">
        <v>99.25</v>
      </c>
      <c r="D106">
        <v>0.22</v>
      </c>
      <c r="E106" s="37">
        <v>17900</v>
      </c>
      <c r="F106">
        <v>11.65</v>
      </c>
      <c r="G106" s="38">
        <v>722.15</v>
      </c>
      <c r="H106" s="38">
        <v>-0.78</v>
      </c>
      <c r="I106" s="38">
        <v>250</v>
      </c>
      <c r="J106" s="38">
        <v>-2.1</v>
      </c>
      <c r="K106" s="38">
        <v>20.21</v>
      </c>
      <c r="L106">
        <v>3.8000000000000002E-4</v>
      </c>
      <c r="M106" s="41">
        <f t="shared" si="1"/>
        <v>8.5193133047210292</v>
      </c>
      <c r="N106" s="40" t="e">
        <f>Market!$C$3*Market!$D$3*NIFTY_OC!$D106/$C106</f>
        <v>#VALUE!</v>
      </c>
      <c r="O106" s="40" t="e">
        <f>Market!$C$3*Market!$E$3*NIFTY_OC!$D106/$C106</f>
        <v>#VALUE!</v>
      </c>
      <c r="P106" s="40" t="e">
        <f>Market!$C$3*Market!$F$3*NIFTY_OC!$D106/$C106</f>
        <v>#VALUE!</v>
      </c>
      <c r="Q106" s="40" t="e">
        <f>Market!$C$3*Market!$G$3*NIFTY_OC!$D106/$C106</f>
        <v>#VALUE!</v>
      </c>
      <c r="R106" s="40" t="e">
        <f>Market!$C$3*Market!$H$3*NIFTY_OC!$D106/$C106</f>
        <v>#VALUE!</v>
      </c>
      <c r="S106" s="40" t="e">
        <f>Market!$C$3*Market!$I$3*NIFTY_OC!$D106/$C106</f>
        <v>#VALUE!</v>
      </c>
    </row>
    <row r="107" spans="1:19">
      <c r="A107" s="39">
        <v>44497</v>
      </c>
      <c r="B107" s="38">
        <v>0</v>
      </c>
      <c r="C107" s="38">
        <v>389.4</v>
      </c>
      <c r="D107">
        <v>0.36</v>
      </c>
      <c r="E107" s="37">
        <v>17950</v>
      </c>
      <c r="F107">
        <v>24.55</v>
      </c>
      <c r="G107" s="38">
        <v>1000.6</v>
      </c>
      <c r="H107" s="38">
        <v>-0.64</v>
      </c>
      <c r="I107" s="38">
        <v>0</v>
      </c>
      <c r="J107" s="38">
        <v>-5.56</v>
      </c>
      <c r="K107" s="38">
        <v>25.36</v>
      </c>
      <c r="L107">
        <v>2.3000000000000001E-4</v>
      </c>
      <c r="M107" s="41">
        <f t="shared" si="1"/>
        <v>15.861507128309571</v>
      </c>
      <c r="N107" s="40" t="e">
        <f>Market!$C$3*Market!$D$3*NIFTY_OC!$D107/$C107</f>
        <v>#VALUE!</v>
      </c>
      <c r="O107" s="40" t="e">
        <f>Market!$C$3*Market!$E$3*NIFTY_OC!$D107/$C107</f>
        <v>#VALUE!</v>
      </c>
      <c r="P107" s="40" t="e">
        <f>Market!$C$3*Market!$F$3*NIFTY_OC!$D107/$C107</f>
        <v>#VALUE!</v>
      </c>
      <c r="Q107" s="40" t="e">
        <f>Market!$C$3*Market!$G$3*NIFTY_OC!$D107/$C107</f>
        <v>#VALUE!</v>
      </c>
      <c r="R107" s="40" t="e">
        <f>Market!$C$3*Market!$H$3*NIFTY_OC!$D107/$C107</f>
        <v>#VALUE!</v>
      </c>
      <c r="S107" s="40" t="e">
        <f>Market!$C$3*Market!$I$3*NIFTY_OC!$D107/$C107</f>
        <v>#VALUE!</v>
      </c>
    </row>
    <row r="108" spans="1:19">
      <c r="A108" s="39">
        <v>44497</v>
      </c>
      <c r="B108" s="38">
        <v>123050</v>
      </c>
      <c r="C108" s="38">
        <v>81.2</v>
      </c>
      <c r="D108">
        <v>0.19</v>
      </c>
      <c r="E108" s="37">
        <v>18000</v>
      </c>
      <c r="F108">
        <v>11.72</v>
      </c>
      <c r="G108" s="38">
        <v>808.8</v>
      </c>
      <c r="H108" s="38">
        <v>-0.81</v>
      </c>
      <c r="I108" s="38">
        <v>37600</v>
      </c>
      <c r="J108" s="38">
        <v>-1.92</v>
      </c>
      <c r="K108" s="38">
        <v>18.37</v>
      </c>
      <c r="L108">
        <v>3.4000000000000002E-4</v>
      </c>
      <c r="M108" s="41">
        <f t="shared" si="1"/>
        <v>6.9283276450511941</v>
      </c>
      <c r="N108" s="40" t="e">
        <f>Market!$C$3*Market!$D$3*NIFTY_OC!$D108/$C108</f>
        <v>#VALUE!</v>
      </c>
      <c r="O108" s="40" t="e">
        <f>Market!$C$3*Market!$E$3*NIFTY_OC!$D108/$C108</f>
        <v>#VALUE!</v>
      </c>
      <c r="P108" s="40" t="e">
        <f>Market!$C$3*Market!$F$3*NIFTY_OC!$D108/$C108</f>
        <v>#VALUE!</v>
      </c>
      <c r="Q108" s="40" t="e">
        <f>Market!$C$3*Market!$G$3*NIFTY_OC!$D108/$C108</f>
        <v>#VALUE!</v>
      </c>
      <c r="R108" s="40" t="e">
        <f>Market!$C$3*Market!$H$3*NIFTY_OC!$D108/$C108</f>
        <v>#VALUE!</v>
      </c>
      <c r="S108" s="40" t="e">
        <f>Market!$C$3*Market!$I$3*NIFTY_OC!$D108/$C108</f>
        <v>#VALUE!</v>
      </c>
    </row>
    <row r="109" spans="1:19">
      <c r="A109" s="39">
        <v>44497</v>
      </c>
      <c r="B109" s="38">
        <v>4500</v>
      </c>
      <c r="C109" s="38">
        <v>76</v>
      </c>
      <c r="D109">
        <v>0.18</v>
      </c>
      <c r="E109" s="37">
        <v>18050</v>
      </c>
      <c r="F109">
        <v>11.91</v>
      </c>
      <c r="G109" s="38">
        <v>1067.6500000000001</v>
      </c>
      <c r="H109" s="38">
        <v>-0.82</v>
      </c>
      <c r="I109" s="38">
        <v>0</v>
      </c>
      <c r="J109" s="38">
        <v>-1.88</v>
      </c>
      <c r="K109" s="38">
        <v>17.64</v>
      </c>
      <c r="L109">
        <v>3.2000000000000003E-4</v>
      </c>
      <c r="M109" s="41">
        <f t="shared" si="1"/>
        <v>6.3811922753988242</v>
      </c>
      <c r="N109" s="40" t="e">
        <f>Market!$C$3*Market!$D$3*NIFTY_OC!$D109/$C109</f>
        <v>#VALUE!</v>
      </c>
      <c r="O109" s="40" t="e">
        <f>Market!$C$3*Market!$E$3*NIFTY_OC!$D109/$C109</f>
        <v>#VALUE!</v>
      </c>
      <c r="P109" s="40" t="e">
        <f>Market!$C$3*Market!$F$3*NIFTY_OC!$D109/$C109</f>
        <v>#VALUE!</v>
      </c>
      <c r="Q109" s="40" t="e">
        <f>Market!$C$3*Market!$G$3*NIFTY_OC!$D109/$C109</f>
        <v>#VALUE!</v>
      </c>
      <c r="R109" s="40" t="e">
        <f>Market!$C$3*Market!$H$3*NIFTY_OC!$D109/$C109</f>
        <v>#VALUE!</v>
      </c>
      <c r="S109" s="40" t="e">
        <f>Market!$C$3*Market!$I$3*NIFTY_OC!$D109/$C109</f>
        <v>#VALUE!</v>
      </c>
    </row>
    <row r="110" spans="1:19">
      <c r="A110" s="39">
        <v>44497</v>
      </c>
      <c r="B110" s="38">
        <v>6100</v>
      </c>
      <c r="C110" s="38">
        <v>68.849999999999994</v>
      </c>
      <c r="D110">
        <v>0.16</v>
      </c>
      <c r="E110" s="37">
        <v>18100</v>
      </c>
      <c r="F110">
        <v>11.95</v>
      </c>
      <c r="G110" s="38">
        <v>1101.95</v>
      </c>
      <c r="H110" s="38">
        <v>-0.84</v>
      </c>
      <c r="I110" s="38">
        <v>0</v>
      </c>
      <c r="J110" s="38">
        <v>-1.79</v>
      </c>
      <c r="K110" s="38">
        <v>16.739999999999998</v>
      </c>
      <c r="L110">
        <v>3.1E-4</v>
      </c>
      <c r="M110" s="41">
        <f t="shared" si="1"/>
        <v>5.7615062761506275</v>
      </c>
      <c r="N110" s="40" t="e">
        <f>Market!$C$3*Market!$D$3*NIFTY_OC!$D110/$C110</f>
        <v>#VALUE!</v>
      </c>
      <c r="O110" s="40" t="e">
        <f>Market!$C$3*Market!$E$3*NIFTY_OC!$D110/$C110</f>
        <v>#VALUE!</v>
      </c>
      <c r="P110" s="40" t="e">
        <f>Market!$C$3*Market!$F$3*NIFTY_OC!$D110/$C110</f>
        <v>#VALUE!</v>
      </c>
      <c r="Q110" s="40" t="e">
        <f>Market!$C$3*Market!$G$3*NIFTY_OC!$D110/$C110</f>
        <v>#VALUE!</v>
      </c>
      <c r="R110" s="40" t="e">
        <f>Market!$C$3*Market!$H$3*NIFTY_OC!$D110/$C110</f>
        <v>#VALUE!</v>
      </c>
      <c r="S110" s="40" t="e">
        <f>Market!$C$3*Market!$I$3*NIFTY_OC!$D110/$C110</f>
        <v>#VALUE!</v>
      </c>
    </row>
    <row r="111" spans="1:19">
      <c r="A111" s="39">
        <v>44497</v>
      </c>
      <c r="B111" s="38">
        <v>0</v>
      </c>
      <c r="C111" s="38">
        <v>326.7</v>
      </c>
      <c r="D111">
        <v>0.32</v>
      </c>
      <c r="E111" s="37">
        <v>18150</v>
      </c>
      <c r="F111">
        <v>24.49</v>
      </c>
      <c r="G111" s="38">
        <v>1136.75</v>
      </c>
      <c r="H111" s="38">
        <v>-0.68</v>
      </c>
      <c r="I111" s="38">
        <v>0</v>
      </c>
      <c r="J111" s="38">
        <v>-5.29</v>
      </c>
      <c r="K111" s="38">
        <v>24.17</v>
      </c>
      <c r="L111">
        <v>2.2000000000000001E-4</v>
      </c>
      <c r="M111" s="41">
        <f t="shared" si="1"/>
        <v>13.340138832176399</v>
      </c>
      <c r="N111" s="40" t="e">
        <f>Market!$C$3*Market!$D$3*NIFTY_OC!$D111/$C111</f>
        <v>#VALUE!</v>
      </c>
      <c r="O111" s="40" t="e">
        <f>Market!$C$3*Market!$E$3*NIFTY_OC!$D111/$C111</f>
        <v>#VALUE!</v>
      </c>
      <c r="P111" s="40" t="e">
        <f>Market!$C$3*Market!$F$3*NIFTY_OC!$D111/$C111</f>
        <v>#VALUE!</v>
      </c>
      <c r="Q111" s="40" t="e">
        <f>Market!$C$3*Market!$G$3*NIFTY_OC!$D111/$C111</f>
        <v>#VALUE!</v>
      </c>
      <c r="R111" s="40" t="e">
        <f>Market!$C$3*Market!$H$3*NIFTY_OC!$D111/$C111</f>
        <v>#VALUE!</v>
      </c>
      <c r="S111" s="40" t="e">
        <f>Market!$C$3*Market!$I$3*NIFTY_OC!$D111/$C111</f>
        <v>#VALUE!</v>
      </c>
    </row>
    <row r="112" spans="1:19">
      <c r="A112" s="39">
        <v>44497</v>
      </c>
      <c r="B112" s="38">
        <v>12900</v>
      </c>
      <c r="C112" s="38">
        <v>55.65</v>
      </c>
      <c r="D112">
        <v>0.14000000000000001</v>
      </c>
      <c r="E112" s="37">
        <v>18200</v>
      </c>
      <c r="F112">
        <v>12</v>
      </c>
      <c r="G112" s="38">
        <v>999.5</v>
      </c>
      <c r="H112" s="38">
        <v>-0.86</v>
      </c>
      <c r="I112" s="38">
        <v>100</v>
      </c>
      <c r="J112" s="38">
        <v>-1.6</v>
      </c>
      <c r="K112" s="38">
        <v>14.9</v>
      </c>
      <c r="L112">
        <v>2.7E-4</v>
      </c>
      <c r="M112" s="41">
        <f t="shared" si="1"/>
        <v>4.6375000000000002</v>
      </c>
      <c r="N112" s="40" t="e">
        <f>Market!$C$3*Market!$D$3*NIFTY_OC!$D112/$C112</f>
        <v>#VALUE!</v>
      </c>
      <c r="O112" s="40" t="e">
        <f>Market!$C$3*Market!$E$3*NIFTY_OC!$D112/$C112</f>
        <v>#VALUE!</v>
      </c>
      <c r="P112" s="40" t="e">
        <f>Market!$C$3*Market!$F$3*NIFTY_OC!$D112/$C112</f>
        <v>#VALUE!</v>
      </c>
      <c r="Q112" s="40" t="e">
        <f>Market!$C$3*Market!$G$3*NIFTY_OC!$D112/$C112</f>
        <v>#VALUE!</v>
      </c>
      <c r="R112" s="40" t="e">
        <f>Market!$C$3*Market!$H$3*NIFTY_OC!$D112/$C112</f>
        <v>#VALUE!</v>
      </c>
      <c r="S112" s="40" t="e">
        <f>Market!$C$3*Market!$I$3*NIFTY_OC!$D112/$C112</f>
        <v>#VALUE!</v>
      </c>
    </row>
    <row r="113" spans="1:19">
      <c r="A113" s="39">
        <v>44497</v>
      </c>
      <c r="B113" s="38">
        <v>0</v>
      </c>
      <c r="C113" s="38">
        <v>298.45</v>
      </c>
      <c r="D113">
        <v>0.3</v>
      </c>
      <c r="E113" s="37">
        <v>18250</v>
      </c>
      <c r="F113">
        <v>24.46</v>
      </c>
      <c r="G113" s="38">
        <v>1207.95</v>
      </c>
      <c r="H113" s="38">
        <v>-0.7</v>
      </c>
      <c r="I113" s="38">
        <v>0</v>
      </c>
      <c r="J113" s="38">
        <v>-5.13</v>
      </c>
      <c r="K113" s="38">
        <v>23.49</v>
      </c>
      <c r="L113">
        <v>2.1000000000000001E-4</v>
      </c>
      <c r="M113" s="41">
        <f t="shared" si="1"/>
        <v>12.201553556827472</v>
      </c>
      <c r="N113" s="40" t="e">
        <f>Market!$C$3*Market!$D$3*NIFTY_OC!$D113/$C113</f>
        <v>#VALUE!</v>
      </c>
      <c r="O113" s="40" t="e">
        <f>Market!$C$3*Market!$E$3*NIFTY_OC!$D113/$C113</f>
        <v>#VALUE!</v>
      </c>
      <c r="P113" s="40" t="e">
        <f>Market!$C$3*Market!$F$3*NIFTY_OC!$D113/$C113</f>
        <v>#VALUE!</v>
      </c>
      <c r="Q113" s="40" t="e">
        <f>Market!$C$3*Market!$G$3*NIFTY_OC!$D113/$C113</f>
        <v>#VALUE!</v>
      </c>
      <c r="R113" s="40" t="e">
        <f>Market!$C$3*Market!$H$3*NIFTY_OC!$D113/$C113</f>
        <v>#VALUE!</v>
      </c>
      <c r="S113" s="40" t="e">
        <f>Market!$C$3*Market!$I$3*NIFTY_OC!$D113/$C113</f>
        <v>#VALUE!</v>
      </c>
    </row>
    <row r="114" spans="1:19">
      <c r="A114" s="39">
        <v>44497</v>
      </c>
      <c r="B114" s="38">
        <v>0</v>
      </c>
      <c r="C114" s="38">
        <v>285.05</v>
      </c>
      <c r="D114">
        <v>0.28999999999999998</v>
      </c>
      <c r="E114" s="37">
        <v>18300</v>
      </c>
      <c r="F114">
        <v>24.45</v>
      </c>
      <c r="G114" s="38">
        <v>1244.25</v>
      </c>
      <c r="H114" s="38">
        <v>-0.71</v>
      </c>
      <c r="I114" s="38">
        <v>0</v>
      </c>
      <c r="J114" s="38">
        <v>-5.05</v>
      </c>
      <c r="K114" s="38">
        <v>23.12</v>
      </c>
      <c r="L114">
        <v>2.1000000000000001E-4</v>
      </c>
      <c r="M114" s="41">
        <f t="shared" si="1"/>
        <v>11.658486707566462</v>
      </c>
      <c r="N114" s="40" t="e">
        <f>Market!$C$3*Market!$D$3*NIFTY_OC!$D114/$C114</f>
        <v>#VALUE!</v>
      </c>
      <c r="O114" s="40" t="e">
        <f>Market!$C$3*Market!$E$3*NIFTY_OC!$D114/$C114</f>
        <v>#VALUE!</v>
      </c>
      <c r="P114" s="40" t="e">
        <f>Market!$C$3*Market!$F$3*NIFTY_OC!$D114/$C114</f>
        <v>#VALUE!</v>
      </c>
      <c r="Q114" s="40" t="e">
        <f>Market!$C$3*Market!$G$3*NIFTY_OC!$D114/$C114</f>
        <v>#VALUE!</v>
      </c>
      <c r="R114" s="40" t="e">
        <f>Market!$C$3*Market!$H$3*NIFTY_OC!$D114/$C114</f>
        <v>#VALUE!</v>
      </c>
      <c r="S114" s="40" t="e">
        <f>Market!$C$3*Market!$I$3*NIFTY_OC!$D114/$C114</f>
        <v>#VALUE!</v>
      </c>
    </row>
    <row r="115" spans="1:19">
      <c r="A115" s="39">
        <v>44497</v>
      </c>
      <c r="B115" s="38">
        <v>0</v>
      </c>
      <c r="C115" s="38">
        <v>272.14999999999998</v>
      </c>
      <c r="D115">
        <v>0.28000000000000003</v>
      </c>
      <c r="E115" s="37">
        <v>18350</v>
      </c>
      <c r="F115">
        <v>24.44</v>
      </c>
      <c r="G115" s="38">
        <v>1281.05</v>
      </c>
      <c r="H115" s="38">
        <v>-0.72</v>
      </c>
      <c r="I115" s="38">
        <v>0</v>
      </c>
      <c r="J115" s="38">
        <v>-4.96</v>
      </c>
      <c r="K115" s="38">
        <v>22.74</v>
      </c>
      <c r="L115">
        <v>2.0000000000000001E-4</v>
      </c>
      <c r="M115" s="41">
        <f t="shared" si="1"/>
        <v>11.135433715220948</v>
      </c>
      <c r="N115" s="40" t="e">
        <f>Market!$C$3*Market!$D$3*NIFTY_OC!$D115/$C115</f>
        <v>#VALUE!</v>
      </c>
      <c r="O115" s="40" t="e">
        <f>Market!$C$3*Market!$E$3*NIFTY_OC!$D115/$C115</f>
        <v>#VALUE!</v>
      </c>
      <c r="P115" s="40" t="e">
        <f>Market!$C$3*Market!$F$3*NIFTY_OC!$D115/$C115</f>
        <v>#VALUE!</v>
      </c>
      <c r="Q115" s="40" t="e">
        <f>Market!$C$3*Market!$G$3*NIFTY_OC!$D115/$C115</f>
        <v>#VALUE!</v>
      </c>
      <c r="R115" s="40" t="e">
        <f>Market!$C$3*Market!$H$3*NIFTY_OC!$D115/$C115</f>
        <v>#VALUE!</v>
      </c>
      <c r="S115" s="40" t="e">
        <f>Market!$C$3*Market!$I$3*NIFTY_OC!$D115/$C115</f>
        <v>#VALUE!</v>
      </c>
    </row>
    <row r="116" spans="1:19">
      <c r="A116" s="39">
        <v>44497</v>
      </c>
      <c r="B116" s="38">
        <v>1200</v>
      </c>
      <c r="C116" s="38">
        <v>36.75</v>
      </c>
      <c r="D116">
        <v>0.1</v>
      </c>
      <c r="E116" s="37">
        <v>18400</v>
      </c>
      <c r="F116">
        <v>12.2</v>
      </c>
      <c r="G116" s="38">
        <v>1319.15</v>
      </c>
      <c r="H116" s="38">
        <v>-0.9</v>
      </c>
      <c r="I116" s="38">
        <v>0</v>
      </c>
      <c r="J116" s="38">
        <v>-1.26</v>
      </c>
      <c r="K116" s="38">
        <v>11.58</v>
      </c>
      <c r="L116">
        <v>2.1000000000000001E-4</v>
      </c>
      <c r="M116" s="41">
        <f t="shared" si="1"/>
        <v>3.0122950819672134</v>
      </c>
      <c r="N116" s="40" t="e">
        <f>Market!$C$3*Market!$D$3*NIFTY_OC!$D116/$C116</f>
        <v>#VALUE!</v>
      </c>
      <c r="O116" s="40" t="e">
        <f>Market!$C$3*Market!$E$3*NIFTY_OC!$D116/$C116</f>
        <v>#VALUE!</v>
      </c>
      <c r="P116" s="40" t="e">
        <f>Market!$C$3*Market!$F$3*NIFTY_OC!$D116/$C116</f>
        <v>#VALUE!</v>
      </c>
      <c r="Q116" s="40" t="e">
        <f>Market!$C$3*Market!$G$3*NIFTY_OC!$D116/$C116</f>
        <v>#VALUE!</v>
      </c>
      <c r="R116" s="40" t="e">
        <f>Market!$C$3*Market!$H$3*NIFTY_OC!$D116/$C116</f>
        <v>#VALUE!</v>
      </c>
      <c r="S116" s="40" t="e">
        <f>Market!$C$3*Market!$I$3*NIFTY_OC!$D116/$C116</f>
        <v>#VALUE!</v>
      </c>
    </row>
    <row r="117" spans="1:19">
      <c r="A117" s="39">
        <v>44497</v>
      </c>
      <c r="B117" s="38">
        <v>0</v>
      </c>
      <c r="C117" s="38">
        <v>248.65</v>
      </c>
      <c r="D117">
        <v>0.26</v>
      </c>
      <c r="E117" s="37">
        <v>18450</v>
      </c>
      <c r="F117">
        <v>24.45</v>
      </c>
      <c r="G117" s="38">
        <v>1356.95</v>
      </c>
      <c r="H117" s="38">
        <v>-0.74</v>
      </c>
      <c r="I117" s="38">
        <v>0</v>
      </c>
      <c r="J117" s="38">
        <v>-4.8</v>
      </c>
      <c r="K117" s="38">
        <v>21.97</v>
      </c>
      <c r="L117">
        <v>2.0000000000000001E-4</v>
      </c>
      <c r="M117" s="41">
        <f t="shared" si="1"/>
        <v>10.169734151329244</v>
      </c>
      <c r="N117" s="40" t="e">
        <f>Market!$C$3*Market!$D$3*NIFTY_OC!$D117/$C117</f>
        <v>#VALUE!</v>
      </c>
      <c r="O117" s="40" t="e">
        <f>Market!$C$3*Market!$E$3*NIFTY_OC!$D117/$C117</f>
        <v>#VALUE!</v>
      </c>
      <c r="P117" s="40" t="e">
        <f>Market!$C$3*Market!$F$3*NIFTY_OC!$D117/$C117</f>
        <v>#VALUE!</v>
      </c>
      <c r="Q117" s="40" t="e">
        <f>Market!$C$3*Market!$G$3*NIFTY_OC!$D117/$C117</f>
        <v>#VALUE!</v>
      </c>
      <c r="R117" s="40" t="e">
        <f>Market!$C$3*Market!$H$3*NIFTY_OC!$D117/$C117</f>
        <v>#VALUE!</v>
      </c>
      <c r="S117" s="40" t="e">
        <f>Market!$C$3*Market!$I$3*NIFTY_OC!$D117/$C117</f>
        <v>#VALUE!</v>
      </c>
    </row>
    <row r="118" spans="1:19">
      <c r="A118" s="39">
        <v>44497</v>
      </c>
      <c r="B118" s="38">
        <v>28000</v>
      </c>
      <c r="C118" s="38">
        <v>34.5</v>
      </c>
      <c r="D118">
        <v>0.09</v>
      </c>
      <c r="E118" s="37">
        <v>18500</v>
      </c>
      <c r="F118">
        <v>12.75</v>
      </c>
      <c r="G118" s="38">
        <v>1266.8</v>
      </c>
      <c r="H118" s="38">
        <v>-0.91</v>
      </c>
      <c r="I118" s="38">
        <v>2300</v>
      </c>
      <c r="J118" s="38">
        <v>-1.23</v>
      </c>
      <c r="K118" s="38">
        <v>10.84</v>
      </c>
      <c r="L118">
        <v>1.9000000000000001E-4</v>
      </c>
      <c r="M118" s="41">
        <f t="shared" si="1"/>
        <v>2.7058823529411766</v>
      </c>
      <c r="N118" s="40" t="e">
        <f>Market!$C$3*Market!$D$3*NIFTY_OC!$D118/$C118</f>
        <v>#VALUE!</v>
      </c>
      <c r="O118" s="40" t="e">
        <f>Market!$C$3*Market!$E$3*NIFTY_OC!$D118/$C118</f>
        <v>#VALUE!</v>
      </c>
      <c r="P118" s="40" t="e">
        <f>Market!$C$3*Market!$F$3*NIFTY_OC!$D118/$C118</f>
        <v>#VALUE!</v>
      </c>
      <c r="Q118" s="40" t="e">
        <f>Market!$C$3*Market!$G$3*NIFTY_OC!$D118/$C118</f>
        <v>#VALUE!</v>
      </c>
      <c r="R118" s="40" t="e">
        <f>Market!$C$3*Market!$H$3*NIFTY_OC!$D118/$C118</f>
        <v>#VALUE!</v>
      </c>
      <c r="S118" s="40" t="e">
        <f>Market!$C$3*Market!$I$3*NIFTY_OC!$D118/$C118</f>
        <v>#VALUE!</v>
      </c>
    </row>
    <row r="119" spans="1:19">
      <c r="A119" s="39">
        <v>44497</v>
      </c>
      <c r="B119" s="38">
        <v>0</v>
      </c>
      <c r="C119" s="38">
        <v>225.4</v>
      </c>
      <c r="D119">
        <v>0.24</v>
      </c>
      <c r="E119" s="37">
        <v>18550</v>
      </c>
      <c r="F119">
        <v>24.4</v>
      </c>
      <c r="G119" s="38">
        <v>1433.15</v>
      </c>
      <c r="H119" s="38">
        <v>-0.76</v>
      </c>
      <c r="I119" s="38">
        <v>0</v>
      </c>
      <c r="J119" s="38">
        <v>-4.6100000000000003</v>
      </c>
      <c r="K119" s="38">
        <v>21.13</v>
      </c>
      <c r="L119">
        <v>1.9000000000000001E-4</v>
      </c>
      <c r="M119" s="41">
        <f t="shared" si="1"/>
        <v>9.2377049180327884</v>
      </c>
      <c r="N119" s="40" t="e">
        <f>Market!$C$3*Market!$D$3*NIFTY_OC!$D119/$C119</f>
        <v>#VALUE!</v>
      </c>
      <c r="O119" s="40" t="e">
        <f>Market!$C$3*Market!$E$3*NIFTY_OC!$D119/$C119</f>
        <v>#VALUE!</v>
      </c>
      <c r="P119" s="40" t="e">
        <f>Market!$C$3*Market!$F$3*NIFTY_OC!$D119/$C119</f>
        <v>#VALUE!</v>
      </c>
      <c r="Q119" s="40" t="e">
        <f>Market!$C$3*Market!$G$3*NIFTY_OC!$D119/$C119</f>
        <v>#VALUE!</v>
      </c>
      <c r="R119" s="40" t="e">
        <f>Market!$C$3*Market!$H$3*NIFTY_OC!$D119/$C119</f>
        <v>#VALUE!</v>
      </c>
      <c r="S119" s="40" t="e">
        <f>Market!$C$3*Market!$I$3*NIFTY_OC!$D119/$C119</f>
        <v>#VALUE!</v>
      </c>
    </row>
    <row r="120" spans="1:19">
      <c r="A120" s="39">
        <v>44497</v>
      </c>
      <c r="B120" s="38">
        <v>9950</v>
      </c>
      <c r="C120" s="38">
        <v>30.85</v>
      </c>
      <c r="D120">
        <v>0.08</v>
      </c>
      <c r="E120" s="37">
        <v>18600</v>
      </c>
      <c r="F120">
        <v>13.13</v>
      </c>
      <c r="G120" s="38">
        <v>1472.2</v>
      </c>
      <c r="H120" s="38">
        <v>-0.92</v>
      </c>
      <c r="I120" s="38">
        <v>250</v>
      </c>
      <c r="J120" s="38">
        <v>-1.1599999999999999</v>
      </c>
      <c r="K120" s="38">
        <v>9.91</v>
      </c>
      <c r="L120">
        <v>1.6000000000000001E-4</v>
      </c>
      <c r="M120" s="41">
        <f t="shared" si="1"/>
        <v>2.3495811119573498</v>
      </c>
      <c r="N120" s="40" t="e">
        <f>Market!$C$3*Market!$D$3*NIFTY_OC!$D120/$C120</f>
        <v>#VALUE!</v>
      </c>
      <c r="O120" s="40" t="e">
        <f>Market!$C$3*Market!$E$3*NIFTY_OC!$D120/$C120</f>
        <v>#VALUE!</v>
      </c>
      <c r="P120" s="40" t="e">
        <f>Market!$C$3*Market!$F$3*NIFTY_OC!$D120/$C120</f>
        <v>#VALUE!</v>
      </c>
      <c r="Q120" s="40" t="e">
        <f>Market!$C$3*Market!$G$3*NIFTY_OC!$D120/$C120</f>
        <v>#VALUE!</v>
      </c>
      <c r="R120" s="40" t="e">
        <f>Market!$C$3*Market!$H$3*NIFTY_OC!$D120/$C120</f>
        <v>#VALUE!</v>
      </c>
      <c r="S120" s="40" t="e">
        <f>Market!$C$3*Market!$I$3*NIFTY_OC!$D120/$C120</f>
        <v>#VALUE!</v>
      </c>
    </row>
    <row r="121" spans="1:19">
      <c r="A121" s="39">
        <v>44497</v>
      </c>
      <c r="B121" s="38">
        <v>0</v>
      </c>
      <c r="C121" s="38">
        <v>204.5</v>
      </c>
      <c r="D121">
        <v>0.22</v>
      </c>
      <c r="E121" s="37">
        <v>18650</v>
      </c>
      <c r="F121">
        <v>24.39</v>
      </c>
      <c r="G121" s="38">
        <v>1511.65</v>
      </c>
      <c r="H121" s="38">
        <v>-0.78</v>
      </c>
      <c r="I121" s="38">
        <v>0</v>
      </c>
      <c r="J121" s="38">
        <v>-4.42</v>
      </c>
      <c r="K121" s="38">
        <v>20.28</v>
      </c>
      <c r="L121">
        <v>1.8000000000000001E-4</v>
      </c>
      <c r="M121" s="41">
        <f t="shared" si="1"/>
        <v>8.3845838458384581</v>
      </c>
      <c r="N121" s="40" t="e">
        <f>Market!$C$3*Market!$D$3*NIFTY_OC!$D121/$C121</f>
        <v>#VALUE!</v>
      </c>
      <c r="O121" s="40" t="e">
        <f>Market!$C$3*Market!$E$3*NIFTY_OC!$D121/$C121</f>
        <v>#VALUE!</v>
      </c>
      <c r="P121" s="40" t="e">
        <f>Market!$C$3*Market!$F$3*NIFTY_OC!$D121/$C121</f>
        <v>#VALUE!</v>
      </c>
      <c r="Q121" s="40" t="e">
        <f>Market!$C$3*Market!$G$3*NIFTY_OC!$D121/$C121</f>
        <v>#VALUE!</v>
      </c>
      <c r="R121" s="40" t="e">
        <f>Market!$C$3*Market!$H$3*NIFTY_OC!$D121/$C121</f>
        <v>#VALUE!</v>
      </c>
      <c r="S121" s="40" t="e">
        <f>Market!$C$3*Market!$I$3*NIFTY_OC!$D121/$C121</f>
        <v>#VALUE!</v>
      </c>
    </row>
    <row r="122" spans="1:19">
      <c r="A122" s="39">
        <v>44497</v>
      </c>
      <c r="B122" s="38">
        <v>6525</v>
      </c>
      <c r="C122" s="38">
        <v>195.25</v>
      </c>
      <c r="D122">
        <v>0.22</v>
      </c>
      <c r="E122" s="37">
        <v>18700</v>
      </c>
      <c r="F122">
        <v>24.41</v>
      </c>
      <c r="G122" s="38">
        <v>1552.1</v>
      </c>
      <c r="H122" s="38">
        <v>-0.78</v>
      </c>
      <c r="I122" s="38">
        <v>29900</v>
      </c>
      <c r="J122" s="38">
        <v>-4.33</v>
      </c>
      <c r="K122" s="38">
        <v>19.86</v>
      </c>
      <c r="L122">
        <v>1.8000000000000001E-4</v>
      </c>
      <c r="M122" s="41">
        <f t="shared" si="1"/>
        <v>7.9987709954936497</v>
      </c>
      <c r="N122" s="40" t="e">
        <f>Market!$C$3*Market!$D$3*NIFTY_OC!$D122/$C122</f>
        <v>#VALUE!</v>
      </c>
      <c r="O122" s="40" t="e">
        <f>Market!$C$3*Market!$E$3*NIFTY_OC!$D122/$C122</f>
        <v>#VALUE!</v>
      </c>
      <c r="P122" s="40" t="e">
        <f>Market!$C$3*Market!$F$3*NIFTY_OC!$D122/$C122</f>
        <v>#VALUE!</v>
      </c>
      <c r="Q122" s="40" t="e">
        <f>Market!$C$3*Market!$G$3*NIFTY_OC!$D122/$C122</f>
        <v>#VALUE!</v>
      </c>
      <c r="R122" s="40" t="e">
        <f>Market!$C$3*Market!$H$3*NIFTY_OC!$D122/$C122</f>
        <v>#VALUE!</v>
      </c>
      <c r="S122" s="40" t="e">
        <f>Market!$C$3*Market!$I$3*NIFTY_OC!$D122/$C122</f>
        <v>#VALUE!</v>
      </c>
    </row>
    <row r="123" spans="1:19">
      <c r="A123" s="39">
        <v>44497</v>
      </c>
      <c r="B123" s="38">
        <v>0</v>
      </c>
      <c r="C123" s="38">
        <v>185.8</v>
      </c>
      <c r="D123">
        <v>0.21</v>
      </c>
      <c r="E123" s="37">
        <v>18750</v>
      </c>
      <c r="F123">
        <v>24.4</v>
      </c>
      <c r="G123" s="38">
        <v>1592.35</v>
      </c>
      <c r="H123" s="38">
        <v>-0.79</v>
      </c>
      <c r="I123" s="38">
        <v>0</v>
      </c>
      <c r="J123" s="38">
        <v>-4.2300000000000004</v>
      </c>
      <c r="K123" s="38">
        <v>19.41</v>
      </c>
      <c r="L123">
        <v>1.7000000000000001E-4</v>
      </c>
      <c r="M123" s="41">
        <f t="shared" si="1"/>
        <v>7.614754098360657</v>
      </c>
      <c r="N123" s="40" t="e">
        <f>Market!$C$3*Market!$D$3*NIFTY_OC!$D123/$C123</f>
        <v>#VALUE!</v>
      </c>
      <c r="O123" s="40" t="e">
        <f>Market!$C$3*Market!$E$3*NIFTY_OC!$D123/$C123</f>
        <v>#VALUE!</v>
      </c>
      <c r="P123" s="40" t="e">
        <f>Market!$C$3*Market!$F$3*NIFTY_OC!$D123/$C123</f>
        <v>#VALUE!</v>
      </c>
      <c r="Q123" s="40" t="e">
        <f>Market!$C$3*Market!$G$3*NIFTY_OC!$D123/$C123</f>
        <v>#VALUE!</v>
      </c>
      <c r="R123" s="40" t="e">
        <f>Market!$C$3*Market!$H$3*NIFTY_OC!$D123/$C123</f>
        <v>#VALUE!</v>
      </c>
      <c r="S123" s="40" t="e">
        <f>Market!$C$3*Market!$I$3*NIFTY_OC!$D123/$C123</f>
        <v>#VALUE!</v>
      </c>
    </row>
    <row r="124" spans="1:19">
      <c r="A124" s="39">
        <v>44462</v>
      </c>
      <c r="B124" s="38">
        <v>5800</v>
      </c>
      <c r="C124" s="38">
        <v>1467.15</v>
      </c>
      <c r="D124">
        <v>0.96</v>
      </c>
      <c r="E124" s="37">
        <v>15750</v>
      </c>
      <c r="F124">
        <v>18.559999999999999</v>
      </c>
      <c r="G124" s="38">
        <v>13.15</v>
      </c>
      <c r="H124" s="38">
        <v>-0.04</v>
      </c>
      <c r="I124" s="38">
        <v>16450</v>
      </c>
      <c r="J124" s="38">
        <v>-1.27</v>
      </c>
      <c r="K124" s="38">
        <v>3.82</v>
      </c>
      <c r="L124">
        <v>9.0000000000000006E-5</v>
      </c>
      <c r="M124" s="41">
        <f t="shared" si="1"/>
        <v>79.049030172413808</v>
      </c>
      <c r="N124" s="40" t="e">
        <f>Market!$C$3*Market!$D$3*NIFTY_OC!$D124/$C124</f>
        <v>#VALUE!</v>
      </c>
      <c r="O124" s="40" t="e">
        <f>Market!$C$3*Market!$E$3*NIFTY_OC!$D124/$C124</f>
        <v>#VALUE!</v>
      </c>
      <c r="P124" s="40" t="e">
        <f>Market!$C$3*Market!$F$3*NIFTY_OC!$D124/$C124</f>
        <v>#VALUE!</v>
      </c>
      <c r="Q124" s="40" t="e">
        <f>Market!$C$3*Market!$G$3*NIFTY_OC!$D124/$C124</f>
        <v>#VALUE!</v>
      </c>
      <c r="R124" s="40" t="e">
        <f>Market!$C$3*Market!$H$3*NIFTY_OC!$D124/$C124</f>
        <v>#VALUE!</v>
      </c>
      <c r="S124" s="40" t="e">
        <f>Market!$C$3*Market!$I$3*NIFTY_OC!$D124/$C124</f>
        <v>#VALUE!</v>
      </c>
    </row>
    <row r="125" spans="1:19">
      <c r="A125" s="39">
        <v>44462</v>
      </c>
      <c r="B125" s="38">
        <v>113300</v>
      </c>
      <c r="C125" s="38">
        <v>1450.5</v>
      </c>
      <c r="D125">
        <v>0.96</v>
      </c>
      <c r="E125" s="37">
        <v>15800</v>
      </c>
      <c r="F125">
        <v>18.22</v>
      </c>
      <c r="G125" s="38">
        <v>13.9</v>
      </c>
      <c r="H125" s="38">
        <v>-0.04</v>
      </c>
      <c r="I125" s="38">
        <v>710800</v>
      </c>
      <c r="J125" s="38">
        <v>-1.31</v>
      </c>
      <c r="K125" s="38">
        <v>4.03</v>
      </c>
      <c r="L125">
        <v>1E-4</v>
      </c>
      <c r="M125" s="41">
        <f t="shared" si="1"/>
        <v>79.610318331503848</v>
      </c>
      <c r="N125" s="40" t="e">
        <f>Market!$C$3*Market!$D$3*NIFTY_OC!$D125/$C125</f>
        <v>#VALUE!</v>
      </c>
      <c r="O125" s="40" t="e">
        <f>Market!$C$3*Market!$E$3*NIFTY_OC!$D125/$C125</f>
        <v>#VALUE!</v>
      </c>
      <c r="P125" s="40" t="e">
        <f>Market!$C$3*Market!$F$3*NIFTY_OC!$D125/$C125</f>
        <v>#VALUE!</v>
      </c>
      <c r="Q125" s="40" t="e">
        <f>Market!$C$3*Market!$G$3*NIFTY_OC!$D125/$C125</f>
        <v>#VALUE!</v>
      </c>
      <c r="R125" s="40" t="e">
        <f>Market!$C$3*Market!$H$3*NIFTY_OC!$D125/$C125</f>
        <v>#VALUE!</v>
      </c>
      <c r="S125" s="40" t="e">
        <f>Market!$C$3*Market!$I$3*NIFTY_OC!$D125/$C125</f>
        <v>#VALUE!</v>
      </c>
    </row>
    <row r="126" spans="1:19">
      <c r="A126" s="39">
        <v>44462</v>
      </c>
      <c r="B126" s="38">
        <v>12800</v>
      </c>
      <c r="C126" s="38">
        <v>1415.05</v>
      </c>
      <c r="D126">
        <v>0.96</v>
      </c>
      <c r="E126" s="37">
        <v>15850</v>
      </c>
      <c r="F126">
        <v>17.829999999999998</v>
      </c>
      <c r="G126" s="38">
        <v>14.55</v>
      </c>
      <c r="H126" s="38">
        <v>-0.04</v>
      </c>
      <c r="I126" s="38">
        <v>19650</v>
      </c>
      <c r="J126" s="38">
        <v>-1.35</v>
      </c>
      <c r="K126" s="38">
        <v>4.2300000000000004</v>
      </c>
      <c r="L126">
        <v>1E-4</v>
      </c>
      <c r="M126" s="41">
        <f t="shared" si="1"/>
        <v>79.363432417274268</v>
      </c>
      <c r="N126" s="40" t="e">
        <f>Market!$C$3*Market!$D$3*NIFTY_OC!$D126/$C126</f>
        <v>#VALUE!</v>
      </c>
      <c r="O126" s="40" t="e">
        <f>Market!$C$3*Market!$E$3*NIFTY_OC!$D126/$C126</f>
        <v>#VALUE!</v>
      </c>
      <c r="P126" s="40" t="e">
        <f>Market!$C$3*Market!$F$3*NIFTY_OC!$D126/$C126</f>
        <v>#VALUE!</v>
      </c>
      <c r="Q126" s="40" t="e">
        <f>Market!$C$3*Market!$G$3*NIFTY_OC!$D126/$C126</f>
        <v>#VALUE!</v>
      </c>
      <c r="R126" s="40" t="e">
        <f>Market!$C$3*Market!$H$3*NIFTY_OC!$D126/$C126</f>
        <v>#VALUE!</v>
      </c>
      <c r="S126" s="40" t="e">
        <f>Market!$C$3*Market!$I$3*NIFTY_OC!$D126/$C126</f>
        <v>#VALUE!</v>
      </c>
    </row>
    <row r="127" spans="1:19">
      <c r="A127" s="39">
        <v>44462</v>
      </c>
      <c r="B127" s="38">
        <v>159450</v>
      </c>
      <c r="C127" s="38">
        <v>1357.05</v>
      </c>
      <c r="D127">
        <v>0.96</v>
      </c>
      <c r="E127" s="37">
        <v>15900</v>
      </c>
      <c r="F127">
        <v>17.55</v>
      </c>
      <c r="G127" s="38">
        <v>15.7</v>
      </c>
      <c r="H127" s="38">
        <v>-0.04</v>
      </c>
      <c r="I127" s="38">
        <v>554750</v>
      </c>
      <c r="J127" s="38">
        <v>-1.41</v>
      </c>
      <c r="K127" s="38">
        <v>4.51</v>
      </c>
      <c r="L127">
        <v>1.1E-4</v>
      </c>
      <c r="M127" s="41">
        <f t="shared" si="1"/>
        <v>77.324786324786317</v>
      </c>
      <c r="N127" s="40" t="e">
        <f>Market!$C$3*Market!$D$3*NIFTY_OC!$D127/$C127</f>
        <v>#VALUE!</v>
      </c>
      <c r="O127" s="40" t="e">
        <f>Market!$C$3*Market!$E$3*NIFTY_OC!$D127/$C127</f>
        <v>#VALUE!</v>
      </c>
      <c r="P127" s="40" t="e">
        <f>Market!$C$3*Market!$F$3*NIFTY_OC!$D127/$C127</f>
        <v>#VALUE!</v>
      </c>
      <c r="Q127" s="40" t="e">
        <f>Market!$C$3*Market!$G$3*NIFTY_OC!$D127/$C127</f>
        <v>#VALUE!</v>
      </c>
      <c r="R127" s="40" t="e">
        <f>Market!$C$3*Market!$H$3*NIFTY_OC!$D127/$C127</f>
        <v>#VALUE!</v>
      </c>
      <c r="S127" s="40" t="e">
        <f>Market!$C$3*Market!$I$3*NIFTY_OC!$D127/$C127</f>
        <v>#VALUE!</v>
      </c>
    </row>
    <row r="128" spans="1:19">
      <c r="A128" s="39">
        <v>44462</v>
      </c>
      <c r="B128" s="38">
        <v>10150</v>
      </c>
      <c r="C128" s="38">
        <v>1309.3</v>
      </c>
      <c r="D128">
        <v>0.95</v>
      </c>
      <c r="E128" s="37">
        <v>15950</v>
      </c>
      <c r="F128">
        <v>17.170000000000002</v>
      </c>
      <c r="G128" s="38">
        <v>16.5</v>
      </c>
      <c r="H128" s="38">
        <v>-0.05</v>
      </c>
      <c r="I128" s="38">
        <v>63400</v>
      </c>
      <c r="J128" s="38">
        <v>-1.45</v>
      </c>
      <c r="K128" s="38">
        <v>4.74</v>
      </c>
      <c r="L128">
        <v>1.2E-4</v>
      </c>
      <c r="M128" s="41">
        <f t="shared" si="1"/>
        <v>76.255096097845069</v>
      </c>
      <c r="N128" s="40" t="e">
        <f>Market!$C$3*Market!$D$3*NIFTY_OC!$D128/$C128</f>
        <v>#VALUE!</v>
      </c>
      <c r="O128" s="40" t="e">
        <f>Market!$C$3*Market!$E$3*NIFTY_OC!$D128/$C128</f>
        <v>#VALUE!</v>
      </c>
      <c r="P128" s="40" t="e">
        <f>Market!$C$3*Market!$F$3*NIFTY_OC!$D128/$C128</f>
        <v>#VALUE!</v>
      </c>
      <c r="Q128" s="40" t="e">
        <f>Market!$C$3*Market!$G$3*NIFTY_OC!$D128/$C128</f>
        <v>#VALUE!</v>
      </c>
      <c r="R128" s="40" t="e">
        <f>Market!$C$3*Market!$H$3*NIFTY_OC!$D128/$C128</f>
        <v>#VALUE!</v>
      </c>
      <c r="S128" s="40" t="e">
        <f>Market!$C$3*Market!$I$3*NIFTY_OC!$D128/$C128</f>
        <v>#VALUE!</v>
      </c>
    </row>
    <row r="129" spans="1:19">
      <c r="A129" s="39">
        <v>44462</v>
      </c>
      <c r="B129" s="38">
        <v>630625</v>
      </c>
      <c r="C129" s="38">
        <v>1259.9000000000001</v>
      </c>
      <c r="D129">
        <v>0.95</v>
      </c>
      <c r="E129" s="37">
        <v>16000</v>
      </c>
      <c r="F129">
        <v>17.07</v>
      </c>
      <c r="G129" s="38">
        <v>18.8</v>
      </c>
      <c r="H129" s="38">
        <v>-0.05</v>
      </c>
      <c r="I129" s="38">
        <v>2058575</v>
      </c>
      <c r="J129" s="38">
        <v>-1.59</v>
      </c>
      <c r="K129" s="38">
        <v>5.21</v>
      </c>
      <c r="L129">
        <v>1.2999999999999999E-4</v>
      </c>
      <c r="M129" s="41">
        <f t="shared" si="1"/>
        <v>73.80785002929116</v>
      </c>
      <c r="N129" s="40" t="e">
        <f>Market!$C$3*Market!$D$3*NIFTY_OC!$D129/$C129</f>
        <v>#VALUE!</v>
      </c>
      <c r="O129" s="40" t="e">
        <f>Market!$C$3*Market!$E$3*NIFTY_OC!$D129/$C129</f>
        <v>#VALUE!</v>
      </c>
      <c r="P129" s="40" t="e">
        <f>Market!$C$3*Market!$F$3*NIFTY_OC!$D129/$C129</f>
        <v>#VALUE!</v>
      </c>
      <c r="Q129" s="40" t="e">
        <f>Market!$C$3*Market!$G$3*NIFTY_OC!$D129/$C129</f>
        <v>#VALUE!</v>
      </c>
      <c r="R129" s="40" t="e">
        <f>Market!$C$3*Market!$H$3*NIFTY_OC!$D129/$C129</f>
        <v>#VALUE!</v>
      </c>
      <c r="S129" s="40" t="e">
        <f>Market!$C$3*Market!$I$3*NIFTY_OC!$D129/$C129</f>
        <v>#VALUE!</v>
      </c>
    </row>
    <row r="130" spans="1:19">
      <c r="A130" s="39">
        <v>44462</v>
      </c>
      <c r="B130" s="38">
        <v>5850</v>
      </c>
      <c r="C130" s="38">
        <v>1214</v>
      </c>
      <c r="D130">
        <v>0.94</v>
      </c>
      <c r="E130" s="37">
        <v>16050</v>
      </c>
      <c r="F130">
        <v>16.54</v>
      </c>
      <c r="G130" s="38">
        <v>19</v>
      </c>
      <c r="H130" s="38">
        <v>-0.06</v>
      </c>
      <c r="I130" s="38">
        <v>22050</v>
      </c>
      <c r="J130" s="38">
        <v>-1.58</v>
      </c>
      <c r="K130" s="38">
        <v>5.36</v>
      </c>
      <c r="L130">
        <v>1.3999999999999999E-4</v>
      </c>
      <c r="M130" s="41">
        <f t="shared" si="1"/>
        <v>73.397823458282957</v>
      </c>
      <c r="N130" s="40" t="e">
        <f>Market!$C$3*Market!$D$3*NIFTY_OC!$D130/$C130</f>
        <v>#VALUE!</v>
      </c>
      <c r="O130" s="40" t="e">
        <f>Market!$C$3*Market!$E$3*NIFTY_OC!$D130/$C130</f>
        <v>#VALUE!</v>
      </c>
      <c r="P130" s="40" t="e">
        <f>Market!$C$3*Market!$F$3*NIFTY_OC!$D130/$C130</f>
        <v>#VALUE!</v>
      </c>
      <c r="Q130" s="40" t="e">
        <f>Market!$C$3*Market!$G$3*NIFTY_OC!$D130/$C130</f>
        <v>#VALUE!</v>
      </c>
      <c r="R130" s="40" t="e">
        <f>Market!$C$3*Market!$H$3*NIFTY_OC!$D130/$C130</f>
        <v>#VALUE!</v>
      </c>
      <c r="S130" s="40" t="e">
        <f>Market!$C$3*Market!$I$3*NIFTY_OC!$D130/$C130</f>
        <v>#VALUE!</v>
      </c>
    </row>
    <row r="131" spans="1:19">
      <c r="A131" s="39">
        <v>44462</v>
      </c>
      <c r="B131" s="38">
        <v>78800</v>
      </c>
      <c r="C131" s="38">
        <v>1159.05</v>
      </c>
      <c r="D131">
        <v>0.94</v>
      </c>
      <c r="E131" s="37">
        <v>16100</v>
      </c>
      <c r="F131">
        <v>16.22</v>
      </c>
      <c r="G131" s="38">
        <v>20.350000000000001</v>
      </c>
      <c r="H131" s="38">
        <v>-0.06</v>
      </c>
      <c r="I131" s="38">
        <v>434000</v>
      </c>
      <c r="J131" s="38">
        <v>-1.65</v>
      </c>
      <c r="K131" s="38">
        <v>5.69</v>
      </c>
      <c r="L131">
        <v>1.4999999999999999E-4</v>
      </c>
      <c r="M131" s="41">
        <f t="shared" ref="M131:M194" si="2">C131/F131</f>
        <v>71.458076448828606</v>
      </c>
      <c r="N131" s="40" t="e">
        <f>Market!$C$3*Market!$D$3*NIFTY_OC!$D131/$C131</f>
        <v>#VALUE!</v>
      </c>
      <c r="O131" s="40" t="e">
        <f>Market!$C$3*Market!$E$3*NIFTY_OC!$D131/$C131</f>
        <v>#VALUE!</v>
      </c>
      <c r="P131" s="40" t="e">
        <f>Market!$C$3*Market!$F$3*NIFTY_OC!$D131/$C131</f>
        <v>#VALUE!</v>
      </c>
      <c r="Q131" s="40" t="e">
        <f>Market!$C$3*Market!$G$3*NIFTY_OC!$D131/$C131</f>
        <v>#VALUE!</v>
      </c>
      <c r="R131" s="40" t="e">
        <f>Market!$C$3*Market!$H$3*NIFTY_OC!$D131/$C131</f>
        <v>#VALUE!</v>
      </c>
      <c r="S131" s="40" t="e">
        <f>Market!$C$3*Market!$I$3*NIFTY_OC!$D131/$C131</f>
        <v>#VALUE!</v>
      </c>
    </row>
    <row r="132" spans="1:19">
      <c r="A132" s="39">
        <v>44462</v>
      </c>
      <c r="B132" s="38">
        <v>3900</v>
      </c>
      <c r="C132" s="38">
        <v>1215.3499999999999</v>
      </c>
      <c r="D132">
        <v>0.93</v>
      </c>
      <c r="E132" s="37">
        <v>16150</v>
      </c>
      <c r="F132">
        <v>15.92</v>
      </c>
      <c r="G132" s="38">
        <v>22</v>
      </c>
      <c r="H132" s="38">
        <v>-7.0000000000000007E-2</v>
      </c>
      <c r="I132" s="38">
        <v>36850</v>
      </c>
      <c r="J132" s="38">
        <v>-1.72</v>
      </c>
      <c r="K132" s="38">
        <v>6.07</v>
      </c>
      <c r="L132">
        <v>1.7000000000000001E-4</v>
      </c>
      <c r="M132" s="41">
        <f t="shared" si="2"/>
        <v>76.34108040201005</v>
      </c>
      <c r="N132" s="40" t="e">
        <f>Market!$C$3*Market!$D$3*NIFTY_OC!$D132/$C132</f>
        <v>#VALUE!</v>
      </c>
      <c r="O132" s="40" t="e">
        <f>Market!$C$3*Market!$E$3*NIFTY_OC!$D132/$C132</f>
        <v>#VALUE!</v>
      </c>
      <c r="P132" s="40" t="e">
        <f>Market!$C$3*Market!$F$3*NIFTY_OC!$D132/$C132</f>
        <v>#VALUE!</v>
      </c>
      <c r="Q132" s="40" t="e">
        <f>Market!$C$3*Market!$G$3*NIFTY_OC!$D132/$C132</f>
        <v>#VALUE!</v>
      </c>
      <c r="R132" s="40" t="e">
        <f>Market!$C$3*Market!$H$3*NIFTY_OC!$D132/$C132</f>
        <v>#VALUE!</v>
      </c>
      <c r="S132" s="40" t="e">
        <f>Market!$C$3*Market!$I$3*NIFTY_OC!$D132/$C132</f>
        <v>#VALUE!</v>
      </c>
    </row>
    <row r="133" spans="1:19">
      <c r="A133" s="39">
        <v>44462</v>
      </c>
      <c r="B133" s="38">
        <v>187300</v>
      </c>
      <c r="C133" s="38">
        <v>1062.9000000000001</v>
      </c>
      <c r="D133">
        <v>0.93</v>
      </c>
      <c r="E133" s="37">
        <v>16200</v>
      </c>
      <c r="F133">
        <v>15.57</v>
      </c>
      <c r="G133" s="38">
        <v>23.5</v>
      </c>
      <c r="H133" s="38">
        <v>-7.0000000000000007E-2</v>
      </c>
      <c r="I133" s="38">
        <v>788050</v>
      </c>
      <c r="J133" s="38">
        <v>-1.79</v>
      </c>
      <c r="K133" s="38">
        <v>6.43</v>
      </c>
      <c r="L133">
        <v>1.8000000000000001E-4</v>
      </c>
      <c r="M133" s="41">
        <f t="shared" si="2"/>
        <v>68.265895953757223</v>
      </c>
      <c r="N133" s="40" t="e">
        <f>Market!$C$3*Market!$D$3*NIFTY_OC!$D133/$C133</f>
        <v>#VALUE!</v>
      </c>
      <c r="O133" s="40" t="e">
        <f>Market!$C$3*Market!$E$3*NIFTY_OC!$D133/$C133</f>
        <v>#VALUE!</v>
      </c>
      <c r="P133" s="40" t="e">
        <f>Market!$C$3*Market!$F$3*NIFTY_OC!$D133/$C133</f>
        <v>#VALUE!</v>
      </c>
      <c r="Q133" s="40" t="e">
        <f>Market!$C$3*Market!$G$3*NIFTY_OC!$D133/$C133</f>
        <v>#VALUE!</v>
      </c>
      <c r="R133" s="40" t="e">
        <f>Market!$C$3*Market!$H$3*NIFTY_OC!$D133/$C133</f>
        <v>#VALUE!</v>
      </c>
      <c r="S133" s="40" t="e">
        <f>Market!$C$3*Market!$I$3*NIFTY_OC!$D133/$C133</f>
        <v>#VALUE!</v>
      </c>
    </row>
    <row r="134" spans="1:19">
      <c r="A134" s="39">
        <v>44462</v>
      </c>
      <c r="B134" s="38">
        <v>13600</v>
      </c>
      <c r="C134" s="38">
        <v>1012.5</v>
      </c>
      <c r="D134">
        <v>0.92</v>
      </c>
      <c r="E134" s="37">
        <v>16250</v>
      </c>
      <c r="F134">
        <v>15.33</v>
      </c>
      <c r="G134" s="38">
        <v>25.9</v>
      </c>
      <c r="H134" s="38">
        <v>-0.08</v>
      </c>
      <c r="I134" s="38">
        <v>59000</v>
      </c>
      <c r="J134" s="38">
        <v>-1.89</v>
      </c>
      <c r="K134" s="38">
        <v>6.91</v>
      </c>
      <c r="L134">
        <v>2.0000000000000001E-4</v>
      </c>
      <c r="M134" s="41">
        <f t="shared" si="2"/>
        <v>66.046966731898237</v>
      </c>
      <c r="N134" s="40" t="e">
        <f>Market!$C$3*Market!$D$3*NIFTY_OC!$D134/$C134</f>
        <v>#VALUE!</v>
      </c>
      <c r="O134" s="40" t="e">
        <f>Market!$C$3*Market!$E$3*NIFTY_OC!$D134/$C134</f>
        <v>#VALUE!</v>
      </c>
      <c r="P134" s="40" t="e">
        <f>Market!$C$3*Market!$F$3*NIFTY_OC!$D134/$C134</f>
        <v>#VALUE!</v>
      </c>
      <c r="Q134" s="40" t="e">
        <f>Market!$C$3*Market!$G$3*NIFTY_OC!$D134/$C134</f>
        <v>#VALUE!</v>
      </c>
      <c r="R134" s="40" t="e">
        <f>Market!$C$3*Market!$H$3*NIFTY_OC!$D134/$C134</f>
        <v>#VALUE!</v>
      </c>
      <c r="S134" s="40" t="e">
        <f>Market!$C$3*Market!$I$3*NIFTY_OC!$D134/$C134</f>
        <v>#VALUE!</v>
      </c>
    </row>
    <row r="135" spans="1:19">
      <c r="A135" s="39">
        <v>44462</v>
      </c>
      <c r="B135" s="38">
        <v>331400</v>
      </c>
      <c r="C135" s="38">
        <v>967.7</v>
      </c>
      <c r="D135">
        <v>0.91</v>
      </c>
      <c r="E135" s="37">
        <v>16300</v>
      </c>
      <c r="F135">
        <v>15.1</v>
      </c>
      <c r="G135" s="38">
        <v>28.65</v>
      </c>
      <c r="H135" s="38">
        <v>-0.09</v>
      </c>
      <c r="I135" s="38">
        <v>829800</v>
      </c>
      <c r="J135" s="38">
        <v>-2.0099999999999998</v>
      </c>
      <c r="K135" s="38">
        <v>7.44</v>
      </c>
      <c r="L135">
        <v>2.2000000000000001E-4</v>
      </c>
      <c r="M135" s="41">
        <f t="shared" si="2"/>
        <v>64.086092715231786</v>
      </c>
      <c r="N135" s="40" t="e">
        <f>Market!$C$3*Market!$D$3*NIFTY_OC!$D135/$C135</f>
        <v>#VALUE!</v>
      </c>
      <c r="O135" s="40" t="e">
        <f>Market!$C$3*Market!$E$3*NIFTY_OC!$D135/$C135</f>
        <v>#VALUE!</v>
      </c>
      <c r="P135" s="40" t="e">
        <f>Market!$C$3*Market!$F$3*NIFTY_OC!$D135/$C135</f>
        <v>#VALUE!</v>
      </c>
      <c r="Q135" s="40" t="e">
        <f>Market!$C$3*Market!$G$3*NIFTY_OC!$D135/$C135</f>
        <v>#VALUE!</v>
      </c>
      <c r="R135" s="40" t="e">
        <f>Market!$C$3*Market!$H$3*NIFTY_OC!$D135/$C135</f>
        <v>#VALUE!</v>
      </c>
      <c r="S135" s="40" t="e">
        <f>Market!$C$3*Market!$I$3*NIFTY_OC!$D135/$C135</f>
        <v>#VALUE!</v>
      </c>
    </row>
    <row r="136" spans="1:19">
      <c r="A136" s="39">
        <v>44462</v>
      </c>
      <c r="B136" s="38">
        <v>18250</v>
      </c>
      <c r="C136" s="38">
        <v>921.6</v>
      </c>
      <c r="D136">
        <v>0.91</v>
      </c>
      <c r="E136" s="37">
        <v>16350</v>
      </c>
      <c r="F136">
        <v>14.76</v>
      </c>
      <c r="G136" s="38">
        <v>30.8</v>
      </c>
      <c r="H136" s="38">
        <v>-0.09</v>
      </c>
      <c r="I136" s="38">
        <v>53700</v>
      </c>
      <c r="J136" s="38">
        <v>-2.08</v>
      </c>
      <c r="K136" s="38">
        <v>7.9</v>
      </c>
      <c r="L136">
        <v>2.3000000000000001E-4</v>
      </c>
      <c r="M136" s="41">
        <f t="shared" si="2"/>
        <v>62.439024390243908</v>
      </c>
      <c r="N136" s="40" t="e">
        <f>Market!$C$3*Market!$D$3*NIFTY_OC!$D136/$C136</f>
        <v>#VALUE!</v>
      </c>
      <c r="O136" s="40" t="e">
        <f>Market!$C$3*Market!$E$3*NIFTY_OC!$D136/$C136</f>
        <v>#VALUE!</v>
      </c>
      <c r="P136" s="40" t="e">
        <f>Market!$C$3*Market!$F$3*NIFTY_OC!$D136/$C136</f>
        <v>#VALUE!</v>
      </c>
      <c r="Q136" s="40" t="e">
        <f>Market!$C$3*Market!$G$3*NIFTY_OC!$D136/$C136</f>
        <v>#VALUE!</v>
      </c>
      <c r="R136" s="40" t="e">
        <f>Market!$C$3*Market!$H$3*NIFTY_OC!$D136/$C136</f>
        <v>#VALUE!</v>
      </c>
      <c r="S136" s="40" t="e">
        <f>Market!$C$3*Market!$I$3*NIFTY_OC!$D136/$C136</f>
        <v>#VALUE!</v>
      </c>
    </row>
    <row r="137" spans="1:19">
      <c r="A137" s="39">
        <v>44462</v>
      </c>
      <c r="B137" s="38">
        <v>456300</v>
      </c>
      <c r="C137" s="38">
        <v>875.6</v>
      </c>
      <c r="D137">
        <v>0.9</v>
      </c>
      <c r="E137" s="37">
        <v>16400</v>
      </c>
      <c r="F137">
        <v>14.5</v>
      </c>
      <c r="G137" s="38">
        <v>33.85</v>
      </c>
      <c r="H137" s="38">
        <v>-0.1</v>
      </c>
      <c r="I137" s="38">
        <v>824650</v>
      </c>
      <c r="J137" s="38">
        <v>-2.19</v>
      </c>
      <c r="K137" s="38">
        <v>8.4600000000000009</v>
      </c>
      <c r="L137">
        <v>2.5999999999999998E-4</v>
      </c>
      <c r="M137" s="41">
        <f t="shared" si="2"/>
        <v>60.386206896551727</v>
      </c>
      <c r="N137" s="40" t="e">
        <f>Market!$C$3*Market!$D$3*NIFTY_OC!$D137/$C137</f>
        <v>#VALUE!</v>
      </c>
      <c r="O137" s="40" t="e">
        <f>Market!$C$3*Market!$E$3*NIFTY_OC!$D137/$C137</f>
        <v>#VALUE!</v>
      </c>
      <c r="P137" s="40" t="e">
        <f>Market!$C$3*Market!$F$3*NIFTY_OC!$D137/$C137</f>
        <v>#VALUE!</v>
      </c>
      <c r="Q137" s="40" t="e">
        <f>Market!$C$3*Market!$G$3*NIFTY_OC!$D137/$C137</f>
        <v>#VALUE!</v>
      </c>
      <c r="R137" s="40" t="e">
        <f>Market!$C$3*Market!$H$3*NIFTY_OC!$D137/$C137</f>
        <v>#VALUE!</v>
      </c>
      <c r="S137" s="40" t="e">
        <f>Market!$C$3*Market!$I$3*NIFTY_OC!$D137/$C137</f>
        <v>#VALUE!</v>
      </c>
    </row>
    <row r="138" spans="1:19">
      <c r="A138" s="39">
        <v>44462</v>
      </c>
      <c r="B138" s="38">
        <v>20050</v>
      </c>
      <c r="C138" s="38">
        <v>831.45</v>
      </c>
      <c r="D138">
        <v>0.89</v>
      </c>
      <c r="E138" s="37">
        <v>16450</v>
      </c>
      <c r="F138">
        <v>14.23</v>
      </c>
      <c r="G138" s="38">
        <v>37.15</v>
      </c>
      <c r="H138" s="38">
        <v>-0.11</v>
      </c>
      <c r="I138" s="38">
        <v>91900</v>
      </c>
      <c r="J138" s="38">
        <v>-2.2999999999999998</v>
      </c>
      <c r="K138" s="38">
        <v>9.0500000000000007</v>
      </c>
      <c r="L138">
        <v>2.7999999999999998E-4</v>
      </c>
      <c r="M138" s="41">
        <f t="shared" si="2"/>
        <v>58.429374560787068</v>
      </c>
      <c r="N138" s="40" t="e">
        <f>Market!$C$3*Market!$D$3*NIFTY_OC!$D138/$C138</f>
        <v>#VALUE!</v>
      </c>
      <c r="O138" s="40" t="e">
        <f>Market!$C$3*Market!$E$3*NIFTY_OC!$D138/$C138</f>
        <v>#VALUE!</v>
      </c>
      <c r="P138" s="40" t="e">
        <f>Market!$C$3*Market!$F$3*NIFTY_OC!$D138/$C138</f>
        <v>#VALUE!</v>
      </c>
      <c r="Q138" s="40" t="e">
        <f>Market!$C$3*Market!$G$3*NIFTY_OC!$D138/$C138</f>
        <v>#VALUE!</v>
      </c>
      <c r="R138" s="40" t="e">
        <f>Market!$C$3*Market!$H$3*NIFTY_OC!$D138/$C138</f>
        <v>#VALUE!</v>
      </c>
      <c r="S138" s="40" t="e">
        <f>Market!$C$3*Market!$I$3*NIFTY_OC!$D138/$C138</f>
        <v>#VALUE!</v>
      </c>
    </row>
    <row r="139" spans="1:19">
      <c r="A139" s="39">
        <v>44462</v>
      </c>
      <c r="B139" s="38">
        <v>1519975</v>
      </c>
      <c r="C139" s="38">
        <v>782.9</v>
      </c>
      <c r="D139">
        <v>0.88</v>
      </c>
      <c r="E139" s="37">
        <v>16500</v>
      </c>
      <c r="F139">
        <v>14.08</v>
      </c>
      <c r="G139" s="38">
        <v>42</v>
      </c>
      <c r="H139" s="38">
        <v>-0.12</v>
      </c>
      <c r="I139" s="38">
        <v>2877425</v>
      </c>
      <c r="J139" s="38">
        <v>-2.46</v>
      </c>
      <c r="K139" s="38">
        <v>9.77</v>
      </c>
      <c r="L139">
        <v>2.9999999999999997E-4</v>
      </c>
      <c r="M139" s="41">
        <f t="shared" si="2"/>
        <v>55.60369318181818</v>
      </c>
      <c r="N139" s="40" t="e">
        <f>Market!$C$3*Market!$D$3*NIFTY_OC!$D139/$C139</f>
        <v>#VALUE!</v>
      </c>
      <c r="O139" s="40" t="e">
        <f>Market!$C$3*Market!$E$3*NIFTY_OC!$D139/$C139</f>
        <v>#VALUE!</v>
      </c>
      <c r="P139" s="40" t="e">
        <f>Market!$C$3*Market!$F$3*NIFTY_OC!$D139/$C139</f>
        <v>#VALUE!</v>
      </c>
      <c r="Q139" s="40" t="e">
        <f>Market!$C$3*Market!$G$3*NIFTY_OC!$D139/$C139</f>
        <v>#VALUE!</v>
      </c>
      <c r="R139" s="40" t="e">
        <f>Market!$C$3*Market!$H$3*NIFTY_OC!$D139/$C139</f>
        <v>#VALUE!</v>
      </c>
      <c r="S139" s="40" t="e">
        <f>Market!$C$3*Market!$I$3*NIFTY_OC!$D139/$C139</f>
        <v>#VALUE!</v>
      </c>
    </row>
    <row r="140" spans="1:19">
      <c r="A140" s="39">
        <v>44462</v>
      </c>
      <c r="B140" s="38">
        <v>40500</v>
      </c>
      <c r="C140" s="38">
        <v>734.3</v>
      </c>
      <c r="D140">
        <v>0.86</v>
      </c>
      <c r="E140" s="37">
        <v>16550</v>
      </c>
      <c r="F140">
        <v>13.75</v>
      </c>
      <c r="G140" s="38">
        <v>45.55</v>
      </c>
      <c r="H140" s="38">
        <v>-0.14000000000000001</v>
      </c>
      <c r="I140" s="38">
        <v>82350</v>
      </c>
      <c r="J140" s="38">
        <v>-2.5499999999999998</v>
      </c>
      <c r="K140" s="38">
        <v>10.37</v>
      </c>
      <c r="L140">
        <v>3.3E-4</v>
      </c>
      <c r="M140" s="41">
        <f t="shared" si="2"/>
        <v>53.403636363636359</v>
      </c>
      <c r="N140" s="40" t="e">
        <f>Market!$C$3*Market!$D$3*NIFTY_OC!$D140/$C140</f>
        <v>#VALUE!</v>
      </c>
      <c r="O140" s="40" t="e">
        <f>Market!$C$3*Market!$E$3*NIFTY_OC!$D140/$C140</f>
        <v>#VALUE!</v>
      </c>
      <c r="P140" s="40" t="e">
        <f>Market!$C$3*Market!$F$3*NIFTY_OC!$D140/$C140</f>
        <v>#VALUE!</v>
      </c>
      <c r="Q140" s="40" t="e">
        <f>Market!$C$3*Market!$G$3*NIFTY_OC!$D140/$C140</f>
        <v>#VALUE!</v>
      </c>
      <c r="R140" s="40" t="e">
        <f>Market!$C$3*Market!$H$3*NIFTY_OC!$D140/$C140</f>
        <v>#VALUE!</v>
      </c>
      <c r="S140" s="40" t="e">
        <f>Market!$C$3*Market!$I$3*NIFTY_OC!$D140/$C140</f>
        <v>#VALUE!</v>
      </c>
    </row>
    <row r="141" spans="1:19">
      <c r="A141" s="39">
        <v>44462</v>
      </c>
      <c r="B141" s="38">
        <v>960600</v>
      </c>
      <c r="C141" s="38">
        <v>692.35</v>
      </c>
      <c r="D141">
        <v>0.85</v>
      </c>
      <c r="E141" s="37">
        <v>16600</v>
      </c>
      <c r="F141">
        <v>13.53</v>
      </c>
      <c r="G141" s="38">
        <v>50.8</v>
      </c>
      <c r="H141" s="38">
        <v>-0.15</v>
      </c>
      <c r="I141" s="38">
        <v>1411750</v>
      </c>
      <c r="J141" s="38">
        <v>-2.68</v>
      </c>
      <c r="K141" s="38">
        <v>11.11</v>
      </c>
      <c r="L141">
        <v>3.6000000000000002E-4</v>
      </c>
      <c r="M141" s="41">
        <f t="shared" si="2"/>
        <v>51.171470805617155</v>
      </c>
      <c r="N141" s="40" t="e">
        <f>Market!$C$3*Market!$D$3*NIFTY_OC!$D141/$C141</f>
        <v>#VALUE!</v>
      </c>
      <c r="O141" s="40" t="e">
        <f>Market!$C$3*Market!$E$3*NIFTY_OC!$D141/$C141</f>
        <v>#VALUE!</v>
      </c>
      <c r="P141" s="40" t="e">
        <f>Market!$C$3*Market!$F$3*NIFTY_OC!$D141/$C141</f>
        <v>#VALUE!</v>
      </c>
      <c r="Q141" s="40" t="e">
        <f>Market!$C$3*Market!$G$3*NIFTY_OC!$D141/$C141</f>
        <v>#VALUE!</v>
      </c>
      <c r="R141" s="40" t="e">
        <f>Market!$C$3*Market!$H$3*NIFTY_OC!$D141/$C141</f>
        <v>#VALUE!</v>
      </c>
      <c r="S141" s="40" t="e">
        <f>Market!$C$3*Market!$I$3*NIFTY_OC!$D141/$C141</f>
        <v>#VALUE!</v>
      </c>
    </row>
    <row r="142" spans="1:19">
      <c r="A142" s="39">
        <v>44462</v>
      </c>
      <c r="B142" s="38">
        <v>42000</v>
      </c>
      <c r="C142" s="38">
        <v>649.04999999999995</v>
      </c>
      <c r="D142">
        <v>0.84</v>
      </c>
      <c r="E142" s="37">
        <v>16650</v>
      </c>
      <c r="F142">
        <v>13.25</v>
      </c>
      <c r="G142" s="38">
        <v>55.9</v>
      </c>
      <c r="H142" s="38">
        <v>-0.16</v>
      </c>
      <c r="I142" s="38">
        <v>113900</v>
      </c>
      <c r="J142" s="38">
        <v>-2.8</v>
      </c>
      <c r="K142" s="38">
        <v>11.81</v>
      </c>
      <c r="L142">
        <v>3.8999999999999999E-4</v>
      </c>
      <c r="M142" s="41">
        <f t="shared" si="2"/>
        <v>48.984905660377358</v>
      </c>
      <c r="N142" s="40" t="e">
        <f>Market!$C$3*Market!$D$3*NIFTY_OC!$D142/$C142</f>
        <v>#VALUE!</v>
      </c>
      <c r="O142" s="40" t="e">
        <f>Market!$C$3*Market!$E$3*NIFTY_OC!$D142/$C142</f>
        <v>#VALUE!</v>
      </c>
      <c r="P142" s="40" t="e">
        <f>Market!$C$3*Market!$F$3*NIFTY_OC!$D142/$C142</f>
        <v>#VALUE!</v>
      </c>
      <c r="Q142" s="40" t="e">
        <f>Market!$C$3*Market!$G$3*NIFTY_OC!$D142/$C142</f>
        <v>#VALUE!</v>
      </c>
      <c r="R142" s="40" t="e">
        <f>Market!$C$3*Market!$H$3*NIFTY_OC!$D142/$C142</f>
        <v>#VALUE!</v>
      </c>
      <c r="S142" s="40" t="e">
        <f>Market!$C$3*Market!$I$3*NIFTY_OC!$D142/$C142</f>
        <v>#VALUE!</v>
      </c>
    </row>
    <row r="143" spans="1:19">
      <c r="A143" s="39">
        <v>44462</v>
      </c>
      <c r="B143" s="38">
        <v>1153250</v>
      </c>
      <c r="C143" s="38">
        <v>605.15</v>
      </c>
      <c r="D143">
        <v>0.82</v>
      </c>
      <c r="E143" s="37">
        <v>16700</v>
      </c>
      <c r="F143">
        <v>13.03</v>
      </c>
      <c r="G143" s="38">
        <v>62.25</v>
      </c>
      <c r="H143" s="38">
        <v>-0.18</v>
      </c>
      <c r="I143" s="38">
        <v>1662700</v>
      </c>
      <c r="J143" s="38">
        <v>-2.93</v>
      </c>
      <c r="K143" s="38">
        <v>12.58</v>
      </c>
      <c r="L143">
        <v>4.2000000000000002E-4</v>
      </c>
      <c r="M143" s="41">
        <f t="shared" si="2"/>
        <v>46.442824251726783</v>
      </c>
      <c r="N143" s="40" t="e">
        <f>Market!$C$3*Market!$D$3*NIFTY_OC!$D143/$C143</f>
        <v>#VALUE!</v>
      </c>
      <c r="O143" s="40" t="e">
        <f>Market!$C$3*Market!$E$3*NIFTY_OC!$D143/$C143</f>
        <v>#VALUE!</v>
      </c>
      <c r="P143" s="40" t="e">
        <f>Market!$C$3*Market!$F$3*NIFTY_OC!$D143/$C143</f>
        <v>#VALUE!</v>
      </c>
      <c r="Q143" s="40" t="e">
        <f>Market!$C$3*Market!$G$3*NIFTY_OC!$D143/$C143</f>
        <v>#VALUE!</v>
      </c>
      <c r="R143" s="40" t="e">
        <f>Market!$C$3*Market!$H$3*NIFTY_OC!$D143/$C143</f>
        <v>#VALUE!</v>
      </c>
      <c r="S143" s="40" t="e">
        <f>Market!$C$3*Market!$I$3*NIFTY_OC!$D143/$C143</f>
        <v>#VALUE!</v>
      </c>
    </row>
    <row r="144" spans="1:19">
      <c r="A144" s="39">
        <v>44462</v>
      </c>
      <c r="B144" s="38">
        <v>41800</v>
      </c>
      <c r="C144" s="38">
        <v>559.79999999999995</v>
      </c>
      <c r="D144">
        <v>0.8</v>
      </c>
      <c r="E144" s="37">
        <v>16750</v>
      </c>
      <c r="F144">
        <v>12.76</v>
      </c>
      <c r="G144" s="38">
        <v>68.8</v>
      </c>
      <c r="H144" s="38">
        <v>-0.2</v>
      </c>
      <c r="I144" s="38">
        <v>131250</v>
      </c>
      <c r="J144" s="38">
        <v>-3.04</v>
      </c>
      <c r="K144" s="38">
        <v>13.33</v>
      </c>
      <c r="L144">
        <v>4.6000000000000001E-4</v>
      </c>
      <c r="M144" s="41">
        <f t="shared" si="2"/>
        <v>43.871473354231973</v>
      </c>
      <c r="N144" s="40" t="e">
        <f>Market!$C$3*Market!$D$3*NIFTY_OC!$D144/$C144</f>
        <v>#VALUE!</v>
      </c>
      <c r="O144" s="40" t="e">
        <f>Market!$C$3*Market!$E$3*NIFTY_OC!$D144/$C144</f>
        <v>#VALUE!</v>
      </c>
      <c r="P144" s="40" t="e">
        <f>Market!$C$3*Market!$F$3*NIFTY_OC!$D144/$C144</f>
        <v>#VALUE!</v>
      </c>
      <c r="Q144" s="40" t="e">
        <f>Market!$C$3*Market!$G$3*NIFTY_OC!$D144/$C144</f>
        <v>#VALUE!</v>
      </c>
      <c r="R144" s="40" t="e">
        <f>Market!$C$3*Market!$H$3*NIFTY_OC!$D144/$C144</f>
        <v>#VALUE!</v>
      </c>
      <c r="S144" s="40" t="e">
        <f>Market!$C$3*Market!$I$3*NIFTY_OC!$D144/$C144</f>
        <v>#VALUE!</v>
      </c>
    </row>
    <row r="145" spans="1:19">
      <c r="A145" s="39">
        <v>44462</v>
      </c>
      <c r="B145" s="38">
        <v>666700</v>
      </c>
      <c r="C145" s="38">
        <v>519.65</v>
      </c>
      <c r="D145">
        <v>0.78</v>
      </c>
      <c r="E145" s="37">
        <v>16800</v>
      </c>
      <c r="F145">
        <v>12.65</v>
      </c>
      <c r="G145" s="38">
        <v>78.25</v>
      </c>
      <c r="H145" s="38">
        <v>-0.22</v>
      </c>
      <c r="I145" s="38">
        <v>1542250</v>
      </c>
      <c r="J145" s="38">
        <v>-3.21</v>
      </c>
      <c r="K145" s="38">
        <v>14.2</v>
      </c>
      <c r="L145">
        <v>4.8999999999999998E-4</v>
      </c>
      <c r="M145" s="41">
        <f t="shared" si="2"/>
        <v>41.079051383399204</v>
      </c>
      <c r="N145" s="40" t="e">
        <f>Market!$C$3*Market!$D$3*NIFTY_OC!$D145/$C145</f>
        <v>#VALUE!</v>
      </c>
      <c r="O145" s="40" t="e">
        <f>Market!$C$3*Market!$E$3*NIFTY_OC!$D145/$C145</f>
        <v>#VALUE!</v>
      </c>
      <c r="P145" s="40" t="e">
        <f>Market!$C$3*Market!$F$3*NIFTY_OC!$D145/$C145</f>
        <v>#VALUE!</v>
      </c>
      <c r="Q145" s="40" t="e">
        <f>Market!$C$3*Market!$G$3*NIFTY_OC!$D145/$C145</f>
        <v>#VALUE!</v>
      </c>
      <c r="R145" s="40" t="e">
        <f>Market!$C$3*Market!$H$3*NIFTY_OC!$D145/$C145</f>
        <v>#VALUE!</v>
      </c>
      <c r="S145" s="40" t="e">
        <f>Market!$C$3*Market!$I$3*NIFTY_OC!$D145/$C145</f>
        <v>#VALUE!</v>
      </c>
    </row>
    <row r="146" spans="1:19">
      <c r="A146" s="39">
        <v>44462</v>
      </c>
      <c r="B146" s="38">
        <v>42500</v>
      </c>
      <c r="C146" s="38">
        <v>482</v>
      </c>
      <c r="D146">
        <v>0.76</v>
      </c>
      <c r="E146" s="37">
        <v>16850</v>
      </c>
      <c r="F146">
        <v>12.47</v>
      </c>
      <c r="G146" s="38">
        <v>87.8</v>
      </c>
      <c r="H146" s="38">
        <v>-0.24</v>
      </c>
      <c r="I146" s="38">
        <v>114250</v>
      </c>
      <c r="J146" s="38">
        <v>-3.34</v>
      </c>
      <c r="K146" s="38">
        <v>15</v>
      </c>
      <c r="L146">
        <v>5.2999999999999998E-4</v>
      </c>
      <c r="M146" s="41">
        <f t="shared" si="2"/>
        <v>38.652766639935841</v>
      </c>
      <c r="N146" s="40" t="e">
        <f>Market!$C$3*Market!$D$3*NIFTY_OC!$D146/$C146</f>
        <v>#VALUE!</v>
      </c>
      <c r="O146" s="40" t="e">
        <f>Market!$C$3*Market!$E$3*NIFTY_OC!$D146/$C146</f>
        <v>#VALUE!</v>
      </c>
      <c r="P146" s="40" t="e">
        <f>Market!$C$3*Market!$F$3*NIFTY_OC!$D146/$C146</f>
        <v>#VALUE!</v>
      </c>
      <c r="Q146" s="40" t="e">
        <f>Market!$C$3*Market!$G$3*NIFTY_OC!$D146/$C146</f>
        <v>#VALUE!</v>
      </c>
      <c r="R146" s="40" t="e">
        <f>Market!$C$3*Market!$H$3*NIFTY_OC!$D146/$C146</f>
        <v>#VALUE!</v>
      </c>
      <c r="S146" s="40" t="e">
        <f>Market!$C$3*Market!$I$3*NIFTY_OC!$D146/$C146</f>
        <v>#VALUE!</v>
      </c>
    </row>
    <row r="147" spans="1:19">
      <c r="A147" s="39">
        <v>44462</v>
      </c>
      <c r="B147" s="38">
        <v>620550</v>
      </c>
      <c r="C147" s="38">
        <v>441.05</v>
      </c>
      <c r="D147">
        <v>0.73</v>
      </c>
      <c r="E147" s="37">
        <v>16900</v>
      </c>
      <c r="F147">
        <v>12.36</v>
      </c>
      <c r="G147" s="38">
        <v>99.55</v>
      </c>
      <c r="H147" s="38">
        <v>-0.27</v>
      </c>
      <c r="I147" s="38">
        <v>1387150</v>
      </c>
      <c r="J147" s="38">
        <v>-3.49</v>
      </c>
      <c r="K147" s="38">
        <v>15.81</v>
      </c>
      <c r="L147">
        <v>5.5999999999999995E-4</v>
      </c>
      <c r="M147" s="41">
        <f t="shared" si="2"/>
        <v>35.683656957928804</v>
      </c>
      <c r="N147" s="40" t="e">
        <f>Market!$C$3*Market!$D$3*NIFTY_OC!$D147/$C147</f>
        <v>#VALUE!</v>
      </c>
      <c r="O147" s="40" t="e">
        <f>Market!$C$3*Market!$E$3*NIFTY_OC!$D147/$C147</f>
        <v>#VALUE!</v>
      </c>
      <c r="P147" s="40" t="e">
        <f>Market!$C$3*Market!$F$3*NIFTY_OC!$D147/$C147</f>
        <v>#VALUE!</v>
      </c>
      <c r="Q147" s="40" t="e">
        <f>Market!$C$3*Market!$G$3*NIFTY_OC!$D147/$C147</f>
        <v>#VALUE!</v>
      </c>
      <c r="R147" s="40" t="e">
        <f>Market!$C$3*Market!$H$3*NIFTY_OC!$D147/$C147</f>
        <v>#VALUE!</v>
      </c>
      <c r="S147" s="40" t="e">
        <f>Market!$C$3*Market!$I$3*NIFTY_OC!$D147/$C147</f>
        <v>#VALUE!</v>
      </c>
    </row>
    <row r="148" spans="1:19">
      <c r="A148" s="39">
        <v>44462</v>
      </c>
      <c r="B148" s="38">
        <v>29900</v>
      </c>
      <c r="C148" s="38">
        <v>403.85</v>
      </c>
      <c r="D148">
        <v>0.7</v>
      </c>
      <c r="E148" s="37">
        <v>16950</v>
      </c>
      <c r="F148">
        <v>12.1</v>
      </c>
      <c r="G148" s="38">
        <v>110</v>
      </c>
      <c r="H148" s="38">
        <v>-0.3</v>
      </c>
      <c r="I148" s="38">
        <v>74750</v>
      </c>
      <c r="J148" s="38">
        <v>-3.57</v>
      </c>
      <c r="K148" s="38">
        <v>16.510000000000002</v>
      </c>
      <c r="L148">
        <v>5.9999999999999995E-4</v>
      </c>
      <c r="M148" s="41">
        <f t="shared" si="2"/>
        <v>33.376033057851245</v>
      </c>
      <c r="N148" s="40" t="e">
        <f>Market!$C$3*Market!$D$3*NIFTY_OC!$D148/$C148</f>
        <v>#VALUE!</v>
      </c>
      <c r="O148" s="40" t="e">
        <f>Market!$C$3*Market!$E$3*NIFTY_OC!$D148/$C148</f>
        <v>#VALUE!</v>
      </c>
      <c r="P148" s="40" t="e">
        <f>Market!$C$3*Market!$F$3*NIFTY_OC!$D148/$C148</f>
        <v>#VALUE!</v>
      </c>
      <c r="Q148" s="40" t="e">
        <f>Market!$C$3*Market!$G$3*NIFTY_OC!$D148/$C148</f>
        <v>#VALUE!</v>
      </c>
      <c r="R148" s="40" t="e">
        <f>Market!$C$3*Market!$H$3*NIFTY_OC!$D148/$C148</f>
        <v>#VALUE!</v>
      </c>
      <c r="S148" s="40" t="e">
        <f>Market!$C$3*Market!$I$3*NIFTY_OC!$D148/$C148</f>
        <v>#VALUE!</v>
      </c>
    </row>
    <row r="149" spans="1:19">
      <c r="A149" s="39">
        <v>44462</v>
      </c>
      <c r="B149" s="38">
        <v>1581025</v>
      </c>
      <c r="C149" s="38">
        <v>368.45</v>
      </c>
      <c r="D149">
        <v>0.67</v>
      </c>
      <c r="E149" s="37">
        <v>17000</v>
      </c>
      <c r="F149">
        <v>12.1</v>
      </c>
      <c r="G149" s="38">
        <v>126.15</v>
      </c>
      <c r="H149" s="38">
        <v>-0.33</v>
      </c>
      <c r="I149" s="38">
        <v>2729550</v>
      </c>
      <c r="J149" s="38">
        <v>-3.72</v>
      </c>
      <c r="K149" s="38">
        <v>17.239999999999998</v>
      </c>
      <c r="L149">
        <v>6.2E-4</v>
      </c>
      <c r="M149" s="41">
        <f t="shared" si="2"/>
        <v>30.450413223140497</v>
      </c>
      <c r="N149" s="40" t="e">
        <f>Market!$C$3*Market!$D$3*NIFTY_OC!$D149/$C149</f>
        <v>#VALUE!</v>
      </c>
      <c r="O149" s="40" t="e">
        <f>Market!$C$3*Market!$E$3*NIFTY_OC!$D149/$C149</f>
        <v>#VALUE!</v>
      </c>
      <c r="P149" s="40" t="e">
        <f>Market!$C$3*Market!$F$3*NIFTY_OC!$D149/$C149</f>
        <v>#VALUE!</v>
      </c>
      <c r="Q149" s="40" t="e">
        <f>Market!$C$3*Market!$G$3*NIFTY_OC!$D149/$C149</f>
        <v>#VALUE!</v>
      </c>
      <c r="R149" s="40" t="e">
        <f>Market!$C$3*Market!$H$3*NIFTY_OC!$D149/$C149</f>
        <v>#VALUE!</v>
      </c>
      <c r="S149" s="40" t="e">
        <f>Market!$C$3*Market!$I$3*NIFTY_OC!$D149/$C149</f>
        <v>#VALUE!</v>
      </c>
    </row>
    <row r="150" spans="1:19">
      <c r="A150" s="39">
        <v>44462</v>
      </c>
      <c r="B150" s="38">
        <v>62700</v>
      </c>
      <c r="C150" s="38">
        <v>336.3</v>
      </c>
      <c r="D150">
        <v>0.64</v>
      </c>
      <c r="E150" s="37">
        <v>17050</v>
      </c>
      <c r="F150">
        <v>11.82</v>
      </c>
      <c r="G150" s="38">
        <v>138.94999999999999</v>
      </c>
      <c r="H150" s="38">
        <v>-0.36</v>
      </c>
      <c r="I150" s="38">
        <v>94250</v>
      </c>
      <c r="J150" s="38">
        <v>-3.76</v>
      </c>
      <c r="K150" s="38">
        <v>17.809999999999999</v>
      </c>
      <c r="L150">
        <v>6.6E-4</v>
      </c>
      <c r="M150" s="41">
        <f t="shared" si="2"/>
        <v>28.451776649746193</v>
      </c>
      <c r="N150" s="40" t="e">
        <f>Market!$C$3*Market!$D$3*NIFTY_OC!$D150/$C150</f>
        <v>#VALUE!</v>
      </c>
      <c r="O150" s="40" t="e">
        <f>Market!$C$3*Market!$E$3*NIFTY_OC!$D150/$C150</f>
        <v>#VALUE!</v>
      </c>
      <c r="P150" s="40" t="e">
        <f>Market!$C$3*Market!$F$3*NIFTY_OC!$D150/$C150</f>
        <v>#VALUE!</v>
      </c>
      <c r="Q150" s="40" t="e">
        <f>Market!$C$3*Market!$G$3*NIFTY_OC!$D150/$C150</f>
        <v>#VALUE!</v>
      </c>
      <c r="R150" s="40" t="e">
        <f>Market!$C$3*Market!$H$3*NIFTY_OC!$D150/$C150</f>
        <v>#VALUE!</v>
      </c>
      <c r="S150" s="40" t="e">
        <f>Market!$C$3*Market!$I$3*NIFTY_OC!$D150/$C150</f>
        <v>#VALUE!</v>
      </c>
    </row>
    <row r="151" spans="1:19">
      <c r="A151" s="39">
        <v>44462</v>
      </c>
      <c r="B151" s="38">
        <v>671100</v>
      </c>
      <c r="C151" s="38">
        <v>302.64999999999998</v>
      </c>
      <c r="D151">
        <v>0.61</v>
      </c>
      <c r="E151" s="37">
        <v>17100</v>
      </c>
      <c r="F151">
        <v>11.84</v>
      </c>
      <c r="G151" s="38">
        <v>158.6</v>
      </c>
      <c r="H151" s="38">
        <v>-0.39</v>
      </c>
      <c r="I151" s="38">
        <v>847750</v>
      </c>
      <c r="J151" s="38">
        <v>-3.88</v>
      </c>
      <c r="K151" s="38">
        <v>18.34</v>
      </c>
      <c r="L151">
        <v>6.8000000000000005E-4</v>
      </c>
      <c r="M151" s="41">
        <f t="shared" si="2"/>
        <v>25.561655405405403</v>
      </c>
      <c r="N151" s="40" t="e">
        <f>Market!$C$3*Market!$D$3*NIFTY_OC!$D151/$C151</f>
        <v>#VALUE!</v>
      </c>
      <c r="O151" s="40" t="e">
        <f>Market!$C$3*Market!$E$3*NIFTY_OC!$D151/$C151</f>
        <v>#VALUE!</v>
      </c>
      <c r="P151" s="40" t="e">
        <f>Market!$C$3*Market!$F$3*NIFTY_OC!$D151/$C151</f>
        <v>#VALUE!</v>
      </c>
      <c r="Q151" s="40" t="e">
        <f>Market!$C$3*Market!$G$3*NIFTY_OC!$D151/$C151</f>
        <v>#VALUE!</v>
      </c>
      <c r="R151" s="40" t="e">
        <f>Market!$C$3*Market!$H$3*NIFTY_OC!$D151/$C151</f>
        <v>#VALUE!</v>
      </c>
      <c r="S151" s="40" t="e">
        <f>Market!$C$3*Market!$I$3*NIFTY_OC!$D151/$C151</f>
        <v>#VALUE!</v>
      </c>
    </row>
    <row r="152" spans="1:19">
      <c r="A152" s="39">
        <v>44462</v>
      </c>
      <c r="B152" s="38">
        <v>195000</v>
      </c>
      <c r="C152" s="38">
        <v>272.64999999999998</v>
      </c>
      <c r="D152">
        <v>0.56999999999999995</v>
      </c>
      <c r="E152" s="37">
        <v>17150</v>
      </c>
      <c r="F152">
        <v>11.83</v>
      </c>
      <c r="G152" s="38">
        <v>179.55</v>
      </c>
      <c r="H152" s="38">
        <v>-0.43</v>
      </c>
      <c r="I152" s="38">
        <v>99950</v>
      </c>
      <c r="J152" s="38">
        <v>-3.96</v>
      </c>
      <c r="K152" s="38">
        <v>18.72</v>
      </c>
      <c r="L152">
        <v>6.8999999999999997E-4</v>
      </c>
      <c r="M152" s="41">
        <f t="shared" si="2"/>
        <v>23.047337278106507</v>
      </c>
      <c r="N152" s="40" t="e">
        <f>Market!$C$3*Market!$D$3*NIFTY_OC!$D152/$C152</f>
        <v>#VALUE!</v>
      </c>
      <c r="O152" s="40" t="e">
        <f>Market!$C$3*Market!$E$3*NIFTY_OC!$D152/$C152</f>
        <v>#VALUE!</v>
      </c>
      <c r="P152" s="40" t="e">
        <f>Market!$C$3*Market!$F$3*NIFTY_OC!$D152/$C152</f>
        <v>#VALUE!</v>
      </c>
      <c r="Q152" s="40" t="e">
        <f>Market!$C$3*Market!$G$3*NIFTY_OC!$D152/$C152</f>
        <v>#VALUE!</v>
      </c>
      <c r="R152" s="40" t="e">
        <f>Market!$C$3*Market!$H$3*NIFTY_OC!$D152/$C152</f>
        <v>#VALUE!</v>
      </c>
      <c r="S152" s="40" t="e">
        <f>Market!$C$3*Market!$I$3*NIFTY_OC!$D152/$C152</f>
        <v>#VALUE!</v>
      </c>
    </row>
    <row r="153" spans="1:19">
      <c r="A153" s="39">
        <v>44462</v>
      </c>
      <c r="B153" s="38">
        <v>1228800</v>
      </c>
      <c r="C153" s="38">
        <v>244.3</v>
      </c>
      <c r="D153">
        <v>0.54</v>
      </c>
      <c r="E153" s="37">
        <v>17200</v>
      </c>
      <c r="F153">
        <v>11.71</v>
      </c>
      <c r="G153" s="38">
        <v>199.95</v>
      </c>
      <c r="H153" s="38">
        <v>-0.46</v>
      </c>
      <c r="I153" s="38">
        <v>1476050</v>
      </c>
      <c r="J153" s="38">
        <v>-3.96</v>
      </c>
      <c r="K153" s="38">
        <v>18.96</v>
      </c>
      <c r="L153">
        <v>7.1000000000000002E-4</v>
      </c>
      <c r="M153" s="41">
        <f t="shared" si="2"/>
        <v>20.862510674637061</v>
      </c>
      <c r="N153" s="40" t="e">
        <f>Market!$C$3*Market!$D$3*NIFTY_OC!$D153/$C153</f>
        <v>#VALUE!</v>
      </c>
      <c r="O153" s="40" t="e">
        <f>Market!$C$3*Market!$E$3*NIFTY_OC!$D153/$C153</f>
        <v>#VALUE!</v>
      </c>
      <c r="P153" s="40" t="e">
        <f>Market!$C$3*Market!$F$3*NIFTY_OC!$D153/$C153</f>
        <v>#VALUE!</v>
      </c>
      <c r="Q153" s="40" t="e">
        <f>Market!$C$3*Market!$G$3*NIFTY_OC!$D153/$C153</f>
        <v>#VALUE!</v>
      </c>
      <c r="R153" s="40" t="e">
        <f>Market!$C$3*Market!$H$3*NIFTY_OC!$D153/$C153</f>
        <v>#VALUE!</v>
      </c>
      <c r="S153" s="40" t="e">
        <f>Market!$C$3*Market!$I$3*NIFTY_OC!$D153/$C153</f>
        <v>#VALUE!</v>
      </c>
    </row>
    <row r="154" spans="1:19">
      <c r="A154" s="39">
        <v>44462</v>
      </c>
      <c r="B154" s="38">
        <v>131050</v>
      </c>
      <c r="C154" s="38">
        <v>216.95</v>
      </c>
      <c r="D154">
        <v>0.5</v>
      </c>
      <c r="E154" s="37">
        <v>17250</v>
      </c>
      <c r="F154">
        <v>11.46</v>
      </c>
      <c r="G154" s="38">
        <v>223.1</v>
      </c>
      <c r="H154" s="38">
        <v>-0.5</v>
      </c>
      <c r="I154" s="38">
        <v>86150</v>
      </c>
      <c r="J154" s="38">
        <v>-3.9</v>
      </c>
      <c r="K154" s="38">
        <v>19.059999999999999</v>
      </c>
      <c r="L154">
        <v>7.2999999999999996E-4</v>
      </c>
      <c r="M154" s="41">
        <f t="shared" si="2"/>
        <v>18.931064572425825</v>
      </c>
      <c r="N154" s="40" t="e">
        <f>Market!$C$3*Market!$D$3*NIFTY_OC!$D154/$C154</f>
        <v>#VALUE!</v>
      </c>
      <c r="O154" s="40" t="e">
        <f>Market!$C$3*Market!$E$3*NIFTY_OC!$D154/$C154</f>
        <v>#VALUE!</v>
      </c>
      <c r="P154" s="40" t="e">
        <f>Market!$C$3*Market!$F$3*NIFTY_OC!$D154/$C154</f>
        <v>#VALUE!</v>
      </c>
      <c r="Q154" s="40" t="e">
        <f>Market!$C$3*Market!$G$3*NIFTY_OC!$D154/$C154</f>
        <v>#VALUE!</v>
      </c>
      <c r="R154" s="40" t="e">
        <f>Market!$C$3*Market!$H$3*NIFTY_OC!$D154/$C154</f>
        <v>#VALUE!</v>
      </c>
      <c r="S154" s="40" t="e">
        <f>Market!$C$3*Market!$I$3*NIFTY_OC!$D154/$C154</f>
        <v>#VALUE!</v>
      </c>
    </row>
    <row r="155" spans="1:19">
      <c r="A155" s="39">
        <v>44462</v>
      </c>
      <c r="B155" s="38">
        <v>1142150</v>
      </c>
      <c r="C155" s="38">
        <v>190.15</v>
      </c>
      <c r="D155">
        <v>0.47</v>
      </c>
      <c r="E155" s="37">
        <v>17300</v>
      </c>
      <c r="F155">
        <v>11.29</v>
      </c>
      <c r="G155" s="38">
        <v>246.4</v>
      </c>
      <c r="H155" s="38">
        <v>-0.53</v>
      </c>
      <c r="I155" s="38">
        <v>302650</v>
      </c>
      <c r="J155" s="38">
        <v>-3.83</v>
      </c>
      <c r="K155" s="38">
        <v>18.989999999999998</v>
      </c>
      <c r="L155">
        <v>7.3999999999999999E-4</v>
      </c>
      <c r="M155" s="41">
        <f t="shared" si="2"/>
        <v>16.842338352524358</v>
      </c>
      <c r="N155" s="40" t="e">
        <f>Market!$C$3*Market!$D$3*NIFTY_OC!$D155/$C155</f>
        <v>#VALUE!</v>
      </c>
      <c r="O155" s="40" t="e">
        <f>Market!$C$3*Market!$E$3*NIFTY_OC!$D155/$C155</f>
        <v>#VALUE!</v>
      </c>
      <c r="P155" s="40" t="e">
        <f>Market!$C$3*Market!$F$3*NIFTY_OC!$D155/$C155</f>
        <v>#VALUE!</v>
      </c>
      <c r="Q155" s="40" t="e">
        <f>Market!$C$3*Market!$G$3*NIFTY_OC!$D155/$C155</f>
        <v>#VALUE!</v>
      </c>
      <c r="R155" s="40" t="e">
        <f>Market!$C$3*Market!$H$3*NIFTY_OC!$D155/$C155</f>
        <v>#VALUE!</v>
      </c>
      <c r="S155" s="40" t="e">
        <f>Market!$C$3*Market!$I$3*NIFTY_OC!$D155/$C155</f>
        <v>#VALUE!</v>
      </c>
    </row>
    <row r="156" spans="1:19">
      <c r="A156" s="39">
        <v>44462</v>
      </c>
      <c r="B156" s="38">
        <v>72900</v>
      </c>
      <c r="C156" s="38">
        <v>165.75</v>
      </c>
      <c r="D156">
        <v>0.43</v>
      </c>
      <c r="E156" s="37">
        <v>17350</v>
      </c>
      <c r="F156">
        <v>11.15</v>
      </c>
      <c r="G156" s="38">
        <v>268.14999999999998</v>
      </c>
      <c r="H156" s="38">
        <v>-0.56999999999999995</v>
      </c>
      <c r="I156" s="38">
        <v>8200</v>
      </c>
      <c r="J156" s="38">
        <v>-3.74</v>
      </c>
      <c r="K156" s="38">
        <v>18.760000000000002</v>
      </c>
      <c r="L156">
        <v>7.3999999999999999E-4</v>
      </c>
      <c r="M156" s="41">
        <f t="shared" si="2"/>
        <v>14.865470852017937</v>
      </c>
      <c r="N156" s="40" t="e">
        <f>Market!$C$3*Market!$D$3*NIFTY_OC!$D156/$C156</f>
        <v>#VALUE!</v>
      </c>
      <c r="O156" s="40" t="e">
        <f>Market!$C$3*Market!$E$3*NIFTY_OC!$D156/$C156</f>
        <v>#VALUE!</v>
      </c>
      <c r="P156" s="40" t="e">
        <f>Market!$C$3*Market!$F$3*NIFTY_OC!$D156/$C156</f>
        <v>#VALUE!</v>
      </c>
      <c r="Q156" s="40" t="e">
        <f>Market!$C$3*Market!$G$3*NIFTY_OC!$D156/$C156</f>
        <v>#VALUE!</v>
      </c>
      <c r="R156" s="40" t="e">
        <f>Market!$C$3*Market!$H$3*NIFTY_OC!$D156/$C156</f>
        <v>#VALUE!</v>
      </c>
      <c r="S156" s="40" t="e">
        <f>Market!$C$3*Market!$I$3*NIFTY_OC!$D156/$C156</f>
        <v>#VALUE!</v>
      </c>
    </row>
    <row r="157" spans="1:19">
      <c r="A157" s="39">
        <v>44462</v>
      </c>
      <c r="B157" s="38">
        <v>987800</v>
      </c>
      <c r="C157" s="38">
        <v>145.55000000000001</v>
      </c>
      <c r="D157">
        <v>0.39</v>
      </c>
      <c r="E157" s="37">
        <v>17400</v>
      </c>
      <c r="F157">
        <v>11.14</v>
      </c>
      <c r="G157" s="38">
        <v>300.8</v>
      </c>
      <c r="H157" s="38">
        <v>-0.61</v>
      </c>
      <c r="I157" s="38">
        <v>127400</v>
      </c>
      <c r="J157" s="38">
        <v>-3.66</v>
      </c>
      <c r="K157" s="38">
        <v>18.37</v>
      </c>
      <c r="L157">
        <v>7.2000000000000005E-4</v>
      </c>
      <c r="M157" s="41">
        <f t="shared" si="2"/>
        <v>13.065529622980252</v>
      </c>
      <c r="N157" s="40" t="e">
        <f>Market!$C$3*Market!$D$3*NIFTY_OC!$D157/$C157</f>
        <v>#VALUE!</v>
      </c>
      <c r="O157" s="40" t="e">
        <f>Market!$C$3*Market!$E$3*NIFTY_OC!$D157/$C157</f>
        <v>#VALUE!</v>
      </c>
      <c r="P157" s="40" t="e">
        <f>Market!$C$3*Market!$F$3*NIFTY_OC!$D157/$C157</f>
        <v>#VALUE!</v>
      </c>
      <c r="Q157" s="40" t="e">
        <f>Market!$C$3*Market!$G$3*NIFTY_OC!$D157/$C157</f>
        <v>#VALUE!</v>
      </c>
      <c r="R157" s="40" t="e">
        <f>Market!$C$3*Market!$H$3*NIFTY_OC!$D157/$C157</f>
        <v>#VALUE!</v>
      </c>
      <c r="S157" s="40" t="e">
        <f>Market!$C$3*Market!$I$3*NIFTY_OC!$D157/$C157</f>
        <v>#VALUE!</v>
      </c>
    </row>
    <row r="158" spans="1:19">
      <c r="A158" s="39">
        <v>44462</v>
      </c>
      <c r="B158" s="38">
        <v>55450</v>
      </c>
      <c r="C158" s="38">
        <v>126.65</v>
      </c>
      <c r="D158">
        <v>0.36</v>
      </c>
      <c r="E158" s="37">
        <v>17450</v>
      </c>
      <c r="F158">
        <v>11.1</v>
      </c>
      <c r="G158" s="38">
        <v>330.75</v>
      </c>
      <c r="H158" s="38">
        <v>-0.64</v>
      </c>
      <c r="I158" s="38">
        <v>6850</v>
      </c>
      <c r="J158" s="38">
        <v>-3.54</v>
      </c>
      <c r="K158" s="38">
        <v>17.829999999999998</v>
      </c>
      <c r="L158">
        <v>6.9999999999999999E-4</v>
      </c>
      <c r="M158" s="41">
        <f t="shared" si="2"/>
        <v>11.40990990990991</v>
      </c>
      <c r="N158" s="40" t="e">
        <f>Market!$C$3*Market!$D$3*NIFTY_OC!$D158/$C158</f>
        <v>#VALUE!</v>
      </c>
      <c r="O158" s="40" t="e">
        <f>Market!$C$3*Market!$E$3*NIFTY_OC!$D158/$C158</f>
        <v>#VALUE!</v>
      </c>
      <c r="P158" s="40" t="e">
        <f>Market!$C$3*Market!$F$3*NIFTY_OC!$D158/$C158</f>
        <v>#VALUE!</v>
      </c>
      <c r="Q158" s="40" t="e">
        <f>Market!$C$3*Market!$G$3*NIFTY_OC!$D158/$C158</f>
        <v>#VALUE!</v>
      </c>
      <c r="R158" s="40" t="e">
        <f>Market!$C$3*Market!$H$3*NIFTY_OC!$D158/$C158</f>
        <v>#VALUE!</v>
      </c>
      <c r="S158" s="40" t="e">
        <f>Market!$C$3*Market!$I$3*NIFTY_OC!$D158/$C158</f>
        <v>#VALUE!</v>
      </c>
    </row>
    <row r="159" spans="1:19">
      <c r="A159" s="39">
        <v>44462</v>
      </c>
      <c r="B159" s="38">
        <v>1641475</v>
      </c>
      <c r="C159" s="38">
        <v>109.15</v>
      </c>
      <c r="D159">
        <v>0.32</v>
      </c>
      <c r="E159" s="37">
        <v>17500</v>
      </c>
      <c r="F159">
        <v>11.04</v>
      </c>
      <c r="G159" s="38">
        <v>363.05</v>
      </c>
      <c r="H159" s="38">
        <v>-0.68</v>
      </c>
      <c r="I159" s="38">
        <v>404700</v>
      </c>
      <c r="J159" s="38">
        <v>-3.38</v>
      </c>
      <c r="K159" s="38">
        <v>17.14</v>
      </c>
      <c r="L159">
        <v>6.8000000000000005E-4</v>
      </c>
      <c r="M159" s="41">
        <f t="shared" si="2"/>
        <v>9.8867753623188417</v>
      </c>
      <c r="N159" s="40" t="e">
        <f>Market!$C$3*Market!$D$3*NIFTY_OC!$D159/$C159</f>
        <v>#VALUE!</v>
      </c>
      <c r="O159" s="40" t="e">
        <f>Market!$C$3*Market!$E$3*NIFTY_OC!$D159/$C159</f>
        <v>#VALUE!</v>
      </c>
      <c r="P159" s="40" t="e">
        <f>Market!$C$3*Market!$F$3*NIFTY_OC!$D159/$C159</f>
        <v>#VALUE!</v>
      </c>
      <c r="Q159" s="40" t="e">
        <f>Market!$C$3*Market!$G$3*NIFTY_OC!$D159/$C159</f>
        <v>#VALUE!</v>
      </c>
      <c r="R159" s="40" t="e">
        <f>Market!$C$3*Market!$H$3*NIFTY_OC!$D159/$C159</f>
        <v>#VALUE!</v>
      </c>
      <c r="S159" s="40" t="e">
        <f>Market!$C$3*Market!$I$3*NIFTY_OC!$D159/$C159</f>
        <v>#VALUE!</v>
      </c>
    </row>
    <row r="160" spans="1:19">
      <c r="A160" s="39">
        <v>44462</v>
      </c>
      <c r="B160" s="38">
        <v>79400</v>
      </c>
      <c r="C160" s="38">
        <v>93.3</v>
      </c>
      <c r="D160">
        <v>0.28999999999999998</v>
      </c>
      <c r="E160" s="37">
        <v>17550</v>
      </c>
      <c r="F160">
        <v>10.98</v>
      </c>
      <c r="G160" s="38">
        <v>398.55</v>
      </c>
      <c r="H160" s="38">
        <v>-0.71</v>
      </c>
      <c r="I160" s="38">
        <v>2250</v>
      </c>
      <c r="J160" s="38">
        <v>-3.2</v>
      </c>
      <c r="K160" s="38">
        <v>16.32</v>
      </c>
      <c r="L160">
        <v>6.4999999999999997E-4</v>
      </c>
      <c r="M160" s="41">
        <f t="shared" si="2"/>
        <v>8.4972677595628401</v>
      </c>
      <c r="N160" s="40" t="e">
        <f>Market!$C$3*Market!$D$3*NIFTY_OC!$D160/$C160</f>
        <v>#VALUE!</v>
      </c>
      <c r="O160" s="40" t="e">
        <f>Market!$C$3*Market!$E$3*NIFTY_OC!$D160/$C160</f>
        <v>#VALUE!</v>
      </c>
      <c r="P160" s="40" t="e">
        <f>Market!$C$3*Market!$F$3*NIFTY_OC!$D160/$C160</f>
        <v>#VALUE!</v>
      </c>
      <c r="Q160" s="40" t="e">
        <f>Market!$C$3*Market!$G$3*NIFTY_OC!$D160/$C160</f>
        <v>#VALUE!</v>
      </c>
      <c r="R160" s="40" t="e">
        <f>Market!$C$3*Market!$H$3*NIFTY_OC!$D160/$C160</f>
        <v>#VALUE!</v>
      </c>
      <c r="S160" s="40" t="e">
        <f>Market!$C$3*Market!$I$3*NIFTY_OC!$D160/$C160</f>
        <v>#VALUE!</v>
      </c>
    </row>
    <row r="161" spans="1:19">
      <c r="A161" s="39">
        <v>44462</v>
      </c>
      <c r="B161" s="38">
        <v>421850</v>
      </c>
      <c r="C161" s="38">
        <v>80.849999999999994</v>
      </c>
      <c r="D161">
        <v>0.26</v>
      </c>
      <c r="E161" s="37">
        <v>17600</v>
      </c>
      <c r="F161">
        <v>11.02</v>
      </c>
      <c r="G161" s="38">
        <v>437.3</v>
      </c>
      <c r="H161" s="38">
        <v>-0.74</v>
      </c>
      <c r="I161" s="38">
        <v>69450</v>
      </c>
      <c r="J161" s="38">
        <v>-3.04</v>
      </c>
      <c r="K161" s="38">
        <v>15.45</v>
      </c>
      <c r="L161">
        <v>6.0999999999999997E-4</v>
      </c>
      <c r="M161" s="41">
        <f t="shared" si="2"/>
        <v>7.3366606170598905</v>
      </c>
      <c r="N161" s="40" t="e">
        <f>Market!$C$3*Market!$D$3*NIFTY_OC!$D161/$C161</f>
        <v>#VALUE!</v>
      </c>
      <c r="O161" s="40" t="e">
        <f>Market!$C$3*Market!$E$3*NIFTY_OC!$D161/$C161</f>
        <v>#VALUE!</v>
      </c>
      <c r="P161" s="40" t="e">
        <f>Market!$C$3*Market!$F$3*NIFTY_OC!$D161/$C161</f>
        <v>#VALUE!</v>
      </c>
      <c r="Q161" s="40" t="e">
        <f>Market!$C$3*Market!$G$3*NIFTY_OC!$D161/$C161</f>
        <v>#VALUE!</v>
      </c>
      <c r="R161" s="40" t="e">
        <f>Market!$C$3*Market!$H$3*NIFTY_OC!$D161/$C161</f>
        <v>#VALUE!</v>
      </c>
      <c r="S161" s="40" t="e">
        <f>Market!$C$3*Market!$I$3*NIFTY_OC!$D161/$C161</f>
        <v>#VALUE!</v>
      </c>
    </row>
    <row r="162" spans="1:19">
      <c r="A162" s="39">
        <v>44462</v>
      </c>
      <c r="B162" s="38">
        <v>44300</v>
      </c>
      <c r="C162" s="38">
        <v>69.900000000000006</v>
      </c>
      <c r="D162">
        <v>0.23</v>
      </c>
      <c r="E162" s="37">
        <v>17650</v>
      </c>
      <c r="F162">
        <v>11.08</v>
      </c>
      <c r="G162" s="38">
        <v>479.6</v>
      </c>
      <c r="H162" s="38">
        <v>-0.77</v>
      </c>
      <c r="I162" s="38">
        <v>4750</v>
      </c>
      <c r="J162" s="38">
        <v>-2.87</v>
      </c>
      <c r="K162" s="38">
        <v>14.52</v>
      </c>
      <c r="L162">
        <v>5.6999999999999998E-4</v>
      </c>
      <c r="M162" s="41">
        <f t="shared" si="2"/>
        <v>6.3086642599277987</v>
      </c>
      <c r="N162" s="40" t="e">
        <f>Market!$C$3*Market!$D$3*NIFTY_OC!$D162/$C162</f>
        <v>#VALUE!</v>
      </c>
      <c r="O162" s="40" t="e">
        <f>Market!$C$3*Market!$E$3*NIFTY_OC!$D162/$C162</f>
        <v>#VALUE!</v>
      </c>
      <c r="P162" s="40" t="e">
        <f>Market!$C$3*Market!$F$3*NIFTY_OC!$D162/$C162</f>
        <v>#VALUE!</v>
      </c>
      <c r="Q162" s="40" t="e">
        <f>Market!$C$3*Market!$G$3*NIFTY_OC!$D162/$C162</f>
        <v>#VALUE!</v>
      </c>
      <c r="R162" s="40" t="e">
        <f>Market!$C$3*Market!$H$3*NIFTY_OC!$D162/$C162</f>
        <v>#VALUE!</v>
      </c>
      <c r="S162" s="40" t="e">
        <f>Market!$C$3*Market!$I$3*NIFTY_OC!$D162/$C162</f>
        <v>#VALUE!</v>
      </c>
    </row>
    <row r="163" spans="1:19">
      <c r="A163" s="39">
        <v>44462</v>
      </c>
      <c r="B163" s="38">
        <v>364650</v>
      </c>
      <c r="C163" s="38">
        <v>59.9</v>
      </c>
      <c r="D163">
        <v>0.2</v>
      </c>
      <c r="E163" s="37">
        <v>17700</v>
      </c>
      <c r="F163">
        <v>11.11</v>
      </c>
      <c r="G163" s="38">
        <v>514.5</v>
      </c>
      <c r="H163" s="38">
        <v>-0.8</v>
      </c>
      <c r="I163" s="38">
        <v>26850</v>
      </c>
      <c r="J163" s="38">
        <v>-2.68</v>
      </c>
      <c r="K163" s="38">
        <v>13.54</v>
      </c>
      <c r="L163">
        <v>5.2999999999999998E-4</v>
      </c>
      <c r="M163" s="41">
        <f t="shared" si="2"/>
        <v>5.3915391539153914</v>
      </c>
      <c r="N163" s="40" t="e">
        <f>Market!$C$3*Market!$D$3*NIFTY_OC!$D163/$C163</f>
        <v>#VALUE!</v>
      </c>
      <c r="O163" s="40" t="e">
        <f>Market!$C$3*Market!$E$3*NIFTY_OC!$D163/$C163</f>
        <v>#VALUE!</v>
      </c>
      <c r="P163" s="40" t="e">
        <f>Market!$C$3*Market!$F$3*NIFTY_OC!$D163/$C163</f>
        <v>#VALUE!</v>
      </c>
      <c r="Q163" s="40" t="e">
        <f>Market!$C$3*Market!$G$3*NIFTY_OC!$D163/$C163</f>
        <v>#VALUE!</v>
      </c>
      <c r="R163" s="40" t="e">
        <f>Market!$C$3*Market!$H$3*NIFTY_OC!$D163/$C163</f>
        <v>#VALUE!</v>
      </c>
      <c r="S163" s="40" t="e">
        <f>Market!$C$3*Market!$I$3*NIFTY_OC!$D163/$C163</f>
        <v>#VALUE!</v>
      </c>
    </row>
    <row r="164" spans="1:19">
      <c r="A164" s="39">
        <v>44462</v>
      </c>
      <c r="B164" s="38">
        <v>82550</v>
      </c>
      <c r="C164" s="38">
        <v>51.15</v>
      </c>
      <c r="D164">
        <v>0.18</v>
      </c>
      <c r="E164" s="37">
        <v>17750</v>
      </c>
      <c r="F164">
        <v>11.14</v>
      </c>
      <c r="G164" s="38">
        <v>556.9</v>
      </c>
      <c r="H164" s="38">
        <v>-0.82</v>
      </c>
      <c r="I164" s="38">
        <v>8900</v>
      </c>
      <c r="J164" s="38">
        <v>-2.4900000000000002</v>
      </c>
      <c r="K164" s="38">
        <v>12.53</v>
      </c>
      <c r="L164">
        <v>4.8999999999999998E-4</v>
      </c>
      <c r="M164" s="41">
        <f t="shared" si="2"/>
        <v>4.5915619389587068</v>
      </c>
      <c r="N164" s="40" t="e">
        <f>Market!$C$3*Market!$D$3*NIFTY_OC!$D164/$C164</f>
        <v>#VALUE!</v>
      </c>
      <c r="O164" s="40" t="e">
        <f>Market!$C$3*Market!$E$3*NIFTY_OC!$D164/$C164</f>
        <v>#VALUE!</v>
      </c>
      <c r="P164" s="40" t="e">
        <f>Market!$C$3*Market!$F$3*NIFTY_OC!$D164/$C164</f>
        <v>#VALUE!</v>
      </c>
      <c r="Q164" s="40" t="e">
        <f>Market!$C$3*Market!$G$3*NIFTY_OC!$D164/$C164</f>
        <v>#VALUE!</v>
      </c>
      <c r="R164" s="40" t="e">
        <f>Market!$C$3*Market!$H$3*NIFTY_OC!$D164/$C164</f>
        <v>#VALUE!</v>
      </c>
      <c r="S164" s="40" t="e">
        <f>Market!$C$3*Market!$I$3*NIFTY_OC!$D164/$C164</f>
        <v>#VALUE!</v>
      </c>
    </row>
    <row r="165" spans="1:19">
      <c r="A165" s="39">
        <v>44462</v>
      </c>
      <c r="B165" s="38">
        <v>386100</v>
      </c>
      <c r="C165" s="38">
        <v>43.35</v>
      </c>
      <c r="D165">
        <v>0.16</v>
      </c>
      <c r="E165" s="37">
        <v>17800</v>
      </c>
      <c r="F165">
        <v>11.16</v>
      </c>
      <c r="G165" s="38">
        <v>594.65</v>
      </c>
      <c r="H165" s="38">
        <v>-0.84</v>
      </c>
      <c r="I165" s="38">
        <v>26000</v>
      </c>
      <c r="J165" s="38">
        <v>-2.29</v>
      </c>
      <c r="K165" s="38">
        <v>11.5</v>
      </c>
      <c r="L165">
        <v>4.4999999999999999E-4</v>
      </c>
      <c r="M165" s="41">
        <f t="shared" si="2"/>
        <v>3.8844086021505375</v>
      </c>
      <c r="N165" s="40" t="e">
        <f>Market!$C$3*Market!$D$3*NIFTY_OC!$D165/$C165</f>
        <v>#VALUE!</v>
      </c>
      <c r="O165" s="40" t="e">
        <f>Market!$C$3*Market!$E$3*NIFTY_OC!$D165/$C165</f>
        <v>#VALUE!</v>
      </c>
      <c r="P165" s="40" t="e">
        <f>Market!$C$3*Market!$F$3*NIFTY_OC!$D165/$C165</f>
        <v>#VALUE!</v>
      </c>
      <c r="Q165" s="40" t="e">
        <f>Market!$C$3*Market!$G$3*NIFTY_OC!$D165/$C165</f>
        <v>#VALUE!</v>
      </c>
      <c r="R165" s="40" t="e">
        <f>Market!$C$3*Market!$H$3*NIFTY_OC!$D165/$C165</f>
        <v>#VALUE!</v>
      </c>
      <c r="S165" s="40" t="e">
        <f>Market!$C$3*Market!$I$3*NIFTY_OC!$D165/$C165</f>
        <v>#VALUE!</v>
      </c>
    </row>
    <row r="166" spans="1:19">
      <c r="A166" s="39">
        <v>44462</v>
      </c>
      <c r="B166" s="38">
        <v>28000</v>
      </c>
      <c r="C166" s="38">
        <v>37.5</v>
      </c>
      <c r="D166">
        <v>0.14000000000000001</v>
      </c>
      <c r="E166" s="37">
        <v>17850</v>
      </c>
      <c r="F166">
        <v>11.27</v>
      </c>
      <c r="G166" s="38">
        <v>645</v>
      </c>
      <c r="H166" s="38">
        <v>-0.86</v>
      </c>
      <c r="I166" s="38">
        <v>7600</v>
      </c>
      <c r="J166" s="38">
        <v>-2.13</v>
      </c>
      <c r="K166" s="38">
        <v>10.58</v>
      </c>
      <c r="L166">
        <v>4.0999999999999999E-4</v>
      </c>
      <c r="M166" s="41">
        <f t="shared" si="2"/>
        <v>3.3274179236912156</v>
      </c>
      <c r="N166" s="40" t="e">
        <f>Market!$C$3*Market!$D$3*NIFTY_OC!$D166/$C166</f>
        <v>#VALUE!</v>
      </c>
      <c r="O166" s="40" t="e">
        <f>Market!$C$3*Market!$E$3*NIFTY_OC!$D166/$C166</f>
        <v>#VALUE!</v>
      </c>
      <c r="P166" s="40" t="e">
        <f>Market!$C$3*Market!$F$3*NIFTY_OC!$D166/$C166</f>
        <v>#VALUE!</v>
      </c>
      <c r="Q166" s="40" t="e">
        <f>Market!$C$3*Market!$G$3*NIFTY_OC!$D166/$C166</f>
        <v>#VALUE!</v>
      </c>
      <c r="R166" s="40" t="e">
        <f>Market!$C$3*Market!$H$3*NIFTY_OC!$D166/$C166</f>
        <v>#VALUE!</v>
      </c>
      <c r="S166" s="40" t="e">
        <f>Market!$C$3*Market!$I$3*NIFTY_OC!$D166/$C166</f>
        <v>#VALUE!</v>
      </c>
    </row>
    <row r="167" spans="1:19">
      <c r="A167" s="39">
        <v>44462</v>
      </c>
      <c r="B167" s="38">
        <v>114850</v>
      </c>
      <c r="C167" s="38">
        <v>32.65</v>
      </c>
      <c r="D167">
        <v>0.12</v>
      </c>
      <c r="E167" s="37">
        <v>17900</v>
      </c>
      <c r="F167">
        <v>11.4</v>
      </c>
      <c r="G167" s="38">
        <v>683.3</v>
      </c>
      <c r="H167" s="38">
        <v>-0.88</v>
      </c>
      <c r="I167" s="38">
        <v>18700</v>
      </c>
      <c r="J167" s="38">
        <v>-1.98</v>
      </c>
      <c r="K167" s="38">
        <v>9.7200000000000006</v>
      </c>
      <c r="L167">
        <v>3.6999999999999999E-4</v>
      </c>
      <c r="M167" s="41">
        <f t="shared" si="2"/>
        <v>2.8640350877192979</v>
      </c>
      <c r="N167" s="40" t="e">
        <f>Market!$C$3*Market!$D$3*NIFTY_OC!$D167/$C167</f>
        <v>#VALUE!</v>
      </c>
      <c r="O167" s="40" t="e">
        <f>Market!$C$3*Market!$E$3*NIFTY_OC!$D167/$C167</f>
        <v>#VALUE!</v>
      </c>
      <c r="P167" s="40" t="e">
        <f>Market!$C$3*Market!$F$3*NIFTY_OC!$D167/$C167</f>
        <v>#VALUE!</v>
      </c>
      <c r="Q167" s="40" t="e">
        <f>Market!$C$3*Market!$G$3*NIFTY_OC!$D167/$C167</f>
        <v>#VALUE!</v>
      </c>
      <c r="R167" s="40" t="e">
        <f>Market!$C$3*Market!$H$3*NIFTY_OC!$D167/$C167</f>
        <v>#VALUE!</v>
      </c>
      <c r="S167" s="40" t="e">
        <f>Market!$C$3*Market!$I$3*NIFTY_OC!$D167/$C167</f>
        <v>#VALUE!</v>
      </c>
    </row>
    <row r="168" spans="1:19">
      <c r="A168" s="39">
        <v>44462</v>
      </c>
      <c r="B168" s="38">
        <v>18150</v>
      </c>
      <c r="C168" s="38">
        <v>28.1</v>
      </c>
      <c r="D168">
        <v>0.11</v>
      </c>
      <c r="E168" s="37">
        <v>17950</v>
      </c>
      <c r="F168">
        <v>11.5</v>
      </c>
      <c r="G168" s="38">
        <v>732.5</v>
      </c>
      <c r="H168" s="38">
        <v>-0.89</v>
      </c>
      <c r="I168" s="38">
        <v>9350</v>
      </c>
      <c r="J168" s="38">
        <v>-1.82</v>
      </c>
      <c r="K168" s="38">
        <v>8.85</v>
      </c>
      <c r="L168">
        <v>3.4000000000000002E-4</v>
      </c>
      <c r="M168" s="41">
        <f t="shared" si="2"/>
        <v>2.4434782608695653</v>
      </c>
      <c r="N168" s="40" t="e">
        <f>Market!$C$3*Market!$D$3*NIFTY_OC!$D168/$C168</f>
        <v>#VALUE!</v>
      </c>
      <c r="O168" s="40" t="e">
        <f>Market!$C$3*Market!$E$3*NIFTY_OC!$D168/$C168</f>
        <v>#VALUE!</v>
      </c>
      <c r="P168" s="40" t="e">
        <f>Market!$C$3*Market!$F$3*NIFTY_OC!$D168/$C168</f>
        <v>#VALUE!</v>
      </c>
      <c r="Q168" s="40" t="e">
        <f>Market!$C$3*Market!$G$3*NIFTY_OC!$D168/$C168</f>
        <v>#VALUE!</v>
      </c>
      <c r="R168" s="40" t="e">
        <f>Market!$C$3*Market!$H$3*NIFTY_OC!$D168/$C168</f>
        <v>#VALUE!</v>
      </c>
      <c r="S168" s="40" t="e">
        <f>Market!$C$3*Market!$I$3*NIFTY_OC!$D168/$C168</f>
        <v>#VALUE!</v>
      </c>
    </row>
    <row r="169" spans="1:19">
      <c r="A169" s="39">
        <v>44462</v>
      </c>
      <c r="B169" s="38">
        <v>1057075</v>
      </c>
      <c r="C169" s="38">
        <v>25.1</v>
      </c>
      <c r="D169">
        <v>0.1</v>
      </c>
      <c r="E169" s="37">
        <v>18000</v>
      </c>
      <c r="F169">
        <v>11.71</v>
      </c>
      <c r="G169" s="38">
        <v>775.8</v>
      </c>
      <c r="H169" s="38">
        <v>-0.9</v>
      </c>
      <c r="I169" s="38">
        <v>388250</v>
      </c>
      <c r="J169" s="38">
        <v>-1.71</v>
      </c>
      <c r="K169" s="38">
        <v>8.18</v>
      </c>
      <c r="L169">
        <v>3.1E-4</v>
      </c>
      <c r="M169" s="41">
        <f t="shared" si="2"/>
        <v>2.1434671221178481</v>
      </c>
      <c r="N169" s="40" t="e">
        <f>Market!$C$3*Market!$D$3*NIFTY_OC!$D169/$C169</f>
        <v>#VALUE!</v>
      </c>
      <c r="O169" s="40" t="e">
        <f>Market!$C$3*Market!$E$3*NIFTY_OC!$D169/$C169</f>
        <v>#VALUE!</v>
      </c>
      <c r="P169" s="40" t="e">
        <f>Market!$C$3*Market!$F$3*NIFTY_OC!$D169/$C169</f>
        <v>#VALUE!</v>
      </c>
      <c r="Q169" s="40" t="e">
        <f>Market!$C$3*Market!$G$3*NIFTY_OC!$D169/$C169</f>
        <v>#VALUE!</v>
      </c>
      <c r="R169" s="40" t="e">
        <f>Market!$C$3*Market!$H$3*NIFTY_OC!$D169/$C169</f>
        <v>#VALUE!</v>
      </c>
      <c r="S169" s="40" t="e">
        <f>Market!$C$3*Market!$I$3*NIFTY_OC!$D169/$C169</f>
        <v>#VALUE!</v>
      </c>
    </row>
    <row r="170" spans="1:19">
      <c r="A170" s="39">
        <v>44462</v>
      </c>
      <c r="B170" s="38">
        <v>20000</v>
      </c>
      <c r="C170" s="38">
        <v>21.9</v>
      </c>
      <c r="D170">
        <v>0.09</v>
      </c>
      <c r="E170" s="37">
        <v>18050</v>
      </c>
      <c r="F170">
        <v>11.85</v>
      </c>
      <c r="G170" s="38">
        <v>942.55</v>
      </c>
      <c r="H170" s="38">
        <v>-0.91</v>
      </c>
      <c r="I170" s="38">
        <v>450</v>
      </c>
      <c r="J170" s="38">
        <v>-1.58</v>
      </c>
      <c r="K170" s="38">
        <v>7.46</v>
      </c>
      <c r="L170">
        <v>2.7999999999999998E-4</v>
      </c>
      <c r="M170" s="41">
        <f t="shared" si="2"/>
        <v>1.8481012658227847</v>
      </c>
      <c r="N170" s="40" t="e">
        <f>Market!$C$3*Market!$D$3*NIFTY_OC!$D170/$C170</f>
        <v>#VALUE!</v>
      </c>
      <c r="O170" s="40" t="e">
        <f>Market!$C$3*Market!$E$3*NIFTY_OC!$D170/$C170</f>
        <v>#VALUE!</v>
      </c>
      <c r="P170" s="40" t="e">
        <f>Market!$C$3*Market!$F$3*NIFTY_OC!$D170/$C170</f>
        <v>#VALUE!</v>
      </c>
      <c r="Q170" s="40" t="e">
        <f>Market!$C$3*Market!$G$3*NIFTY_OC!$D170/$C170</f>
        <v>#VALUE!</v>
      </c>
      <c r="R170" s="40" t="e">
        <f>Market!$C$3*Market!$H$3*NIFTY_OC!$D170/$C170</f>
        <v>#VALUE!</v>
      </c>
      <c r="S170" s="40" t="e">
        <f>Market!$C$3*Market!$I$3*NIFTY_OC!$D170/$C170</f>
        <v>#VALUE!</v>
      </c>
    </row>
    <row r="171" spans="1:19">
      <c r="A171" s="39">
        <v>44462</v>
      </c>
      <c r="B171" s="38">
        <v>138750</v>
      </c>
      <c r="C171" s="38">
        <v>19.25</v>
      </c>
      <c r="D171">
        <v>0.08</v>
      </c>
      <c r="E171" s="37">
        <v>18100</v>
      </c>
      <c r="F171">
        <v>12.01</v>
      </c>
      <c r="G171" s="38">
        <v>871.5</v>
      </c>
      <c r="H171" s="38">
        <v>-0.92</v>
      </c>
      <c r="I171" s="38">
        <v>3100</v>
      </c>
      <c r="J171" s="38">
        <v>-1.46</v>
      </c>
      <c r="K171" s="38">
        <v>6.81</v>
      </c>
      <c r="L171">
        <v>2.5000000000000001E-4</v>
      </c>
      <c r="M171" s="41">
        <f t="shared" si="2"/>
        <v>1.6028309741881765</v>
      </c>
      <c r="N171" s="40" t="e">
        <f>Market!$C$3*Market!$D$3*NIFTY_OC!$D171/$C171</f>
        <v>#VALUE!</v>
      </c>
      <c r="O171" s="40" t="e">
        <f>Market!$C$3*Market!$E$3*NIFTY_OC!$D171/$C171</f>
        <v>#VALUE!</v>
      </c>
      <c r="P171" s="40" t="e">
        <f>Market!$C$3*Market!$F$3*NIFTY_OC!$D171/$C171</f>
        <v>#VALUE!</v>
      </c>
      <c r="Q171" s="40" t="e">
        <f>Market!$C$3*Market!$G$3*NIFTY_OC!$D171/$C171</f>
        <v>#VALUE!</v>
      </c>
      <c r="R171" s="40" t="e">
        <f>Market!$C$3*Market!$H$3*NIFTY_OC!$D171/$C171</f>
        <v>#VALUE!</v>
      </c>
      <c r="S171" s="40" t="e">
        <f>Market!$C$3*Market!$I$3*NIFTY_OC!$D171/$C171</f>
        <v>#VALUE!</v>
      </c>
    </row>
    <row r="172" spans="1:19">
      <c r="A172" s="39">
        <v>44462</v>
      </c>
      <c r="B172" s="38">
        <v>15400</v>
      </c>
      <c r="C172" s="38">
        <v>17.350000000000001</v>
      </c>
      <c r="D172">
        <v>7.0000000000000007E-2</v>
      </c>
      <c r="E172" s="37">
        <v>18150</v>
      </c>
      <c r="F172">
        <v>12.24</v>
      </c>
      <c r="G172" s="38">
        <v>918.5</v>
      </c>
      <c r="H172" s="38">
        <v>-0.93</v>
      </c>
      <c r="I172" s="38">
        <v>350</v>
      </c>
      <c r="J172" s="38">
        <v>-1.38</v>
      </c>
      <c r="K172" s="38">
        <v>6.29</v>
      </c>
      <c r="L172">
        <v>2.3000000000000001E-4</v>
      </c>
      <c r="M172" s="41">
        <f t="shared" si="2"/>
        <v>1.417483660130719</v>
      </c>
      <c r="N172" s="40" t="e">
        <f>Market!$C$3*Market!$D$3*NIFTY_OC!$D172/$C172</f>
        <v>#VALUE!</v>
      </c>
      <c r="O172" s="40" t="e">
        <f>Market!$C$3*Market!$E$3*NIFTY_OC!$D172/$C172</f>
        <v>#VALUE!</v>
      </c>
      <c r="P172" s="40" t="e">
        <f>Market!$C$3*Market!$F$3*NIFTY_OC!$D172/$C172</f>
        <v>#VALUE!</v>
      </c>
      <c r="Q172" s="40" t="e">
        <f>Market!$C$3*Market!$G$3*NIFTY_OC!$D172/$C172</f>
        <v>#VALUE!</v>
      </c>
      <c r="R172" s="40" t="e">
        <f>Market!$C$3*Market!$H$3*NIFTY_OC!$D172/$C172</f>
        <v>#VALUE!</v>
      </c>
      <c r="S172" s="40" t="e">
        <f>Market!$C$3*Market!$I$3*NIFTY_OC!$D172/$C172</f>
        <v>#VALUE!</v>
      </c>
    </row>
    <row r="173" spans="1:19">
      <c r="A173" s="39">
        <v>44462</v>
      </c>
      <c r="B173" s="38">
        <v>113650</v>
      </c>
      <c r="C173" s="38">
        <v>15.25</v>
      </c>
      <c r="D173">
        <v>0.06</v>
      </c>
      <c r="E173" s="37">
        <v>18200</v>
      </c>
      <c r="F173">
        <v>12.39</v>
      </c>
      <c r="G173" s="38">
        <v>970</v>
      </c>
      <c r="H173" s="38">
        <v>-0.94</v>
      </c>
      <c r="I173" s="38">
        <v>600</v>
      </c>
      <c r="J173" s="38">
        <v>-1.27</v>
      </c>
      <c r="K173" s="38">
        <v>5.73</v>
      </c>
      <c r="L173">
        <v>2.0000000000000001E-4</v>
      </c>
      <c r="M173" s="41">
        <f t="shared" si="2"/>
        <v>1.2308313155770783</v>
      </c>
      <c r="N173" s="40" t="e">
        <f>Market!$C$3*Market!$D$3*NIFTY_OC!$D173/$C173</f>
        <v>#VALUE!</v>
      </c>
      <c r="O173" s="40" t="e">
        <f>Market!$C$3*Market!$E$3*NIFTY_OC!$D173/$C173</f>
        <v>#VALUE!</v>
      </c>
      <c r="P173" s="40" t="e">
        <f>Market!$C$3*Market!$F$3*NIFTY_OC!$D173/$C173</f>
        <v>#VALUE!</v>
      </c>
      <c r="Q173" s="40" t="e">
        <f>Market!$C$3*Market!$G$3*NIFTY_OC!$D173/$C173</f>
        <v>#VALUE!</v>
      </c>
      <c r="R173" s="40" t="e">
        <f>Market!$C$3*Market!$H$3*NIFTY_OC!$D173/$C173</f>
        <v>#VALUE!</v>
      </c>
      <c r="S173" s="40" t="e">
        <f>Market!$C$3*Market!$I$3*NIFTY_OC!$D173/$C173</f>
        <v>#VALUE!</v>
      </c>
    </row>
    <row r="174" spans="1:19">
      <c r="A174" s="39">
        <v>44462</v>
      </c>
      <c r="B174" s="38">
        <v>8900</v>
      </c>
      <c r="C174" s="38">
        <v>13.7</v>
      </c>
      <c r="D174">
        <v>0.05</v>
      </c>
      <c r="E174" s="37">
        <v>18250</v>
      </c>
      <c r="F174">
        <v>12.59</v>
      </c>
      <c r="G174" s="38">
        <v>1097.8</v>
      </c>
      <c r="H174" s="38">
        <v>-0.95</v>
      </c>
      <c r="I174" s="38">
        <v>0</v>
      </c>
      <c r="J174" s="38">
        <v>-1.19</v>
      </c>
      <c r="K174" s="38">
        <v>5.27</v>
      </c>
      <c r="L174">
        <v>1.8000000000000001E-4</v>
      </c>
      <c r="M174" s="41">
        <f t="shared" si="2"/>
        <v>1.0881652104845114</v>
      </c>
      <c r="N174" s="40" t="e">
        <f>Market!$C$3*Market!$D$3*NIFTY_OC!$D174/$C174</f>
        <v>#VALUE!</v>
      </c>
      <c r="O174" s="40" t="e">
        <f>Market!$C$3*Market!$E$3*NIFTY_OC!$D174/$C174</f>
        <v>#VALUE!</v>
      </c>
      <c r="P174" s="40" t="e">
        <f>Market!$C$3*Market!$F$3*NIFTY_OC!$D174/$C174</f>
        <v>#VALUE!</v>
      </c>
      <c r="Q174" s="40" t="e">
        <f>Market!$C$3*Market!$G$3*NIFTY_OC!$D174/$C174</f>
        <v>#VALUE!</v>
      </c>
      <c r="R174" s="40" t="e">
        <f>Market!$C$3*Market!$H$3*NIFTY_OC!$D174/$C174</f>
        <v>#VALUE!</v>
      </c>
      <c r="S174" s="40" t="e">
        <f>Market!$C$3*Market!$I$3*NIFTY_OC!$D174/$C174</f>
        <v>#VALUE!</v>
      </c>
    </row>
    <row r="175" spans="1:19">
      <c r="A175" s="39">
        <v>44462</v>
      </c>
      <c r="B175" s="38">
        <v>37750</v>
      </c>
      <c r="C175" s="38">
        <v>12.2</v>
      </c>
      <c r="D175">
        <v>0.05</v>
      </c>
      <c r="E175" s="37">
        <v>18300</v>
      </c>
      <c r="F175">
        <v>12.77</v>
      </c>
      <c r="G175" s="38">
        <v>1138.3</v>
      </c>
      <c r="H175" s="38">
        <v>-0.95</v>
      </c>
      <c r="I175" s="38">
        <v>250</v>
      </c>
      <c r="J175" s="38">
        <v>-1.1000000000000001</v>
      </c>
      <c r="K175" s="38">
        <v>4.82</v>
      </c>
      <c r="L175">
        <v>1.7000000000000001E-4</v>
      </c>
      <c r="M175" s="41">
        <f t="shared" si="2"/>
        <v>0.95536413469068127</v>
      </c>
      <c r="N175" s="40" t="e">
        <f>Market!$C$3*Market!$D$3*NIFTY_OC!$D175/$C175</f>
        <v>#VALUE!</v>
      </c>
      <c r="O175" s="40" t="e">
        <f>Market!$C$3*Market!$E$3*NIFTY_OC!$D175/$C175</f>
        <v>#VALUE!</v>
      </c>
      <c r="P175" s="40" t="e">
        <f>Market!$C$3*Market!$F$3*NIFTY_OC!$D175/$C175</f>
        <v>#VALUE!</v>
      </c>
      <c r="Q175" s="40" t="e">
        <f>Market!$C$3*Market!$G$3*NIFTY_OC!$D175/$C175</f>
        <v>#VALUE!</v>
      </c>
      <c r="R175" s="40" t="e">
        <f>Market!$C$3*Market!$H$3*NIFTY_OC!$D175/$C175</f>
        <v>#VALUE!</v>
      </c>
      <c r="S175" s="40" t="e">
        <f>Market!$C$3*Market!$I$3*NIFTY_OC!$D175/$C175</f>
        <v>#VALUE!</v>
      </c>
    </row>
    <row r="176" spans="1:19">
      <c r="A176" s="39">
        <v>44462</v>
      </c>
      <c r="B176" s="38">
        <v>8350</v>
      </c>
      <c r="C176" s="38">
        <v>11.1</v>
      </c>
      <c r="D176">
        <v>0.04</v>
      </c>
      <c r="E176" s="37">
        <v>18350</v>
      </c>
      <c r="F176">
        <v>13</v>
      </c>
      <c r="G176" s="38">
        <v>1179.3</v>
      </c>
      <c r="H176" s="38">
        <v>-0.96</v>
      </c>
      <c r="I176" s="38">
        <v>0</v>
      </c>
      <c r="J176" s="38">
        <v>-1.04</v>
      </c>
      <c r="K176" s="38">
        <v>4.46</v>
      </c>
      <c r="L176">
        <v>1.4999999999999999E-4</v>
      </c>
      <c r="M176" s="41">
        <f t="shared" si="2"/>
        <v>0.85384615384615381</v>
      </c>
      <c r="N176" s="40" t="e">
        <f>Market!$C$3*Market!$D$3*NIFTY_OC!$D176/$C176</f>
        <v>#VALUE!</v>
      </c>
      <c r="O176" s="40" t="e">
        <f>Market!$C$3*Market!$E$3*NIFTY_OC!$D176/$C176</f>
        <v>#VALUE!</v>
      </c>
      <c r="P176" s="40" t="e">
        <f>Market!$C$3*Market!$F$3*NIFTY_OC!$D176/$C176</f>
        <v>#VALUE!</v>
      </c>
      <c r="Q176" s="40" t="e">
        <f>Market!$C$3*Market!$G$3*NIFTY_OC!$D176/$C176</f>
        <v>#VALUE!</v>
      </c>
      <c r="R176" s="40" t="e">
        <f>Market!$C$3*Market!$H$3*NIFTY_OC!$D176/$C176</f>
        <v>#VALUE!</v>
      </c>
      <c r="S176" s="40" t="e">
        <f>Market!$C$3*Market!$I$3*NIFTY_OC!$D176/$C176</f>
        <v>#VALUE!</v>
      </c>
    </row>
    <row r="177" spans="1:19">
      <c r="A177" s="39">
        <v>44462</v>
      </c>
      <c r="B177" s="38">
        <v>136500</v>
      </c>
      <c r="C177" s="38">
        <v>9.85</v>
      </c>
      <c r="D177">
        <v>0.04</v>
      </c>
      <c r="E177" s="37">
        <v>18400</v>
      </c>
      <c r="F177">
        <v>13.16</v>
      </c>
      <c r="G177" s="38">
        <v>1220.8</v>
      </c>
      <c r="H177" s="38">
        <v>-0.96</v>
      </c>
      <c r="I177" s="38">
        <v>50</v>
      </c>
      <c r="J177" s="38">
        <v>-0.96</v>
      </c>
      <c r="K177" s="38">
        <v>4.07</v>
      </c>
      <c r="L177">
        <v>1.3999999999999999E-4</v>
      </c>
      <c r="M177" s="41">
        <f t="shared" si="2"/>
        <v>0.74848024316109418</v>
      </c>
      <c r="N177" s="40" t="e">
        <f>Market!$C$3*Market!$D$3*NIFTY_OC!$D177/$C177</f>
        <v>#VALUE!</v>
      </c>
      <c r="O177" s="40" t="e">
        <f>Market!$C$3*Market!$E$3*NIFTY_OC!$D177/$C177</f>
        <v>#VALUE!</v>
      </c>
      <c r="P177" s="40" t="e">
        <f>Market!$C$3*Market!$F$3*NIFTY_OC!$D177/$C177</f>
        <v>#VALUE!</v>
      </c>
      <c r="Q177" s="40" t="e">
        <f>Market!$C$3*Market!$G$3*NIFTY_OC!$D177/$C177</f>
        <v>#VALUE!</v>
      </c>
      <c r="R177" s="40" t="e">
        <f>Market!$C$3*Market!$H$3*NIFTY_OC!$D177/$C177</f>
        <v>#VALUE!</v>
      </c>
      <c r="S177" s="40" t="e">
        <f>Market!$C$3*Market!$I$3*NIFTY_OC!$D177/$C177</f>
        <v>#VALUE!</v>
      </c>
    </row>
    <row r="178" spans="1:19">
      <c r="A178" s="39">
        <v>44462</v>
      </c>
      <c r="B178" s="38">
        <v>3500</v>
      </c>
      <c r="C178" s="38">
        <v>8.8000000000000007</v>
      </c>
      <c r="D178">
        <v>0.04</v>
      </c>
      <c r="E178" s="37">
        <v>18450</v>
      </c>
      <c r="F178">
        <v>13.33</v>
      </c>
      <c r="G178" s="38">
        <v>1262.8499999999999</v>
      </c>
      <c r="H178" s="38">
        <v>-0.96</v>
      </c>
      <c r="I178" s="38">
        <v>0</v>
      </c>
      <c r="J178" s="38">
        <v>-0.89</v>
      </c>
      <c r="K178" s="38">
        <v>3.72</v>
      </c>
      <c r="L178">
        <v>1.2E-4</v>
      </c>
      <c r="M178" s="41">
        <f t="shared" si="2"/>
        <v>0.66016504126031517</v>
      </c>
      <c r="N178" s="40" t="e">
        <f>Market!$C$3*Market!$D$3*NIFTY_OC!$D178/$C178</f>
        <v>#VALUE!</v>
      </c>
      <c r="O178" s="40" t="e">
        <f>Market!$C$3*Market!$E$3*NIFTY_OC!$D178/$C178</f>
        <v>#VALUE!</v>
      </c>
      <c r="P178" s="40" t="e">
        <f>Market!$C$3*Market!$F$3*NIFTY_OC!$D178/$C178</f>
        <v>#VALUE!</v>
      </c>
      <c r="Q178" s="40" t="e">
        <f>Market!$C$3*Market!$G$3*NIFTY_OC!$D178/$C178</f>
        <v>#VALUE!</v>
      </c>
      <c r="R178" s="40" t="e">
        <f>Market!$C$3*Market!$H$3*NIFTY_OC!$D178/$C178</f>
        <v>#VALUE!</v>
      </c>
      <c r="S178" s="40" t="e">
        <f>Market!$C$3*Market!$I$3*NIFTY_OC!$D178/$C178</f>
        <v>#VALUE!</v>
      </c>
    </row>
    <row r="179" spans="1:19">
      <c r="A179" s="39">
        <v>44462</v>
      </c>
      <c r="B179" s="38">
        <v>431400</v>
      </c>
      <c r="C179" s="38">
        <v>7.7</v>
      </c>
      <c r="D179">
        <v>0.03</v>
      </c>
      <c r="E179" s="37">
        <v>18500</v>
      </c>
      <c r="F179">
        <v>13.45</v>
      </c>
      <c r="G179" s="38">
        <v>1250.05</v>
      </c>
      <c r="H179" s="38">
        <v>-0.97</v>
      </c>
      <c r="I179" s="38">
        <v>135000</v>
      </c>
      <c r="J179" s="38">
        <v>-0.81</v>
      </c>
      <c r="K179" s="38">
        <v>3.36</v>
      </c>
      <c r="L179">
        <v>1.1E-4</v>
      </c>
      <c r="M179" s="41">
        <f t="shared" si="2"/>
        <v>0.57249070631970267</v>
      </c>
      <c r="N179" s="40" t="e">
        <f>Market!$C$3*Market!$D$3*NIFTY_OC!$D179/$C179</f>
        <v>#VALUE!</v>
      </c>
      <c r="O179" s="40" t="e">
        <f>Market!$C$3*Market!$E$3*NIFTY_OC!$D179/$C179</f>
        <v>#VALUE!</v>
      </c>
      <c r="P179" s="40" t="e">
        <f>Market!$C$3*Market!$F$3*NIFTY_OC!$D179/$C179</f>
        <v>#VALUE!</v>
      </c>
      <c r="Q179" s="40" t="e">
        <f>Market!$C$3*Market!$G$3*NIFTY_OC!$D179/$C179</f>
        <v>#VALUE!</v>
      </c>
      <c r="R179" s="40" t="e">
        <f>Market!$C$3*Market!$H$3*NIFTY_OC!$D179/$C179</f>
        <v>#VALUE!</v>
      </c>
      <c r="S179" s="40" t="e">
        <f>Market!$C$3*Market!$I$3*NIFTY_OC!$D179/$C179</f>
        <v>#VALUE!</v>
      </c>
    </row>
    <row r="180" spans="1:19">
      <c r="A180" s="39">
        <v>44462</v>
      </c>
      <c r="B180" s="38">
        <v>2000</v>
      </c>
      <c r="C180" s="38">
        <v>6.8</v>
      </c>
      <c r="D180">
        <v>0.03</v>
      </c>
      <c r="E180" s="37">
        <v>18550</v>
      </c>
      <c r="F180">
        <v>13.59</v>
      </c>
      <c r="G180" s="38">
        <v>1348.35</v>
      </c>
      <c r="H180" s="38">
        <v>-0.97</v>
      </c>
      <c r="I180" s="38">
        <v>0</v>
      </c>
      <c r="J180" s="38">
        <v>-0.74</v>
      </c>
      <c r="K180" s="38">
        <v>3.04</v>
      </c>
      <c r="L180">
        <v>1E-4</v>
      </c>
      <c r="M180" s="41">
        <f t="shared" si="2"/>
        <v>0.5003679175864606</v>
      </c>
      <c r="N180" s="40" t="e">
        <f>Market!$C$3*Market!$D$3*NIFTY_OC!$D180/$C180</f>
        <v>#VALUE!</v>
      </c>
      <c r="O180" s="40" t="e">
        <f>Market!$C$3*Market!$E$3*NIFTY_OC!$D180/$C180</f>
        <v>#VALUE!</v>
      </c>
      <c r="P180" s="40" t="e">
        <f>Market!$C$3*Market!$F$3*NIFTY_OC!$D180/$C180</f>
        <v>#VALUE!</v>
      </c>
      <c r="Q180" s="40" t="e">
        <f>Market!$C$3*Market!$G$3*NIFTY_OC!$D180/$C180</f>
        <v>#VALUE!</v>
      </c>
      <c r="R180" s="40" t="e">
        <f>Market!$C$3*Market!$H$3*NIFTY_OC!$D180/$C180</f>
        <v>#VALUE!</v>
      </c>
      <c r="S180" s="40" t="e">
        <f>Market!$C$3*Market!$I$3*NIFTY_OC!$D180/$C180</f>
        <v>#VALUE!</v>
      </c>
    </row>
    <row r="181" spans="1:19">
      <c r="A181" s="39">
        <v>44462</v>
      </c>
      <c r="B181" s="38">
        <v>8550</v>
      </c>
      <c r="C181" s="38">
        <v>6.65</v>
      </c>
      <c r="D181">
        <v>0.03</v>
      </c>
      <c r="E181" s="37">
        <v>18600</v>
      </c>
      <c r="F181">
        <v>13.96</v>
      </c>
      <c r="G181" s="38">
        <v>1359.95</v>
      </c>
      <c r="H181" s="38">
        <v>-0.97</v>
      </c>
      <c r="I181" s="38">
        <v>1850</v>
      </c>
      <c r="J181" s="38">
        <v>-0.73</v>
      </c>
      <c r="K181" s="38">
        <v>2.94</v>
      </c>
      <c r="L181">
        <v>9.0000000000000006E-5</v>
      </c>
      <c r="M181" s="41">
        <f t="shared" si="2"/>
        <v>0.47636103151862463</v>
      </c>
      <c r="N181" s="40" t="e">
        <f>Market!$C$3*Market!$D$3*NIFTY_OC!$D181/$C181</f>
        <v>#VALUE!</v>
      </c>
      <c r="O181" s="40" t="e">
        <f>Market!$C$3*Market!$E$3*NIFTY_OC!$D181/$C181</f>
        <v>#VALUE!</v>
      </c>
      <c r="P181" s="40" t="e">
        <f>Market!$C$3*Market!$F$3*NIFTY_OC!$D181/$C181</f>
        <v>#VALUE!</v>
      </c>
      <c r="Q181" s="40" t="e">
        <f>Market!$C$3*Market!$G$3*NIFTY_OC!$D181/$C181</f>
        <v>#VALUE!</v>
      </c>
      <c r="R181" s="40" t="e">
        <f>Market!$C$3*Market!$H$3*NIFTY_OC!$D181/$C181</f>
        <v>#VALUE!</v>
      </c>
      <c r="S181" s="40" t="e">
        <f>Market!$C$3*Market!$I$3*NIFTY_OC!$D181/$C181</f>
        <v>#VALUE!</v>
      </c>
    </row>
    <row r="182" spans="1:19">
      <c r="A182" s="39">
        <v>44462</v>
      </c>
      <c r="B182" s="38">
        <v>3650</v>
      </c>
      <c r="C182" s="38">
        <v>5.55</v>
      </c>
      <c r="D182">
        <v>0.02</v>
      </c>
      <c r="E182" s="37">
        <v>18650</v>
      </c>
      <c r="F182">
        <v>13.96</v>
      </c>
      <c r="G182" s="38">
        <v>1435.6</v>
      </c>
      <c r="H182" s="38">
        <v>-0.98</v>
      </c>
      <c r="I182" s="38">
        <v>750</v>
      </c>
      <c r="J182" s="38">
        <v>-0.64</v>
      </c>
      <c r="K182" s="38">
        <v>2.57</v>
      </c>
      <c r="L182">
        <v>8.0000000000000007E-5</v>
      </c>
      <c r="M182" s="41">
        <f t="shared" si="2"/>
        <v>0.3975644699140401</v>
      </c>
      <c r="N182" s="40" t="e">
        <f>Market!$C$3*Market!$D$3*NIFTY_OC!$D182/$C182</f>
        <v>#VALUE!</v>
      </c>
      <c r="O182" s="40" t="e">
        <f>Market!$C$3*Market!$E$3*NIFTY_OC!$D182/$C182</f>
        <v>#VALUE!</v>
      </c>
      <c r="P182" s="40" t="e">
        <f>Market!$C$3*Market!$F$3*NIFTY_OC!$D182/$C182</f>
        <v>#VALUE!</v>
      </c>
      <c r="Q182" s="40" t="e">
        <f>Market!$C$3*Market!$G$3*NIFTY_OC!$D182/$C182</f>
        <v>#VALUE!</v>
      </c>
      <c r="R182" s="40" t="e">
        <f>Market!$C$3*Market!$H$3*NIFTY_OC!$D182/$C182</f>
        <v>#VALUE!</v>
      </c>
      <c r="S182" s="40" t="e">
        <f>Market!$C$3*Market!$I$3*NIFTY_OC!$D182/$C182</f>
        <v>#VALUE!</v>
      </c>
    </row>
    <row r="183" spans="1:19">
      <c r="A183" s="39">
        <v>44462</v>
      </c>
      <c r="B183" s="38">
        <v>0</v>
      </c>
      <c r="C183" s="38">
        <v>66.599999999999994</v>
      </c>
      <c r="D183">
        <v>0.12</v>
      </c>
      <c r="E183" s="37">
        <v>18700</v>
      </c>
      <c r="F183">
        <v>24.2</v>
      </c>
      <c r="G183" s="38">
        <v>1480.15</v>
      </c>
      <c r="H183" s="38">
        <v>-0.88</v>
      </c>
      <c r="I183" s="38">
        <v>0</v>
      </c>
      <c r="J183" s="38">
        <v>-4.1399999999999997</v>
      </c>
      <c r="K183" s="38">
        <v>9.58</v>
      </c>
      <c r="L183">
        <v>1.7000000000000001E-4</v>
      </c>
      <c r="M183" s="41">
        <f t="shared" si="2"/>
        <v>2.7520661157024793</v>
      </c>
      <c r="N183" s="40" t="e">
        <f>Market!$C$3*Market!$D$3*NIFTY_OC!$D183/$C183</f>
        <v>#VALUE!</v>
      </c>
      <c r="O183" s="40" t="e">
        <f>Market!$C$3*Market!$E$3*NIFTY_OC!$D183/$C183</f>
        <v>#VALUE!</v>
      </c>
      <c r="P183" s="40" t="e">
        <f>Market!$C$3*Market!$F$3*NIFTY_OC!$D183/$C183</f>
        <v>#VALUE!</v>
      </c>
      <c r="Q183" s="40" t="e">
        <f>Market!$C$3*Market!$G$3*NIFTY_OC!$D183/$C183</f>
        <v>#VALUE!</v>
      </c>
      <c r="R183" s="40" t="e">
        <f>Market!$C$3*Market!$H$3*NIFTY_OC!$D183/$C183</f>
        <v>#VALUE!</v>
      </c>
      <c r="S183" s="40" t="e">
        <f>Market!$C$3*Market!$I$3*NIFTY_OC!$D183/$C183</f>
        <v>#VALUE!</v>
      </c>
    </row>
    <row r="184" spans="1:19">
      <c r="A184" s="39">
        <v>44462</v>
      </c>
      <c r="B184" s="38">
        <v>0</v>
      </c>
      <c r="C184" s="38">
        <v>61.35</v>
      </c>
      <c r="D184">
        <v>0.11</v>
      </c>
      <c r="E184" s="37">
        <v>18750</v>
      </c>
      <c r="F184">
        <v>24.19</v>
      </c>
      <c r="G184" s="38">
        <v>1524.75</v>
      </c>
      <c r="H184" s="38">
        <v>-0.89</v>
      </c>
      <c r="I184" s="38">
        <v>159325</v>
      </c>
      <c r="J184" s="38">
        <v>-3.94</v>
      </c>
      <c r="K184" s="38">
        <v>9.1300000000000008</v>
      </c>
      <c r="L184">
        <v>1.7000000000000001E-4</v>
      </c>
      <c r="M184" s="41">
        <f t="shared" si="2"/>
        <v>2.5361719718892104</v>
      </c>
      <c r="N184" s="40" t="e">
        <f>Market!$C$3*Market!$D$3*NIFTY_OC!$D184/$C184</f>
        <v>#VALUE!</v>
      </c>
      <c r="O184" s="40" t="e">
        <f>Market!$C$3*Market!$E$3*NIFTY_OC!$D184/$C184</f>
        <v>#VALUE!</v>
      </c>
      <c r="P184" s="40" t="e">
        <f>Market!$C$3*Market!$F$3*NIFTY_OC!$D184/$C184</f>
        <v>#VALUE!</v>
      </c>
      <c r="Q184" s="40" t="e">
        <f>Market!$C$3*Market!$G$3*NIFTY_OC!$D184/$C184</f>
        <v>#VALUE!</v>
      </c>
      <c r="R184" s="40" t="e">
        <f>Market!$C$3*Market!$H$3*NIFTY_OC!$D184/$C184</f>
        <v>#VALUE!</v>
      </c>
      <c r="S184" s="40" t="e">
        <f>Market!$C$3*Market!$I$3*NIFTY_OC!$D184/$C184</f>
        <v>#VALUE!</v>
      </c>
    </row>
    <row r="185" spans="1:19">
      <c r="A185" s="39">
        <v>44455</v>
      </c>
      <c r="B185" s="38">
        <v>0</v>
      </c>
      <c r="C185" s="38">
        <v>1513.3</v>
      </c>
      <c r="D185">
        <v>0.98</v>
      </c>
      <c r="E185" s="37">
        <v>15750</v>
      </c>
      <c r="F185">
        <v>22.47</v>
      </c>
      <c r="G185" s="38">
        <v>5.3</v>
      </c>
      <c r="H185" s="38">
        <v>-0.02</v>
      </c>
      <c r="I185" s="38">
        <v>2050</v>
      </c>
      <c r="J185" s="38">
        <v>-1.25</v>
      </c>
      <c r="K185" s="38">
        <v>1.56</v>
      </c>
      <c r="L185">
        <v>6.0000000000000002E-5</v>
      </c>
      <c r="M185" s="41">
        <f t="shared" si="2"/>
        <v>67.347574543836231</v>
      </c>
      <c r="N185" s="40" t="e">
        <f>Market!$C$3*Market!$D$3*NIFTY_OC!$D185/$C185</f>
        <v>#VALUE!</v>
      </c>
      <c r="O185" s="40" t="e">
        <f>Market!$C$3*Market!$E$3*NIFTY_OC!$D185/$C185</f>
        <v>#VALUE!</v>
      </c>
      <c r="P185" s="40" t="e">
        <f>Market!$C$3*Market!$F$3*NIFTY_OC!$D185/$C185</f>
        <v>#VALUE!</v>
      </c>
      <c r="Q185" s="40" t="e">
        <f>Market!$C$3*Market!$G$3*NIFTY_OC!$D185/$C185</f>
        <v>#VALUE!</v>
      </c>
      <c r="R185" s="40" t="e">
        <f>Market!$C$3*Market!$H$3*NIFTY_OC!$D185/$C185</f>
        <v>#VALUE!</v>
      </c>
      <c r="S185" s="40" t="e">
        <f>Market!$C$3*Market!$I$3*NIFTY_OC!$D185/$C185</f>
        <v>#VALUE!</v>
      </c>
    </row>
    <row r="186" spans="1:19">
      <c r="A186" s="39">
        <v>44455</v>
      </c>
      <c r="B186" s="38">
        <v>0</v>
      </c>
      <c r="C186" s="38">
        <v>1464.8</v>
      </c>
      <c r="D186">
        <v>0.98</v>
      </c>
      <c r="E186" s="37">
        <v>15800</v>
      </c>
      <c r="F186">
        <v>22.87</v>
      </c>
      <c r="G186" s="38">
        <v>7.2</v>
      </c>
      <c r="H186" s="38">
        <v>-0.02</v>
      </c>
      <c r="I186" s="38">
        <v>11650</v>
      </c>
      <c r="J186" s="38">
        <v>-1.58</v>
      </c>
      <c r="K186" s="38">
        <v>1.93</v>
      </c>
      <c r="L186">
        <v>6.9999999999999994E-5</v>
      </c>
      <c r="M186" s="41">
        <f t="shared" si="2"/>
        <v>64.048972452995187</v>
      </c>
      <c r="N186" s="40" t="e">
        <f>Market!$C$3*Market!$D$3*NIFTY_OC!$D186/$C186</f>
        <v>#VALUE!</v>
      </c>
      <c r="O186" s="40" t="e">
        <f>Market!$C$3*Market!$E$3*NIFTY_OC!$D186/$C186</f>
        <v>#VALUE!</v>
      </c>
      <c r="P186" s="40" t="e">
        <f>Market!$C$3*Market!$F$3*NIFTY_OC!$D186/$C186</f>
        <v>#VALUE!</v>
      </c>
      <c r="Q186" s="40" t="e">
        <f>Market!$C$3*Market!$G$3*NIFTY_OC!$D186/$C186</f>
        <v>#VALUE!</v>
      </c>
      <c r="R186" s="40" t="e">
        <f>Market!$C$3*Market!$H$3*NIFTY_OC!$D186/$C186</f>
        <v>#VALUE!</v>
      </c>
      <c r="S186" s="40" t="e">
        <f>Market!$C$3*Market!$I$3*NIFTY_OC!$D186/$C186</f>
        <v>#VALUE!</v>
      </c>
    </row>
    <row r="187" spans="1:19">
      <c r="A187" s="39">
        <v>44455</v>
      </c>
      <c r="B187" s="38">
        <v>50</v>
      </c>
      <c r="C187" s="38">
        <v>1416.5</v>
      </c>
      <c r="D187">
        <v>0.97</v>
      </c>
      <c r="E187" s="37">
        <v>15850</v>
      </c>
      <c r="F187">
        <v>23.51</v>
      </c>
      <c r="G187" s="38">
        <v>10.15</v>
      </c>
      <c r="H187" s="38">
        <v>-0.03</v>
      </c>
      <c r="I187" s="38">
        <v>1450</v>
      </c>
      <c r="J187" s="38">
        <v>-2.04</v>
      </c>
      <c r="K187" s="38">
        <v>2.4300000000000002</v>
      </c>
      <c r="L187">
        <v>9.0000000000000006E-5</v>
      </c>
      <c r="M187" s="41">
        <f t="shared" si="2"/>
        <v>60.250957039557633</v>
      </c>
      <c r="N187" s="40" t="e">
        <f>Market!$C$3*Market!$D$3*NIFTY_OC!$D187/$C187</f>
        <v>#VALUE!</v>
      </c>
      <c r="O187" s="40" t="e">
        <f>Market!$C$3*Market!$E$3*NIFTY_OC!$D187/$C187</f>
        <v>#VALUE!</v>
      </c>
      <c r="P187" s="40" t="e">
        <f>Market!$C$3*Market!$F$3*NIFTY_OC!$D187/$C187</f>
        <v>#VALUE!</v>
      </c>
      <c r="Q187" s="40" t="e">
        <f>Market!$C$3*Market!$G$3*NIFTY_OC!$D187/$C187</f>
        <v>#VALUE!</v>
      </c>
      <c r="R187" s="40" t="e">
        <f>Market!$C$3*Market!$H$3*NIFTY_OC!$D187/$C187</f>
        <v>#VALUE!</v>
      </c>
      <c r="S187" s="40" t="e">
        <f>Market!$C$3*Market!$I$3*NIFTY_OC!$D187/$C187</f>
        <v>#VALUE!</v>
      </c>
    </row>
    <row r="188" spans="1:19">
      <c r="A188" s="39">
        <v>44455</v>
      </c>
      <c r="B188" s="38">
        <v>0</v>
      </c>
      <c r="C188" s="38">
        <v>1368.45</v>
      </c>
      <c r="D188">
        <v>0.97</v>
      </c>
      <c r="E188" s="37">
        <v>15900</v>
      </c>
      <c r="F188">
        <v>21.71</v>
      </c>
      <c r="G188" s="38">
        <v>7.7</v>
      </c>
      <c r="H188" s="38">
        <v>-0.03</v>
      </c>
      <c r="I188" s="38">
        <v>5650</v>
      </c>
      <c r="J188" s="38">
        <v>-1.64</v>
      </c>
      <c r="K188" s="38">
        <v>2.11</v>
      </c>
      <c r="L188">
        <v>9.0000000000000006E-5</v>
      </c>
      <c r="M188" s="41">
        <f t="shared" si="2"/>
        <v>63.03316444035007</v>
      </c>
      <c r="N188" s="40" t="e">
        <f>Market!$C$3*Market!$D$3*NIFTY_OC!$D188/$C188</f>
        <v>#VALUE!</v>
      </c>
      <c r="O188" s="40" t="e">
        <f>Market!$C$3*Market!$E$3*NIFTY_OC!$D188/$C188</f>
        <v>#VALUE!</v>
      </c>
      <c r="P188" s="40" t="e">
        <f>Market!$C$3*Market!$F$3*NIFTY_OC!$D188/$C188</f>
        <v>#VALUE!</v>
      </c>
      <c r="Q188" s="40" t="e">
        <f>Market!$C$3*Market!$G$3*NIFTY_OC!$D188/$C188</f>
        <v>#VALUE!</v>
      </c>
      <c r="R188" s="40" t="e">
        <f>Market!$C$3*Market!$H$3*NIFTY_OC!$D188/$C188</f>
        <v>#VALUE!</v>
      </c>
      <c r="S188" s="40" t="e">
        <f>Market!$C$3*Market!$I$3*NIFTY_OC!$D188/$C188</f>
        <v>#VALUE!</v>
      </c>
    </row>
    <row r="189" spans="1:19">
      <c r="A189" s="39">
        <v>44455</v>
      </c>
      <c r="B189" s="38">
        <v>0</v>
      </c>
      <c r="C189" s="38">
        <v>1320.75</v>
      </c>
      <c r="D189">
        <v>0.97</v>
      </c>
      <c r="E189" s="37">
        <v>15950</v>
      </c>
      <c r="F189">
        <v>21.05</v>
      </c>
      <c r="G189" s="38">
        <v>7.8</v>
      </c>
      <c r="H189" s="38">
        <v>-0.03</v>
      </c>
      <c r="I189" s="38">
        <v>2050</v>
      </c>
      <c r="J189" s="38">
        <v>-1.64</v>
      </c>
      <c r="K189" s="38">
        <v>2.1800000000000002</v>
      </c>
      <c r="L189">
        <v>9.0000000000000006E-5</v>
      </c>
      <c r="M189" s="41">
        <f t="shared" si="2"/>
        <v>62.743467933491686</v>
      </c>
      <c r="N189" s="40" t="e">
        <f>Market!$C$3*Market!$D$3*NIFTY_OC!$D189/$C189</f>
        <v>#VALUE!</v>
      </c>
      <c r="O189" s="40" t="e">
        <f>Market!$C$3*Market!$E$3*NIFTY_OC!$D189/$C189</f>
        <v>#VALUE!</v>
      </c>
      <c r="P189" s="40" t="e">
        <f>Market!$C$3*Market!$F$3*NIFTY_OC!$D189/$C189</f>
        <v>#VALUE!</v>
      </c>
      <c r="Q189" s="40" t="e">
        <f>Market!$C$3*Market!$G$3*NIFTY_OC!$D189/$C189</f>
        <v>#VALUE!</v>
      </c>
      <c r="R189" s="40" t="e">
        <f>Market!$C$3*Market!$H$3*NIFTY_OC!$D189/$C189</f>
        <v>#VALUE!</v>
      </c>
      <c r="S189" s="40" t="e">
        <f>Market!$C$3*Market!$I$3*NIFTY_OC!$D189/$C189</f>
        <v>#VALUE!</v>
      </c>
    </row>
    <row r="190" spans="1:19">
      <c r="A190" s="39">
        <v>44455</v>
      </c>
      <c r="B190" s="38">
        <v>550</v>
      </c>
      <c r="C190" s="38">
        <v>1273.3499999999999</v>
      </c>
      <c r="D190">
        <v>0.97</v>
      </c>
      <c r="E190" s="37">
        <v>16000</v>
      </c>
      <c r="F190">
        <v>20.97</v>
      </c>
      <c r="G190" s="38">
        <v>9.3000000000000007</v>
      </c>
      <c r="H190" s="38">
        <v>-0.03</v>
      </c>
      <c r="I190" s="38">
        <v>99300</v>
      </c>
      <c r="J190" s="38">
        <v>-1.86</v>
      </c>
      <c r="K190" s="38">
        <v>2.48</v>
      </c>
      <c r="L190">
        <v>1E-4</v>
      </c>
      <c r="M190" s="41">
        <f t="shared" si="2"/>
        <v>60.722460658082973</v>
      </c>
      <c r="N190" s="40" t="e">
        <f>Market!$C$3*Market!$D$3*NIFTY_OC!$D190/$C190</f>
        <v>#VALUE!</v>
      </c>
      <c r="O190" s="40" t="e">
        <f>Market!$C$3*Market!$E$3*NIFTY_OC!$D190/$C190</f>
        <v>#VALUE!</v>
      </c>
      <c r="P190" s="40" t="e">
        <f>Market!$C$3*Market!$F$3*NIFTY_OC!$D190/$C190</f>
        <v>#VALUE!</v>
      </c>
      <c r="Q190" s="40" t="e">
        <f>Market!$C$3*Market!$G$3*NIFTY_OC!$D190/$C190</f>
        <v>#VALUE!</v>
      </c>
      <c r="R190" s="40" t="e">
        <f>Market!$C$3*Market!$H$3*NIFTY_OC!$D190/$C190</f>
        <v>#VALUE!</v>
      </c>
      <c r="S190" s="40" t="e">
        <f>Market!$C$3*Market!$I$3*NIFTY_OC!$D190/$C190</f>
        <v>#VALUE!</v>
      </c>
    </row>
    <row r="191" spans="1:19">
      <c r="A191" s="39">
        <v>44455</v>
      </c>
      <c r="B191" s="38">
        <v>0</v>
      </c>
      <c r="C191" s="38">
        <v>1226.3</v>
      </c>
      <c r="D191">
        <v>0.94</v>
      </c>
      <c r="E191" s="37">
        <v>16050</v>
      </c>
      <c r="F191">
        <v>23.48</v>
      </c>
      <c r="G191" s="38">
        <v>19.7</v>
      </c>
      <c r="H191" s="38">
        <v>-0.06</v>
      </c>
      <c r="I191" s="38">
        <v>2300</v>
      </c>
      <c r="J191" s="38">
        <v>-3.25</v>
      </c>
      <c r="K191" s="38">
        <v>3.87</v>
      </c>
      <c r="L191">
        <v>1.3999999999999999E-4</v>
      </c>
      <c r="M191" s="41">
        <f t="shared" si="2"/>
        <v>52.227427597955703</v>
      </c>
      <c r="N191" s="40" t="e">
        <f>Market!$C$3*Market!$D$3*NIFTY_OC!$D191/$C191</f>
        <v>#VALUE!</v>
      </c>
      <c r="O191" s="40" t="e">
        <f>Market!$C$3*Market!$E$3*NIFTY_OC!$D191/$C191</f>
        <v>#VALUE!</v>
      </c>
      <c r="P191" s="40" t="e">
        <f>Market!$C$3*Market!$F$3*NIFTY_OC!$D191/$C191</f>
        <v>#VALUE!</v>
      </c>
      <c r="Q191" s="40" t="e">
        <f>Market!$C$3*Market!$G$3*NIFTY_OC!$D191/$C191</f>
        <v>#VALUE!</v>
      </c>
      <c r="R191" s="40" t="e">
        <f>Market!$C$3*Market!$H$3*NIFTY_OC!$D191/$C191</f>
        <v>#VALUE!</v>
      </c>
      <c r="S191" s="40" t="e">
        <f>Market!$C$3*Market!$I$3*NIFTY_OC!$D191/$C191</f>
        <v>#VALUE!</v>
      </c>
    </row>
    <row r="192" spans="1:19">
      <c r="A192" s="39">
        <v>44455</v>
      </c>
      <c r="B192" s="38">
        <v>150</v>
      </c>
      <c r="C192" s="38">
        <v>1130</v>
      </c>
      <c r="D192">
        <v>0.96</v>
      </c>
      <c r="E192" s="37">
        <v>16100</v>
      </c>
      <c r="F192">
        <v>19.87</v>
      </c>
      <c r="G192" s="38">
        <v>10.25</v>
      </c>
      <c r="H192" s="38">
        <v>-0.04</v>
      </c>
      <c r="I192" s="38">
        <v>39600</v>
      </c>
      <c r="J192" s="38">
        <v>-1.97</v>
      </c>
      <c r="K192" s="38">
        <v>2.77</v>
      </c>
      <c r="L192">
        <v>1.2E-4</v>
      </c>
      <c r="M192" s="41">
        <f t="shared" si="2"/>
        <v>56.869652742828379</v>
      </c>
      <c r="N192" s="40" t="e">
        <f>Market!$C$3*Market!$D$3*NIFTY_OC!$D192/$C192</f>
        <v>#VALUE!</v>
      </c>
      <c r="O192" s="40" t="e">
        <f>Market!$C$3*Market!$E$3*NIFTY_OC!$D192/$C192</f>
        <v>#VALUE!</v>
      </c>
      <c r="P192" s="40" t="e">
        <f>Market!$C$3*Market!$F$3*NIFTY_OC!$D192/$C192</f>
        <v>#VALUE!</v>
      </c>
      <c r="Q192" s="40" t="e">
        <f>Market!$C$3*Market!$G$3*NIFTY_OC!$D192/$C192</f>
        <v>#VALUE!</v>
      </c>
      <c r="R192" s="40" t="e">
        <f>Market!$C$3*Market!$H$3*NIFTY_OC!$D192/$C192</f>
        <v>#VALUE!</v>
      </c>
      <c r="S192" s="40" t="e">
        <f>Market!$C$3*Market!$I$3*NIFTY_OC!$D192/$C192</f>
        <v>#VALUE!</v>
      </c>
    </row>
    <row r="193" spans="1:19">
      <c r="A193" s="39">
        <v>44455</v>
      </c>
      <c r="B193" s="38">
        <v>50</v>
      </c>
      <c r="C193" s="38">
        <v>1133.55</v>
      </c>
      <c r="D193">
        <v>0.96</v>
      </c>
      <c r="E193" s="37">
        <v>16150</v>
      </c>
      <c r="F193">
        <v>19.39</v>
      </c>
      <c r="G193" s="38">
        <v>11</v>
      </c>
      <c r="H193" s="38">
        <v>-0.04</v>
      </c>
      <c r="I193" s="38">
        <v>3150</v>
      </c>
      <c r="J193" s="38">
        <v>-2.0499999999999998</v>
      </c>
      <c r="K193" s="38">
        <v>2.96</v>
      </c>
      <c r="L193">
        <v>1.2999999999999999E-4</v>
      </c>
      <c r="M193" s="41">
        <f t="shared" si="2"/>
        <v>58.460546673543057</v>
      </c>
      <c r="N193" s="40" t="e">
        <f>Market!$C$3*Market!$D$3*NIFTY_OC!$D193/$C193</f>
        <v>#VALUE!</v>
      </c>
      <c r="O193" s="40" t="e">
        <f>Market!$C$3*Market!$E$3*NIFTY_OC!$D193/$C193</f>
        <v>#VALUE!</v>
      </c>
      <c r="P193" s="40" t="e">
        <f>Market!$C$3*Market!$F$3*NIFTY_OC!$D193/$C193</f>
        <v>#VALUE!</v>
      </c>
      <c r="Q193" s="40" t="e">
        <f>Market!$C$3*Market!$G$3*NIFTY_OC!$D193/$C193</f>
        <v>#VALUE!</v>
      </c>
      <c r="R193" s="40" t="e">
        <f>Market!$C$3*Market!$H$3*NIFTY_OC!$D193/$C193</f>
        <v>#VALUE!</v>
      </c>
      <c r="S193" s="40" t="e">
        <f>Market!$C$3*Market!$I$3*NIFTY_OC!$D193/$C193</f>
        <v>#VALUE!</v>
      </c>
    </row>
    <row r="194" spans="1:19">
      <c r="A194" s="39">
        <v>44455</v>
      </c>
      <c r="B194" s="38">
        <v>2900</v>
      </c>
      <c r="C194" s="38">
        <v>1087.8499999999999</v>
      </c>
      <c r="D194">
        <v>0.96</v>
      </c>
      <c r="E194" s="37">
        <v>16200</v>
      </c>
      <c r="F194">
        <v>18.82</v>
      </c>
      <c r="G194" s="38">
        <v>11.55</v>
      </c>
      <c r="H194" s="38">
        <v>-0.04</v>
      </c>
      <c r="I194" s="38">
        <v>50350</v>
      </c>
      <c r="J194" s="38">
        <v>-2.11</v>
      </c>
      <c r="K194" s="38">
        <v>3.13</v>
      </c>
      <c r="L194">
        <v>1.4999999999999999E-4</v>
      </c>
      <c r="M194" s="41">
        <f t="shared" si="2"/>
        <v>57.802869287991491</v>
      </c>
      <c r="N194" s="40" t="e">
        <f>Market!$C$3*Market!$D$3*NIFTY_OC!$D194/$C194</f>
        <v>#VALUE!</v>
      </c>
      <c r="O194" s="40" t="e">
        <f>Market!$C$3*Market!$E$3*NIFTY_OC!$D194/$C194</f>
        <v>#VALUE!</v>
      </c>
      <c r="P194" s="40" t="e">
        <f>Market!$C$3*Market!$F$3*NIFTY_OC!$D194/$C194</f>
        <v>#VALUE!</v>
      </c>
      <c r="Q194" s="40" t="e">
        <f>Market!$C$3*Market!$G$3*NIFTY_OC!$D194/$C194</f>
        <v>#VALUE!</v>
      </c>
      <c r="R194" s="40" t="e">
        <f>Market!$C$3*Market!$H$3*NIFTY_OC!$D194/$C194</f>
        <v>#VALUE!</v>
      </c>
      <c r="S194" s="40" t="e">
        <f>Market!$C$3*Market!$I$3*NIFTY_OC!$D194/$C194</f>
        <v>#VALUE!</v>
      </c>
    </row>
    <row r="195" spans="1:19">
      <c r="A195" s="39">
        <v>44455</v>
      </c>
      <c r="B195" s="38">
        <v>50</v>
      </c>
      <c r="C195" s="38">
        <v>1042.7</v>
      </c>
      <c r="D195">
        <v>0.95</v>
      </c>
      <c r="E195" s="37">
        <v>16250</v>
      </c>
      <c r="F195">
        <v>18.12</v>
      </c>
      <c r="G195" s="38">
        <v>11.75</v>
      </c>
      <c r="H195" s="38">
        <v>-0.05</v>
      </c>
      <c r="I195" s="38">
        <v>4550</v>
      </c>
      <c r="J195" s="38">
        <v>-2.11</v>
      </c>
      <c r="K195" s="38">
        <v>3.26</v>
      </c>
      <c r="L195">
        <v>1.6000000000000001E-4</v>
      </c>
      <c r="M195" s="41">
        <f t="shared" ref="M195:M258" si="3">C195/F195</f>
        <v>57.544150110375277</v>
      </c>
      <c r="N195" s="40" t="e">
        <f>Market!$C$3*Market!$D$3*NIFTY_OC!$D195/$C195</f>
        <v>#VALUE!</v>
      </c>
      <c r="O195" s="40" t="e">
        <f>Market!$C$3*Market!$E$3*NIFTY_OC!$D195/$C195</f>
        <v>#VALUE!</v>
      </c>
      <c r="P195" s="40" t="e">
        <f>Market!$C$3*Market!$F$3*NIFTY_OC!$D195/$C195</f>
        <v>#VALUE!</v>
      </c>
      <c r="Q195" s="40" t="e">
        <f>Market!$C$3*Market!$G$3*NIFTY_OC!$D195/$C195</f>
        <v>#VALUE!</v>
      </c>
      <c r="R195" s="40" t="e">
        <f>Market!$C$3*Market!$H$3*NIFTY_OC!$D195/$C195</f>
        <v>#VALUE!</v>
      </c>
      <c r="S195" s="40" t="e">
        <f>Market!$C$3*Market!$I$3*NIFTY_OC!$D195/$C195</f>
        <v>#VALUE!</v>
      </c>
    </row>
    <row r="196" spans="1:19">
      <c r="A196" s="39">
        <v>44455</v>
      </c>
      <c r="B196" s="38">
        <v>450</v>
      </c>
      <c r="C196" s="38">
        <v>998.2</v>
      </c>
      <c r="D196">
        <v>0.95</v>
      </c>
      <c r="E196" s="37">
        <v>16300</v>
      </c>
      <c r="F196">
        <v>17.48</v>
      </c>
      <c r="G196" s="38">
        <v>12.15</v>
      </c>
      <c r="H196" s="38">
        <v>-0.05</v>
      </c>
      <c r="I196" s="38">
        <v>60800</v>
      </c>
      <c r="J196" s="38">
        <v>-2.13</v>
      </c>
      <c r="K196" s="38">
        <v>3.42</v>
      </c>
      <c r="L196">
        <v>1.7000000000000001E-4</v>
      </c>
      <c r="M196" s="41">
        <f t="shared" si="3"/>
        <v>57.10526315789474</v>
      </c>
      <c r="N196" s="40" t="e">
        <f>Market!$C$3*Market!$D$3*NIFTY_OC!$D196/$C196</f>
        <v>#VALUE!</v>
      </c>
      <c r="O196" s="40" t="e">
        <f>Market!$C$3*Market!$E$3*NIFTY_OC!$D196/$C196</f>
        <v>#VALUE!</v>
      </c>
      <c r="P196" s="40" t="e">
        <f>Market!$C$3*Market!$F$3*NIFTY_OC!$D196/$C196</f>
        <v>#VALUE!</v>
      </c>
      <c r="Q196" s="40" t="e">
        <f>Market!$C$3*Market!$G$3*NIFTY_OC!$D196/$C196</f>
        <v>#VALUE!</v>
      </c>
      <c r="R196" s="40" t="e">
        <f>Market!$C$3*Market!$H$3*NIFTY_OC!$D196/$C196</f>
        <v>#VALUE!</v>
      </c>
      <c r="S196" s="40" t="e">
        <f>Market!$C$3*Market!$I$3*NIFTY_OC!$D196/$C196</f>
        <v>#VALUE!</v>
      </c>
    </row>
    <row r="197" spans="1:19">
      <c r="A197" s="39">
        <v>44455</v>
      </c>
      <c r="B197" s="38">
        <v>100</v>
      </c>
      <c r="C197" s="38">
        <v>954.25</v>
      </c>
      <c r="D197">
        <v>0.95</v>
      </c>
      <c r="E197" s="37">
        <v>16350</v>
      </c>
      <c r="F197">
        <v>16.97</v>
      </c>
      <c r="G197" s="38">
        <v>13.1</v>
      </c>
      <c r="H197" s="38">
        <v>-0.05</v>
      </c>
      <c r="I197" s="38">
        <v>5100</v>
      </c>
      <c r="J197" s="38">
        <v>-2.23</v>
      </c>
      <c r="K197" s="38">
        <v>3.67</v>
      </c>
      <c r="L197">
        <v>1.9000000000000001E-4</v>
      </c>
      <c r="M197" s="41">
        <f t="shared" si="3"/>
        <v>56.231585150265175</v>
      </c>
      <c r="N197" s="40" t="e">
        <f>Market!$C$3*Market!$D$3*NIFTY_OC!$D197/$C197</f>
        <v>#VALUE!</v>
      </c>
      <c r="O197" s="40" t="e">
        <f>Market!$C$3*Market!$E$3*NIFTY_OC!$D197/$C197</f>
        <v>#VALUE!</v>
      </c>
      <c r="P197" s="40" t="e">
        <f>Market!$C$3*Market!$F$3*NIFTY_OC!$D197/$C197</f>
        <v>#VALUE!</v>
      </c>
      <c r="Q197" s="40" t="e">
        <f>Market!$C$3*Market!$G$3*NIFTY_OC!$D197/$C197</f>
        <v>#VALUE!</v>
      </c>
      <c r="R197" s="40" t="e">
        <f>Market!$C$3*Market!$H$3*NIFTY_OC!$D197/$C197</f>
        <v>#VALUE!</v>
      </c>
      <c r="S197" s="40" t="e">
        <f>Market!$C$3*Market!$I$3*NIFTY_OC!$D197/$C197</f>
        <v>#VALUE!</v>
      </c>
    </row>
    <row r="198" spans="1:19">
      <c r="A198" s="39">
        <v>44455</v>
      </c>
      <c r="B198" s="38">
        <v>1150</v>
      </c>
      <c r="C198" s="38">
        <v>849.5</v>
      </c>
      <c r="D198">
        <v>0.94</v>
      </c>
      <c r="E198" s="37">
        <v>16400</v>
      </c>
      <c r="F198">
        <v>16.5</v>
      </c>
      <c r="G198" s="38">
        <v>14.3</v>
      </c>
      <c r="H198" s="38">
        <v>-0.06</v>
      </c>
      <c r="I198" s="38">
        <v>61200</v>
      </c>
      <c r="J198" s="38">
        <v>-2.34</v>
      </c>
      <c r="K198" s="38">
        <v>3.97</v>
      </c>
      <c r="L198">
        <v>2.1000000000000001E-4</v>
      </c>
      <c r="M198" s="41">
        <f t="shared" si="3"/>
        <v>51.484848484848484</v>
      </c>
      <c r="N198" s="40" t="e">
        <f>Market!$C$3*Market!$D$3*NIFTY_OC!$D198/$C198</f>
        <v>#VALUE!</v>
      </c>
      <c r="O198" s="40" t="e">
        <f>Market!$C$3*Market!$E$3*NIFTY_OC!$D198/$C198</f>
        <v>#VALUE!</v>
      </c>
      <c r="P198" s="40" t="e">
        <f>Market!$C$3*Market!$F$3*NIFTY_OC!$D198/$C198</f>
        <v>#VALUE!</v>
      </c>
      <c r="Q198" s="40" t="e">
        <f>Market!$C$3*Market!$G$3*NIFTY_OC!$D198/$C198</f>
        <v>#VALUE!</v>
      </c>
      <c r="R198" s="40" t="e">
        <f>Market!$C$3*Market!$H$3*NIFTY_OC!$D198/$C198</f>
        <v>#VALUE!</v>
      </c>
      <c r="S198" s="40" t="e">
        <f>Market!$C$3*Market!$I$3*NIFTY_OC!$D198/$C198</f>
        <v>#VALUE!</v>
      </c>
    </row>
    <row r="199" spans="1:19">
      <c r="A199" s="39">
        <v>44455</v>
      </c>
      <c r="B199" s="38">
        <v>200</v>
      </c>
      <c r="C199" s="38">
        <v>868.55</v>
      </c>
      <c r="D199">
        <v>0.94</v>
      </c>
      <c r="E199" s="37">
        <v>16450</v>
      </c>
      <c r="F199">
        <v>15.85</v>
      </c>
      <c r="G199" s="38">
        <v>14.9</v>
      </c>
      <c r="H199" s="38">
        <v>-0.06</v>
      </c>
      <c r="I199" s="38">
        <v>6350</v>
      </c>
      <c r="J199" s="38">
        <v>-2.37</v>
      </c>
      <c r="K199" s="38">
        <v>4.1900000000000004</v>
      </c>
      <c r="L199">
        <v>2.3000000000000001E-4</v>
      </c>
      <c r="M199" s="41">
        <f t="shared" si="3"/>
        <v>54.798107255520506</v>
      </c>
      <c r="N199" s="40" t="e">
        <f>Market!$C$3*Market!$D$3*NIFTY_OC!$D199/$C199</f>
        <v>#VALUE!</v>
      </c>
      <c r="O199" s="40" t="e">
        <f>Market!$C$3*Market!$E$3*NIFTY_OC!$D199/$C199</f>
        <v>#VALUE!</v>
      </c>
      <c r="P199" s="40" t="e">
        <f>Market!$C$3*Market!$F$3*NIFTY_OC!$D199/$C199</f>
        <v>#VALUE!</v>
      </c>
      <c r="Q199" s="40" t="e">
        <f>Market!$C$3*Market!$G$3*NIFTY_OC!$D199/$C199</f>
        <v>#VALUE!</v>
      </c>
      <c r="R199" s="40" t="e">
        <f>Market!$C$3*Market!$H$3*NIFTY_OC!$D199/$C199</f>
        <v>#VALUE!</v>
      </c>
      <c r="S199" s="40" t="e">
        <f>Market!$C$3*Market!$I$3*NIFTY_OC!$D199/$C199</f>
        <v>#VALUE!</v>
      </c>
    </row>
    <row r="200" spans="1:19">
      <c r="A200" s="39">
        <v>44455</v>
      </c>
      <c r="B200" s="38">
        <v>3200</v>
      </c>
      <c r="C200" s="38">
        <v>746.5</v>
      </c>
      <c r="D200">
        <v>0.93</v>
      </c>
      <c r="E200" s="37">
        <v>16500</v>
      </c>
      <c r="F200">
        <v>15.52</v>
      </c>
      <c r="G200" s="38">
        <v>17</v>
      </c>
      <c r="H200" s="38">
        <v>-7.0000000000000007E-2</v>
      </c>
      <c r="I200" s="38">
        <v>299900</v>
      </c>
      <c r="J200" s="38">
        <v>-2.57</v>
      </c>
      <c r="K200" s="38">
        <v>4.6399999999999997</v>
      </c>
      <c r="L200">
        <v>2.5999999999999998E-4</v>
      </c>
      <c r="M200" s="41">
        <f t="shared" si="3"/>
        <v>48.09922680412371</v>
      </c>
      <c r="N200" s="40" t="e">
        <f>Market!$C$3*Market!$D$3*NIFTY_OC!$D200/$C200</f>
        <v>#VALUE!</v>
      </c>
      <c r="O200" s="40" t="e">
        <f>Market!$C$3*Market!$E$3*NIFTY_OC!$D200/$C200</f>
        <v>#VALUE!</v>
      </c>
      <c r="P200" s="40" t="e">
        <f>Market!$C$3*Market!$F$3*NIFTY_OC!$D200/$C200</f>
        <v>#VALUE!</v>
      </c>
      <c r="Q200" s="40" t="e">
        <f>Market!$C$3*Market!$G$3*NIFTY_OC!$D200/$C200</f>
        <v>#VALUE!</v>
      </c>
      <c r="R200" s="40" t="e">
        <f>Market!$C$3*Market!$H$3*NIFTY_OC!$D200/$C200</f>
        <v>#VALUE!</v>
      </c>
      <c r="S200" s="40" t="e">
        <f>Market!$C$3*Market!$I$3*NIFTY_OC!$D200/$C200</f>
        <v>#VALUE!</v>
      </c>
    </row>
    <row r="201" spans="1:19">
      <c r="A201" s="39">
        <v>44455</v>
      </c>
      <c r="B201" s="38">
        <v>750</v>
      </c>
      <c r="C201" s="38">
        <v>785.95</v>
      </c>
      <c r="D201">
        <v>0.92</v>
      </c>
      <c r="E201" s="37">
        <v>16550</v>
      </c>
      <c r="F201">
        <v>14.97</v>
      </c>
      <c r="G201" s="38">
        <v>18.399999999999999</v>
      </c>
      <c r="H201" s="38">
        <v>-0.08</v>
      </c>
      <c r="I201" s="38">
        <v>15700</v>
      </c>
      <c r="J201" s="38">
        <v>-2.67</v>
      </c>
      <c r="K201" s="38">
        <v>4.99</v>
      </c>
      <c r="L201">
        <v>2.9E-4</v>
      </c>
      <c r="M201" s="41">
        <f t="shared" si="3"/>
        <v>52.50167000668003</v>
      </c>
      <c r="N201" s="40" t="e">
        <f>Market!$C$3*Market!$D$3*NIFTY_OC!$D201/$C201</f>
        <v>#VALUE!</v>
      </c>
      <c r="O201" s="40" t="e">
        <f>Market!$C$3*Market!$E$3*NIFTY_OC!$D201/$C201</f>
        <v>#VALUE!</v>
      </c>
      <c r="P201" s="40" t="e">
        <f>Market!$C$3*Market!$F$3*NIFTY_OC!$D201/$C201</f>
        <v>#VALUE!</v>
      </c>
      <c r="Q201" s="40" t="e">
        <f>Market!$C$3*Market!$G$3*NIFTY_OC!$D201/$C201</f>
        <v>#VALUE!</v>
      </c>
      <c r="R201" s="40" t="e">
        <f>Market!$C$3*Market!$H$3*NIFTY_OC!$D201/$C201</f>
        <v>#VALUE!</v>
      </c>
      <c r="S201" s="40" t="e">
        <f>Market!$C$3*Market!$I$3*NIFTY_OC!$D201/$C201</f>
        <v>#VALUE!</v>
      </c>
    </row>
    <row r="202" spans="1:19">
      <c r="A202" s="39">
        <v>44455</v>
      </c>
      <c r="B202" s="38">
        <v>10450</v>
      </c>
      <c r="C202" s="38">
        <v>649.45000000000005</v>
      </c>
      <c r="D202">
        <v>0.91</v>
      </c>
      <c r="E202" s="37">
        <v>16600</v>
      </c>
      <c r="F202">
        <v>14.56</v>
      </c>
      <c r="G202" s="38">
        <v>20.7</v>
      </c>
      <c r="H202" s="38">
        <v>-0.09</v>
      </c>
      <c r="I202" s="38">
        <v>451650</v>
      </c>
      <c r="J202" s="38">
        <v>-2.85</v>
      </c>
      <c r="K202" s="38">
        <v>5.47</v>
      </c>
      <c r="L202">
        <v>3.3E-4</v>
      </c>
      <c r="M202" s="41">
        <f t="shared" si="3"/>
        <v>44.605082417582416</v>
      </c>
      <c r="N202" s="40" t="e">
        <f>Market!$C$3*Market!$D$3*NIFTY_OC!$D202/$C202</f>
        <v>#VALUE!</v>
      </c>
      <c r="O202" s="40" t="e">
        <f>Market!$C$3*Market!$E$3*NIFTY_OC!$D202/$C202</f>
        <v>#VALUE!</v>
      </c>
      <c r="P202" s="40" t="e">
        <f>Market!$C$3*Market!$F$3*NIFTY_OC!$D202/$C202</f>
        <v>#VALUE!</v>
      </c>
      <c r="Q202" s="40" t="e">
        <f>Market!$C$3*Market!$G$3*NIFTY_OC!$D202/$C202</f>
        <v>#VALUE!</v>
      </c>
      <c r="R202" s="40" t="e">
        <f>Market!$C$3*Market!$H$3*NIFTY_OC!$D202/$C202</f>
        <v>#VALUE!</v>
      </c>
      <c r="S202" s="40" t="e">
        <f>Market!$C$3*Market!$I$3*NIFTY_OC!$D202/$C202</f>
        <v>#VALUE!</v>
      </c>
    </row>
    <row r="203" spans="1:19">
      <c r="A203" s="39">
        <v>44455</v>
      </c>
      <c r="B203" s="38">
        <v>2400</v>
      </c>
      <c r="C203" s="38">
        <v>706.85</v>
      </c>
      <c r="D203">
        <v>0.9</v>
      </c>
      <c r="E203" s="37">
        <v>16650</v>
      </c>
      <c r="F203">
        <v>14.27</v>
      </c>
      <c r="G203" s="38">
        <v>24.1</v>
      </c>
      <c r="H203" s="38">
        <v>-0.1</v>
      </c>
      <c r="I203" s="38">
        <v>24750</v>
      </c>
      <c r="J203" s="38">
        <v>-3.1</v>
      </c>
      <c r="K203" s="38">
        <v>6.08</v>
      </c>
      <c r="L203">
        <v>3.6999999999999999E-4</v>
      </c>
      <c r="M203" s="41">
        <f t="shared" si="3"/>
        <v>49.533987386124743</v>
      </c>
      <c r="N203" s="40" t="e">
        <f>Market!$C$3*Market!$D$3*NIFTY_OC!$D203/$C203</f>
        <v>#VALUE!</v>
      </c>
      <c r="O203" s="40" t="e">
        <f>Market!$C$3*Market!$E$3*NIFTY_OC!$D203/$C203</f>
        <v>#VALUE!</v>
      </c>
      <c r="P203" s="40" t="e">
        <f>Market!$C$3*Market!$F$3*NIFTY_OC!$D203/$C203</f>
        <v>#VALUE!</v>
      </c>
      <c r="Q203" s="40" t="e">
        <f>Market!$C$3*Market!$G$3*NIFTY_OC!$D203/$C203</f>
        <v>#VALUE!</v>
      </c>
      <c r="R203" s="40" t="e">
        <f>Market!$C$3*Market!$H$3*NIFTY_OC!$D203/$C203</f>
        <v>#VALUE!</v>
      </c>
      <c r="S203" s="40" t="e">
        <f>Market!$C$3*Market!$I$3*NIFTY_OC!$D203/$C203</f>
        <v>#VALUE!</v>
      </c>
    </row>
    <row r="204" spans="1:19">
      <c r="A204" s="39">
        <v>44455</v>
      </c>
      <c r="B204" s="38">
        <v>10100</v>
      </c>
      <c r="C204" s="38">
        <v>557.25</v>
      </c>
      <c r="D204">
        <v>0.88</v>
      </c>
      <c r="E204" s="37">
        <v>16700</v>
      </c>
      <c r="F204">
        <v>13.91</v>
      </c>
      <c r="G204" s="38">
        <v>27.6</v>
      </c>
      <c r="H204" s="38">
        <v>-0.12</v>
      </c>
      <c r="I204" s="38">
        <v>333150</v>
      </c>
      <c r="J204" s="38">
        <v>-3.32</v>
      </c>
      <c r="K204" s="38">
        <v>6.69</v>
      </c>
      <c r="L204">
        <v>4.2000000000000002E-4</v>
      </c>
      <c r="M204" s="41">
        <f t="shared" si="3"/>
        <v>40.061107117181884</v>
      </c>
      <c r="N204" s="40" t="e">
        <f>Market!$C$3*Market!$D$3*NIFTY_OC!$D204/$C204</f>
        <v>#VALUE!</v>
      </c>
      <c r="O204" s="40" t="e">
        <f>Market!$C$3*Market!$E$3*NIFTY_OC!$D204/$C204</f>
        <v>#VALUE!</v>
      </c>
      <c r="P204" s="40" t="e">
        <f>Market!$C$3*Market!$F$3*NIFTY_OC!$D204/$C204</f>
        <v>#VALUE!</v>
      </c>
      <c r="Q204" s="40" t="e">
        <f>Market!$C$3*Market!$G$3*NIFTY_OC!$D204/$C204</f>
        <v>#VALUE!</v>
      </c>
      <c r="R204" s="40" t="e">
        <f>Market!$C$3*Market!$H$3*NIFTY_OC!$D204/$C204</f>
        <v>#VALUE!</v>
      </c>
      <c r="S204" s="40" t="e">
        <f>Market!$C$3*Market!$I$3*NIFTY_OC!$D204/$C204</f>
        <v>#VALUE!</v>
      </c>
    </row>
    <row r="205" spans="1:19">
      <c r="A205" s="39">
        <v>44455</v>
      </c>
      <c r="B205" s="38">
        <v>2700</v>
      </c>
      <c r="C205" s="38">
        <v>505.7</v>
      </c>
      <c r="D205">
        <v>0.86</v>
      </c>
      <c r="E205" s="37">
        <v>16750</v>
      </c>
      <c r="F205">
        <v>13.55</v>
      </c>
      <c r="G205" s="38">
        <v>31.65</v>
      </c>
      <c r="H205" s="38">
        <v>-0.14000000000000001</v>
      </c>
      <c r="I205" s="38">
        <v>15450</v>
      </c>
      <c r="J205" s="38">
        <v>-3.55</v>
      </c>
      <c r="K205" s="38">
        <v>7.34</v>
      </c>
      <c r="L205">
        <v>4.8000000000000001E-4</v>
      </c>
      <c r="M205" s="41">
        <f t="shared" si="3"/>
        <v>37.321033210332104</v>
      </c>
      <c r="N205" s="40" t="e">
        <f>Market!$C$3*Market!$D$3*NIFTY_OC!$D205/$C205</f>
        <v>#VALUE!</v>
      </c>
      <c r="O205" s="40" t="e">
        <f>Market!$C$3*Market!$E$3*NIFTY_OC!$D205/$C205</f>
        <v>#VALUE!</v>
      </c>
      <c r="P205" s="40" t="e">
        <f>Market!$C$3*Market!$F$3*NIFTY_OC!$D205/$C205</f>
        <v>#VALUE!</v>
      </c>
      <c r="Q205" s="40" t="e">
        <f>Market!$C$3*Market!$G$3*NIFTY_OC!$D205/$C205</f>
        <v>#VALUE!</v>
      </c>
      <c r="R205" s="40" t="e">
        <f>Market!$C$3*Market!$H$3*NIFTY_OC!$D205/$C205</f>
        <v>#VALUE!</v>
      </c>
      <c r="S205" s="40" t="e">
        <f>Market!$C$3*Market!$I$3*NIFTY_OC!$D205/$C205</f>
        <v>#VALUE!</v>
      </c>
    </row>
    <row r="206" spans="1:19">
      <c r="A206" s="39">
        <v>44455</v>
      </c>
      <c r="B206" s="38">
        <v>19800</v>
      </c>
      <c r="C206" s="38">
        <v>465.85</v>
      </c>
      <c r="D206">
        <v>0.84</v>
      </c>
      <c r="E206" s="37">
        <v>16800</v>
      </c>
      <c r="F206">
        <v>13.29</v>
      </c>
      <c r="G206" s="38">
        <v>37.299999999999997</v>
      </c>
      <c r="H206" s="38">
        <v>-0.16</v>
      </c>
      <c r="I206" s="38">
        <v>253100</v>
      </c>
      <c r="J206" s="38">
        <v>-3.85</v>
      </c>
      <c r="K206" s="38">
        <v>8.11</v>
      </c>
      <c r="L206">
        <v>5.2999999999999998E-4</v>
      </c>
      <c r="M206" s="41">
        <f t="shared" si="3"/>
        <v>35.052671181339356</v>
      </c>
      <c r="N206" s="40" t="e">
        <f>Market!$C$3*Market!$D$3*NIFTY_OC!$D206/$C206</f>
        <v>#VALUE!</v>
      </c>
      <c r="O206" s="40" t="e">
        <f>Market!$C$3*Market!$E$3*NIFTY_OC!$D206/$C206</f>
        <v>#VALUE!</v>
      </c>
      <c r="P206" s="40" t="e">
        <f>Market!$C$3*Market!$F$3*NIFTY_OC!$D206/$C206</f>
        <v>#VALUE!</v>
      </c>
      <c r="Q206" s="40" t="e">
        <f>Market!$C$3*Market!$G$3*NIFTY_OC!$D206/$C206</f>
        <v>#VALUE!</v>
      </c>
      <c r="R206" s="40" t="e">
        <f>Market!$C$3*Market!$H$3*NIFTY_OC!$D206/$C206</f>
        <v>#VALUE!</v>
      </c>
      <c r="S206" s="40" t="e">
        <f>Market!$C$3*Market!$I$3*NIFTY_OC!$D206/$C206</f>
        <v>#VALUE!</v>
      </c>
    </row>
    <row r="207" spans="1:19">
      <c r="A207" s="39">
        <v>44455</v>
      </c>
      <c r="B207" s="38">
        <v>2950</v>
      </c>
      <c r="C207" s="38">
        <v>430.9</v>
      </c>
      <c r="D207">
        <v>0.82</v>
      </c>
      <c r="E207" s="37">
        <v>16850</v>
      </c>
      <c r="F207">
        <v>13.03</v>
      </c>
      <c r="G207" s="38">
        <v>43.85</v>
      </c>
      <c r="H207" s="38">
        <v>-0.18</v>
      </c>
      <c r="I207" s="38">
        <v>35450</v>
      </c>
      <c r="J207" s="38">
        <v>-4.1399999999999997</v>
      </c>
      <c r="K207" s="38">
        <v>8.9</v>
      </c>
      <c r="L207">
        <v>5.9999999999999995E-4</v>
      </c>
      <c r="M207" s="41">
        <f t="shared" si="3"/>
        <v>33.06983883346124</v>
      </c>
      <c r="N207" s="40" t="e">
        <f>Market!$C$3*Market!$D$3*NIFTY_OC!$D207/$C207</f>
        <v>#VALUE!</v>
      </c>
      <c r="O207" s="40" t="e">
        <f>Market!$C$3*Market!$E$3*NIFTY_OC!$D207/$C207</f>
        <v>#VALUE!</v>
      </c>
      <c r="P207" s="40" t="e">
        <f>Market!$C$3*Market!$F$3*NIFTY_OC!$D207/$C207</f>
        <v>#VALUE!</v>
      </c>
      <c r="Q207" s="40" t="e">
        <f>Market!$C$3*Market!$G$3*NIFTY_OC!$D207/$C207</f>
        <v>#VALUE!</v>
      </c>
      <c r="R207" s="40" t="e">
        <f>Market!$C$3*Market!$H$3*NIFTY_OC!$D207/$C207</f>
        <v>#VALUE!</v>
      </c>
      <c r="S207" s="40" t="e">
        <f>Market!$C$3*Market!$I$3*NIFTY_OC!$D207/$C207</f>
        <v>#VALUE!</v>
      </c>
    </row>
    <row r="208" spans="1:19">
      <c r="A208" s="39">
        <v>44455</v>
      </c>
      <c r="B208" s="38">
        <v>32950</v>
      </c>
      <c r="C208" s="38">
        <v>385.75</v>
      </c>
      <c r="D208">
        <v>0.79</v>
      </c>
      <c r="E208" s="37">
        <v>16900</v>
      </c>
      <c r="F208">
        <v>12.77</v>
      </c>
      <c r="G208" s="38">
        <v>51.5</v>
      </c>
      <c r="H208" s="38">
        <v>-0.21</v>
      </c>
      <c r="I208" s="38">
        <v>218300</v>
      </c>
      <c r="J208" s="38">
        <v>-4.42</v>
      </c>
      <c r="K208" s="38">
        <v>9.6999999999999993</v>
      </c>
      <c r="L208">
        <v>6.7000000000000002E-4</v>
      </c>
      <c r="M208" s="41">
        <f t="shared" si="3"/>
        <v>30.207517619420518</v>
      </c>
      <c r="N208" s="40" t="e">
        <f>Market!$C$3*Market!$D$3*NIFTY_OC!$D208/$C208</f>
        <v>#VALUE!</v>
      </c>
      <c r="O208" s="40" t="e">
        <f>Market!$C$3*Market!$E$3*NIFTY_OC!$D208/$C208</f>
        <v>#VALUE!</v>
      </c>
      <c r="P208" s="40" t="e">
        <f>Market!$C$3*Market!$F$3*NIFTY_OC!$D208/$C208</f>
        <v>#VALUE!</v>
      </c>
      <c r="Q208" s="40" t="e">
        <f>Market!$C$3*Market!$G$3*NIFTY_OC!$D208/$C208</f>
        <v>#VALUE!</v>
      </c>
      <c r="R208" s="40" t="e">
        <f>Market!$C$3*Market!$H$3*NIFTY_OC!$D208/$C208</f>
        <v>#VALUE!</v>
      </c>
      <c r="S208" s="40" t="e">
        <f>Market!$C$3*Market!$I$3*NIFTY_OC!$D208/$C208</f>
        <v>#VALUE!</v>
      </c>
    </row>
    <row r="209" spans="1:19">
      <c r="A209" s="39">
        <v>44455</v>
      </c>
      <c r="B209" s="38">
        <v>2000</v>
      </c>
      <c r="C209" s="38">
        <v>337.75</v>
      </c>
      <c r="D209">
        <v>0.76</v>
      </c>
      <c r="E209" s="37">
        <v>16950</v>
      </c>
      <c r="F209">
        <v>12.62</v>
      </c>
      <c r="G209" s="38">
        <v>61.55</v>
      </c>
      <c r="H209" s="38">
        <v>-0.24</v>
      </c>
      <c r="I209" s="38">
        <v>28100</v>
      </c>
      <c r="J209" s="38">
        <v>-4.75</v>
      </c>
      <c r="K209" s="38">
        <v>10.54</v>
      </c>
      <c r="L209">
        <v>7.2999999999999996E-4</v>
      </c>
      <c r="M209" s="41">
        <f t="shared" si="3"/>
        <v>26.763074484944536</v>
      </c>
      <c r="N209" s="40" t="e">
        <f>Market!$C$3*Market!$D$3*NIFTY_OC!$D209/$C209</f>
        <v>#VALUE!</v>
      </c>
      <c r="O209" s="40" t="e">
        <f>Market!$C$3*Market!$E$3*NIFTY_OC!$D209/$C209</f>
        <v>#VALUE!</v>
      </c>
      <c r="P209" s="40" t="e">
        <f>Market!$C$3*Market!$F$3*NIFTY_OC!$D209/$C209</f>
        <v>#VALUE!</v>
      </c>
      <c r="Q209" s="40" t="e">
        <f>Market!$C$3*Market!$G$3*NIFTY_OC!$D209/$C209</f>
        <v>#VALUE!</v>
      </c>
      <c r="R209" s="40" t="e">
        <f>Market!$C$3*Market!$H$3*NIFTY_OC!$D209/$C209</f>
        <v>#VALUE!</v>
      </c>
      <c r="S209" s="40" t="e">
        <f>Market!$C$3*Market!$I$3*NIFTY_OC!$D209/$C209</f>
        <v>#VALUE!</v>
      </c>
    </row>
    <row r="210" spans="1:19">
      <c r="A210" s="39">
        <v>44455</v>
      </c>
      <c r="B210" s="38">
        <v>57300</v>
      </c>
      <c r="C210" s="38">
        <v>306.2</v>
      </c>
      <c r="D210">
        <v>0.72</v>
      </c>
      <c r="E210" s="37">
        <v>17000</v>
      </c>
      <c r="F210">
        <v>12.52</v>
      </c>
      <c r="G210" s="38">
        <v>73.95</v>
      </c>
      <c r="H210" s="38">
        <v>-0.28000000000000003</v>
      </c>
      <c r="I210" s="38">
        <v>224500</v>
      </c>
      <c r="J210" s="38">
        <v>-5.08</v>
      </c>
      <c r="K210" s="38">
        <v>11.35</v>
      </c>
      <c r="L210">
        <v>7.9000000000000001E-4</v>
      </c>
      <c r="M210" s="41">
        <f t="shared" si="3"/>
        <v>24.456869009584665</v>
      </c>
      <c r="N210" s="40" t="e">
        <f>Market!$C$3*Market!$D$3*NIFTY_OC!$D210/$C210</f>
        <v>#VALUE!</v>
      </c>
      <c r="O210" s="40" t="e">
        <f>Market!$C$3*Market!$E$3*NIFTY_OC!$D210/$C210</f>
        <v>#VALUE!</v>
      </c>
      <c r="P210" s="40" t="e">
        <f>Market!$C$3*Market!$F$3*NIFTY_OC!$D210/$C210</f>
        <v>#VALUE!</v>
      </c>
      <c r="Q210" s="40" t="e">
        <f>Market!$C$3*Market!$G$3*NIFTY_OC!$D210/$C210</f>
        <v>#VALUE!</v>
      </c>
      <c r="R210" s="40" t="e">
        <f>Market!$C$3*Market!$H$3*NIFTY_OC!$D210/$C210</f>
        <v>#VALUE!</v>
      </c>
      <c r="S210" s="40" t="e">
        <f>Market!$C$3*Market!$I$3*NIFTY_OC!$D210/$C210</f>
        <v>#VALUE!</v>
      </c>
    </row>
    <row r="211" spans="1:19">
      <c r="A211" s="39">
        <v>44455</v>
      </c>
      <c r="B211" s="38">
        <v>7150</v>
      </c>
      <c r="C211" s="38">
        <v>267.3</v>
      </c>
      <c r="D211">
        <v>0.68</v>
      </c>
      <c r="E211" s="37">
        <v>17050</v>
      </c>
      <c r="F211">
        <v>12.48</v>
      </c>
      <c r="G211" s="38">
        <v>88.85</v>
      </c>
      <c r="H211" s="38">
        <v>-0.32</v>
      </c>
      <c r="I211" s="38">
        <v>23100</v>
      </c>
      <c r="J211" s="38">
        <v>-5.38</v>
      </c>
      <c r="K211" s="38">
        <v>12.08</v>
      </c>
      <c r="L211">
        <v>8.4999999999999995E-4</v>
      </c>
      <c r="M211" s="41">
        <f t="shared" si="3"/>
        <v>21.41826923076923</v>
      </c>
      <c r="N211" s="40" t="e">
        <f>Market!$C$3*Market!$D$3*NIFTY_OC!$D211/$C211</f>
        <v>#VALUE!</v>
      </c>
      <c r="O211" s="40" t="e">
        <f>Market!$C$3*Market!$E$3*NIFTY_OC!$D211/$C211</f>
        <v>#VALUE!</v>
      </c>
      <c r="P211" s="40" t="e">
        <f>Market!$C$3*Market!$F$3*NIFTY_OC!$D211/$C211</f>
        <v>#VALUE!</v>
      </c>
      <c r="Q211" s="40" t="e">
        <f>Market!$C$3*Market!$G$3*NIFTY_OC!$D211/$C211</f>
        <v>#VALUE!</v>
      </c>
      <c r="R211" s="40" t="e">
        <f>Market!$C$3*Market!$H$3*NIFTY_OC!$D211/$C211</f>
        <v>#VALUE!</v>
      </c>
      <c r="S211" s="40" t="e">
        <f>Market!$C$3*Market!$I$3*NIFTY_OC!$D211/$C211</f>
        <v>#VALUE!</v>
      </c>
    </row>
    <row r="212" spans="1:19">
      <c r="A212" s="39">
        <v>44455</v>
      </c>
      <c r="B212" s="38">
        <v>175800</v>
      </c>
      <c r="C212" s="38">
        <v>237.8</v>
      </c>
      <c r="D212">
        <v>0.64</v>
      </c>
      <c r="E212" s="37">
        <v>17100</v>
      </c>
      <c r="F212">
        <v>12.33</v>
      </c>
      <c r="G212" s="38">
        <v>104.55</v>
      </c>
      <c r="H212" s="38">
        <v>-0.36</v>
      </c>
      <c r="I212" s="38">
        <v>143250</v>
      </c>
      <c r="J212" s="38">
        <v>-5.58</v>
      </c>
      <c r="K212" s="38">
        <v>12.66</v>
      </c>
      <c r="L212">
        <v>8.9999999999999998E-4</v>
      </c>
      <c r="M212" s="41">
        <f t="shared" si="3"/>
        <v>19.286293592862936</v>
      </c>
      <c r="N212" s="40" t="e">
        <f>Market!$C$3*Market!$D$3*NIFTY_OC!$D212/$C212</f>
        <v>#VALUE!</v>
      </c>
      <c r="O212" s="40" t="e">
        <f>Market!$C$3*Market!$E$3*NIFTY_OC!$D212/$C212</f>
        <v>#VALUE!</v>
      </c>
      <c r="P212" s="40" t="e">
        <f>Market!$C$3*Market!$F$3*NIFTY_OC!$D212/$C212</f>
        <v>#VALUE!</v>
      </c>
      <c r="Q212" s="40" t="e">
        <f>Market!$C$3*Market!$G$3*NIFTY_OC!$D212/$C212</f>
        <v>#VALUE!</v>
      </c>
      <c r="R212" s="40" t="e">
        <f>Market!$C$3*Market!$H$3*NIFTY_OC!$D212/$C212</f>
        <v>#VALUE!</v>
      </c>
      <c r="S212" s="40" t="e">
        <f>Market!$C$3*Market!$I$3*NIFTY_OC!$D212/$C212</f>
        <v>#VALUE!</v>
      </c>
    </row>
    <row r="213" spans="1:19">
      <c r="A213" s="39">
        <v>44455</v>
      </c>
      <c r="B213" s="38">
        <v>19750</v>
      </c>
      <c r="C213" s="38">
        <v>205.9</v>
      </c>
      <c r="D213">
        <v>0.59</v>
      </c>
      <c r="E213" s="37">
        <v>17150</v>
      </c>
      <c r="F213">
        <v>12.19</v>
      </c>
      <c r="G213" s="38">
        <v>122.45</v>
      </c>
      <c r="H213" s="38">
        <v>-0.41</v>
      </c>
      <c r="I213" s="38">
        <v>16150</v>
      </c>
      <c r="J213" s="38">
        <v>-5.71</v>
      </c>
      <c r="K213" s="38">
        <v>13.11</v>
      </c>
      <c r="L213">
        <v>9.3999999999999997E-4</v>
      </c>
      <c r="M213" s="41">
        <f t="shared" si="3"/>
        <v>16.890894175553733</v>
      </c>
      <c r="N213" s="40" t="e">
        <f>Market!$C$3*Market!$D$3*NIFTY_OC!$D213/$C213</f>
        <v>#VALUE!</v>
      </c>
      <c r="O213" s="40" t="e">
        <f>Market!$C$3*Market!$E$3*NIFTY_OC!$D213/$C213</f>
        <v>#VALUE!</v>
      </c>
      <c r="P213" s="40" t="e">
        <f>Market!$C$3*Market!$F$3*NIFTY_OC!$D213/$C213</f>
        <v>#VALUE!</v>
      </c>
      <c r="Q213" s="40" t="e">
        <f>Market!$C$3*Market!$G$3*NIFTY_OC!$D213/$C213</f>
        <v>#VALUE!</v>
      </c>
      <c r="R213" s="40" t="e">
        <f>Market!$C$3*Market!$H$3*NIFTY_OC!$D213/$C213</f>
        <v>#VALUE!</v>
      </c>
      <c r="S213" s="40" t="e">
        <f>Market!$C$3*Market!$I$3*NIFTY_OC!$D213/$C213</f>
        <v>#VALUE!</v>
      </c>
    </row>
    <row r="214" spans="1:19">
      <c r="A214" s="39">
        <v>44455</v>
      </c>
      <c r="B214" s="38">
        <v>183250</v>
      </c>
      <c r="C214" s="38">
        <v>176.5</v>
      </c>
      <c r="D214">
        <v>0.54</v>
      </c>
      <c r="E214" s="37">
        <v>17200</v>
      </c>
      <c r="F214">
        <v>12.11</v>
      </c>
      <c r="G214" s="38">
        <v>143.44999999999999</v>
      </c>
      <c r="H214" s="38">
        <v>-0.46</v>
      </c>
      <c r="I214" s="38">
        <v>126650</v>
      </c>
      <c r="J214" s="38">
        <v>-5.79</v>
      </c>
      <c r="K214" s="38">
        <v>13.39</v>
      </c>
      <c r="L214">
        <v>9.7000000000000005E-4</v>
      </c>
      <c r="M214" s="41">
        <f t="shared" si="3"/>
        <v>14.574731626754749</v>
      </c>
      <c r="N214" s="40" t="e">
        <f>Market!$C$3*Market!$D$3*NIFTY_OC!$D214/$C214</f>
        <v>#VALUE!</v>
      </c>
      <c r="O214" s="40" t="e">
        <f>Market!$C$3*Market!$E$3*NIFTY_OC!$D214/$C214</f>
        <v>#VALUE!</v>
      </c>
      <c r="P214" s="40" t="e">
        <f>Market!$C$3*Market!$F$3*NIFTY_OC!$D214/$C214</f>
        <v>#VALUE!</v>
      </c>
      <c r="Q214" s="40" t="e">
        <f>Market!$C$3*Market!$G$3*NIFTY_OC!$D214/$C214</f>
        <v>#VALUE!</v>
      </c>
      <c r="R214" s="40" t="e">
        <f>Market!$C$3*Market!$H$3*NIFTY_OC!$D214/$C214</f>
        <v>#VALUE!</v>
      </c>
      <c r="S214" s="40" t="e">
        <f>Market!$C$3*Market!$I$3*NIFTY_OC!$D214/$C214</f>
        <v>#VALUE!</v>
      </c>
    </row>
    <row r="215" spans="1:19">
      <c r="A215" s="39">
        <v>44455</v>
      </c>
      <c r="B215" s="38">
        <v>35400</v>
      </c>
      <c r="C215" s="38">
        <v>151.19999999999999</v>
      </c>
      <c r="D215">
        <v>0.5</v>
      </c>
      <c r="E215" s="37">
        <v>17250</v>
      </c>
      <c r="F215">
        <v>11.56</v>
      </c>
      <c r="G215" s="38">
        <v>169.05</v>
      </c>
      <c r="H215" s="38">
        <v>-0.5</v>
      </c>
      <c r="I215" s="38">
        <v>15250</v>
      </c>
      <c r="J215" s="38">
        <v>-5.56</v>
      </c>
      <c r="K215" s="38">
        <v>13.47</v>
      </c>
      <c r="L215">
        <v>1.0200000000000001E-3</v>
      </c>
      <c r="M215" s="41">
        <f t="shared" si="3"/>
        <v>13.079584775086504</v>
      </c>
      <c r="N215" s="40" t="e">
        <f>Market!$C$3*Market!$D$3*NIFTY_OC!$D215/$C215</f>
        <v>#VALUE!</v>
      </c>
      <c r="O215" s="40" t="e">
        <f>Market!$C$3*Market!$E$3*NIFTY_OC!$D215/$C215</f>
        <v>#VALUE!</v>
      </c>
      <c r="P215" s="40" t="e">
        <f>Market!$C$3*Market!$F$3*NIFTY_OC!$D215/$C215</f>
        <v>#VALUE!</v>
      </c>
      <c r="Q215" s="40" t="e">
        <f>Market!$C$3*Market!$G$3*NIFTY_OC!$D215/$C215</f>
        <v>#VALUE!</v>
      </c>
      <c r="R215" s="40" t="e">
        <f>Market!$C$3*Market!$H$3*NIFTY_OC!$D215/$C215</f>
        <v>#VALUE!</v>
      </c>
      <c r="S215" s="40" t="e">
        <f>Market!$C$3*Market!$I$3*NIFTY_OC!$D215/$C215</f>
        <v>#VALUE!</v>
      </c>
    </row>
    <row r="216" spans="1:19">
      <c r="A216" s="39">
        <v>44455</v>
      </c>
      <c r="B216" s="38">
        <v>144350</v>
      </c>
      <c r="C216" s="38">
        <v>128.4</v>
      </c>
      <c r="D216">
        <v>0.44</v>
      </c>
      <c r="E216" s="37">
        <v>17300</v>
      </c>
      <c r="F216">
        <v>11.58</v>
      </c>
      <c r="G216" s="38">
        <v>194.95</v>
      </c>
      <c r="H216" s="38">
        <v>-0.56000000000000005</v>
      </c>
      <c r="I216" s="38">
        <v>24350</v>
      </c>
      <c r="J216" s="38">
        <v>-5.52</v>
      </c>
      <c r="K216" s="38">
        <v>13.34</v>
      </c>
      <c r="L216">
        <v>1.01E-3</v>
      </c>
      <c r="M216" s="41">
        <f t="shared" si="3"/>
        <v>11.088082901554404</v>
      </c>
      <c r="N216" s="40" t="e">
        <f>Market!$C$3*Market!$D$3*NIFTY_OC!$D216/$C216</f>
        <v>#VALUE!</v>
      </c>
      <c r="O216" s="40" t="e">
        <f>Market!$C$3*Market!$E$3*NIFTY_OC!$D216/$C216</f>
        <v>#VALUE!</v>
      </c>
      <c r="P216" s="40" t="e">
        <f>Market!$C$3*Market!$F$3*NIFTY_OC!$D216/$C216</f>
        <v>#VALUE!</v>
      </c>
      <c r="Q216" s="40" t="e">
        <f>Market!$C$3*Market!$G$3*NIFTY_OC!$D216/$C216</f>
        <v>#VALUE!</v>
      </c>
      <c r="R216" s="40" t="e">
        <f>Market!$C$3*Market!$H$3*NIFTY_OC!$D216/$C216</f>
        <v>#VALUE!</v>
      </c>
      <c r="S216" s="40" t="e">
        <f>Market!$C$3*Market!$I$3*NIFTY_OC!$D216/$C216</f>
        <v>#VALUE!</v>
      </c>
    </row>
    <row r="217" spans="1:19">
      <c r="A217" s="39">
        <v>44455</v>
      </c>
      <c r="B217" s="38">
        <v>20050</v>
      </c>
      <c r="C217" s="38">
        <v>108.3</v>
      </c>
      <c r="D217">
        <v>0.39</v>
      </c>
      <c r="E217" s="37">
        <v>17350</v>
      </c>
      <c r="F217">
        <v>11.61</v>
      </c>
      <c r="G217" s="38">
        <v>225.45</v>
      </c>
      <c r="H217" s="38">
        <v>-0.61</v>
      </c>
      <c r="I217" s="38">
        <v>1250</v>
      </c>
      <c r="J217" s="38">
        <v>-5.39</v>
      </c>
      <c r="K217" s="38">
        <v>13</v>
      </c>
      <c r="L217">
        <v>9.7999999999999997E-4</v>
      </c>
      <c r="M217" s="41">
        <f t="shared" si="3"/>
        <v>9.3281653746770026</v>
      </c>
      <c r="N217" s="40" t="e">
        <f>Market!$C$3*Market!$D$3*NIFTY_OC!$D217/$C217</f>
        <v>#VALUE!</v>
      </c>
      <c r="O217" s="40" t="e">
        <f>Market!$C$3*Market!$E$3*NIFTY_OC!$D217/$C217</f>
        <v>#VALUE!</v>
      </c>
      <c r="P217" s="40" t="e">
        <f>Market!$C$3*Market!$F$3*NIFTY_OC!$D217/$C217</f>
        <v>#VALUE!</v>
      </c>
      <c r="Q217" s="40" t="e">
        <f>Market!$C$3*Market!$G$3*NIFTY_OC!$D217/$C217</f>
        <v>#VALUE!</v>
      </c>
      <c r="R217" s="40" t="e">
        <f>Market!$C$3*Market!$H$3*NIFTY_OC!$D217/$C217</f>
        <v>#VALUE!</v>
      </c>
      <c r="S217" s="40" t="e">
        <f>Market!$C$3*Market!$I$3*NIFTY_OC!$D217/$C217</f>
        <v>#VALUE!</v>
      </c>
    </row>
    <row r="218" spans="1:19">
      <c r="A218" s="39">
        <v>44455</v>
      </c>
      <c r="B218" s="38">
        <v>237500</v>
      </c>
      <c r="C218" s="38">
        <v>90.4</v>
      </c>
      <c r="D218">
        <v>0.35</v>
      </c>
      <c r="E218" s="37">
        <v>17400</v>
      </c>
      <c r="F218">
        <v>11.63</v>
      </c>
      <c r="G218" s="38">
        <v>257.3</v>
      </c>
      <c r="H218" s="38">
        <v>-0.65</v>
      </c>
      <c r="I218" s="38">
        <v>5900</v>
      </c>
      <c r="J218" s="38">
        <v>-5.18</v>
      </c>
      <c r="K218" s="38">
        <v>12.47</v>
      </c>
      <c r="L218">
        <v>9.3999999999999997E-4</v>
      </c>
      <c r="M218" s="41">
        <f t="shared" si="3"/>
        <v>7.7730008598452276</v>
      </c>
      <c r="N218" s="40" t="e">
        <f>Market!$C$3*Market!$D$3*NIFTY_OC!$D218/$C218</f>
        <v>#VALUE!</v>
      </c>
      <c r="O218" s="40" t="e">
        <f>Market!$C$3*Market!$E$3*NIFTY_OC!$D218/$C218</f>
        <v>#VALUE!</v>
      </c>
      <c r="P218" s="40" t="e">
        <f>Market!$C$3*Market!$F$3*NIFTY_OC!$D218/$C218</f>
        <v>#VALUE!</v>
      </c>
      <c r="Q218" s="40" t="e">
        <f>Market!$C$3*Market!$G$3*NIFTY_OC!$D218/$C218</f>
        <v>#VALUE!</v>
      </c>
      <c r="R218" s="40" t="e">
        <f>Market!$C$3*Market!$H$3*NIFTY_OC!$D218/$C218</f>
        <v>#VALUE!</v>
      </c>
      <c r="S218" s="40" t="e">
        <f>Market!$C$3*Market!$I$3*NIFTY_OC!$D218/$C218</f>
        <v>#VALUE!</v>
      </c>
    </row>
    <row r="219" spans="1:19">
      <c r="A219" s="39">
        <v>44455</v>
      </c>
      <c r="B219" s="38">
        <v>23900</v>
      </c>
      <c r="C219" s="38">
        <v>74.5</v>
      </c>
      <c r="D219">
        <v>0.3</v>
      </c>
      <c r="E219" s="37">
        <v>17450</v>
      </c>
      <c r="F219">
        <v>11.62</v>
      </c>
      <c r="G219" s="38">
        <v>425.9</v>
      </c>
      <c r="H219" s="38">
        <v>-0.7</v>
      </c>
      <c r="I219" s="38">
        <v>100</v>
      </c>
      <c r="J219" s="38">
        <v>-4.8899999999999997</v>
      </c>
      <c r="K219" s="38">
        <v>11.78</v>
      </c>
      <c r="L219">
        <v>8.8999999999999995E-4</v>
      </c>
      <c r="M219" s="41">
        <f t="shared" si="3"/>
        <v>6.411359724612737</v>
      </c>
      <c r="N219" s="40" t="e">
        <f>Market!$C$3*Market!$D$3*NIFTY_OC!$D219/$C219</f>
        <v>#VALUE!</v>
      </c>
      <c r="O219" s="40" t="e">
        <f>Market!$C$3*Market!$E$3*NIFTY_OC!$D219/$C219</f>
        <v>#VALUE!</v>
      </c>
      <c r="P219" s="40" t="e">
        <f>Market!$C$3*Market!$F$3*NIFTY_OC!$D219/$C219</f>
        <v>#VALUE!</v>
      </c>
      <c r="Q219" s="40" t="e">
        <f>Market!$C$3*Market!$G$3*NIFTY_OC!$D219/$C219</f>
        <v>#VALUE!</v>
      </c>
      <c r="R219" s="40" t="e">
        <f>Market!$C$3*Market!$H$3*NIFTY_OC!$D219/$C219</f>
        <v>#VALUE!</v>
      </c>
      <c r="S219" s="40" t="e">
        <f>Market!$C$3*Market!$I$3*NIFTY_OC!$D219/$C219</f>
        <v>#VALUE!</v>
      </c>
    </row>
    <row r="220" spans="1:19">
      <c r="A220" s="39">
        <v>44455</v>
      </c>
      <c r="B220" s="38">
        <v>237800</v>
      </c>
      <c r="C220" s="38">
        <v>61.9</v>
      </c>
      <c r="D220">
        <v>0.26</v>
      </c>
      <c r="E220" s="37">
        <v>17500</v>
      </c>
      <c r="F220">
        <v>11.72</v>
      </c>
      <c r="G220" s="38">
        <v>329.35</v>
      </c>
      <c r="H220" s="38">
        <v>-0.74</v>
      </c>
      <c r="I220" s="38">
        <v>11300</v>
      </c>
      <c r="J220" s="38">
        <v>-4.5999999999999996</v>
      </c>
      <c r="K220" s="38">
        <v>10.98</v>
      </c>
      <c r="L220">
        <v>8.1999999999999998E-4</v>
      </c>
      <c r="M220" s="41">
        <f t="shared" si="3"/>
        <v>5.2815699658703066</v>
      </c>
      <c r="N220" s="40" t="e">
        <f>Market!$C$3*Market!$D$3*NIFTY_OC!$D220/$C220</f>
        <v>#VALUE!</v>
      </c>
      <c r="O220" s="40" t="e">
        <f>Market!$C$3*Market!$E$3*NIFTY_OC!$D220/$C220</f>
        <v>#VALUE!</v>
      </c>
      <c r="P220" s="40" t="e">
        <f>Market!$C$3*Market!$F$3*NIFTY_OC!$D220/$C220</f>
        <v>#VALUE!</v>
      </c>
      <c r="Q220" s="40" t="e">
        <f>Market!$C$3*Market!$G$3*NIFTY_OC!$D220/$C220</f>
        <v>#VALUE!</v>
      </c>
      <c r="R220" s="40" t="e">
        <f>Market!$C$3*Market!$H$3*NIFTY_OC!$D220/$C220</f>
        <v>#VALUE!</v>
      </c>
      <c r="S220" s="40" t="e">
        <f>Market!$C$3*Market!$I$3*NIFTY_OC!$D220/$C220</f>
        <v>#VALUE!</v>
      </c>
    </row>
    <row r="221" spans="1:19">
      <c r="A221" s="39">
        <v>44455</v>
      </c>
      <c r="B221" s="38">
        <v>25800</v>
      </c>
      <c r="C221" s="38">
        <v>50.8</v>
      </c>
      <c r="D221">
        <v>0.22</v>
      </c>
      <c r="E221" s="37">
        <v>17550</v>
      </c>
      <c r="F221">
        <v>11.78</v>
      </c>
      <c r="G221" s="38">
        <v>488.45</v>
      </c>
      <c r="H221" s="38">
        <v>-0.78</v>
      </c>
      <c r="I221" s="38">
        <v>0</v>
      </c>
      <c r="J221" s="38">
        <v>-4.25</v>
      </c>
      <c r="K221" s="38">
        <v>10.1</v>
      </c>
      <c r="L221">
        <v>7.5000000000000002E-4</v>
      </c>
      <c r="M221" s="41">
        <f t="shared" si="3"/>
        <v>4.3123938879456709</v>
      </c>
      <c r="N221" s="40" t="e">
        <f>Market!$C$3*Market!$D$3*NIFTY_OC!$D221/$C221</f>
        <v>#VALUE!</v>
      </c>
      <c r="O221" s="40" t="e">
        <f>Market!$C$3*Market!$E$3*NIFTY_OC!$D221/$C221</f>
        <v>#VALUE!</v>
      </c>
      <c r="P221" s="40" t="e">
        <f>Market!$C$3*Market!$F$3*NIFTY_OC!$D221/$C221</f>
        <v>#VALUE!</v>
      </c>
      <c r="Q221" s="40" t="e">
        <f>Market!$C$3*Market!$G$3*NIFTY_OC!$D221/$C221</f>
        <v>#VALUE!</v>
      </c>
      <c r="R221" s="40" t="e">
        <f>Market!$C$3*Market!$H$3*NIFTY_OC!$D221/$C221</f>
        <v>#VALUE!</v>
      </c>
      <c r="S221" s="40" t="e">
        <f>Market!$C$3*Market!$I$3*NIFTY_OC!$D221/$C221</f>
        <v>#VALUE!</v>
      </c>
    </row>
    <row r="222" spans="1:19">
      <c r="A222" s="39">
        <v>44455</v>
      </c>
      <c r="B222" s="38">
        <v>80650</v>
      </c>
      <c r="C222" s="38">
        <v>41.65</v>
      </c>
      <c r="D222">
        <v>0.19</v>
      </c>
      <c r="E222" s="37">
        <v>17600</v>
      </c>
      <c r="F222">
        <v>11.87</v>
      </c>
      <c r="G222" s="38">
        <v>408.5</v>
      </c>
      <c r="H222" s="38">
        <v>-0.81</v>
      </c>
      <c r="I222" s="38">
        <v>300</v>
      </c>
      <c r="J222" s="38">
        <v>-3.89</v>
      </c>
      <c r="K222" s="38">
        <v>9.18</v>
      </c>
      <c r="L222">
        <v>6.8000000000000005E-4</v>
      </c>
      <c r="M222" s="41">
        <f t="shared" si="3"/>
        <v>3.5088458298230836</v>
      </c>
      <c r="N222" s="40" t="e">
        <f>Market!$C$3*Market!$D$3*NIFTY_OC!$D222/$C222</f>
        <v>#VALUE!</v>
      </c>
      <c r="O222" s="40" t="e">
        <f>Market!$C$3*Market!$E$3*NIFTY_OC!$D222/$C222</f>
        <v>#VALUE!</v>
      </c>
      <c r="P222" s="40" t="e">
        <f>Market!$C$3*Market!$F$3*NIFTY_OC!$D222/$C222</f>
        <v>#VALUE!</v>
      </c>
      <c r="Q222" s="40" t="e">
        <f>Market!$C$3*Market!$G$3*NIFTY_OC!$D222/$C222</f>
        <v>#VALUE!</v>
      </c>
      <c r="R222" s="40" t="e">
        <f>Market!$C$3*Market!$H$3*NIFTY_OC!$D222/$C222</f>
        <v>#VALUE!</v>
      </c>
      <c r="S222" s="40" t="e">
        <f>Market!$C$3*Market!$I$3*NIFTY_OC!$D222/$C222</f>
        <v>#VALUE!</v>
      </c>
    </row>
    <row r="223" spans="1:19">
      <c r="A223" s="39">
        <v>44455</v>
      </c>
      <c r="B223" s="38">
        <v>7450</v>
      </c>
      <c r="C223" s="38">
        <v>34.1</v>
      </c>
      <c r="D223">
        <v>0.16</v>
      </c>
      <c r="E223" s="37">
        <v>17650</v>
      </c>
      <c r="F223">
        <v>11.98</v>
      </c>
      <c r="G223" s="38">
        <v>393.2</v>
      </c>
      <c r="H223" s="38">
        <v>-0.84</v>
      </c>
      <c r="I223" s="38">
        <v>150</v>
      </c>
      <c r="J223" s="38">
        <v>-3.54</v>
      </c>
      <c r="K223" s="38">
        <v>8.27</v>
      </c>
      <c r="L223">
        <v>6.0999999999999997E-4</v>
      </c>
      <c r="M223" s="41">
        <f t="shared" si="3"/>
        <v>2.8464106844741237</v>
      </c>
      <c r="N223" s="40" t="e">
        <f>Market!$C$3*Market!$D$3*NIFTY_OC!$D223/$C223</f>
        <v>#VALUE!</v>
      </c>
      <c r="O223" s="40" t="e">
        <f>Market!$C$3*Market!$E$3*NIFTY_OC!$D223/$C223</f>
        <v>#VALUE!</v>
      </c>
      <c r="P223" s="40" t="e">
        <f>Market!$C$3*Market!$F$3*NIFTY_OC!$D223/$C223</f>
        <v>#VALUE!</v>
      </c>
      <c r="Q223" s="40" t="e">
        <f>Market!$C$3*Market!$G$3*NIFTY_OC!$D223/$C223</f>
        <v>#VALUE!</v>
      </c>
      <c r="R223" s="40" t="e">
        <f>Market!$C$3*Market!$H$3*NIFTY_OC!$D223/$C223</f>
        <v>#VALUE!</v>
      </c>
      <c r="S223" s="40" t="e">
        <f>Market!$C$3*Market!$I$3*NIFTY_OC!$D223/$C223</f>
        <v>#VALUE!</v>
      </c>
    </row>
    <row r="224" spans="1:19">
      <c r="A224" s="39">
        <v>44455</v>
      </c>
      <c r="B224" s="38">
        <v>78250</v>
      </c>
      <c r="C224" s="38">
        <v>28.4</v>
      </c>
      <c r="D224">
        <v>0.14000000000000001</v>
      </c>
      <c r="E224" s="37">
        <v>17700</v>
      </c>
      <c r="F224">
        <v>12.17</v>
      </c>
      <c r="G224" s="38">
        <v>488</v>
      </c>
      <c r="H224" s="38">
        <v>-0.86</v>
      </c>
      <c r="I224" s="38">
        <v>250</v>
      </c>
      <c r="J224" s="38">
        <v>-3.23</v>
      </c>
      <c r="K224" s="38">
        <v>7.43</v>
      </c>
      <c r="L224">
        <v>5.4000000000000001E-4</v>
      </c>
      <c r="M224" s="41">
        <f t="shared" si="3"/>
        <v>2.333607230895645</v>
      </c>
      <c r="N224" s="40" t="e">
        <f>Market!$C$3*Market!$D$3*NIFTY_OC!$D224/$C224</f>
        <v>#VALUE!</v>
      </c>
      <c r="O224" s="40" t="e">
        <f>Market!$C$3*Market!$E$3*NIFTY_OC!$D224/$C224</f>
        <v>#VALUE!</v>
      </c>
      <c r="P224" s="40" t="e">
        <f>Market!$C$3*Market!$F$3*NIFTY_OC!$D224/$C224</f>
        <v>#VALUE!</v>
      </c>
      <c r="Q224" s="40" t="e">
        <f>Market!$C$3*Market!$G$3*NIFTY_OC!$D224/$C224</f>
        <v>#VALUE!</v>
      </c>
      <c r="R224" s="40" t="e">
        <f>Market!$C$3*Market!$H$3*NIFTY_OC!$D224/$C224</f>
        <v>#VALUE!</v>
      </c>
      <c r="S224" s="40" t="e">
        <f>Market!$C$3*Market!$I$3*NIFTY_OC!$D224/$C224</f>
        <v>#VALUE!</v>
      </c>
    </row>
    <row r="225" spans="1:19">
      <c r="A225" s="39">
        <v>44455</v>
      </c>
      <c r="B225" s="38">
        <v>7100</v>
      </c>
      <c r="C225" s="38">
        <v>24.15</v>
      </c>
      <c r="D225">
        <v>0.12</v>
      </c>
      <c r="E225" s="37">
        <v>17750</v>
      </c>
      <c r="F225">
        <v>12.44</v>
      </c>
      <c r="G225" s="38">
        <v>626.9</v>
      </c>
      <c r="H225" s="38">
        <v>-0.88</v>
      </c>
      <c r="I225" s="38">
        <v>50</v>
      </c>
      <c r="J225" s="38">
        <v>-2.97</v>
      </c>
      <c r="K225" s="38">
        <v>6.69</v>
      </c>
      <c r="L225">
        <v>4.6999999999999999E-4</v>
      </c>
      <c r="M225" s="41">
        <f t="shared" si="3"/>
        <v>1.9413183279742765</v>
      </c>
      <c r="N225" s="40" t="e">
        <f>Market!$C$3*Market!$D$3*NIFTY_OC!$D225/$C225</f>
        <v>#VALUE!</v>
      </c>
      <c r="O225" s="40" t="e">
        <f>Market!$C$3*Market!$E$3*NIFTY_OC!$D225/$C225</f>
        <v>#VALUE!</v>
      </c>
      <c r="P225" s="40" t="e">
        <f>Market!$C$3*Market!$F$3*NIFTY_OC!$D225/$C225</f>
        <v>#VALUE!</v>
      </c>
      <c r="Q225" s="40" t="e">
        <f>Market!$C$3*Market!$G$3*NIFTY_OC!$D225/$C225</f>
        <v>#VALUE!</v>
      </c>
      <c r="R225" s="40" t="e">
        <f>Market!$C$3*Market!$H$3*NIFTY_OC!$D225/$C225</f>
        <v>#VALUE!</v>
      </c>
      <c r="S225" s="40" t="e">
        <f>Market!$C$3*Market!$I$3*NIFTY_OC!$D225/$C225</f>
        <v>#VALUE!</v>
      </c>
    </row>
    <row r="226" spans="1:19">
      <c r="A226" s="39">
        <v>44455</v>
      </c>
      <c r="B226" s="38">
        <v>45750</v>
      </c>
      <c r="C226" s="38">
        <v>19.399999999999999</v>
      </c>
      <c r="D226">
        <v>0.1</v>
      </c>
      <c r="E226" s="37">
        <v>17800</v>
      </c>
      <c r="F226">
        <v>12.51</v>
      </c>
      <c r="G226" s="38">
        <v>664.9</v>
      </c>
      <c r="H226" s="38">
        <v>-0.9</v>
      </c>
      <c r="I226" s="38">
        <v>50</v>
      </c>
      <c r="J226" s="38">
        <v>-2.61</v>
      </c>
      <c r="K226" s="38">
        <v>5.85</v>
      </c>
      <c r="L226">
        <v>4.0999999999999999E-4</v>
      </c>
      <c r="M226" s="41">
        <f t="shared" si="3"/>
        <v>1.550759392486011</v>
      </c>
      <c r="N226" s="40" t="e">
        <f>Market!$C$3*Market!$D$3*NIFTY_OC!$D226/$C226</f>
        <v>#VALUE!</v>
      </c>
      <c r="O226" s="40" t="e">
        <f>Market!$C$3*Market!$E$3*NIFTY_OC!$D226/$C226</f>
        <v>#VALUE!</v>
      </c>
      <c r="P226" s="40" t="e">
        <f>Market!$C$3*Market!$F$3*NIFTY_OC!$D226/$C226</f>
        <v>#VALUE!</v>
      </c>
      <c r="Q226" s="40" t="e">
        <f>Market!$C$3*Market!$G$3*NIFTY_OC!$D226/$C226</f>
        <v>#VALUE!</v>
      </c>
      <c r="R226" s="40" t="e">
        <f>Market!$C$3*Market!$H$3*NIFTY_OC!$D226/$C226</f>
        <v>#VALUE!</v>
      </c>
      <c r="S226" s="40" t="e">
        <f>Market!$C$3*Market!$I$3*NIFTY_OC!$D226/$C226</f>
        <v>#VALUE!</v>
      </c>
    </row>
    <row r="227" spans="1:19">
      <c r="A227" s="39">
        <v>44455</v>
      </c>
      <c r="B227" s="38">
        <v>4400</v>
      </c>
      <c r="C227" s="38">
        <v>17.8</v>
      </c>
      <c r="D227">
        <v>0.09</v>
      </c>
      <c r="E227" s="37">
        <v>17850</v>
      </c>
      <c r="F227">
        <v>13.02</v>
      </c>
      <c r="G227" s="38">
        <v>702.35</v>
      </c>
      <c r="H227" s="38">
        <v>-0.91</v>
      </c>
      <c r="I227" s="38">
        <v>50</v>
      </c>
      <c r="J227" s="38">
        <v>-2.52</v>
      </c>
      <c r="K227" s="38">
        <v>5.42</v>
      </c>
      <c r="L227">
        <v>3.6999999999999999E-4</v>
      </c>
      <c r="M227" s="41">
        <f t="shared" si="3"/>
        <v>1.3671274961597544</v>
      </c>
      <c r="N227" s="40" t="e">
        <f>Market!$C$3*Market!$D$3*NIFTY_OC!$D227/$C227</f>
        <v>#VALUE!</v>
      </c>
      <c r="O227" s="40" t="e">
        <f>Market!$C$3*Market!$E$3*NIFTY_OC!$D227/$C227</f>
        <v>#VALUE!</v>
      </c>
      <c r="P227" s="40" t="e">
        <f>Market!$C$3*Market!$F$3*NIFTY_OC!$D227/$C227</f>
        <v>#VALUE!</v>
      </c>
      <c r="Q227" s="40" t="e">
        <f>Market!$C$3*Market!$G$3*NIFTY_OC!$D227/$C227</f>
        <v>#VALUE!</v>
      </c>
      <c r="R227" s="40" t="e">
        <f>Market!$C$3*Market!$H$3*NIFTY_OC!$D227/$C227</f>
        <v>#VALUE!</v>
      </c>
      <c r="S227" s="40" t="e">
        <f>Market!$C$3*Market!$I$3*NIFTY_OC!$D227/$C227</f>
        <v>#VALUE!</v>
      </c>
    </row>
    <row r="228" spans="1:19">
      <c r="A228" s="39">
        <v>44455</v>
      </c>
      <c r="B228" s="38">
        <v>34450</v>
      </c>
      <c r="C228" s="38">
        <v>14.35</v>
      </c>
      <c r="D228">
        <v>7.0000000000000007E-2</v>
      </c>
      <c r="E228" s="37">
        <v>17900</v>
      </c>
      <c r="F228">
        <v>13.1</v>
      </c>
      <c r="G228" s="38">
        <v>741.45</v>
      </c>
      <c r="H228" s="38">
        <v>-0.93</v>
      </c>
      <c r="I228" s="38">
        <v>50</v>
      </c>
      <c r="J228" s="38">
        <v>-2.2000000000000002</v>
      </c>
      <c r="K228" s="38">
        <v>4.71</v>
      </c>
      <c r="L228">
        <v>3.2000000000000003E-4</v>
      </c>
      <c r="M228" s="41">
        <f t="shared" si="3"/>
        <v>1.0954198473282444</v>
      </c>
      <c r="N228" s="40" t="e">
        <f>Market!$C$3*Market!$D$3*NIFTY_OC!$D228/$C228</f>
        <v>#VALUE!</v>
      </c>
      <c r="O228" s="40" t="e">
        <f>Market!$C$3*Market!$E$3*NIFTY_OC!$D228/$C228</f>
        <v>#VALUE!</v>
      </c>
      <c r="P228" s="40" t="e">
        <f>Market!$C$3*Market!$F$3*NIFTY_OC!$D228/$C228</f>
        <v>#VALUE!</v>
      </c>
      <c r="Q228" s="40" t="e">
        <f>Market!$C$3*Market!$G$3*NIFTY_OC!$D228/$C228</f>
        <v>#VALUE!</v>
      </c>
      <c r="R228" s="40" t="e">
        <f>Market!$C$3*Market!$H$3*NIFTY_OC!$D228/$C228</f>
        <v>#VALUE!</v>
      </c>
      <c r="S228" s="40" t="e">
        <f>Market!$C$3*Market!$I$3*NIFTY_OC!$D228/$C228</f>
        <v>#VALUE!</v>
      </c>
    </row>
    <row r="229" spans="1:19">
      <c r="A229" s="39">
        <v>44455</v>
      </c>
      <c r="B229" s="38">
        <v>650</v>
      </c>
      <c r="C229" s="38">
        <v>12.8</v>
      </c>
      <c r="D229">
        <v>7.0000000000000007E-2</v>
      </c>
      <c r="E229" s="37">
        <v>17950</v>
      </c>
      <c r="F229">
        <v>13.48</v>
      </c>
      <c r="G229" s="38">
        <v>781.35</v>
      </c>
      <c r="H229" s="38">
        <v>-0.93</v>
      </c>
      <c r="I229" s="38">
        <v>50</v>
      </c>
      <c r="J229" s="38">
        <v>-2.06</v>
      </c>
      <c r="K229" s="38">
        <v>4.28</v>
      </c>
      <c r="L229">
        <v>2.7999999999999998E-4</v>
      </c>
      <c r="M229" s="41">
        <f t="shared" si="3"/>
        <v>0.94955489614243327</v>
      </c>
      <c r="N229" s="40" t="e">
        <f>Market!$C$3*Market!$D$3*NIFTY_OC!$D229/$C229</f>
        <v>#VALUE!</v>
      </c>
      <c r="O229" s="40" t="e">
        <f>Market!$C$3*Market!$E$3*NIFTY_OC!$D229/$C229</f>
        <v>#VALUE!</v>
      </c>
      <c r="P229" s="40" t="e">
        <f>Market!$C$3*Market!$F$3*NIFTY_OC!$D229/$C229</f>
        <v>#VALUE!</v>
      </c>
      <c r="Q229" s="40" t="e">
        <f>Market!$C$3*Market!$G$3*NIFTY_OC!$D229/$C229</f>
        <v>#VALUE!</v>
      </c>
      <c r="R229" s="40" t="e">
        <f>Market!$C$3*Market!$H$3*NIFTY_OC!$D229/$C229</f>
        <v>#VALUE!</v>
      </c>
      <c r="S229" s="40" t="e">
        <f>Market!$C$3*Market!$I$3*NIFTY_OC!$D229/$C229</f>
        <v>#VALUE!</v>
      </c>
    </row>
    <row r="230" spans="1:19">
      <c r="A230" s="39">
        <v>44455</v>
      </c>
      <c r="B230" s="38">
        <v>79500</v>
      </c>
      <c r="C230" s="38">
        <v>10.95</v>
      </c>
      <c r="D230">
        <v>0.06</v>
      </c>
      <c r="E230" s="37">
        <v>18000</v>
      </c>
      <c r="F230">
        <v>13.73</v>
      </c>
      <c r="G230" s="38">
        <v>822.05</v>
      </c>
      <c r="H230" s="38">
        <v>-0.94</v>
      </c>
      <c r="I230" s="38">
        <v>550</v>
      </c>
      <c r="J230" s="38">
        <v>-1.87</v>
      </c>
      <c r="K230" s="38">
        <v>3.81</v>
      </c>
      <c r="L230">
        <v>2.4000000000000001E-4</v>
      </c>
      <c r="M230" s="41">
        <f t="shared" si="3"/>
        <v>0.79752367079388198</v>
      </c>
      <c r="N230" s="40" t="e">
        <f>Market!$C$3*Market!$D$3*NIFTY_OC!$D230/$C230</f>
        <v>#VALUE!</v>
      </c>
      <c r="O230" s="40" t="e">
        <f>Market!$C$3*Market!$E$3*NIFTY_OC!$D230/$C230</f>
        <v>#VALUE!</v>
      </c>
      <c r="P230" s="40" t="e">
        <f>Market!$C$3*Market!$F$3*NIFTY_OC!$D230/$C230</f>
        <v>#VALUE!</v>
      </c>
      <c r="Q230" s="40" t="e">
        <f>Market!$C$3*Market!$G$3*NIFTY_OC!$D230/$C230</f>
        <v>#VALUE!</v>
      </c>
      <c r="R230" s="40" t="e">
        <f>Market!$C$3*Market!$H$3*NIFTY_OC!$D230/$C230</f>
        <v>#VALUE!</v>
      </c>
      <c r="S230" s="40" t="e">
        <f>Market!$C$3*Market!$I$3*NIFTY_OC!$D230/$C230</f>
        <v>#VALUE!</v>
      </c>
    </row>
    <row r="231" spans="1:19">
      <c r="A231" s="39">
        <v>44455</v>
      </c>
      <c r="B231" s="38">
        <v>1050</v>
      </c>
      <c r="C231" s="38">
        <v>73</v>
      </c>
      <c r="D231">
        <v>0.17</v>
      </c>
      <c r="E231" s="37">
        <v>18050</v>
      </c>
      <c r="F231">
        <v>24.08</v>
      </c>
      <c r="G231" s="38">
        <v>863.55</v>
      </c>
      <c r="H231" s="38">
        <v>-0.83</v>
      </c>
      <c r="I231" s="38">
        <v>50</v>
      </c>
      <c r="J231" s="38">
        <v>-7.39</v>
      </c>
      <c r="K231" s="38">
        <v>8.59</v>
      </c>
      <c r="L231">
        <v>3.1E-4</v>
      </c>
      <c r="M231" s="41">
        <f t="shared" si="3"/>
        <v>3.0315614617940203</v>
      </c>
      <c r="N231" s="40" t="e">
        <f>Market!$C$3*Market!$D$3*NIFTY_OC!$D231/$C231</f>
        <v>#VALUE!</v>
      </c>
      <c r="O231" s="40" t="e">
        <f>Market!$C$3*Market!$E$3*NIFTY_OC!$D231/$C231</f>
        <v>#VALUE!</v>
      </c>
      <c r="P231" s="40" t="e">
        <f>Market!$C$3*Market!$F$3*NIFTY_OC!$D231/$C231</f>
        <v>#VALUE!</v>
      </c>
      <c r="Q231" s="40" t="e">
        <f>Market!$C$3*Market!$G$3*NIFTY_OC!$D231/$C231</f>
        <v>#VALUE!</v>
      </c>
      <c r="R231" s="40" t="e">
        <f>Market!$C$3*Market!$H$3*NIFTY_OC!$D231/$C231</f>
        <v>#VALUE!</v>
      </c>
      <c r="S231" s="40" t="e">
        <f>Market!$C$3*Market!$I$3*NIFTY_OC!$D231/$C231</f>
        <v>#VALUE!</v>
      </c>
    </row>
    <row r="232" spans="1:19">
      <c r="A232" s="39">
        <v>44455</v>
      </c>
      <c r="B232" s="38">
        <v>5150</v>
      </c>
      <c r="C232" s="38">
        <v>8.6999999999999993</v>
      </c>
      <c r="D232">
        <v>0.04</v>
      </c>
      <c r="E232" s="37">
        <v>18100</v>
      </c>
      <c r="F232">
        <v>14.44</v>
      </c>
      <c r="G232" s="38">
        <v>905.8</v>
      </c>
      <c r="H232" s="38">
        <v>-0.96</v>
      </c>
      <c r="I232" s="38">
        <v>50</v>
      </c>
      <c r="J232" s="38">
        <v>-1.62</v>
      </c>
      <c r="K232" s="38">
        <v>3.14</v>
      </c>
      <c r="L232">
        <v>1.9000000000000001E-4</v>
      </c>
      <c r="M232" s="41">
        <f t="shared" si="3"/>
        <v>0.60249307479224379</v>
      </c>
      <c r="N232" s="40" t="e">
        <f>Market!$C$3*Market!$D$3*NIFTY_OC!$D232/$C232</f>
        <v>#VALUE!</v>
      </c>
      <c r="O232" s="40" t="e">
        <f>Market!$C$3*Market!$E$3*NIFTY_OC!$D232/$C232</f>
        <v>#VALUE!</v>
      </c>
      <c r="P232" s="40" t="e">
        <f>Market!$C$3*Market!$F$3*NIFTY_OC!$D232/$C232</f>
        <v>#VALUE!</v>
      </c>
      <c r="Q232" s="40" t="e">
        <f>Market!$C$3*Market!$G$3*NIFTY_OC!$D232/$C232</f>
        <v>#VALUE!</v>
      </c>
      <c r="R232" s="40" t="e">
        <f>Market!$C$3*Market!$H$3*NIFTY_OC!$D232/$C232</f>
        <v>#VALUE!</v>
      </c>
      <c r="S232" s="40" t="e">
        <f>Market!$C$3*Market!$I$3*NIFTY_OC!$D232/$C232</f>
        <v>#VALUE!</v>
      </c>
    </row>
    <row r="233" spans="1:19">
      <c r="A233" s="39">
        <v>44455</v>
      </c>
      <c r="B233" s="38">
        <v>50</v>
      </c>
      <c r="C233" s="38">
        <v>58.25</v>
      </c>
      <c r="D233">
        <v>0.14000000000000001</v>
      </c>
      <c r="E233" s="37">
        <v>18150</v>
      </c>
      <c r="F233">
        <v>24.06</v>
      </c>
      <c r="G233" s="38">
        <v>948.7</v>
      </c>
      <c r="H233" s="38">
        <v>-0.86</v>
      </c>
      <c r="I233" s="38">
        <v>50</v>
      </c>
      <c r="J233" s="38">
        <v>-6.55</v>
      </c>
      <c r="K233" s="38">
        <v>7.62</v>
      </c>
      <c r="L233">
        <v>2.7999999999999998E-4</v>
      </c>
      <c r="M233" s="41">
        <f t="shared" si="3"/>
        <v>2.421030756442228</v>
      </c>
      <c r="N233" s="40" t="e">
        <f>Market!$C$3*Market!$D$3*NIFTY_OC!$D233/$C233</f>
        <v>#VALUE!</v>
      </c>
      <c r="O233" s="40" t="e">
        <f>Market!$C$3*Market!$E$3*NIFTY_OC!$D233/$C233</f>
        <v>#VALUE!</v>
      </c>
      <c r="P233" s="40" t="e">
        <f>Market!$C$3*Market!$F$3*NIFTY_OC!$D233/$C233</f>
        <v>#VALUE!</v>
      </c>
      <c r="Q233" s="40" t="e">
        <f>Market!$C$3*Market!$G$3*NIFTY_OC!$D233/$C233</f>
        <v>#VALUE!</v>
      </c>
      <c r="R233" s="40" t="e">
        <f>Market!$C$3*Market!$H$3*NIFTY_OC!$D233/$C233</f>
        <v>#VALUE!</v>
      </c>
      <c r="S233" s="40" t="e">
        <f>Market!$C$3*Market!$I$3*NIFTY_OC!$D233/$C233</f>
        <v>#VALUE!</v>
      </c>
    </row>
    <row r="234" spans="1:19">
      <c r="A234" s="39">
        <v>44455</v>
      </c>
      <c r="B234" s="38">
        <v>11450</v>
      </c>
      <c r="C234" s="38">
        <v>6.2</v>
      </c>
      <c r="D234">
        <v>0.03</v>
      </c>
      <c r="E234" s="37">
        <v>18200</v>
      </c>
      <c r="F234">
        <v>14.82</v>
      </c>
      <c r="G234" s="38">
        <v>992.25</v>
      </c>
      <c r="H234" s="38">
        <v>-0.97</v>
      </c>
      <c r="I234" s="38">
        <v>0</v>
      </c>
      <c r="J234" s="38">
        <v>-1.28</v>
      </c>
      <c r="K234" s="38">
        <v>2.4300000000000002</v>
      </c>
      <c r="L234">
        <v>1.3999999999999999E-4</v>
      </c>
      <c r="M234" s="41">
        <f t="shared" si="3"/>
        <v>0.4183535762483131</v>
      </c>
      <c r="N234" s="40" t="e">
        <f>Market!$C$3*Market!$D$3*NIFTY_OC!$D234/$C234</f>
        <v>#VALUE!</v>
      </c>
      <c r="O234" s="40" t="e">
        <f>Market!$C$3*Market!$E$3*NIFTY_OC!$D234/$C234</f>
        <v>#VALUE!</v>
      </c>
      <c r="P234" s="40" t="e">
        <f>Market!$C$3*Market!$F$3*NIFTY_OC!$D234/$C234</f>
        <v>#VALUE!</v>
      </c>
      <c r="Q234" s="40" t="e">
        <f>Market!$C$3*Market!$G$3*NIFTY_OC!$D234/$C234</f>
        <v>#VALUE!</v>
      </c>
      <c r="R234" s="40" t="e">
        <f>Market!$C$3*Market!$H$3*NIFTY_OC!$D234/$C234</f>
        <v>#VALUE!</v>
      </c>
      <c r="S234" s="40" t="e">
        <f>Market!$C$3*Market!$I$3*NIFTY_OC!$D234/$C234</f>
        <v>#VALUE!</v>
      </c>
    </row>
    <row r="235" spans="1:19">
      <c r="A235" s="39">
        <v>44455</v>
      </c>
      <c r="B235" s="38">
        <v>50</v>
      </c>
      <c r="C235" s="38">
        <v>46.1</v>
      </c>
      <c r="D235">
        <v>0.12</v>
      </c>
      <c r="E235" s="37">
        <v>18250</v>
      </c>
      <c r="F235">
        <v>24.05</v>
      </c>
      <c r="G235" s="38">
        <v>1036.4000000000001</v>
      </c>
      <c r="H235" s="38">
        <v>-0.88</v>
      </c>
      <c r="I235" s="38">
        <v>50</v>
      </c>
      <c r="J235" s="38">
        <v>-5.74</v>
      </c>
      <c r="K235" s="38">
        <v>6.68</v>
      </c>
      <c r="L235">
        <v>2.4000000000000001E-4</v>
      </c>
      <c r="M235" s="41">
        <f t="shared" si="3"/>
        <v>1.9168399168399168</v>
      </c>
      <c r="N235" s="40" t="e">
        <f>Market!$C$3*Market!$D$3*NIFTY_OC!$D235/$C235</f>
        <v>#VALUE!</v>
      </c>
      <c r="O235" s="40" t="e">
        <f>Market!$C$3*Market!$E$3*NIFTY_OC!$D235/$C235</f>
        <v>#VALUE!</v>
      </c>
      <c r="P235" s="40" t="e">
        <f>Market!$C$3*Market!$F$3*NIFTY_OC!$D235/$C235</f>
        <v>#VALUE!</v>
      </c>
      <c r="Q235" s="40" t="e">
        <f>Market!$C$3*Market!$G$3*NIFTY_OC!$D235/$C235</f>
        <v>#VALUE!</v>
      </c>
      <c r="R235" s="40" t="e">
        <f>Market!$C$3*Market!$H$3*NIFTY_OC!$D235/$C235</f>
        <v>#VALUE!</v>
      </c>
      <c r="S235" s="40" t="e">
        <f>Market!$C$3*Market!$I$3*NIFTY_OC!$D235/$C235</f>
        <v>#VALUE!</v>
      </c>
    </row>
    <row r="236" spans="1:19">
      <c r="A236" s="39">
        <v>44455</v>
      </c>
      <c r="B236" s="38">
        <v>900</v>
      </c>
      <c r="C236" s="38">
        <v>40.85</v>
      </c>
      <c r="D236">
        <v>0.11</v>
      </c>
      <c r="E236" s="37">
        <v>18300</v>
      </c>
      <c r="F236">
        <v>24.04</v>
      </c>
      <c r="G236" s="38">
        <v>1081.0999999999999</v>
      </c>
      <c r="H236" s="38">
        <v>-0.89</v>
      </c>
      <c r="I236" s="38">
        <v>0</v>
      </c>
      <c r="J236" s="38">
        <v>-5.34</v>
      </c>
      <c r="K236" s="38">
        <v>6.22</v>
      </c>
      <c r="L236">
        <v>2.3000000000000001E-4</v>
      </c>
      <c r="M236" s="41">
        <f t="shared" si="3"/>
        <v>1.6992512479201332</v>
      </c>
      <c r="N236" s="40" t="e">
        <f>Market!$C$3*Market!$D$3*NIFTY_OC!$D236/$C236</f>
        <v>#VALUE!</v>
      </c>
      <c r="O236" s="40" t="e">
        <f>Market!$C$3*Market!$E$3*NIFTY_OC!$D236/$C236</f>
        <v>#VALUE!</v>
      </c>
      <c r="P236" s="40" t="e">
        <f>Market!$C$3*Market!$F$3*NIFTY_OC!$D236/$C236</f>
        <v>#VALUE!</v>
      </c>
      <c r="Q236" s="40" t="e">
        <f>Market!$C$3*Market!$G$3*NIFTY_OC!$D236/$C236</f>
        <v>#VALUE!</v>
      </c>
      <c r="R236" s="40" t="e">
        <f>Market!$C$3*Market!$H$3*NIFTY_OC!$D236/$C236</f>
        <v>#VALUE!</v>
      </c>
      <c r="S236" s="40" t="e">
        <f>Market!$C$3*Market!$I$3*NIFTY_OC!$D236/$C236</f>
        <v>#VALUE!</v>
      </c>
    </row>
    <row r="237" spans="1:19">
      <c r="A237" s="39">
        <v>44455</v>
      </c>
      <c r="B237" s="38">
        <v>50</v>
      </c>
      <c r="C237" s="38">
        <v>36.1</v>
      </c>
      <c r="D237">
        <v>0.1</v>
      </c>
      <c r="E237" s="37">
        <v>18350</v>
      </c>
      <c r="F237">
        <v>24.03</v>
      </c>
      <c r="G237" s="38">
        <v>1126.3</v>
      </c>
      <c r="H237" s="38">
        <v>-0.9</v>
      </c>
      <c r="I237" s="38">
        <v>50</v>
      </c>
      <c r="J237" s="38">
        <v>-4.95</v>
      </c>
      <c r="K237" s="38">
        <v>5.77</v>
      </c>
      <c r="L237">
        <v>2.1000000000000001E-4</v>
      </c>
      <c r="M237" s="41">
        <f t="shared" si="3"/>
        <v>1.5022888056595922</v>
      </c>
      <c r="N237" s="40" t="e">
        <f>Market!$C$3*Market!$D$3*NIFTY_OC!$D237/$C237</f>
        <v>#VALUE!</v>
      </c>
      <c r="O237" s="40" t="e">
        <f>Market!$C$3*Market!$E$3*NIFTY_OC!$D237/$C237</f>
        <v>#VALUE!</v>
      </c>
      <c r="P237" s="40" t="e">
        <f>Market!$C$3*Market!$F$3*NIFTY_OC!$D237/$C237</f>
        <v>#VALUE!</v>
      </c>
      <c r="Q237" s="40" t="e">
        <f>Market!$C$3*Market!$G$3*NIFTY_OC!$D237/$C237</f>
        <v>#VALUE!</v>
      </c>
      <c r="R237" s="40" t="e">
        <f>Market!$C$3*Market!$H$3*NIFTY_OC!$D237/$C237</f>
        <v>#VALUE!</v>
      </c>
      <c r="S237" s="40" t="e">
        <f>Market!$C$3*Market!$I$3*NIFTY_OC!$D237/$C237</f>
        <v>#VALUE!</v>
      </c>
    </row>
    <row r="238" spans="1:19">
      <c r="A238" s="39">
        <v>44455</v>
      </c>
      <c r="B238" s="38">
        <v>0</v>
      </c>
      <c r="C238" s="38">
        <v>31.85</v>
      </c>
      <c r="D238">
        <v>0.09</v>
      </c>
      <c r="E238" s="37">
        <v>18400</v>
      </c>
      <c r="F238">
        <v>24.02</v>
      </c>
      <c r="G238" s="38">
        <v>1172</v>
      </c>
      <c r="H238" s="38">
        <v>-0.91</v>
      </c>
      <c r="I238" s="38">
        <v>0</v>
      </c>
      <c r="J238" s="38">
        <v>-4.58</v>
      </c>
      <c r="K238" s="38">
        <v>5.34</v>
      </c>
      <c r="L238">
        <v>2.0000000000000001E-4</v>
      </c>
      <c r="M238" s="41">
        <f t="shared" si="3"/>
        <v>1.3259783513738552</v>
      </c>
      <c r="N238" s="40" t="e">
        <f>Market!$C$3*Market!$D$3*NIFTY_OC!$D238/$C238</f>
        <v>#VALUE!</v>
      </c>
      <c r="O238" s="40" t="e">
        <f>Market!$C$3*Market!$E$3*NIFTY_OC!$D238/$C238</f>
        <v>#VALUE!</v>
      </c>
      <c r="P238" s="40" t="e">
        <f>Market!$C$3*Market!$F$3*NIFTY_OC!$D238/$C238</f>
        <v>#VALUE!</v>
      </c>
      <c r="Q238" s="40" t="e">
        <f>Market!$C$3*Market!$G$3*NIFTY_OC!$D238/$C238</f>
        <v>#VALUE!</v>
      </c>
      <c r="R238" s="40" t="e">
        <f>Market!$C$3*Market!$H$3*NIFTY_OC!$D238/$C238</f>
        <v>#VALUE!</v>
      </c>
      <c r="S238" s="40" t="e">
        <f>Market!$C$3*Market!$I$3*NIFTY_OC!$D238/$C238</f>
        <v>#VALUE!</v>
      </c>
    </row>
    <row r="239" spans="1:19">
      <c r="A239" s="39">
        <v>44455</v>
      </c>
      <c r="B239" s="38">
        <v>0</v>
      </c>
      <c r="C239" s="38">
        <v>28.05</v>
      </c>
      <c r="D239">
        <v>0.08</v>
      </c>
      <c r="E239" s="37">
        <v>18450</v>
      </c>
      <c r="F239">
        <v>24.01</v>
      </c>
      <c r="G239" s="38">
        <v>1218.0999999999999</v>
      </c>
      <c r="H239" s="38">
        <v>-0.92</v>
      </c>
      <c r="I239" s="38">
        <v>0</v>
      </c>
      <c r="J239" s="38">
        <v>-4.2300000000000004</v>
      </c>
      <c r="K239" s="38">
        <v>4.93</v>
      </c>
      <c r="L239">
        <v>1.8000000000000001E-4</v>
      </c>
      <c r="M239" s="41">
        <f t="shared" si="3"/>
        <v>1.1682632236568096</v>
      </c>
      <c r="N239" s="40" t="e">
        <f>Market!$C$3*Market!$D$3*NIFTY_OC!$D239/$C239</f>
        <v>#VALUE!</v>
      </c>
      <c r="O239" s="40" t="e">
        <f>Market!$C$3*Market!$E$3*NIFTY_OC!$D239/$C239</f>
        <v>#VALUE!</v>
      </c>
      <c r="P239" s="40" t="e">
        <f>Market!$C$3*Market!$F$3*NIFTY_OC!$D239/$C239</f>
        <v>#VALUE!</v>
      </c>
      <c r="Q239" s="40" t="e">
        <f>Market!$C$3*Market!$G$3*NIFTY_OC!$D239/$C239</f>
        <v>#VALUE!</v>
      </c>
      <c r="R239" s="40" t="e">
        <f>Market!$C$3*Market!$H$3*NIFTY_OC!$D239/$C239</f>
        <v>#VALUE!</v>
      </c>
      <c r="S239" s="40" t="e">
        <f>Market!$C$3*Market!$I$3*NIFTY_OC!$D239/$C239</f>
        <v>#VALUE!</v>
      </c>
    </row>
    <row r="240" spans="1:19">
      <c r="A240" s="39">
        <v>44455</v>
      </c>
      <c r="B240" s="38">
        <v>550</v>
      </c>
      <c r="C240" s="38">
        <v>3</v>
      </c>
      <c r="D240">
        <v>0.02</v>
      </c>
      <c r="E240" s="37">
        <v>18500</v>
      </c>
      <c r="F240">
        <v>16.52</v>
      </c>
      <c r="G240" s="38">
        <v>1264.5999999999999</v>
      </c>
      <c r="H240" s="38">
        <v>-0.98</v>
      </c>
      <c r="I240" s="38">
        <v>50</v>
      </c>
      <c r="J240" s="38">
        <v>-0.77</v>
      </c>
      <c r="K240" s="38">
        <v>1.3</v>
      </c>
      <c r="L240">
        <v>6.9999999999999994E-5</v>
      </c>
      <c r="M240" s="41">
        <f t="shared" si="3"/>
        <v>0.18159806295399517</v>
      </c>
      <c r="N240" s="40" t="e">
        <f>Market!$C$3*Market!$D$3*NIFTY_OC!$D240/$C240</f>
        <v>#VALUE!</v>
      </c>
      <c r="O240" s="40" t="e">
        <f>Market!$C$3*Market!$E$3*NIFTY_OC!$D240/$C240</f>
        <v>#VALUE!</v>
      </c>
      <c r="P240" s="40" t="e">
        <f>Market!$C$3*Market!$F$3*NIFTY_OC!$D240/$C240</f>
        <v>#VALUE!</v>
      </c>
      <c r="Q240" s="40" t="e">
        <f>Market!$C$3*Market!$G$3*NIFTY_OC!$D240/$C240</f>
        <v>#VALUE!</v>
      </c>
      <c r="R240" s="40" t="e">
        <f>Market!$C$3*Market!$H$3*NIFTY_OC!$D240/$C240</f>
        <v>#VALUE!</v>
      </c>
      <c r="S240" s="40" t="e">
        <f>Market!$C$3*Market!$I$3*NIFTY_OC!$D240/$C240</f>
        <v>#VALUE!</v>
      </c>
    </row>
    <row r="241" spans="1:19">
      <c r="A241" s="39">
        <v>44455</v>
      </c>
      <c r="B241" s="38">
        <v>0</v>
      </c>
      <c r="C241" s="38">
        <v>21.6</v>
      </c>
      <c r="D241">
        <v>0.06</v>
      </c>
      <c r="E241" s="37">
        <v>18550</v>
      </c>
      <c r="F241">
        <v>24</v>
      </c>
      <c r="G241" s="38">
        <v>1311.5</v>
      </c>
      <c r="H241" s="38">
        <v>-0.94</v>
      </c>
      <c r="I241" s="38">
        <v>0</v>
      </c>
      <c r="J241" s="38">
        <v>-3.56</v>
      </c>
      <c r="K241" s="38">
        <v>4.16</v>
      </c>
      <c r="L241">
        <v>1.4999999999999999E-4</v>
      </c>
      <c r="M241" s="41">
        <f t="shared" si="3"/>
        <v>0.9</v>
      </c>
      <c r="N241" s="40" t="e">
        <f>Market!$C$3*Market!$D$3*NIFTY_OC!$D241/$C241</f>
        <v>#VALUE!</v>
      </c>
      <c r="O241" s="40" t="e">
        <f>Market!$C$3*Market!$E$3*NIFTY_OC!$D241/$C241</f>
        <v>#VALUE!</v>
      </c>
      <c r="P241" s="40" t="e">
        <f>Market!$C$3*Market!$F$3*NIFTY_OC!$D241/$C241</f>
        <v>#VALUE!</v>
      </c>
      <c r="Q241" s="40" t="e">
        <f>Market!$C$3*Market!$G$3*NIFTY_OC!$D241/$C241</f>
        <v>#VALUE!</v>
      </c>
      <c r="R241" s="40" t="e">
        <f>Market!$C$3*Market!$H$3*NIFTY_OC!$D241/$C241</f>
        <v>#VALUE!</v>
      </c>
      <c r="S241" s="40" t="e">
        <f>Market!$C$3*Market!$I$3*NIFTY_OC!$D241/$C241</f>
        <v>#VALUE!</v>
      </c>
    </row>
    <row r="242" spans="1:19">
      <c r="A242" s="39">
        <v>44455</v>
      </c>
      <c r="B242" s="38">
        <v>0</v>
      </c>
      <c r="C242" s="38">
        <v>18.899999999999999</v>
      </c>
      <c r="D242">
        <v>0.06</v>
      </c>
      <c r="E242" s="37">
        <v>18600</v>
      </c>
      <c r="F242">
        <v>24</v>
      </c>
      <c r="G242" s="38">
        <v>1358.7</v>
      </c>
      <c r="H242" s="38">
        <v>-0.94</v>
      </c>
      <c r="I242" s="38">
        <v>0</v>
      </c>
      <c r="J242" s="38">
        <v>-3.26</v>
      </c>
      <c r="K242" s="38">
        <v>3.8</v>
      </c>
      <c r="L242">
        <v>1.3999999999999999E-4</v>
      </c>
      <c r="M242" s="41">
        <f t="shared" si="3"/>
        <v>0.78749999999999998</v>
      </c>
      <c r="N242" s="40" t="e">
        <f>Market!$C$3*Market!$D$3*NIFTY_OC!$D242/$C242</f>
        <v>#VALUE!</v>
      </c>
      <c r="O242" s="40" t="e">
        <f>Market!$C$3*Market!$E$3*NIFTY_OC!$D242/$C242</f>
        <v>#VALUE!</v>
      </c>
      <c r="P242" s="40" t="e">
        <f>Market!$C$3*Market!$F$3*NIFTY_OC!$D242/$C242</f>
        <v>#VALUE!</v>
      </c>
      <c r="Q242" s="40" t="e">
        <f>Market!$C$3*Market!$G$3*NIFTY_OC!$D242/$C242</f>
        <v>#VALUE!</v>
      </c>
      <c r="R242" s="40" t="e">
        <f>Market!$C$3*Market!$H$3*NIFTY_OC!$D242/$C242</f>
        <v>#VALUE!</v>
      </c>
      <c r="S242" s="40" t="e">
        <f>Market!$C$3*Market!$I$3*NIFTY_OC!$D242/$C242</f>
        <v>#VALUE!</v>
      </c>
    </row>
    <row r="243" spans="1:19">
      <c r="A243" s="39">
        <v>44455</v>
      </c>
      <c r="B243" s="38">
        <v>0</v>
      </c>
      <c r="C243" s="38">
        <v>16.5</v>
      </c>
      <c r="D243">
        <v>0.05</v>
      </c>
      <c r="E243" s="37">
        <v>18650</v>
      </c>
      <c r="F243">
        <v>24</v>
      </c>
      <c r="G243" s="38">
        <v>1406.25</v>
      </c>
      <c r="H243" s="38">
        <v>-0.95</v>
      </c>
      <c r="I243" s="38">
        <v>0</v>
      </c>
      <c r="J243" s="38">
        <v>-2.97</v>
      </c>
      <c r="K243" s="38">
        <v>3.46</v>
      </c>
      <c r="L243">
        <v>1.2999999999999999E-4</v>
      </c>
      <c r="M243" s="41">
        <f t="shared" si="3"/>
        <v>0.6875</v>
      </c>
      <c r="N243" s="40" t="e">
        <f>Market!$C$3*Market!$D$3*NIFTY_OC!$D243/$C243</f>
        <v>#VALUE!</v>
      </c>
      <c r="O243" s="40" t="e">
        <f>Market!$C$3*Market!$E$3*NIFTY_OC!$D243/$C243</f>
        <v>#VALUE!</v>
      </c>
      <c r="P243" s="40" t="e">
        <f>Market!$C$3*Market!$F$3*NIFTY_OC!$D243/$C243</f>
        <v>#VALUE!</v>
      </c>
      <c r="Q243" s="40" t="e">
        <f>Market!$C$3*Market!$G$3*NIFTY_OC!$D243/$C243</f>
        <v>#VALUE!</v>
      </c>
      <c r="R243" s="40" t="e">
        <f>Market!$C$3*Market!$H$3*NIFTY_OC!$D243/$C243</f>
        <v>#VALUE!</v>
      </c>
      <c r="S243" s="40" t="e">
        <f>Market!$C$3*Market!$I$3*NIFTY_OC!$D243/$C243</f>
        <v>#VALUE!</v>
      </c>
    </row>
    <row r="244" spans="1:19">
      <c r="A244" s="39">
        <v>44455</v>
      </c>
      <c r="B244" s="38">
        <v>0</v>
      </c>
      <c r="C244" s="38">
        <v>14.45</v>
      </c>
      <c r="D244">
        <v>0.04</v>
      </c>
      <c r="E244" s="37">
        <v>18700</v>
      </c>
      <c r="F244">
        <v>24.02</v>
      </c>
      <c r="G244" s="38">
        <v>1454.15</v>
      </c>
      <c r="H244" s="38">
        <v>-0.96</v>
      </c>
      <c r="I244" s="38">
        <v>405425</v>
      </c>
      <c r="J244" s="38">
        <v>-2.71</v>
      </c>
      <c r="K244" s="38">
        <v>3.16</v>
      </c>
      <c r="L244">
        <v>1.2E-4</v>
      </c>
      <c r="M244" s="41">
        <f t="shared" si="3"/>
        <v>0.60158201498751041</v>
      </c>
      <c r="N244" s="40" t="e">
        <f>Market!$C$3*Market!$D$3*NIFTY_OC!$D244/$C244</f>
        <v>#VALUE!</v>
      </c>
      <c r="O244" s="40" t="e">
        <f>Market!$C$3*Market!$E$3*NIFTY_OC!$D244/$C244</f>
        <v>#VALUE!</v>
      </c>
      <c r="P244" s="40" t="e">
        <f>Market!$C$3*Market!$F$3*NIFTY_OC!$D244/$C244</f>
        <v>#VALUE!</v>
      </c>
      <c r="Q244" s="40" t="e">
        <f>Market!$C$3*Market!$G$3*NIFTY_OC!$D244/$C244</f>
        <v>#VALUE!</v>
      </c>
      <c r="R244" s="40" t="e">
        <f>Market!$C$3*Market!$H$3*NIFTY_OC!$D244/$C244</f>
        <v>#VALUE!</v>
      </c>
      <c r="S244" s="40" t="e">
        <f>Market!$C$3*Market!$I$3*NIFTY_OC!$D244/$C244</f>
        <v>#VALUE!</v>
      </c>
    </row>
    <row r="245" spans="1:19">
      <c r="A245" s="39">
        <v>44455</v>
      </c>
      <c r="B245" s="38">
        <v>0</v>
      </c>
      <c r="C245" s="38">
        <v>12.55</v>
      </c>
      <c r="D245">
        <v>0.04</v>
      </c>
      <c r="E245" s="37">
        <v>18750</v>
      </c>
      <c r="F245">
        <v>24.01</v>
      </c>
      <c r="G245" s="38">
        <v>1502.15</v>
      </c>
      <c r="H245" s="38">
        <v>-0.96</v>
      </c>
      <c r="I245" s="38">
        <v>125</v>
      </c>
      <c r="J245" s="38">
        <v>-2.4500000000000002</v>
      </c>
      <c r="K245" s="38">
        <v>2.86</v>
      </c>
      <c r="L245">
        <v>1E-4</v>
      </c>
      <c r="M245" s="41">
        <f t="shared" si="3"/>
        <v>0.52269887546855476</v>
      </c>
      <c r="N245" s="40" t="e">
        <f>Market!$C$3*Market!$D$3*NIFTY_OC!$D245/$C245</f>
        <v>#VALUE!</v>
      </c>
      <c r="O245" s="40" t="e">
        <f>Market!$C$3*Market!$E$3*NIFTY_OC!$D245/$C245</f>
        <v>#VALUE!</v>
      </c>
      <c r="P245" s="40" t="e">
        <f>Market!$C$3*Market!$F$3*NIFTY_OC!$D245/$C245</f>
        <v>#VALUE!</v>
      </c>
      <c r="Q245" s="40" t="e">
        <f>Market!$C$3*Market!$G$3*NIFTY_OC!$D245/$C245</f>
        <v>#VALUE!</v>
      </c>
      <c r="R245" s="40" t="e">
        <f>Market!$C$3*Market!$H$3*NIFTY_OC!$D245/$C245</f>
        <v>#VALUE!</v>
      </c>
      <c r="S245" s="40" t="e">
        <f>Market!$C$3*Market!$I$3*NIFTY_OC!$D245/$C245</f>
        <v>#VALUE!</v>
      </c>
    </row>
    <row r="246" spans="1:19">
      <c r="A246" s="39">
        <v>44448</v>
      </c>
      <c r="B246" s="38">
        <v>450</v>
      </c>
      <c r="C246" s="38">
        <v>1477.2</v>
      </c>
      <c r="D246">
        <v>0.99</v>
      </c>
      <c r="E246" s="37">
        <v>15750</v>
      </c>
      <c r="F246">
        <v>28.55</v>
      </c>
      <c r="G246" s="38">
        <v>2.5499999999999998</v>
      </c>
      <c r="H246" s="38">
        <v>-0.01</v>
      </c>
      <c r="I246" s="38">
        <v>5500</v>
      </c>
      <c r="J246" s="38">
        <v>-1.39</v>
      </c>
      <c r="K246" s="38">
        <v>0.68</v>
      </c>
      <c r="L246">
        <v>4.0000000000000003E-5</v>
      </c>
      <c r="M246" s="41">
        <f t="shared" si="3"/>
        <v>51.740805604203153</v>
      </c>
      <c r="N246" s="40" t="e">
        <f>Market!$C$3*Market!$D$3*NIFTY_OC!$D246/$C246</f>
        <v>#VALUE!</v>
      </c>
      <c r="O246" s="40" t="e">
        <f>Market!$C$3*Market!$E$3*NIFTY_OC!$D246/$C246</f>
        <v>#VALUE!</v>
      </c>
      <c r="P246" s="40" t="e">
        <f>Market!$C$3*Market!$F$3*NIFTY_OC!$D246/$C246</f>
        <v>#VALUE!</v>
      </c>
      <c r="Q246" s="40" t="e">
        <f>Market!$C$3*Market!$G$3*NIFTY_OC!$D246/$C246</f>
        <v>#VALUE!</v>
      </c>
      <c r="R246" s="40" t="e">
        <f>Market!$C$3*Market!$H$3*NIFTY_OC!$D246/$C246</f>
        <v>#VALUE!</v>
      </c>
      <c r="S246" s="40" t="e">
        <f>Market!$C$3*Market!$I$3*NIFTY_OC!$D246/$C246</f>
        <v>#VALUE!</v>
      </c>
    </row>
    <row r="247" spans="1:19">
      <c r="A247" s="39">
        <v>44448</v>
      </c>
      <c r="B247" s="38">
        <v>4050</v>
      </c>
      <c r="C247" s="38">
        <v>1429.85</v>
      </c>
      <c r="D247">
        <v>0.99</v>
      </c>
      <c r="E247" s="37">
        <v>15800</v>
      </c>
      <c r="F247">
        <v>27.6</v>
      </c>
      <c r="G247" s="38">
        <v>2.5</v>
      </c>
      <c r="H247" s="38">
        <v>-0.01</v>
      </c>
      <c r="I247" s="38">
        <v>354900</v>
      </c>
      <c r="J247" s="38">
        <v>-1.36</v>
      </c>
      <c r="K247" s="38">
        <v>0.69</v>
      </c>
      <c r="L247">
        <v>4.0000000000000003E-5</v>
      </c>
      <c r="M247" s="41">
        <f t="shared" si="3"/>
        <v>51.806159420289852</v>
      </c>
      <c r="N247" s="40" t="e">
        <f>Market!$C$3*Market!$D$3*NIFTY_OC!$D247/$C247</f>
        <v>#VALUE!</v>
      </c>
      <c r="O247" s="40" t="e">
        <f>Market!$C$3*Market!$E$3*NIFTY_OC!$D247/$C247</f>
        <v>#VALUE!</v>
      </c>
      <c r="P247" s="40" t="e">
        <f>Market!$C$3*Market!$F$3*NIFTY_OC!$D247/$C247</f>
        <v>#VALUE!</v>
      </c>
      <c r="Q247" s="40" t="e">
        <f>Market!$C$3*Market!$G$3*NIFTY_OC!$D247/$C247</f>
        <v>#VALUE!</v>
      </c>
      <c r="R247" s="40" t="e">
        <f>Market!$C$3*Market!$H$3*NIFTY_OC!$D247/$C247</f>
        <v>#VALUE!</v>
      </c>
      <c r="S247" s="40" t="e">
        <f>Market!$C$3*Market!$I$3*NIFTY_OC!$D247/$C247</f>
        <v>#VALUE!</v>
      </c>
    </row>
    <row r="248" spans="1:19">
      <c r="A248" s="39">
        <v>44448</v>
      </c>
      <c r="B248" s="38">
        <v>150</v>
      </c>
      <c r="C248" s="38">
        <v>1377.55</v>
      </c>
      <c r="D248">
        <v>0.99</v>
      </c>
      <c r="E248" s="37">
        <v>15850</v>
      </c>
      <c r="F248">
        <v>27</v>
      </c>
      <c r="G248" s="38">
        <v>2.7</v>
      </c>
      <c r="H248" s="38">
        <v>-0.01</v>
      </c>
      <c r="I248" s="38">
        <v>5050</v>
      </c>
      <c r="J248" s="38">
        <v>-1.44</v>
      </c>
      <c r="K248" s="38">
        <v>0.74</v>
      </c>
      <c r="L248">
        <v>5.0000000000000002E-5</v>
      </c>
      <c r="M248" s="41">
        <f t="shared" si="3"/>
        <v>51.020370370370365</v>
      </c>
      <c r="N248" s="40" t="e">
        <f>Market!$C$3*Market!$D$3*NIFTY_OC!$D248/$C248</f>
        <v>#VALUE!</v>
      </c>
      <c r="O248" s="40" t="e">
        <f>Market!$C$3*Market!$E$3*NIFTY_OC!$D248/$C248</f>
        <v>#VALUE!</v>
      </c>
      <c r="P248" s="40" t="e">
        <f>Market!$C$3*Market!$F$3*NIFTY_OC!$D248/$C248</f>
        <v>#VALUE!</v>
      </c>
      <c r="Q248" s="40" t="e">
        <f>Market!$C$3*Market!$G$3*NIFTY_OC!$D248/$C248</f>
        <v>#VALUE!</v>
      </c>
      <c r="R248" s="40" t="e">
        <f>Market!$C$3*Market!$H$3*NIFTY_OC!$D248/$C248</f>
        <v>#VALUE!</v>
      </c>
      <c r="S248" s="40" t="e">
        <f>Market!$C$3*Market!$I$3*NIFTY_OC!$D248/$C248</f>
        <v>#VALUE!</v>
      </c>
    </row>
    <row r="249" spans="1:19">
      <c r="A249" s="39">
        <v>44448</v>
      </c>
      <c r="B249" s="38">
        <v>12300</v>
      </c>
      <c r="C249" s="38">
        <v>1331.45</v>
      </c>
      <c r="D249">
        <v>0.99</v>
      </c>
      <c r="E249" s="37">
        <v>15900</v>
      </c>
      <c r="F249">
        <v>26.36</v>
      </c>
      <c r="G249" s="38">
        <v>2.9</v>
      </c>
      <c r="H249" s="38">
        <v>-0.01</v>
      </c>
      <c r="I249" s="38">
        <v>228450</v>
      </c>
      <c r="J249" s="38">
        <v>-1.51</v>
      </c>
      <c r="K249" s="38">
        <v>0.8</v>
      </c>
      <c r="L249">
        <v>5.0000000000000002E-5</v>
      </c>
      <c r="M249" s="41">
        <f t="shared" si="3"/>
        <v>50.51024279210926</v>
      </c>
      <c r="N249" s="40" t="e">
        <f>Market!$C$3*Market!$D$3*NIFTY_OC!$D249/$C249</f>
        <v>#VALUE!</v>
      </c>
      <c r="O249" s="40" t="e">
        <f>Market!$C$3*Market!$E$3*NIFTY_OC!$D249/$C249</f>
        <v>#VALUE!</v>
      </c>
      <c r="P249" s="40" t="e">
        <f>Market!$C$3*Market!$F$3*NIFTY_OC!$D249/$C249</f>
        <v>#VALUE!</v>
      </c>
      <c r="Q249" s="40" t="e">
        <f>Market!$C$3*Market!$G$3*NIFTY_OC!$D249/$C249</f>
        <v>#VALUE!</v>
      </c>
      <c r="R249" s="40" t="e">
        <f>Market!$C$3*Market!$H$3*NIFTY_OC!$D249/$C249</f>
        <v>#VALUE!</v>
      </c>
      <c r="S249" s="40" t="e">
        <f>Market!$C$3*Market!$I$3*NIFTY_OC!$D249/$C249</f>
        <v>#VALUE!</v>
      </c>
    </row>
    <row r="250" spans="1:19">
      <c r="A250" s="39">
        <v>44448</v>
      </c>
      <c r="B250" s="38">
        <v>3250</v>
      </c>
      <c r="C250" s="38">
        <v>1276.45</v>
      </c>
      <c r="D250">
        <v>0.99</v>
      </c>
      <c r="E250" s="37">
        <v>15950</v>
      </c>
      <c r="F250">
        <v>25.88</v>
      </c>
      <c r="G250" s="38">
        <v>3.25</v>
      </c>
      <c r="H250" s="38">
        <v>-0.01</v>
      </c>
      <c r="I250" s="38">
        <v>78050</v>
      </c>
      <c r="J250" s="38">
        <v>-1.64</v>
      </c>
      <c r="K250" s="38">
        <v>0.89</v>
      </c>
      <c r="L250">
        <v>6.0000000000000002E-5</v>
      </c>
      <c r="M250" s="41">
        <f t="shared" si="3"/>
        <v>49.321870170015458</v>
      </c>
      <c r="N250" s="40" t="e">
        <f>Market!$C$3*Market!$D$3*NIFTY_OC!$D250/$C250</f>
        <v>#VALUE!</v>
      </c>
      <c r="O250" s="40" t="e">
        <f>Market!$C$3*Market!$E$3*NIFTY_OC!$D250/$C250</f>
        <v>#VALUE!</v>
      </c>
      <c r="P250" s="40" t="e">
        <f>Market!$C$3*Market!$F$3*NIFTY_OC!$D250/$C250</f>
        <v>#VALUE!</v>
      </c>
      <c r="Q250" s="40" t="e">
        <f>Market!$C$3*Market!$G$3*NIFTY_OC!$D250/$C250</f>
        <v>#VALUE!</v>
      </c>
      <c r="R250" s="40" t="e">
        <f>Market!$C$3*Market!$H$3*NIFTY_OC!$D250/$C250</f>
        <v>#VALUE!</v>
      </c>
      <c r="S250" s="40" t="e">
        <f>Market!$C$3*Market!$I$3*NIFTY_OC!$D250/$C250</f>
        <v>#VALUE!</v>
      </c>
    </row>
    <row r="251" spans="1:19">
      <c r="A251" s="39">
        <v>44448</v>
      </c>
      <c r="B251" s="38">
        <v>36050</v>
      </c>
      <c r="C251" s="38">
        <v>1237.8</v>
      </c>
      <c r="D251">
        <v>0.98</v>
      </c>
      <c r="E251" s="37">
        <v>16000</v>
      </c>
      <c r="F251">
        <v>25.24</v>
      </c>
      <c r="G251" s="38">
        <v>3.5</v>
      </c>
      <c r="H251" s="38">
        <v>-0.02</v>
      </c>
      <c r="I251" s="38">
        <v>1342550</v>
      </c>
      <c r="J251" s="38">
        <v>-1.73</v>
      </c>
      <c r="K251" s="38">
        <v>0.96</v>
      </c>
      <c r="L251">
        <v>6.9999999999999994E-5</v>
      </c>
      <c r="M251" s="41">
        <f t="shared" si="3"/>
        <v>49.04120443740095</v>
      </c>
      <c r="N251" s="40" t="e">
        <f>Market!$C$3*Market!$D$3*NIFTY_OC!$D251/$C251</f>
        <v>#VALUE!</v>
      </c>
      <c r="O251" s="40" t="e">
        <f>Market!$C$3*Market!$E$3*NIFTY_OC!$D251/$C251</f>
        <v>#VALUE!</v>
      </c>
      <c r="P251" s="40" t="e">
        <f>Market!$C$3*Market!$F$3*NIFTY_OC!$D251/$C251</f>
        <v>#VALUE!</v>
      </c>
      <c r="Q251" s="40" t="e">
        <f>Market!$C$3*Market!$G$3*NIFTY_OC!$D251/$C251</f>
        <v>#VALUE!</v>
      </c>
      <c r="R251" s="40" t="e">
        <f>Market!$C$3*Market!$H$3*NIFTY_OC!$D251/$C251</f>
        <v>#VALUE!</v>
      </c>
      <c r="S251" s="40" t="e">
        <f>Market!$C$3*Market!$I$3*NIFTY_OC!$D251/$C251</f>
        <v>#VALUE!</v>
      </c>
    </row>
    <row r="252" spans="1:19">
      <c r="A252" s="39">
        <v>44448</v>
      </c>
      <c r="B252" s="38">
        <v>3400</v>
      </c>
      <c r="C252" s="38">
        <v>1176.8</v>
      </c>
      <c r="D252">
        <v>0.98</v>
      </c>
      <c r="E252" s="37">
        <v>16050</v>
      </c>
      <c r="F252">
        <v>24.62</v>
      </c>
      <c r="G252" s="38">
        <v>3.8</v>
      </c>
      <c r="H252" s="38">
        <v>-0.02</v>
      </c>
      <c r="I252" s="38">
        <v>79600</v>
      </c>
      <c r="J252" s="38">
        <v>-1.83</v>
      </c>
      <c r="K252" s="38">
        <v>1.04</v>
      </c>
      <c r="L252">
        <v>6.9999999999999994E-5</v>
      </c>
      <c r="M252" s="41">
        <f t="shared" si="3"/>
        <v>47.798537774167343</v>
      </c>
      <c r="N252" s="40" t="e">
        <f>Market!$C$3*Market!$D$3*NIFTY_OC!$D252/$C252</f>
        <v>#VALUE!</v>
      </c>
      <c r="O252" s="40" t="e">
        <f>Market!$C$3*Market!$E$3*NIFTY_OC!$D252/$C252</f>
        <v>#VALUE!</v>
      </c>
      <c r="P252" s="40" t="e">
        <f>Market!$C$3*Market!$F$3*NIFTY_OC!$D252/$C252</f>
        <v>#VALUE!</v>
      </c>
      <c r="Q252" s="40" t="e">
        <f>Market!$C$3*Market!$G$3*NIFTY_OC!$D252/$C252</f>
        <v>#VALUE!</v>
      </c>
      <c r="R252" s="40" t="e">
        <f>Market!$C$3*Market!$H$3*NIFTY_OC!$D252/$C252</f>
        <v>#VALUE!</v>
      </c>
      <c r="S252" s="40" t="e">
        <f>Market!$C$3*Market!$I$3*NIFTY_OC!$D252/$C252</f>
        <v>#VALUE!</v>
      </c>
    </row>
    <row r="253" spans="1:19">
      <c r="A253" s="39">
        <v>44448</v>
      </c>
      <c r="B253" s="38">
        <v>11500</v>
      </c>
      <c r="C253" s="38">
        <v>1135.8</v>
      </c>
      <c r="D253">
        <v>0.98</v>
      </c>
      <c r="E253" s="37">
        <v>16100</v>
      </c>
      <c r="F253">
        <v>23.84</v>
      </c>
      <c r="G253" s="38">
        <v>3.95</v>
      </c>
      <c r="H253" s="38">
        <v>-0.02</v>
      </c>
      <c r="I253" s="38">
        <v>398100</v>
      </c>
      <c r="J253" s="38">
        <v>-1.87</v>
      </c>
      <c r="K253" s="38">
        <v>1.1000000000000001</v>
      </c>
      <c r="L253">
        <v>8.0000000000000007E-5</v>
      </c>
      <c r="M253" s="41">
        <f t="shared" si="3"/>
        <v>47.642617449664428</v>
      </c>
      <c r="N253" s="40" t="e">
        <f>Market!$C$3*Market!$D$3*NIFTY_OC!$D253/$C253</f>
        <v>#VALUE!</v>
      </c>
      <c r="O253" s="40" t="e">
        <f>Market!$C$3*Market!$E$3*NIFTY_OC!$D253/$C253</f>
        <v>#VALUE!</v>
      </c>
      <c r="P253" s="40" t="e">
        <f>Market!$C$3*Market!$F$3*NIFTY_OC!$D253/$C253</f>
        <v>#VALUE!</v>
      </c>
      <c r="Q253" s="40" t="e">
        <f>Market!$C$3*Market!$G$3*NIFTY_OC!$D253/$C253</f>
        <v>#VALUE!</v>
      </c>
      <c r="R253" s="40" t="e">
        <f>Market!$C$3*Market!$H$3*NIFTY_OC!$D253/$C253</f>
        <v>#VALUE!</v>
      </c>
      <c r="S253" s="40" t="e">
        <f>Market!$C$3*Market!$I$3*NIFTY_OC!$D253/$C253</f>
        <v>#VALUE!</v>
      </c>
    </row>
    <row r="254" spans="1:19">
      <c r="A254" s="39">
        <v>44448</v>
      </c>
      <c r="B254" s="38">
        <v>2900</v>
      </c>
      <c r="C254" s="38">
        <v>1079.0999999999999</v>
      </c>
      <c r="D254">
        <v>0.98</v>
      </c>
      <c r="E254" s="37">
        <v>16150</v>
      </c>
      <c r="F254">
        <v>23.29</v>
      </c>
      <c r="G254" s="38">
        <v>4.4000000000000004</v>
      </c>
      <c r="H254" s="38">
        <v>-0.02</v>
      </c>
      <c r="I254" s="38">
        <v>200900</v>
      </c>
      <c r="J254" s="38">
        <v>-2.02</v>
      </c>
      <c r="K254" s="38">
        <v>1.21</v>
      </c>
      <c r="L254">
        <v>9.0000000000000006E-5</v>
      </c>
      <c r="M254" s="41">
        <f t="shared" si="3"/>
        <v>46.333190210390725</v>
      </c>
      <c r="N254" s="40" t="e">
        <f>Market!$C$3*Market!$D$3*NIFTY_OC!$D254/$C254</f>
        <v>#VALUE!</v>
      </c>
      <c r="O254" s="40" t="e">
        <f>Market!$C$3*Market!$E$3*NIFTY_OC!$D254/$C254</f>
        <v>#VALUE!</v>
      </c>
      <c r="P254" s="40" t="e">
        <f>Market!$C$3*Market!$F$3*NIFTY_OC!$D254/$C254</f>
        <v>#VALUE!</v>
      </c>
      <c r="Q254" s="40" t="e">
        <f>Market!$C$3*Market!$G$3*NIFTY_OC!$D254/$C254</f>
        <v>#VALUE!</v>
      </c>
      <c r="R254" s="40" t="e">
        <f>Market!$C$3*Market!$H$3*NIFTY_OC!$D254/$C254</f>
        <v>#VALUE!</v>
      </c>
      <c r="S254" s="40" t="e">
        <f>Market!$C$3*Market!$I$3*NIFTY_OC!$D254/$C254</f>
        <v>#VALUE!</v>
      </c>
    </row>
    <row r="255" spans="1:19">
      <c r="A255" s="39">
        <v>44448</v>
      </c>
      <c r="B255" s="38">
        <v>30650</v>
      </c>
      <c r="C255" s="38">
        <v>1036.0999999999999</v>
      </c>
      <c r="D255">
        <v>0.98</v>
      </c>
      <c r="E255" s="37">
        <v>16200</v>
      </c>
      <c r="F255">
        <v>22.54</v>
      </c>
      <c r="G255" s="38">
        <v>4.6500000000000004</v>
      </c>
      <c r="H255" s="38">
        <v>-0.02</v>
      </c>
      <c r="I255" s="38">
        <v>946950</v>
      </c>
      <c r="J255" s="38">
        <v>-2.09</v>
      </c>
      <c r="K255" s="38">
        <v>1.3</v>
      </c>
      <c r="L255">
        <v>1E-4</v>
      </c>
      <c r="M255" s="41">
        <f t="shared" si="3"/>
        <v>45.967169476486241</v>
      </c>
      <c r="N255" s="40" t="e">
        <f>Market!$C$3*Market!$D$3*NIFTY_OC!$D255/$C255</f>
        <v>#VALUE!</v>
      </c>
      <c r="O255" s="40" t="e">
        <f>Market!$C$3*Market!$E$3*NIFTY_OC!$D255/$C255</f>
        <v>#VALUE!</v>
      </c>
      <c r="P255" s="40" t="e">
        <f>Market!$C$3*Market!$F$3*NIFTY_OC!$D255/$C255</f>
        <v>#VALUE!</v>
      </c>
      <c r="Q255" s="40" t="e">
        <f>Market!$C$3*Market!$G$3*NIFTY_OC!$D255/$C255</f>
        <v>#VALUE!</v>
      </c>
      <c r="R255" s="40" t="e">
        <f>Market!$C$3*Market!$H$3*NIFTY_OC!$D255/$C255</f>
        <v>#VALUE!</v>
      </c>
      <c r="S255" s="40" t="e">
        <f>Market!$C$3*Market!$I$3*NIFTY_OC!$D255/$C255</f>
        <v>#VALUE!</v>
      </c>
    </row>
    <row r="256" spans="1:19">
      <c r="A256" s="39">
        <v>44448</v>
      </c>
      <c r="B256" s="38">
        <v>2850</v>
      </c>
      <c r="C256" s="38">
        <v>980.05</v>
      </c>
      <c r="D256">
        <v>0.97</v>
      </c>
      <c r="E256" s="37">
        <v>16250</v>
      </c>
      <c r="F256">
        <v>21.92</v>
      </c>
      <c r="G256" s="38">
        <v>5.0999999999999996</v>
      </c>
      <c r="H256" s="38">
        <v>-0.03</v>
      </c>
      <c r="I256" s="38">
        <v>155350</v>
      </c>
      <c r="J256" s="38">
        <v>-2.2200000000000002</v>
      </c>
      <c r="K256" s="38">
        <v>1.42</v>
      </c>
      <c r="L256">
        <v>1.1E-4</v>
      </c>
      <c r="M256" s="41">
        <f t="shared" si="3"/>
        <v>44.710310218978094</v>
      </c>
      <c r="N256" s="40" t="e">
        <f>Market!$C$3*Market!$D$3*NIFTY_OC!$D256/$C256</f>
        <v>#VALUE!</v>
      </c>
      <c r="O256" s="40" t="e">
        <f>Market!$C$3*Market!$E$3*NIFTY_OC!$D256/$C256</f>
        <v>#VALUE!</v>
      </c>
      <c r="P256" s="40" t="e">
        <f>Market!$C$3*Market!$F$3*NIFTY_OC!$D256/$C256</f>
        <v>#VALUE!</v>
      </c>
      <c r="Q256" s="40" t="e">
        <f>Market!$C$3*Market!$G$3*NIFTY_OC!$D256/$C256</f>
        <v>#VALUE!</v>
      </c>
      <c r="R256" s="40" t="e">
        <f>Market!$C$3*Market!$H$3*NIFTY_OC!$D256/$C256</f>
        <v>#VALUE!</v>
      </c>
      <c r="S256" s="40" t="e">
        <f>Market!$C$3*Market!$I$3*NIFTY_OC!$D256/$C256</f>
        <v>#VALUE!</v>
      </c>
    </row>
    <row r="257" spans="1:19">
      <c r="A257" s="39">
        <v>44448</v>
      </c>
      <c r="B257" s="38">
        <v>48400</v>
      </c>
      <c r="C257" s="38">
        <v>934.45</v>
      </c>
      <c r="D257">
        <v>0.97</v>
      </c>
      <c r="E257" s="37">
        <v>16300</v>
      </c>
      <c r="F257">
        <v>21.22</v>
      </c>
      <c r="G257" s="38">
        <v>5.5</v>
      </c>
      <c r="H257" s="38">
        <v>-0.03</v>
      </c>
      <c r="I257" s="38">
        <v>825200</v>
      </c>
      <c r="J257" s="38">
        <v>-2.33</v>
      </c>
      <c r="K257" s="38">
        <v>1.53</v>
      </c>
      <c r="L257">
        <v>1.2999999999999999E-4</v>
      </c>
      <c r="M257" s="41">
        <f t="shared" si="3"/>
        <v>44.03628652214892</v>
      </c>
      <c r="N257" s="40" t="e">
        <f>Market!$C$3*Market!$D$3*NIFTY_OC!$D257/$C257</f>
        <v>#VALUE!</v>
      </c>
      <c r="O257" s="40" t="e">
        <f>Market!$C$3*Market!$E$3*NIFTY_OC!$D257/$C257</f>
        <v>#VALUE!</v>
      </c>
      <c r="P257" s="40" t="e">
        <f>Market!$C$3*Market!$F$3*NIFTY_OC!$D257/$C257</f>
        <v>#VALUE!</v>
      </c>
      <c r="Q257" s="40" t="e">
        <f>Market!$C$3*Market!$G$3*NIFTY_OC!$D257/$C257</f>
        <v>#VALUE!</v>
      </c>
      <c r="R257" s="40" t="e">
        <f>Market!$C$3*Market!$H$3*NIFTY_OC!$D257/$C257</f>
        <v>#VALUE!</v>
      </c>
      <c r="S257" s="40" t="e">
        <f>Market!$C$3*Market!$I$3*NIFTY_OC!$D257/$C257</f>
        <v>#VALUE!</v>
      </c>
    </row>
    <row r="258" spans="1:19">
      <c r="A258" s="39">
        <v>44448</v>
      </c>
      <c r="B258" s="38">
        <v>9850</v>
      </c>
      <c r="C258" s="38">
        <v>884.75</v>
      </c>
      <c r="D258">
        <v>0.97</v>
      </c>
      <c r="E258" s="37">
        <v>16350</v>
      </c>
      <c r="F258">
        <v>20.46</v>
      </c>
      <c r="G258" s="38">
        <v>5.85</v>
      </c>
      <c r="H258" s="38">
        <v>-0.03</v>
      </c>
      <c r="I258" s="38">
        <v>80300</v>
      </c>
      <c r="J258" s="38">
        <v>-2.41</v>
      </c>
      <c r="K258" s="38">
        <v>1.65</v>
      </c>
      <c r="L258">
        <v>1.3999999999999999E-4</v>
      </c>
      <c r="M258" s="41">
        <f t="shared" si="3"/>
        <v>43.242913000977516</v>
      </c>
      <c r="N258" s="40" t="e">
        <f>Market!$C$3*Market!$D$3*NIFTY_OC!$D258/$C258</f>
        <v>#VALUE!</v>
      </c>
      <c r="O258" s="40" t="e">
        <f>Market!$C$3*Market!$E$3*NIFTY_OC!$D258/$C258</f>
        <v>#VALUE!</v>
      </c>
      <c r="P258" s="40" t="e">
        <f>Market!$C$3*Market!$F$3*NIFTY_OC!$D258/$C258</f>
        <v>#VALUE!</v>
      </c>
      <c r="Q258" s="40" t="e">
        <f>Market!$C$3*Market!$G$3*NIFTY_OC!$D258/$C258</f>
        <v>#VALUE!</v>
      </c>
      <c r="R258" s="40" t="e">
        <f>Market!$C$3*Market!$H$3*NIFTY_OC!$D258/$C258</f>
        <v>#VALUE!</v>
      </c>
      <c r="S258" s="40" t="e">
        <f>Market!$C$3*Market!$I$3*NIFTY_OC!$D258/$C258</f>
        <v>#VALUE!</v>
      </c>
    </row>
    <row r="259" spans="1:19">
      <c r="A259" s="39">
        <v>44448</v>
      </c>
      <c r="B259" s="38">
        <v>38050</v>
      </c>
      <c r="C259" s="38">
        <v>838.1</v>
      </c>
      <c r="D259">
        <v>0.97</v>
      </c>
      <c r="E259" s="37">
        <v>16400</v>
      </c>
      <c r="F259">
        <v>19.829999999999998</v>
      </c>
      <c r="G259" s="38">
        <v>6.5</v>
      </c>
      <c r="H259" s="38">
        <v>-0.03</v>
      </c>
      <c r="I259" s="38">
        <v>800750</v>
      </c>
      <c r="J259" s="38">
        <v>-2.58</v>
      </c>
      <c r="K259" s="38">
        <v>1.82</v>
      </c>
      <c r="L259">
        <v>1.6000000000000001E-4</v>
      </c>
      <c r="M259" s="41">
        <f t="shared" ref="M259:M306" si="4">C259/F259</f>
        <v>42.264246091780137</v>
      </c>
      <c r="N259" s="40" t="e">
        <f>Market!$C$3*Market!$D$3*NIFTY_OC!$D259/$C259</f>
        <v>#VALUE!</v>
      </c>
      <c r="O259" s="40" t="e">
        <f>Market!$C$3*Market!$E$3*NIFTY_OC!$D259/$C259</f>
        <v>#VALUE!</v>
      </c>
      <c r="P259" s="40" t="e">
        <f>Market!$C$3*Market!$F$3*NIFTY_OC!$D259/$C259</f>
        <v>#VALUE!</v>
      </c>
      <c r="Q259" s="40" t="e">
        <f>Market!$C$3*Market!$G$3*NIFTY_OC!$D259/$C259</f>
        <v>#VALUE!</v>
      </c>
      <c r="R259" s="40" t="e">
        <f>Market!$C$3*Market!$H$3*NIFTY_OC!$D259/$C259</f>
        <v>#VALUE!</v>
      </c>
      <c r="S259" s="40" t="e">
        <f>Market!$C$3*Market!$I$3*NIFTY_OC!$D259/$C259</f>
        <v>#VALUE!</v>
      </c>
    </row>
    <row r="260" spans="1:19">
      <c r="A260" s="39">
        <v>44448</v>
      </c>
      <c r="B260" s="38">
        <v>5750</v>
      </c>
      <c r="C260" s="38">
        <v>785.4</v>
      </c>
      <c r="D260">
        <v>0.96</v>
      </c>
      <c r="E260" s="37">
        <v>16450</v>
      </c>
      <c r="F260">
        <v>19.14</v>
      </c>
      <c r="G260" s="38">
        <v>7.1</v>
      </c>
      <c r="H260" s="38">
        <v>-0.04</v>
      </c>
      <c r="I260" s="38">
        <v>138700</v>
      </c>
      <c r="J260" s="38">
        <v>-2.72</v>
      </c>
      <c r="K260" s="38">
        <v>1.99</v>
      </c>
      <c r="L260">
        <v>1.8000000000000001E-4</v>
      </c>
      <c r="M260" s="41">
        <f t="shared" si="4"/>
        <v>41.03448275862069</v>
      </c>
      <c r="N260" s="40" t="e">
        <f>Market!$C$3*Market!$D$3*NIFTY_OC!$D260/$C260</f>
        <v>#VALUE!</v>
      </c>
      <c r="O260" s="40" t="e">
        <f>Market!$C$3*Market!$E$3*NIFTY_OC!$D260/$C260</f>
        <v>#VALUE!</v>
      </c>
      <c r="P260" s="40" t="e">
        <f>Market!$C$3*Market!$F$3*NIFTY_OC!$D260/$C260</f>
        <v>#VALUE!</v>
      </c>
      <c r="Q260" s="40" t="e">
        <f>Market!$C$3*Market!$G$3*NIFTY_OC!$D260/$C260</f>
        <v>#VALUE!</v>
      </c>
      <c r="R260" s="40" t="e">
        <f>Market!$C$3*Market!$H$3*NIFTY_OC!$D260/$C260</f>
        <v>#VALUE!</v>
      </c>
      <c r="S260" s="40" t="e">
        <f>Market!$C$3*Market!$I$3*NIFTY_OC!$D260/$C260</f>
        <v>#VALUE!</v>
      </c>
    </row>
    <row r="261" spans="1:19">
      <c r="A261" s="39">
        <v>44448</v>
      </c>
      <c r="B261" s="38">
        <v>127450</v>
      </c>
      <c r="C261" s="38">
        <v>737.75</v>
      </c>
      <c r="D261">
        <v>0.96</v>
      </c>
      <c r="E261" s="37">
        <v>16500</v>
      </c>
      <c r="F261">
        <v>18.53</v>
      </c>
      <c r="G261" s="38">
        <v>8</v>
      </c>
      <c r="H261" s="38">
        <v>-0.04</v>
      </c>
      <c r="I261" s="38">
        <v>2816000</v>
      </c>
      <c r="J261" s="38">
        <v>-2.93</v>
      </c>
      <c r="K261" s="38">
        <v>2.21</v>
      </c>
      <c r="L261">
        <v>2.1000000000000001E-4</v>
      </c>
      <c r="M261" s="41">
        <f t="shared" si="4"/>
        <v>39.813815434430651</v>
      </c>
      <c r="N261" s="40" t="e">
        <f>Market!$C$3*Market!$D$3*NIFTY_OC!$D261/$C261</f>
        <v>#VALUE!</v>
      </c>
      <c r="O261" s="40" t="e">
        <f>Market!$C$3*Market!$E$3*NIFTY_OC!$D261/$C261</f>
        <v>#VALUE!</v>
      </c>
      <c r="P261" s="40" t="e">
        <f>Market!$C$3*Market!$F$3*NIFTY_OC!$D261/$C261</f>
        <v>#VALUE!</v>
      </c>
      <c r="Q261" s="40" t="e">
        <f>Market!$C$3*Market!$G$3*NIFTY_OC!$D261/$C261</f>
        <v>#VALUE!</v>
      </c>
      <c r="R261" s="40" t="e">
        <f>Market!$C$3*Market!$H$3*NIFTY_OC!$D261/$C261</f>
        <v>#VALUE!</v>
      </c>
      <c r="S261" s="40" t="e">
        <f>Market!$C$3*Market!$I$3*NIFTY_OC!$D261/$C261</f>
        <v>#VALUE!</v>
      </c>
    </row>
    <row r="262" spans="1:19">
      <c r="A262" s="39">
        <v>44448</v>
      </c>
      <c r="B262" s="38">
        <v>20600</v>
      </c>
      <c r="C262" s="38">
        <v>691.05</v>
      </c>
      <c r="D262">
        <v>0.95</v>
      </c>
      <c r="E262" s="37">
        <v>16550</v>
      </c>
      <c r="F262">
        <v>17.760000000000002</v>
      </c>
      <c r="G262" s="38">
        <v>8.65</v>
      </c>
      <c r="H262" s="38">
        <v>-0.05</v>
      </c>
      <c r="I262" s="38">
        <v>128400</v>
      </c>
      <c r="J262" s="38">
        <v>-3.05</v>
      </c>
      <c r="K262" s="38">
        <v>2.41</v>
      </c>
      <c r="L262">
        <v>2.4000000000000001E-4</v>
      </c>
      <c r="M262" s="41">
        <f t="shared" si="4"/>
        <v>38.910472972972968</v>
      </c>
      <c r="N262" s="40" t="e">
        <f>Market!$C$3*Market!$D$3*NIFTY_OC!$D262/$C262</f>
        <v>#VALUE!</v>
      </c>
      <c r="O262" s="40" t="e">
        <f>Market!$C$3*Market!$E$3*NIFTY_OC!$D262/$C262</f>
        <v>#VALUE!</v>
      </c>
      <c r="P262" s="40" t="e">
        <f>Market!$C$3*Market!$F$3*NIFTY_OC!$D262/$C262</f>
        <v>#VALUE!</v>
      </c>
      <c r="Q262" s="40" t="e">
        <f>Market!$C$3*Market!$G$3*NIFTY_OC!$D262/$C262</f>
        <v>#VALUE!</v>
      </c>
      <c r="R262" s="40" t="e">
        <f>Market!$C$3*Market!$H$3*NIFTY_OC!$D262/$C262</f>
        <v>#VALUE!</v>
      </c>
      <c r="S262" s="40" t="e">
        <f>Market!$C$3*Market!$I$3*NIFTY_OC!$D262/$C262</f>
        <v>#VALUE!</v>
      </c>
    </row>
    <row r="263" spans="1:19">
      <c r="A263" s="39">
        <v>44448</v>
      </c>
      <c r="B263" s="38">
        <v>89200</v>
      </c>
      <c r="C263" s="38">
        <v>640.54999999999995</v>
      </c>
      <c r="D263">
        <v>0.94</v>
      </c>
      <c r="E263" s="37">
        <v>16600</v>
      </c>
      <c r="F263">
        <v>17.079999999999998</v>
      </c>
      <c r="G263" s="38">
        <v>9.65</v>
      </c>
      <c r="H263" s="38">
        <v>-0.06</v>
      </c>
      <c r="I263" s="38">
        <v>1048250</v>
      </c>
      <c r="J263" s="38">
        <v>-3.25</v>
      </c>
      <c r="K263" s="38">
        <v>2.66</v>
      </c>
      <c r="L263">
        <v>2.7E-4</v>
      </c>
      <c r="M263" s="41">
        <f t="shared" si="4"/>
        <v>37.502927400468387</v>
      </c>
      <c r="N263" s="40" t="e">
        <f>Market!$C$3*Market!$D$3*NIFTY_OC!$D263/$C263</f>
        <v>#VALUE!</v>
      </c>
      <c r="O263" s="40" t="e">
        <f>Market!$C$3*Market!$E$3*NIFTY_OC!$D263/$C263</f>
        <v>#VALUE!</v>
      </c>
      <c r="P263" s="40" t="e">
        <f>Market!$C$3*Market!$F$3*NIFTY_OC!$D263/$C263</f>
        <v>#VALUE!</v>
      </c>
      <c r="Q263" s="40" t="e">
        <f>Market!$C$3*Market!$G$3*NIFTY_OC!$D263/$C263</f>
        <v>#VALUE!</v>
      </c>
      <c r="R263" s="40" t="e">
        <f>Market!$C$3*Market!$H$3*NIFTY_OC!$D263/$C263</f>
        <v>#VALUE!</v>
      </c>
      <c r="S263" s="40" t="e">
        <f>Market!$C$3*Market!$I$3*NIFTY_OC!$D263/$C263</f>
        <v>#VALUE!</v>
      </c>
    </row>
    <row r="264" spans="1:19">
      <c r="A264" s="39">
        <v>44448</v>
      </c>
      <c r="B264" s="38">
        <v>21900</v>
      </c>
      <c r="C264" s="38">
        <v>592.1</v>
      </c>
      <c r="D264">
        <v>0.94</v>
      </c>
      <c r="E264" s="37">
        <v>16650</v>
      </c>
      <c r="F264">
        <v>16.41</v>
      </c>
      <c r="G264" s="38">
        <v>10.85</v>
      </c>
      <c r="H264" s="38">
        <v>-0.06</v>
      </c>
      <c r="I264" s="38">
        <v>252450</v>
      </c>
      <c r="J264" s="38">
        <v>-3.47</v>
      </c>
      <c r="K264" s="38">
        <v>2.96</v>
      </c>
      <c r="L264">
        <v>3.2000000000000003E-4</v>
      </c>
      <c r="M264" s="41">
        <f t="shared" si="4"/>
        <v>36.081657525898841</v>
      </c>
      <c r="N264" s="40" t="e">
        <f>Market!$C$3*Market!$D$3*NIFTY_OC!$D264/$C264</f>
        <v>#VALUE!</v>
      </c>
      <c r="O264" s="40" t="e">
        <f>Market!$C$3*Market!$E$3*NIFTY_OC!$D264/$C264</f>
        <v>#VALUE!</v>
      </c>
      <c r="P264" s="40" t="e">
        <f>Market!$C$3*Market!$F$3*NIFTY_OC!$D264/$C264</f>
        <v>#VALUE!</v>
      </c>
      <c r="Q264" s="40" t="e">
        <f>Market!$C$3*Market!$G$3*NIFTY_OC!$D264/$C264</f>
        <v>#VALUE!</v>
      </c>
      <c r="R264" s="40" t="e">
        <f>Market!$C$3*Market!$H$3*NIFTY_OC!$D264/$C264</f>
        <v>#VALUE!</v>
      </c>
      <c r="S264" s="40" t="e">
        <f>Market!$C$3*Market!$I$3*NIFTY_OC!$D264/$C264</f>
        <v>#VALUE!</v>
      </c>
    </row>
    <row r="265" spans="1:19">
      <c r="A265" s="39">
        <v>44448</v>
      </c>
      <c r="B265" s="38">
        <v>134650</v>
      </c>
      <c r="C265" s="38">
        <v>544.54999999999995</v>
      </c>
      <c r="D265">
        <v>0.93</v>
      </c>
      <c r="E265" s="37">
        <v>16700</v>
      </c>
      <c r="F265">
        <v>15.86</v>
      </c>
      <c r="G265" s="38">
        <v>12.7</v>
      </c>
      <c r="H265" s="38">
        <v>-7.0000000000000007E-2</v>
      </c>
      <c r="I265" s="38">
        <v>1126950</v>
      </c>
      <c r="J265" s="38">
        <v>-3.8</v>
      </c>
      <c r="K265" s="38">
        <v>3.36</v>
      </c>
      <c r="L265">
        <v>3.6999999999999999E-4</v>
      </c>
      <c r="M265" s="41">
        <f t="shared" si="4"/>
        <v>34.334804539722569</v>
      </c>
      <c r="N265" s="40" t="e">
        <f>Market!$C$3*Market!$D$3*NIFTY_OC!$D265/$C265</f>
        <v>#VALUE!</v>
      </c>
      <c r="O265" s="40" t="e">
        <f>Market!$C$3*Market!$E$3*NIFTY_OC!$D265/$C265</f>
        <v>#VALUE!</v>
      </c>
      <c r="P265" s="40" t="e">
        <f>Market!$C$3*Market!$F$3*NIFTY_OC!$D265/$C265</f>
        <v>#VALUE!</v>
      </c>
      <c r="Q265" s="40" t="e">
        <f>Market!$C$3*Market!$G$3*NIFTY_OC!$D265/$C265</f>
        <v>#VALUE!</v>
      </c>
      <c r="R265" s="40" t="e">
        <f>Market!$C$3*Market!$H$3*NIFTY_OC!$D265/$C265</f>
        <v>#VALUE!</v>
      </c>
      <c r="S265" s="40" t="e">
        <f>Market!$C$3*Market!$I$3*NIFTY_OC!$D265/$C265</f>
        <v>#VALUE!</v>
      </c>
    </row>
    <row r="266" spans="1:19">
      <c r="A266" s="39">
        <v>44448</v>
      </c>
      <c r="B266" s="38">
        <v>28250</v>
      </c>
      <c r="C266" s="38">
        <v>498.3</v>
      </c>
      <c r="D266">
        <v>0.91</v>
      </c>
      <c r="E266" s="37">
        <v>16750</v>
      </c>
      <c r="F266">
        <v>15.22</v>
      </c>
      <c r="G266" s="38">
        <v>14.6</v>
      </c>
      <c r="H266" s="38">
        <v>-0.09</v>
      </c>
      <c r="I266" s="38">
        <v>308450</v>
      </c>
      <c r="J266" s="38">
        <v>-4.09</v>
      </c>
      <c r="K266" s="38">
        <v>3.77</v>
      </c>
      <c r="L266">
        <v>4.2999999999999999E-4</v>
      </c>
      <c r="M266" s="41">
        <f t="shared" si="4"/>
        <v>32.739816031537451</v>
      </c>
      <c r="N266" s="40" t="e">
        <f>Market!$C$3*Market!$D$3*NIFTY_OC!$D266/$C266</f>
        <v>#VALUE!</v>
      </c>
      <c r="O266" s="40" t="e">
        <f>Market!$C$3*Market!$E$3*NIFTY_OC!$D266/$C266</f>
        <v>#VALUE!</v>
      </c>
      <c r="P266" s="40" t="e">
        <f>Market!$C$3*Market!$F$3*NIFTY_OC!$D266/$C266</f>
        <v>#VALUE!</v>
      </c>
      <c r="Q266" s="40" t="e">
        <f>Market!$C$3*Market!$G$3*NIFTY_OC!$D266/$C266</f>
        <v>#VALUE!</v>
      </c>
      <c r="R266" s="40" t="e">
        <f>Market!$C$3*Market!$H$3*NIFTY_OC!$D266/$C266</f>
        <v>#VALUE!</v>
      </c>
      <c r="S266" s="40" t="e">
        <f>Market!$C$3*Market!$I$3*NIFTY_OC!$D266/$C266</f>
        <v>#VALUE!</v>
      </c>
    </row>
    <row r="267" spans="1:19">
      <c r="A267" s="39">
        <v>44448</v>
      </c>
      <c r="B267" s="38">
        <v>146200</v>
      </c>
      <c r="C267" s="38">
        <v>450.1</v>
      </c>
      <c r="D267">
        <v>0.9</v>
      </c>
      <c r="E267" s="37">
        <v>16800</v>
      </c>
      <c r="F267">
        <v>14.69</v>
      </c>
      <c r="G267" s="38">
        <v>17.399999999999999</v>
      </c>
      <c r="H267" s="38">
        <v>-0.1</v>
      </c>
      <c r="I267" s="38">
        <v>1339450</v>
      </c>
      <c r="J267" s="38">
        <v>-4.5</v>
      </c>
      <c r="K267" s="38">
        <v>4.29</v>
      </c>
      <c r="L267">
        <v>5.1000000000000004E-4</v>
      </c>
      <c r="M267" s="41">
        <f t="shared" si="4"/>
        <v>30.639891082368962</v>
      </c>
      <c r="N267" s="40" t="e">
        <f>Market!$C$3*Market!$D$3*NIFTY_OC!$D267/$C267</f>
        <v>#VALUE!</v>
      </c>
      <c r="O267" s="40" t="e">
        <f>Market!$C$3*Market!$E$3*NIFTY_OC!$D267/$C267</f>
        <v>#VALUE!</v>
      </c>
      <c r="P267" s="40" t="e">
        <f>Market!$C$3*Market!$F$3*NIFTY_OC!$D267/$C267</f>
        <v>#VALUE!</v>
      </c>
      <c r="Q267" s="40" t="e">
        <f>Market!$C$3*Market!$G$3*NIFTY_OC!$D267/$C267</f>
        <v>#VALUE!</v>
      </c>
      <c r="R267" s="40" t="e">
        <f>Market!$C$3*Market!$H$3*NIFTY_OC!$D267/$C267</f>
        <v>#VALUE!</v>
      </c>
      <c r="S267" s="40" t="e">
        <f>Market!$C$3*Market!$I$3*NIFTY_OC!$D267/$C267</f>
        <v>#VALUE!</v>
      </c>
    </row>
    <row r="268" spans="1:19">
      <c r="A268" s="39">
        <v>44448</v>
      </c>
      <c r="B268" s="38">
        <v>41500</v>
      </c>
      <c r="C268" s="38">
        <v>401.95</v>
      </c>
      <c r="D268">
        <v>0.88</v>
      </c>
      <c r="E268" s="37">
        <v>16850</v>
      </c>
      <c r="F268">
        <v>14.13</v>
      </c>
      <c r="G268" s="38">
        <v>20.65</v>
      </c>
      <c r="H268" s="38">
        <v>-0.12</v>
      </c>
      <c r="I268" s="38">
        <v>276750</v>
      </c>
      <c r="J268" s="38">
        <v>-4.9000000000000004</v>
      </c>
      <c r="K268" s="38">
        <v>4.8499999999999996</v>
      </c>
      <c r="L268">
        <v>5.9999999999999995E-4</v>
      </c>
      <c r="M268" s="41">
        <f t="shared" si="4"/>
        <v>28.446567586694972</v>
      </c>
      <c r="N268" s="40" t="e">
        <f>Market!$C$3*Market!$D$3*NIFTY_OC!$D268/$C268</f>
        <v>#VALUE!</v>
      </c>
      <c r="O268" s="40" t="e">
        <f>Market!$C$3*Market!$E$3*NIFTY_OC!$D268/$C268</f>
        <v>#VALUE!</v>
      </c>
      <c r="P268" s="40" t="e">
        <f>Market!$C$3*Market!$F$3*NIFTY_OC!$D268/$C268</f>
        <v>#VALUE!</v>
      </c>
      <c r="Q268" s="40" t="e">
        <f>Market!$C$3*Market!$G$3*NIFTY_OC!$D268/$C268</f>
        <v>#VALUE!</v>
      </c>
      <c r="R268" s="40" t="e">
        <f>Market!$C$3*Market!$H$3*NIFTY_OC!$D268/$C268</f>
        <v>#VALUE!</v>
      </c>
      <c r="S268" s="40" t="e">
        <f>Market!$C$3*Market!$I$3*NIFTY_OC!$D268/$C268</f>
        <v>#VALUE!</v>
      </c>
    </row>
    <row r="269" spans="1:19">
      <c r="A269" s="39">
        <v>44448</v>
      </c>
      <c r="B269" s="38">
        <v>290050</v>
      </c>
      <c r="C269" s="38">
        <v>358.1</v>
      </c>
      <c r="D269">
        <v>0.85</v>
      </c>
      <c r="E269" s="37">
        <v>16900</v>
      </c>
      <c r="F269">
        <v>13.65</v>
      </c>
      <c r="G269" s="38">
        <v>25.15</v>
      </c>
      <c r="H269" s="38">
        <v>-0.15</v>
      </c>
      <c r="I269" s="38">
        <v>1439400</v>
      </c>
      <c r="J269" s="38">
        <v>-5.38</v>
      </c>
      <c r="K269" s="38">
        <v>5.52</v>
      </c>
      <c r="L269">
        <v>7.1000000000000002E-4</v>
      </c>
      <c r="M269" s="41">
        <f t="shared" si="4"/>
        <v>26.234432234432237</v>
      </c>
      <c r="N269" s="40" t="e">
        <f>Market!$C$3*Market!$D$3*NIFTY_OC!$D269/$C269</f>
        <v>#VALUE!</v>
      </c>
      <c r="O269" s="40" t="e">
        <f>Market!$C$3*Market!$E$3*NIFTY_OC!$D269/$C269</f>
        <v>#VALUE!</v>
      </c>
      <c r="P269" s="40" t="e">
        <f>Market!$C$3*Market!$F$3*NIFTY_OC!$D269/$C269</f>
        <v>#VALUE!</v>
      </c>
      <c r="Q269" s="40" t="e">
        <f>Market!$C$3*Market!$G$3*NIFTY_OC!$D269/$C269</f>
        <v>#VALUE!</v>
      </c>
      <c r="R269" s="40" t="e">
        <f>Market!$C$3*Market!$H$3*NIFTY_OC!$D269/$C269</f>
        <v>#VALUE!</v>
      </c>
      <c r="S269" s="40" t="e">
        <f>Market!$C$3*Market!$I$3*NIFTY_OC!$D269/$C269</f>
        <v>#VALUE!</v>
      </c>
    </row>
    <row r="270" spans="1:19">
      <c r="A270" s="39">
        <v>44448</v>
      </c>
      <c r="B270" s="38">
        <v>51800</v>
      </c>
      <c r="C270" s="38">
        <v>313.5</v>
      </c>
      <c r="D270">
        <v>0.82</v>
      </c>
      <c r="E270" s="37">
        <v>16950</v>
      </c>
      <c r="F270">
        <v>13.14</v>
      </c>
      <c r="G270" s="38">
        <v>30.5</v>
      </c>
      <c r="H270" s="38">
        <v>-0.18</v>
      </c>
      <c r="I270" s="38">
        <v>353100</v>
      </c>
      <c r="J270" s="38">
        <v>-5.84</v>
      </c>
      <c r="K270" s="38">
        <v>6.22</v>
      </c>
      <c r="L270">
        <v>8.3000000000000001E-4</v>
      </c>
      <c r="M270" s="41">
        <f t="shared" si="4"/>
        <v>23.858447488584474</v>
      </c>
      <c r="N270" s="40" t="e">
        <f>Market!$C$3*Market!$D$3*NIFTY_OC!$D270/$C270</f>
        <v>#VALUE!</v>
      </c>
      <c r="O270" s="40" t="e">
        <f>Market!$C$3*Market!$E$3*NIFTY_OC!$D270/$C270</f>
        <v>#VALUE!</v>
      </c>
      <c r="P270" s="40" t="e">
        <f>Market!$C$3*Market!$F$3*NIFTY_OC!$D270/$C270</f>
        <v>#VALUE!</v>
      </c>
      <c r="Q270" s="40" t="e">
        <f>Market!$C$3*Market!$G$3*NIFTY_OC!$D270/$C270</f>
        <v>#VALUE!</v>
      </c>
      <c r="R270" s="40" t="e">
        <f>Market!$C$3*Market!$H$3*NIFTY_OC!$D270/$C270</f>
        <v>#VALUE!</v>
      </c>
      <c r="S270" s="40" t="e">
        <f>Market!$C$3*Market!$I$3*NIFTY_OC!$D270/$C270</f>
        <v>#VALUE!</v>
      </c>
    </row>
    <row r="271" spans="1:19">
      <c r="A271" s="39">
        <v>44448</v>
      </c>
      <c r="B271" s="38">
        <v>801400</v>
      </c>
      <c r="C271" s="38">
        <v>272.10000000000002</v>
      </c>
      <c r="D271">
        <v>0.78</v>
      </c>
      <c r="E271" s="37">
        <v>17000</v>
      </c>
      <c r="F271">
        <v>12.79</v>
      </c>
      <c r="G271" s="38">
        <v>38.35</v>
      </c>
      <c r="H271" s="38">
        <v>-0.22</v>
      </c>
      <c r="I271" s="38">
        <v>2424100</v>
      </c>
      <c r="J271" s="38">
        <v>-6.42</v>
      </c>
      <c r="K271" s="38">
        <v>7.02</v>
      </c>
      <c r="L271">
        <v>9.6000000000000002E-4</v>
      </c>
      <c r="M271" s="41">
        <f t="shared" si="4"/>
        <v>21.274433150899142</v>
      </c>
      <c r="N271" s="40" t="e">
        <f>Market!$C$3*Market!$D$3*NIFTY_OC!$D271/$C271</f>
        <v>#VALUE!</v>
      </c>
      <c r="O271" s="40" t="e">
        <f>Market!$C$3*Market!$E$3*NIFTY_OC!$D271/$C271</f>
        <v>#VALUE!</v>
      </c>
      <c r="P271" s="40" t="e">
        <f>Market!$C$3*Market!$F$3*NIFTY_OC!$D271/$C271</f>
        <v>#VALUE!</v>
      </c>
      <c r="Q271" s="40" t="e">
        <f>Market!$C$3*Market!$G$3*NIFTY_OC!$D271/$C271</f>
        <v>#VALUE!</v>
      </c>
      <c r="R271" s="40" t="e">
        <f>Market!$C$3*Market!$H$3*NIFTY_OC!$D271/$C271</f>
        <v>#VALUE!</v>
      </c>
      <c r="S271" s="40" t="e">
        <f>Market!$C$3*Market!$I$3*NIFTY_OC!$D271/$C271</f>
        <v>#VALUE!</v>
      </c>
    </row>
    <row r="272" spans="1:19">
      <c r="A272" s="39">
        <v>44448</v>
      </c>
      <c r="B272" s="38">
        <v>76200</v>
      </c>
      <c r="C272" s="38">
        <v>232.85</v>
      </c>
      <c r="D272">
        <v>0.74</v>
      </c>
      <c r="E272" s="37">
        <v>17050</v>
      </c>
      <c r="F272">
        <v>12.45</v>
      </c>
      <c r="G272" s="38">
        <v>48.1</v>
      </c>
      <c r="H272" s="38">
        <v>-0.26</v>
      </c>
      <c r="I272" s="38">
        <v>482050</v>
      </c>
      <c r="J272" s="38">
        <v>-6.94</v>
      </c>
      <c r="K272" s="38">
        <v>7.8</v>
      </c>
      <c r="L272">
        <v>1.1000000000000001E-3</v>
      </c>
      <c r="M272" s="41">
        <f t="shared" si="4"/>
        <v>18.70281124497992</v>
      </c>
      <c r="N272" s="40" t="e">
        <f>Market!$C$3*Market!$D$3*NIFTY_OC!$D272/$C272</f>
        <v>#VALUE!</v>
      </c>
      <c r="O272" s="40" t="e">
        <f>Market!$C$3*Market!$E$3*NIFTY_OC!$D272/$C272</f>
        <v>#VALUE!</v>
      </c>
      <c r="P272" s="40" t="e">
        <f>Market!$C$3*Market!$F$3*NIFTY_OC!$D272/$C272</f>
        <v>#VALUE!</v>
      </c>
      <c r="Q272" s="40" t="e">
        <f>Market!$C$3*Market!$G$3*NIFTY_OC!$D272/$C272</f>
        <v>#VALUE!</v>
      </c>
      <c r="R272" s="40" t="e">
        <f>Market!$C$3*Market!$H$3*NIFTY_OC!$D272/$C272</f>
        <v>#VALUE!</v>
      </c>
      <c r="S272" s="40" t="e">
        <f>Market!$C$3*Market!$I$3*NIFTY_OC!$D272/$C272</f>
        <v>#VALUE!</v>
      </c>
    </row>
    <row r="273" spans="1:19">
      <c r="A273" s="39">
        <v>44448</v>
      </c>
      <c r="B273" s="38">
        <v>890250</v>
      </c>
      <c r="C273" s="38">
        <v>195.05</v>
      </c>
      <c r="D273">
        <v>0.68</v>
      </c>
      <c r="E273" s="37">
        <v>17100</v>
      </c>
      <c r="F273">
        <v>12.21</v>
      </c>
      <c r="G273" s="38">
        <v>60.95</v>
      </c>
      <c r="H273" s="38">
        <v>-0.32</v>
      </c>
      <c r="I273" s="38">
        <v>2201700</v>
      </c>
      <c r="J273" s="38">
        <v>-7.43</v>
      </c>
      <c r="K273" s="38">
        <v>8.5299999999999994</v>
      </c>
      <c r="L273">
        <v>1.23E-3</v>
      </c>
      <c r="M273" s="41">
        <f t="shared" si="4"/>
        <v>15.974610974610975</v>
      </c>
      <c r="N273" s="40" t="e">
        <f>Market!$C$3*Market!$D$3*NIFTY_OC!$D273/$C273</f>
        <v>#VALUE!</v>
      </c>
      <c r="O273" s="40" t="e">
        <f>Market!$C$3*Market!$E$3*NIFTY_OC!$D273/$C273</f>
        <v>#VALUE!</v>
      </c>
      <c r="P273" s="40" t="e">
        <f>Market!$C$3*Market!$F$3*NIFTY_OC!$D273/$C273</f>
        <v>#VALUE!</v>
      </c>
      <c r="Q273" s="40" t="e">
        <f>Market!$C$3*Market!$G$3*NIFTY_OC!$D273/$C273</f>
        <v>#VALUE!</v>
      </c>
      <c r="R273" s="40" t="e">
        <f>Market!$C$3*Market!$H$3*NIFTY_OC!$D273/$C273</f>
        <v>#VALUE!</v>
      </c>
      <c r="S273" s="40" t="e">
        <f>Market!$C$3*Market!$I$3*NIFTY_OC!$D273/$C273</f>
        <v>#VALUE!</v>
      </c>
    </row>
    <row r="274" spans="1:19">
      <c r="A274" s="39">
        <v>44448</v>
      </c>
      <c r="B274" s="38">
        <v>428900</v>
      </c>
      <c r="C274" s="38">
        <v>161.85</v>
      </c>
      <c r="D274">
        <v>0.62</v>
      </c>
      <c r="E274" s="37">
        <v>17150</v>
      </c>
      <c r="F274">
        <v>12.06</v>
      </c>
      <c r="G274" s="38">
        <v>77.45</v>
      </c>
      <c r="H274" s="38">
        <v>-0.38</v>
      </c>
      <c r="I274" s="38">
        <v>693950</v>
      </c>
      <c r="J274" s="38">
        <v>-7.84</v>
      </c>
      <c r="K274" s="38">
        <v>9.1</v>
      </c>
      <c r="L274">
        <v>1.33E-3</v>
      </c>
      <c r="M274" s="41">
        <f t="shared" si="4"/>
        <v>13.420398009950247</v>
      </c>
      <c r="N274" s="40" t="e">
        <f>Market!$C$3*Market!$D$3*NIFTY_OC!$D274/$C274</f>
        <v>#VALUE!</v>
      </c>
      <c r="O274" s="40" t="e">
        <f>Market!$C$3*Market!$E$3*NIFTY_OC!$D274/$C274</f>
        <v>#VALUE!</v>
      </c>
      <c r="P274" s="40" t="e">
        <f>Market!$C$3*Market!$F$3*NIFTY_OC!$D274/$C274</f>
        <v>#VALUE!</v>
      </c>
      <c r="Q274" s="40" t="e">
        <f>Market!$C$3*Market!$G$3*NIFTY_OC!$D274/$C274</f>
        <v>#VALUE!</v>
      </c>
      <c r="R274" s="40" t="e">
        <f>Market!$C$3*Market!$H$3*NIFTY_OC!$D274/$C274</f>
        <v>#VALUE!</v>
      </c>
      <c r="S274" s="40" t="e">
        <f>Market!$C$3*Market!$I$3*NIFTY_OC!$D274/$C274</f>
        <v>#VALUE!</v>
      </c>
    </row>
    <row r="275" spans="1:19">
      <c r="A275" s="39">
        <v>44448</v>
      </c>
      <c r="B275" s="38">
        <v>2001500</v>
      </c>
      <c r="C275" s="38">
        <v>130.65</v>
      </c>
      <c r="D275">
        <v>0.55000000000000004</v>
      </c>
      <c r="E275" s="37">
        <v>17200</v>
      </c>
      <c r="F275">
        <v>11.87</v>
      </c>
      <c r="G275" s="38">
        <v>96.8</v>
      </c>
      <c r="H275" s="38">
        <v>-0.45</v>
      </c>
      <c r="I275" s="38">
        <v>2307250</v>
      </c>
      <c r="J275" s="38">
        <v>-8.01</v>
      </c>
      <c r="K275" s="38">
        <v>9.44</v>
      </c>
      <c r="L275">
        <v>1.4E-3</v>
      </c>
      <c r="M275" s="41">
        <f t="shared" si="4"/>
        <v>11.006739679865207</v>
      </c>
      <c r="N275" s="40" t="e">
        <f>Market!$C$3*Market!$D$3*NIFTY_OC!$D275/$C275</f>
        <v>#VALUE!</v>
      </c>
      <c r="O275" s="40" t="e">
        <f>Market!$C$3*Market!$E$3*NIFTY_OC!$D275/$C275</f>
        <v>#VALUE!</v>
      </c>
      <c r="P275" s="40" t="e">
        <f>Market!$C$3*Market!$F$3*NIFTY_OC!$D275/$C275</f>
        <v>#VALUE!</v>
      </c>
      <c r="Q275" s="40" t="e">
        <f>Market!$C$3*Market!$G$3*NIFTY_OC!$D275/$C275</f>
        <v>#VALUE!</v>
      </c>
      <c r="R275" s="40" t="e">
        <f>Market!$C$3*Market!$H$3*NIFTY_OC!$D275/$C275</f>
        <v>#VALUE!</v>
      </c>
      <c r="S275" s="40" t="e">
        <f>Market!$C$3*Market!$I$3*NIFTY_OC!$D275/$C275</f>
        <v>#VALUE!</v>
      </c>
    </row>
    <row r="276" spans="1:19">
      <c r="A276" s="39">
        <v>44448</v>
      </c>
      <c r="B276" s="38">
        <v>924650</v>
      </c>
      <c r="C276" s="38">
        <v>104.05</v>
      </c>
      <c r="D276">
        <v>0.48</v>
      </c>
      <c r="E276" s="37">
        <v>17250</v>
      </c>
      <c r="F276">
        <v>11.75</v>
      </c>
      <c r="G276" s="38">
        <v>120.45</v>
      </c>
      <c r="H276" s="38">
        <v>-0.52</v>
      </c>
      <c r="I276" s="38">
        <v>385550</v>
      </c>
      <c r="J276" s="38">
        <v>-7.98</v>
      </c>
      <c r="K276" s="38">
        <v>9.51</v>
      </c>
      <c r="L276">
        <v>1.42E-3</v>
      </c>
      <c r="M276" s="41">
        <f t="shared" si="4"/>
        <v>8.8553191489361698</v>
      </c>
      <c r="N276" s="40" t="e">
        <f>Market!$C$3*Market!$D$3*NIFTY_OC!$D276/$C276</f>
        <v>#VALUE!</v>
      </c>
      <c r="O276" s="40" t="e">
        <f>Market!$C$3*Market!$E$3*NIFTY_OC!$D276/$C276</f>
        <v>#VALUE!</v>
      </c>
      <c r="P276" s="40" t="e">
        <f>Market!$C$3*Market!$F$3*NIFTY_OC!$D276/$C276</f>
        <v>#VALUE!</v>
      </c>
      <c r="Q276" s="40" t="e">
        <f>Market!$C$3*Market!$G$3*NIFTY_OC!$D276/$C276</f>
        <v>#VALUE!</v>
      </c>
      <c r="R276" s="40" t="e">
        <f>Market!$C$3*Market!$H$3*NIFTY_OC!$D276/$C276</f>
        <v>#VALUE!</v>
      </c>
      <c r="S276" s="40" t="e">
        <f>Market!$C$3*Market!$I$3*NIFTY_OC!$D276/$C276</f>
        <v>#VALUE!</v>
      </c>
    </row>
    <row r="277" spans="1:19">
      <c r="A277" s="39">
        <v>44448</v>
      </c>
      <c r="B277" s="38">
        <v>1666100</v>
      </c>
      <c r="C277" s="38">
        <v>81.5</v>
      </c>
      <c r="D277">
        <v>0.41</v>
      </c>
      <c r="E277" s="37">
        <v>17300</v>
      </c>
      <c r="F277">
        <v>11.68</v>
      </c>
      <c r="G277" s="38">
        <v>147.6</v>
      </c>
      <c r="H277" s="38">
        <v>-0.59</v>
      </c>
      <c r="I277" s="38">
        <v>372200</v>
      </c>
      <c r="J277" s="38">
        <v>-7.74</v>
      </c>
      <c r="K277" s="38">
        <v>9.2799999999999994</v>
      </c>
      <c r="L277">
        <v>1.39E-3</v>
      </c>
      <c r="M277" s="41">
        <f t="shared" si="4"/>
        <v>6.977739726027397</v>
      </c>
      <c r="N277" s="40" t="e">
        <f>Market!$C$3*Market!$D$3*NIFTY_OC!$D277/$C277</f>
        <v>#VALUE!</v>
      </c>
      <c r="O277" s="40" t="e">
        <f>Market!$C$3*Market!$E$3*NIFTY_OC!$D277/$C277</f>
        <v>#VALUE!</v>
      </c>
      <c r="P277" s="40" t="e">
        <f>Market!$C$3*Market!$F$3*NIFTY_OC!$D277/$C277</f>
        <v>#VALUE!</v>
      </c>
      <c r="Q277" s="40" t="e">
        <f>Market!$C$3*Market!$G$3*NIFTY_OC!$D277/$C277</f>
        <v>#VALUE!</v>
      </c>
      <c r="R277" s="40" t="e">
        <f>Market!$C$3*Market!$H$3*NIFTY_OC!$D277/$C277</f>
        <v>#VALUE!</v>
      </c>
      <c r="S277" s="40" t="e">
        <f>Market!$C$3*Market!$I$3*NIFTY_OC!$D277/$C277</f>
        <v>#VALUE!</v>
      </c>
    </row>
    <row r="278" spans="1:19">
      <c r="A278" s="39">
        <v>44448</v>
      </c>
      <c r="B278" s="38">
        <v>515700</v>
      </c>
      <c r="C278" s="38">
        <v>63.2</v>
      </c>
      <c r="D278">
        <v>0.34</v>
      </c>
      <c r="E278" s="37">
        <v>17350</v>
      </c>
      <c r="F278">
        <v>11.7</v>
      </c>
      <c r="G278" s="38">
        <v>178.55</v>
      </c>
      <c r="H278" s="38">
        <v>-0.66</v>
      </c>
      <c r="I278" s="38">
        <v>33300</v>
      </c>
      <c r="J278" s="38">
        <v>-7.33</v>
      </c>
      <c r="K278" s="38">
        <v>8.77</v>
      </c>
      <c r="L278">
        <v>1.32E-3</v>
      </c>
      <c r="M278" s="41">
        <f t="shared" si="4"/>
        <v>5.4017094017094021</v>
      </c>
      <c r="N278" s="40" t="e">
        <f>Market!$C$3*Market!$D$3*NIFTY_OC!$D278/$C278</f>
        <v>#VALUE!</v>
      </c>
      <c r="O278" s="40" t="e">
        <f>Market!$C$3*Market!$E$3*NIFTY_OC!$D278/$C278</f>
        <v>#VALUE!</v>
      </c>
      <c r="P278" s="40" t="e">
        <f>Market!$C$3*Market!$F$3*NIFTY_OC!$D278/$C278</f>
        <v>#VALUE!</v>
      </c>
      <c r="Q278" s="40" t="e">
        <f>Market!$C$3*Market!$G$3*NIFTY_OC!$D278/$C278</f>
        <v>#VALUE!</v>
      </c>
      <c r="R278" s="40" t="e">
        <f>Market!$C$3*Market!$H$3*NIFTY_OC!$D278/$C278</f>
        <v>#VALUE!</v>
      </c>
      <c r="S278" s="40" t="e">
        <f>Market!$C$3*Market!$I$3*NIFTY_OC!$D278/$C278</f>
        <v>#VALUE!</v>
      </c>
    </row>
    <row r="279" spans="1:19">
      <c r="A279" s="39">
        <v>44448</v>
      </c>
      <c r="B279" s="38">
        <v>1357350</v>
      </c>
      <c r="C279" s="38">
        <v>48.15</v>
      </c>
      <c r="D279">
        <v>0.28000000000000003</v>
      </c>
      <c r="E279" s="37">
        <v>17400</v>
      </c>
      <c r="F279">
        <v>11.73</v>
      </c>
      <c r="G279" s="38">
        <v>213.3</v>
      </c>
      <c r="H279" s="38">
        <v>-0.72</v>
      </c>
      <c r="I279" s="38">
        <v>115500</v>
      </c>
      <c r="J279" s="38">
        <v>-6.73</v>
      </c>
      <c r="K279" s="38">
        <v>8.0299999999999994</v>
      </c>
      <c r="L279">
        <v>1.1999999999999999E-3</v>
      </c>
      <c r="M279" s="41">
        <f t="shared" si="4"/>
        <v>4.1048593350383626</v>
      </c>
      <c r="N279" s="40" t="e">
        <f>Market!$C$3*Market!$D$3*NIFTY_OC!$D279/$C279</f>
        <v>#VALUE!</v>
      </c>
      <c r="O279" s="40" t="e">
        <f>Market!$C$3*Market!$E$3*NIFTY_OC!$D279/$C279</f>
        <v>#VALUE!</v>
      </c>
      <c r="P279" s="40" t="e">
        <f>Market!$C$3*Market!$F$3*NIFTY_OC!$D279/$C279</f>
        <v>#VALUE!</v>
      </c>
      <c r="Q279" s="40" t="e">
        <f>Market!$C$3*Market!$G$3*NIFTY_OC!$D279/$C279</f>
        <v>#VALUE!</v>
      </c>
      <c r="R279" s="40" t="e">
        <f>Market!$C$3*Market!$H$3*NIFTY_OC!$D279/$C279</f>
        <v>#VALUE!</v>
      </c>
      <c r="S279" s="40" t="e">
        <f>Market!$C$3*Market!$I$3*NIFTY_OC!$D279/$C279</f>
        <v>#VALUE!</v>
      </c>
    </row>
    <row r="280" spans="1:19">
      <c r="A280" s="39">
        <v>44448</v>
      </c>
      <c r="B280" s="38">
        <v>398300</v>
      </c>
      <c r="C280" s="38">
        <v>36.75</v>
      </c>
      <c r="D280">
        <v>0.23</v>
      </c>
      <c r="E280" s="37">
        <v>17450</v>
      </c>
      <c r="F280">
        <v>11.85</v>
      </c>
      <c r="G280" s="38">
        <v>251.95</v>
      </c>
      <c r="H280" s="38">
        <v>-0.77</v>
      </c>
      <c r="I280" s="38">
        <v>11700</v>
      </c>
      <c r="J280" s="38">
        <v>-6.08</v>
      </c>
      <c r="K280" s="38">
        <v>7.18</v>
      </c>
      <c r="L280">
        <v>1.06E-3</v>
      </c>
      <c r="M280" s="41">
        <f t="shared" si="4"/>
        <v>3.1012658227848102</v>
      </c>
      <c r="N280" s="40" t="e">
        <f>Market!$C$3*Market!$D$3*NIFTY_OC!$D280/$C280</f>
        <v>#VALUE!</v>
      </c>
      <c r="O280" s="40" t="e">
        <f>Market!$C$3*Market!$E$3*NIFTY_OC!$D280/$C280</f>
        <v>#VALUE!</v>
      </c>
      <c r="P280" s="40" t="e">
        <f>Market!$C$3*Market!$F$3*NIFTY_OC!$D280/$C280</f>
        <v>#VALUE!</v>
      </c>
      <c r="Q280" s="40" t="e">
        <f>Market!$C$3*Market!$G$3*NIFTY_OC!$D280/$C280</f>
        <v>#VALUE!</v>
      </c>
      <c r="R280" s="40" t="e">
        <f>Market!$C$3*Market!$H$3*NIFTY_OC!$D280/$C280</f>
        <v>#VALUE!</v>
      </c>
      <c r="S280" s="40" t="e">
        <f>Market!$C$3*Market!$I$3*NIFTY_OC!$D280/$C280</f>
        <v>#VALUE!</v>
      </c>
    </row>
    <row r="281" spans="1:19">
      <c r="A281" s="39">
        <v>44448</v>
      </c>
      <c r="B281" s="38">
        <v>2289400</v>
      </c>
      <c r="C281" s="38">
        <v>28.35</v>
      </c>
      <c r="D281">
        <v>0.18</v>
      </c>
      <c r="E281" s="37">
        <v>17500</v>
      </c>
      <c r="F281">
        <v>12.08</v>
      </c>
      <c r="G281" s="38">
        <v>293.85000000000002</v>
      </c>
      <c r="H281" s="38">
        <v>-0.82</v>
      </c>
      <c r="I281" s="38">
        <v>95650</v>
      </c>
      <c r="J281" s="38">
        <v>-5.44</v>
      </c>
      <c r="K281" s="38">
        <v>6.31</v>
      </c>
      <c r="L281">
        <v>9.2000000000000003E-4</v>
      </c>
      <c r="M281" s="41">
        <f t="shared" si="4"/>
        <v>2.3468543046357615</v>
      </c>
      <c r="N281" s="40" t="e">
        <f>Market!$C$3*Market!$D$3*NIFTY_OC!$D281/$C281</f>
        <v>#VALUE!</v>
      </c>
      <c r="O281" s="40" t="e">
        <f>Market!$C$3*Market!$E$3*NIFTY_OC!$D281/$C281</f>
        <v>#VALUE!</v>
      </c>
      <c r="P281" s="40" t="e">
        <f>Market!$C$3*Market!$F$3*NIFTY_OC!$D281/$C281</f>
        <v>#VALUE!</v>
      </c>
      <c r="Q281" s="40" t="e">
        <f>Market!$C$3*Market!$G$3*NIFTY_OC!$D281/$C281</f>
        <v>#VALUE!</v>
      </c>
      <c r="R281" s="40" t="e">
        <f>Market!$C$3*Market!$H$3*NIFTY_OC!$D281/$C281</f>
        <v>#VALUE!</v>
      </c>
      <c r="S281" s="40" t="e">
        <f>Market!$C$3*Market!$I$3*NIFTY_OC!$D281/$C281</f>
        <v>#VALUE!</v>
      </c>
    </row>
    <row r="282" spans="1:19">
      <c r="A282" s="39">
        <v>44448</v>
      </c>
      <c r="B282" s="38">
        <v>306600</v>
      </c>
      <c r="C282" s="38">
        <v>21.55</v>
      </c>
      <c r="D282">
        <v>0.14000000000000001</v>
      </c>
      <c r="E282" s="37">
        <v>17550</v>
      </c>
      <c r="F282">
        <v>12.28</v>
      </c>
      <c r="G282" s="38">
        <v>337.45</v>
      </c>
      <c r="H282" s="38">
        <v>-0.86</v>
      </c>
      <c r="I282" s="38">
        <v>9250</v>
      </c>
      <c r="J282" s="38">
        <v>-4.76</v>
      </c>
      <c r="K282" s="38">
        <v>5.42</v>
      </c>
      <c r="L282">
        <v>7.7999999999999999E-4</v>
      </c>
      <c r="M282" s="41">
        <f t="shared" si="4"/>
        <v>1.7548859934853422</v>
      </c>
      <c r="N282" s="40" t="e">
        <f>Market!$C$3*Market!$D$3*NIFTY_OC!$D282/$C282</f>
        <v>#VALUE!</v>
      </c>
      <c r="O282" s="40" t="e">
        <f>Market!$C$3*Market!$E$3*NIFTY_OC!$D282/$C282</f>
        <v>#VALUE!</v>
      </c>
      <c r="P282" s="40" t="e">
        <f>Market!$C$3*Market!$F$3*NIFTY_OC!$D282/$C282</f>
        <v>#VALUE!</v>
      </c>
      <c r="Q282" s="40" t="e">
        <f>Market!$C$3*Market!$G$3*NIFTY_OC!$D282/$C282</f>
        <v>#VALUE!</v>
      </c>
      <c r="R282" s="40" t="e">
        <f>Market!$C$3*Market!$H$3*NIFTY_OC!$D282/$C282</f>
        <v>#VALUE!</v>
      </c>
      <c r="S282" s="40" t="e">
        <f>Market!$C$3*Market!$I$3*NIFTY_OC!$D282/$C282</f>
        <v>#VALUE!</v>
      </c>
    </row>
    <row r="283" spans="1:19">
      <c r="A283" s="39">
        <v>44448</v>
      </c>
      <c r="B283" s="38">
        <v>1149250</v>
      </c>
      <c r="C283" s="38">
        <v>16.45</v>
      </c>
      <c r="D283">
        <v>0.11</v>
      </c>
      <c r="E283" s="37">
        <v>17600</v>
      </c>
      <c r="F283">
        <v>12.51</v>
      </c>
      <c r="G283" s="38">
        <v>381.75</v>
      </c>
      <c r="H283" s="38">
        <v>-0.89</v>
      </c>
      <c r="I283" s="38">
        <v>25850</v>
      </c>
      <c r="J283" s="38">
        <v>-4.1100000000000003</v>
      </c>
      <c r="K283" s="38">
        <v>4.6100000000000003</v>
      </c>
      <c r="L283">
        <v>6.4999999999999997E-4</v>
      </c>
      <c r="M283" s="41">
        <f t="shared" si="4"/>
        <v>1.3149480415667465</v>
      </c>
      <c r="N283" s="40" t="e">
        <f>Market!$C$3*Market!$D$3*NIFTY_OC!$D283/$C283</f>
        <v>#VALUE!</v>
      </c>
      <c r="O283" s="40" t="e">
        <f>Market!$C$3*Market!$E$3*NIFTY_OC!$D283/$C283</f>
        <v>#VALUE!</v>
      </c>
      <c r="P283" s="40" t="e">
        <f>Market!$C$3*Market!$F$3*NIFTY_OC!$D283/$C283</f>
        <v>#VALUE!</v>
      </c>
      <c r="Q283" s="40" t="e">
        <f>Market!$C$3*Market!$G$3*NIFTY_OC!$D283/$C283</f>
        <v>#VALUE!</v>
      </c>
      <c r="R283" s="40" t="e">
        <f>Market!$C$3*Market!$H$3*NIFTY_OC!$D283/$C283</f>
        <v>#VALUE!</v>
      </c>
      <c r="S283" s="40" t="e">
        <f>Market!$C$3*Market!$I$3*NIFTY_OC!$D283/$C283</f>
        <v>#VALUE!</v>
      </c>
    </row>
    <row r="284" spans="1:19">
      <c r="A284" s="39">
        <v>44448</v>
      </c>
      <c r="B284" s="38">
        <v>358000</v>
      </c>
      <c r="C284" s="38">
        <v>12.6</v>
      </c>
      <c r="D284">
        <v>0.09</v>
      </c>
      <c r="E284" s="37">
        <v>17650</v>
      </c>
      <c r="F284">
        <v>12.76</v>
      </c>
      <c r="G284" s="38">
        <v>426.75</v>
      </c>
      <c r="H284" s="38">
        <v>-0.91</v>
      </c>
      <c r="I284" s="38">
        <v>7600</v>
      </c>
      <c r="J284" s="38">
        <v>-3.53</v>
      </c>
      <c r="K284" s="38">
        <v>3.87</v>
      </c>
      <c r="L284">
        <v>5.2999999999999998E-4</v>
      </c>
      <c r="M284" s="41">
        <f t="shared" si="4"/>
        <v>0.98746081504702188</v>
      </c>
      <c r="N284" s="40" t="e">
        <f>Market!$C$3*Market!$D$3*NIFTY_OC!$D284/$C284</f>
        <v>#VALUE!</v>
      </c>
      <c r="O284" s="40" t="e">
        <f>Market!$C$3*Market!$E$3*NIFTY_OC!$D284/$C284</f>
        <v>#VALUE!</v>
      </c>
      <c r="P284" s="40" t="e">
        <f>Market!$C$3*Market!$F$3*NIFTY_OC!$D284/$C284</f>
        <v>#VALUE!</v>
      </c>
      <c r="Q284" s="40" t="e">
        <f>Market!$C$3*Market!$G$3*NIFTY_OC!$D284/$C284</f>
        <v>#VALUE!</v>
      </c>
      <c r="R284" s="40" t="e">
        <f>Market!$C$3*Market!$H$3*NIFTY_OC!$D284/$C284</f>
        <v>#VALUE!</v>
      </c>
      <c r="S284" s="40" t="e">
        <f>Market!$C$3*Market!$I$3*NIFTY_OC!$D284/$C284</f>
        <v>#VALUE!</v>
      </c>
    </row>
    <row r="285" spans="1:19">
      <c r="A285" s="39">
        <v>44448</v>
      </c>
      <c r="B285" s="38">
        <v>1108750</v>
      </c>
      <c r="C285" s="38">
        <v>9.5</v>
      </c>
      <c r="D285">
        <v>7.0000000000000007E-2</v>
      </c>
      <c r="E285" s="37">
        <v>17700</v>
      </c>
      <c r="F285">
        <v>12.97</v>
      </c>
      <c r="G285" s="38">
        <v>476.7</v>
      </c>
      <c r="H285" s="38">
        <v>-0.93</v>
      </c>
      <c r="I285" s="38">
        <v>7650</v>
      </c>
      <c r="J285" s="38">
        <v>-2.97</v>
      </c>
      <c r="K285" s="38">
        <v>3.2</v>
      </c>
      <c r="L285">
        <v>4.2999999999999999E-4</v>
      </c>
      <c r="M285" s="41">
        <f t="shared" si="4"/>
        <v>0.73245952197378561</v>
      </c>
      <c r="N285" s="40" t="e">
        <f>Market!$C$3*Market!$D$3*NIFTY_OC!$D285/$C285</f>
        <v>#VALUE!</v>
      </c>
      <c r="O285" s="40" t="e">
        <f>Market!$C$3*Market!$E$3*NIFTY_OC!$D285/$C285</f>
        <v>#VALUE!</v>
      </c>
      <c r="P285" s="40" t="e">
        <f>Market!$C$3*Market!$F$3*NIFTY_OC!$D285/$C285</f>
        <v>#VALUE!</v>
      </c>
      <c r="Q285" s="40" t="e">
        <f>Market!$C$3*Market!$G$3*NIFTY_OC!$D285/$C285</f>
        <v>#VALUE!</v>
      </c>
      <c r="R285" s="40" t="e">
        <f>Market!$C$3*Market!$H$3*NIFTY_OC!$D285/$C285</f>
        <v>#VALUE!</v>
      </c>
      <c r="S285" s="40" t="e">
        <f>Market!$C$3*Market!$I$3*NIFTY_OC!$D285/$C285</f>
        <v>#VALUE!</v>
      </c>
    </row>
    <row r="286" spans="1:19">
      <c r="A286" s="39">
        <v>44448</v>
      </c>
      <c r="B286" s="38">
        <v>334000</v>
      </c>
      <c r="C286" s="38">
        <v>7.5</v>
      </c>
      <c r="D286">
        <v>0.06</v>
      </c>
      <c r="E286" s="37">
        <v>17750</v>
      </c>
      <c r="F286">
        <v>13.32</v>
      </c>
      <c r="G286" s="38">
        <v>517.70000000000005</v>
      </c>
      <c r="H286" s="38">
        <v>-0.94</v>
      </c>
      <c r="I286" s="38">
        <v>1150</v>
      </c>
      <c r="J286" s="38">
        <v>-2.56</v>
      </c>
      <c r="K286" s="38">
        <v>2.69</v>
      </c>
      <c r="L286">
        <v>3.5E-4</v>
      </c>
      <c r="M286" s="41">
        <f t="shared" si="4"/>
        <v>0.56306306306306309</v>
      </c>
      <c r="N286" s="40" t="e">
        <f>Market!$C$3*Market!$D$3*NIFTY_OC!$D286/$C286</f>
        <v>#VALUE!</v>
      </c>
      <c r="O286" s="40" t="e">
        <f>Market!$C$3*Market!$E$3*NIFTY_OC!$D286/$C286</f>
        <v>#VALUE!</v>
      </c>
      <c r="P286" s="40" t="e">
        <f>Market!$C$3*Market!$F$3*NIFTY_OC!$D286/$C286</f>
        <v>#VALUE!</v>
      </c>
      <c r="Q286" s="40" t="e">
        <f>Market!$C$3*Market!$G$3*NIFTY_OC!$D286/$C286</f>
        <v>#VALUE!</v>
      </c>
      <c r="R286" s="40" t="e">
        <f>Market!$C$3*Market!$H$3*NIFTY_OC!$D286/$C286</f>
        <v>#VALUE!</v>
      </c>
      <c r="S286" s="40" t="e">
        <f>Market!$C$3*Market!$I$3*NIFTY_OC!$D286/$C286</f>
        <v>#VALUE!</v>
      </c>
    </row>
    <row r="287" spans="1:19">
      <c r="A287" s="39">
        <v>44448</v>
      </c>
      <c r="B287" s="38">
        <v>1591950</v>
      </c>
      <c r="C287" s="38">
        <v>5.8</v>
      </c>
      <c r="D287">
        <v>0.04</v>
      </c>
      <c r="E287" s="37">
        <v>17800</v>
      </c>
      <c r="F287">
        <v>13.6</v>
      </c>
      <c r="G287" s="38">
        <v>569.25</v>
      </c>
      <c r="H287" s="38">
        <v>-0.96</v>
      </c>
      <c r="I287" s="38">
        <v>5000</v>
      </c>
      <c r="J287" s="38">
        <v>-2.16</v>
      </c>
      <c r="K287" s="38">
        <v>2.2200000000000002</v>
      </c>
      <c r="L287">
        <v>2.9E-4</v>
      </c>
      <c r="M287" s="41">
        <f t="shared" si="4"/>
        <v>0.4264705882352941</v>
      </c>
      <c r="N287" s="40" t="e">
        <f>Market!$C$3*Market!$D$3*NIFTY_OC!$D287/$C287</f>
        <v>#VALUE!</v>
      </c>
      <c r="O287" s="40" t="e">
        <f>Market!$C$3*Market!$E$3*NIFTY_OC!$D287/$C287</f>
        <v>#VALUE!</v>
      </c>
      <c r="P287" s="40" t="e">
        <f>Market!$C$3*Market!$F$3*NIFTY_OC!$D287/$C287</f>
        <v>#VALUE!</v>
      </c>
      <c r="Q287" s="40" t="e">
        <f>Market!$C$3*Market!$G$3*NIFTY_OC!$D287/$C287</f>
        <v>#VALUE!</v>
      </c>
      <c r="R287" s="40" t="e">
        <f>Market!$C$3*Market!$H$3*NIFTY_OC!$D287/$C287</f>
        <v>#VALUE!</v>
      </c>
      <c r="S287" s="40" t="e">
        <f>Market!$C$3*Market!$I$3*NIFTY_OC!$D287/$C287</f>
        <v>#VALUE!</v>
      </c>
    </row>
    <row r="288" spans="1:19">
      <c r="A288" s="39">
        <v>44448</v>
      </c>
      <c r="B288" s="38">
        <v>171100</v>
      </c>
      <c r="C288" s="38">
        <v>4.5</v>
      </c>
      <c r="D288">
        <v>0.03</v>
      </c>
      <c r="E288" s="37">
        <v>17850</v>
      </c>
      <c r="F288">
        <v>13.89</v>
      </c>
      <c r="G288" s="38">
        <v>647.25</v>
      </c>
      <c r="H288" s="38">
        <v>-0.97</v>
      </c>
      <c r="I288" s="38">
        <v>150</v>
      </c>
      <c r="J288" s="38">
        <v>-1.81</v>
      </c>
      <c r="K288" s="38">
        <v>1.83</v>
      </c>
      <c r="L288">
        <v>2.3000000000000001E-4</v>
      </c>
      <c r="M288" s="41">
        <f t="shared" si="4"/>
        <v>0.32397408207343409</v>
      </c>
      <c r="N288" s="40" t="e">
        <f>Market!$C$3*Market!$D$3*NIFTY_OC!$D288/$C288</f>
        <v>#VALUE!</v>
      </c>
      <c r="O288" s="40" t="e">
        <f>Market!$C$3*Market!$E$3*NIFTY_OC!$D288/$C288</f>
        <v>#VALUE!</v>
      </c>
      <c r="P288" s="40" t="e">
        <f>Market!$C$3*Market!$F$3*NIFTY_OC!$D288/$C288</f>
        <v>#VALUE!</v>
      </c>
      <c r="Q288" s="40" t="e">
        <f>Market!$C$3*Market!$G$3*NIFTY_OC!$D288/$C288</f>
        <v>#VALUE!</v>
      </c>
      <c r="R288" s="40" t="e">
        <f>Market!$C$3*Market!$H$3*NIFTY_OC!$D288/$C288</f>
        <v>#VALUE!</v>
      </c>
      <c r="S288" s="40" t="e">
        <f>Market!$C$3*Market!$I$3*NIFTY_OC!$D288/$C288</f>
        <v>#VALUE!</v>
      </c>
    </row>
    <row r="289" spans="1:19">
      <c r="A289" s="39">
        <v>44448</v>
      </c>
      <c r="B289" s="38">
        <v>612550</v>
      </c>
      <c r="C289" s="38">
        <v>3.7</v>
      </c>
      <c r="D289">
        <v>0.03</v>
      </c>
      <c r="E289" s="37">
        <v>17900</v>
      </c>
      <c r="F289">
        <v>14.3</v>
      </c>
      <c r="G289" s="38">
        <v>664.45</v>
      </c>
      <c r="H289" s="38">
        <v>-0.97</v>
      </c>
      <c r="I289" s="38">
        <v>1050</v>
      </c>
      <c r="J289" s="38">
        <v>-1.58</v>
      </c>
      <c r="K289" s="38">
        <v>1.55</v>
      </c>
      <c r="L289">
        <v>1.9000000000000001E-4</v>
      </c>
      <c r="M289" s="41">
        <f t="shared" si="4"/>
        <v>0.25874125874125875</v>
      </c>
      <c r="N289" s="40" t="e">
        <f>Market!$C$3*Market!$D$3*NIFTY_OC!$D289/$C289</f>
        <v>#VALUE!</v>
      </c>
      <c r="O289" s="40" t="e">
        <f>Market!$C$3*Market!$E$3*NIFTY_OC!$D289/$C289</f>
        <v>#VALUE!</v>
      </c>
      <c r="P289" s="40" t="e">
        <f>Market!$C$3*Market!$F$3*NIFTY_OC!$D289/$C289</f>
        <v>#VALUE!</v>
      </c>
      <c r="Q289" s="40" t="e">
        <f>Market!$C$3*Market!$G$3*NIFTY_OC!$D289/$C289</f>
        <v>#VALUE!</v>
      </c>
      <c r="R289" s="40" t="e">
        <f>Market!$C$3*Market!$H$3*NIFTY_OC!$D289/$C289</f>
        <v>#VALUE!</v>
      </c>
      <c r="S289" s="40" t="e">
        <f>Market!$C$3*Market!$I$3*NIFTY_OC!$D289/$C289</f>
        <v>#VALUE!</v>
      </c>
    </row>
    <row r="290" spans="1:19">
      <c r="A290" s="39">
        <v>44448</v>
      </c>
      <c r="B290" s="38">
        <v>64650</v>
      </c>
      <c r="C290" s="38">
        <v>3.25</v>
      </c>
      <c r="D290">
        <v>0.02</v>
      </c>
      <c r="E290" s="37">
        <v>17950</v>
      </c>
      <c r="F290">
        <v>14.86</v>
      </c>
      <c r="G290" s="38">
        <v>734.65</v>
      </c>
      <c r="H290" s="38">
        <v>-0.98</v>
      </c>
      <c r="I290" s="38">
        <v>50</v>
      </c>
      <c r="J290" s="38">
        <v>-1.46</v>
      </c>
      <c r="K290" s="38">
        <v>1.37</v>
      </c>
      <c r="L290">
        <v>1.6000000000000001E-4</v>
      </c>
      <c r="M290" s="41">
        <f t="shared" si="4"/>
        <v>0.21870794078061911</v>
      </c>
      <c r="N290" s="40" t="e">
        <f>Market!$C$3*Market!$D$3*NIFTY_OC!$D290/$C290</f>
        <v>#VALUE!</v>
      </c>
      <c r="O290" s="40" t="e">
        <f>Market!$C$3*Market!$E$3*NIFTY_OC!$D290/$C290</f>
        <v>#VALUE!</v>
      </c>
      <c r="P290" s="40" t="e">
        <f>Market!$C$3*Market!$F$3*NIFTY_OC!$D290/$C290</f>
        <v>#VALUE!</v>
      </c>
      <c r="Q290" s="40" t="e">
        <f>Market!$C$3*Market!$G$3*NIFTY_OC!$D290/$C290</f>
        <v>#VALUE!</v>
      </c>
      <c r="R290" s="40" t="e">
        <f>Market!$C$3*Market!$H$3*NIFTY_OC!$D290/$C290</f>
        <v>#VALUE!</v>
      </c>
      <c r="S290" s="40" t="e">
        <f>Market!$C$3*Market!$I$3*NIFTY_OC!$D290/$C290</f>
        <v>#VALUE!</v>
      </c>
    </row>
    <row r="291" spans="1:19">
      <c r="A291" s="39">
        <v>44448</v>
      </c>
      <c r="B291" s="38">
        <v>2775450</v>
      </c>
      <c r="C291" s="38">
        <v>2.75</v>
      </c>
      <c r="D291">
        <v>0.02</v>
      </c>
      <c r="E291" s="37">
        <v>18000</v>
      </c>
      <c r="F291">
        <v>15.3</v>
      </c>
      <c r="G291" s="38">
        <v>762.8</v>
      </c>
      <c r="H291" s="38">
        <v>-0.98</v>
      </c>
      <c r="I291" s="38">
        <v>13250</v>
      </c>
      <c r="J291" s="38">
        <v>-1.29</v>
      </c>
      <c r="K291" s="38">
        <v>1.18</v>
      </c>
      <c r="L291">
        <v>1.3999999999999999E-4</v>
      </c>
      <c r="M291" s="41">
        <f t="shared" si="4"/>
        <v>0.17973856209150327</v>
      </c>
      <c r="N291" s="40" t="e">
        <f>Market!$C$3*Market!$D$3*NIFTY_OC!$D291/$C291</f>
        <v>#VALUE!</v>
      </c>
      <c r="O291" s="40" t="e">
        <f>Market!$C$3*Market!$E$3*NIFTY_OC!$D291/$C291</f>
        <v>#VALUE!</v>
      </c>
      <c r="P291" s="40" t="e">
        <f>Market!$C$3*Market!$F$3*NIFTY_OC!$D291/$C291</f>
        <v>#VALUE!</v>
      </c>
      <c r="Q291" s="40" t="e">
        <f>Market!$C$3*Market!$G$3*NIFTY_OC!$D291/$C291</f>
        <v>#VALUE!</v>
      </c>
      <c r="R291" s="40" t="e">
        <f>Market!$C$3*Market!$H$3*NIFTY_OC!$D291/$C291</f>
        <v>#VALUE!</v>
      </c>
      <c r="S291" s="40" t="e">
        <f>Market!$C$3*Market!$I$3*NIFTY_OC!$D291/$C291</f>
        <v>#VALUE!</v>
      </c>
    </row>
    <row r="292" spans="1:19">
      <c r="A292" s="39">
        <v>44448</v>
      </c>
      <c r="B292" s="38">
        <v>39800</v>
      </c>
      <c r="C292" s="38">
        <v>2.2999999999999998</v>
      </c>
      <c r="D292">
        <v>0.02</v>
      </c>
      <c r="E292" s="37">
        <v>18050</v>
      </c>
      <c r="F292">
        <v>15.71</v>
      </c>
      <c r="G292" s="38">
        <v>825.15</v>
      </c>
      <c r="H292" s="38">
        <v>-0.98</v>
      </c>
      <c r="I292" s="38">
        <v>50</v>
      </c>
      <c r="J292" s="38">
        <v>-1.1399999999999999</v>
      </c>
      <c r="K292" s="38">
        <v>1.01</v>
      </c>
      <c r="L292">
        <v>1.1E-4</v>
      </c>
      <c r="M292" s="41">
        <f t="shared" si="4"/>
        <v>0.14640356460852957</v>
      </c>
      <c r="N292" s="40" t="e">
        <f>Market!$C$3*Market!$D$3*NIFTY_OC!$D292/$C292</f>
        <v>#VALUE!</v>
      </c>
      <c r="O292" s="40" t="e">
        <f>Market!$C$3*Market!$E$3*NIFTY_OC!$D292/$C292</f>
        <v>#VALUE!</v>
      </c>
      <c r="P292" s="40" t="e">
        <f>Market!$C$3*Market!$F$3*NIFTY_OC!$D292/$C292</f>
        <v>#VALUE!</v>
      </c>
      <c r="Q292" s="40" t="e">
        <f>Market!$C$3*Market!$G$3*NIFTY_OC!$D292/$C292</f>
        <v>#VALUE!</v>
      </c>
      <c r="R292" s="40" t="e">
        <f>Market!$C$3*Market!$H$3*NIFTY_OC!$D292/$C292</f>
        <v>#VALUE!</v>
      </c>
      <c r="S292" s="40" t="e">
        <f>Market!$C$3*Market!$I$3*NIFTY_OC!$D292/$C292</f>
        <v>#VALUE!</v>
      </c>
    </row>
    <row r="293" spans="1:19">
      <c r="A293" s="39">
        <v>44448</v>
      </c>
      <c r="B293" s="38">
        <v>482050</v>
      </c>
      <c r="C293" s="38">
        <v>1.8</v>
      </c>
      <c r="D293">
        <v>0.01</v>
      </c>
      <c r="E293" s="37">
        <v>18100</v>
      </c>
      <c r="F293">
        <v>15.95</v>
      </c>
      <c r="G293" s="38">
        <v>871.4</v>
      </c>
      <c r="H293" s="38">
        <v>-0.99</v>
      </c>
      <c r="I293" s="38">
        <v>100</v>
      </c>
      <c r="J293" s="38">
        <v>-0.95</v>
      </c>
      <c r="K293" s="38">
        <v>0.83</v>
      </c>
      <c r="L293">
        <v>9.0000000000000006E-5</v>
      </c>
      <c r="M293" s="41">
        <f t="shared" si="4"/>
        <v>0.11285266457680251</v>
      </c>
      <c r="N293" s="40" t="e">
        <f>Market!$C$3*Market!$D$3*NIFTY_OC!$D293/$C293</f>
        <v>#VALUE!</v>
      </c>
      <c r="O293" s="40" t="e">
        <f>Market!$C$3*Market!$E$3*NIFTY_OC!$D293/$C293</f>
        <v>#VALUE!</v>
      </c>
      <c r="P293" s="40" t="e">
        <f>Market!$C$3*Market!$F$3*NIFTY_OC!$D293/$C293</f>
        <v>#VALUE!</v>
      </c>
      <c r="Q293" s="40" t="e">
        <f>Market!$C$3*Market!$G$3*NIFTY_OC!$D293/$C293</f>
        <v>#VALUE!</v>
      </c>
      <c r="R293" s="40" t="e">
        <f>Market!$C$3*Market!$H$3*NIFTY_OC!$D293/$C293</f>
        <v>#VALUE!</v>
      </c>
      <c r="S293" s="40" t="e">
        <f>Market!$C$3*Market!$I$3*NIFTY_OC!$D293/$C293</f>
        <v>#VALUE!</v>
      </c>
    </row>
    <row r="294" spans="1:19">
      <c r="A294" s="39">
        <v>44448</v>
      </c>
      <c r="B294" s="38">
        <v>25350</v>
      </c>
      <c r="C294" s="38">
        <v>1.8</v>
      </c>
      <c r="D294">
        <v>0.01</v>
      </c>
      <c r="E294" s="37">
        <v>18150</v>
      </c>
      <c r="F294">
        <v>16.72</v>
      </c>
      <c r="G294" s="38">
        <v>918.2</v>
      </c>
      <c r="H294" s="38">
        <v>-0.99</v>
      </c>
      <c r="I294" s="38">
        <v>0</v>
      </c>
      <c r="J294" s="38">
        <v>-0.96</v>
      </c>
      <c r="K294" s="38">
        <v>0.8</v>
      </c>
      <c r="L294">
        <v>8.0000000000000007E-5</v>
      </c>
      <c r="M294" s="41">
        <f t="shared" si="4"/>
        <v>0.1076555023923445</v>
      </c>
      <c r="N294" s="40" t="e">
        <f>Market!$C$3*Market!$D$3*NIFTY_OC!$D294/$C294</f>
        <v>#VALUE!</v>
      </c>
      <c r="O294" s="40" t="e">
        <f>Market!$C$3*Market!$E$3*NIFTY_OC!$D294/$C294</f>
        <v>#VALUE!</v>
      </c>
      <c r="P294" s="40" t="e">
        <f>Market!$C$3*Market!$F$3*NIFTY_OC!$D294/$C294</f>
        <v>#VALUE!</v>
      </c>
      <c r="Q294" s="40" t="e">
        <f>Market!$C$3*Market!$G$3*NIFTY_OC!$D294/$C294</f>
        <v>#VALUE!</v>
      </c>
      <c r="R294" s="40" t="e">
        <f>Market!$C$3*Market!$H$3*NIFTY_OC!$D294/$C294</f>
        <v>#VALUE!</v>
      </c>
      <c r="S294" s="40" t="e">
        <f>Market!$C$3*Market!$I$3*NIFTY_OC!$D294/$C294</f>
        <v>#VALUE!</v>
      </c>
    </row>
    <row r="295" spans="1:19">
      <c r="A295" s="39">
        <v>44448</v>
      </c>
      <c r="B295" s="38">
        <v>522100</v>
      </c>
      <c r="C295" s="38">
        <v>1.5</v>
      </c>
      <c r="D295">
        <v>0.01</v>
      </c>
      <c r="E295" s="37">
        <v>18200</v>
      </c>
      <c r="F295">
        <v>17.07</v>
      </c>
      <c r="G295" s="38">
        <v>965.5</v>
      </c>
      <c r="H295" s="38">
        <v>-0.99</v>
      </c>
      <c r="I295" s="38">
        <v>0</v>
      </c>
      <c r="J295" s="38">
        <v>-0.83</v>
      </c>
      <c r="K295" s="38">
        <v>0.68</v>
      </c>
      <c r="L295">
        <v>6.9999999999999994E-5</v>
      </c>
      <c r="M295" s="41">
        <f t="shared" si="4"/>
        <v>8.7873462214411252E-2</v>
      </c>
      <c r="N295" s="40" t="e">
        <f>Market!$C$3*Market!$D$3*NIFTY_OC!$D295/$C295</f>
        <v>#VALUE!</v>
      </c>
      <c r="O295" s="40" t="e">
        <f>Market!$C$3*Market!$E$3*NIFTY_OC!$D295/$C295</f>
        <v>#VALUE!</v>
      </c>
      <c r="P295" s="40" t="e">
        <f>Market!$C$3*Market!$F$3*NIFTY_OC!$D295/$C295</f>
        <v>#VALUE!</v>
      </c>
      <c r="Q295" s="40" t="e">
        <f>Market!$C$3*Market!$G$3*NIFTY_OC!$D295/$C295</f>
        <v>#VALUE!</v>
      </c>
      <c r="R295" s="40" t="e">
        <f>Market!$C$3*Market!$H$3*NIFTY_OC!$D295/$C295</f>
        <v>#VALUE!</v>
      </c>
      <c r="S295" s="40" t="e">
        <f>Market!$C$3*Market!$I$3*NIFTY_OC!$D295/$C295</f>
        <v>#VALUE!</v>
      </c>
    </row>
    <row r="296" spans="1:19">
      <c r="A296" s="39">
        <v>44448</v>
      </c>
      <c r="B296" s="38">
        <v>2550</v>
      </c>
      <c r="C296" s="38">
        <v>1.75</v>
      </c>
      <c r="D296">
        <v>0.01</v>
      </c>
      <c r="E296" s="37">
        <v>18250</v>
      </c>
      <c r="F296">
        <v>18.170000000000002</v>
      </c>
      <c r="G296" s="38">
        <v>1013.2</v>
      </c>
      <c r="H296" s="38">
        <v>-0.99</v>
      </c>
      <c r="I296" s="38">
        <v>0</v>
      </c>
      <c r="J296" s="38">
        <v>-0.95</v>
      </c>
      <c r="K296" s="38">
        <v>0.73</v>
      </c>
      <c r="L296">
        <v>6.9999999999999994E-5</v>
      </c>
      <c r="M296" s="41">
        <f t="shared" si="4"/>
        <v>9.6312603192074839E-2</v>
      </c>
      <c r="N296" s="40" t="e">
        <f>Market!$C$3*Market!$D$3*NIFTY_OC!$D296/$C296</f>
        <v>#VALUE!</v>
      </c>
      <c r="O296" s="40" t="e">
        <f>Market!$C$3*Market!$E$3*NIFTY_OC!$D296/$C296</f>
        <v>#VALUE!</v>
      </c>
      <c r="P296" s="40" t="e">
        <f>Market!$C$3*Market!$F$3*NIFTY_OC!$D296/$C296</f>
        <v>#VALUE!</v>
      </c>
      <c r="Q296" s="40" t="e">
        <f>Market!$C$3*Market!$G$3*NIFTY_OC!$D296/$C296</f>
        <v>#VALUE!</v>
      </c>
      <c r="R296" s="40" t="e">
        <f>Market!$C$3*Market!$H$3*NIFTY_OC!$D296/$C296</f>
        <v>#VALUE!</v>
      </c>
      <c r="S296" s="40" t="e">
        <f>Market!$C$3*Market!$I$3*NIFTY_OC!$D296/$C296</f>
        <v>#VALUE!</v>
      </c>
    </row>
    <row r="297" spans="1:19">
      <c r="A297" s="39">
        <v>44448</v>
      </c>
      <c r="B297" s="38">
        <v>108550</v>
      </c>
      <c r="C297" s="38">
        <v>1.5</v>
      </c>
      <c r="D297">
        <v>0.01</v>
      </c>
      <c r="E297" s="37">
        <v>18300</v>
      </c>
      <c r="F297">
        <v>18.55</v>
      </c>
      <c r="G297" s="38">
        <v>1061.3</v>
      </c>
      <c r="H297" s="38">
        <v>-0.99</v>
      </c>
      <c r="I297" s="38">
        <v>0</v>
      </c>
      <c r="J297" s="38">
        <v>-0.85</v>
      </c>
      <c r="K297" s="38">
        <v>0.64</v>
      </c>
      <c r="L297">
        <v>6.0000000000000002E-5</v>
      </c>
      <c r="M297" s="41">
        <f t="shared" si="4"/>
        <v>8.0862533692722366E-2</v>
      </c>
      <c r="N297" s="40" t="e">
        <f>Market!$C$3*Market!$D$3*NIFTY_OC!$D297/$C297</f>
        <v>#VALUE!</v>
      </c>
      <c r="O297" s="40" t="e">
        <f>Market!$C$3*Market!$E$3*NIFTY_OC!$D297/$C297</f>
        <v>#VALUE!</v>
      </c>
      <c r="P297" s="40" t="e">
        <f>Market!$C$3*Market!$F$3*NIFTY_OC!$D297/$C297</f>
        <v>#VALUE!</v>
      </c>
      <c r="Q297" s="40" t="e">
        <f>Market!$C$3*Market!$G$3*NIFTY_OC!$D297/$C297</f>
        <v>#VALUE!</v>
      </c>
      <c r="R297" s="40" t="e">
        <f>Market!$C$3*Market!$H$3*NIFTY_OC!$D297/$C297</f>
        <v>#VALUE!</v>
      </c>
      <c r="S297" s="40" t="e">
        <f>Market!$C$3*Market!$I$3*NIFTY_OC!$D297/$C297</f>
        <v>#VALUE!</v>
      </c>
    </row>
    <row r="298" spans="1:19">
      <c r="A298" s="39">
        <v>44448</v>
      </c>
      <c r="B298" s="38">
        <v>2300</v>
      </c>
      <c r="C298" s="38">
        <v>1.5</v>
      </c>
      <c r="D298">
        <v>0.01</v>
      </c>
      <c r="E298" s="37">
        <v>18350</v>
      </c>
      <c r="F298">
        <v>19.28</v>
      </c>
      <c r="G298" s="38">
        <v>1109.7</v>
      </c>
      <c r="H298" s="38">
        <v>-0.99</v>
      </c>
      <c r="I298" s="38">
        <v>0</v>
      </c>
      <c r="J298" s="38">
        <v>-0.86</v>
      </c>
      <c r="K298" s="38">
        <v>0.62</v>
      </c>
      <c r="L298">
        <v>6.0000000000000002E-5</v>
      </c>
      <c r="M298" s="41">
        <f t="shared" si="4"/>
        <v>7.7800829875518673E-2</v>
      </c>
      <c r="N298" s="40" t="e">
        <f>Market!$C$3*Market!$D$3*NIFTY_OC!$D298/$C298</f>
        <v>#VALUE!</v>
      </c>
      <c r="O298" s="40" t="e">
        <f>Market!$C$3*Market!$E$3*NIFTY_OC!$D298/$C298</f>
        <v>#VALUE!</v>
      </c>
      <c r="P298" s="40" t="e">
        <f>Market!$C$3*Market!$F$3*NIFTY_OC!$D298/$C298</f>
        <v>#VALUE!</v>
      </c>
      <c r="Q298" s="40" t="e">
        <f>Market!$C$3*Market!$G$3*NIFTY_OC!$D298/$C298</f>
        <v>#VALUE!</v>
      </c>
      <c r="R298" s="40" t="e">
        <f>Market!$C$3*Market!$H$3*NIFTY_OC!$D298/$C298</f>
        <v>#VALUE!</v>
      </c>
      <c r="S298" s="40" t="e">
        <f>Market!$C$3*Market!$I$3*NIFTY_OC!$D298/$C298</f>
        <v>#VALUE!</v>
      </c>
    </row>
    <row r="299" spans="1:19">
      <c r="A299" s="39">
        <v>44448</v>
      </c>
      <c r="B299" s="38">
        <v>28900</v>
      </c>
      <c r="C299" s="38">
        <v>1.4</v>
      </c>
      <c r="D299">
        <v>0.01</v>
      </c>
      <c r="E299" s="37">
        <v>18400</v>
      </c>
      <c r="F299">
        <v>19.84</v>
      </c>
      <c r="G299" s="38">
        <v>1158.3499999999999</v>
      </c>
      <c r="H299" s="38">
        <v>-0.99</v>
      </c>
      <c r="I299" s="38">
        <v>0</v>
      </c>
      <c r="J299" s="38">
        <v>-0.81</v>
      </c>
      <c r="K299" s="38">
        <v>0.56999999999999995</v>
      </c>
      <c r="L299">
        <v>5.0000000000000002E-5</v>
      </c>
      <c r="M299" s="41">
        <f t="shared" si="4"/>
        <v>7.0564516129032251E-2</v>
      </c>
      <c r="N299" s="40" t="e">
        <f>Market!$C$3*Market!$D$3*NIFTY_OC!$D299/$C299</f>
        <v>#VALUE!</v>
      </c>
      <c r="O299" s="40" t="e">
        <f>Market!$C$3*Market!$E$3*NIFTY_OC!$D299/$C299</f>
        <v>#VALUE!</v>
      </c>
      <c r="P299" s="40" t="e">
        <f>Market!$C$3*Market!$F$3*NIFTY_OC!$D299/$C299</f>
        <v>#VALUE!</v>
      </c>
      <c r="Q299" s="40" t="e">
        <f>Market!$C$3*Market!$G$3*NIFTY_OC!$D299/$C299</f>
        <v>#VALUE!</v>
      </c>
      <c r="R299" s="40" t="e">
        <f>Market!$C$3*Market!$H$3*NIFTY_OC!$D299/$C299</f>
        <v>#VALUE!</v>
      </c>
      <c r="S299" s="40" t="e">
        <f>Market!$C$3*Market!$I$3*NIFTY_OC!$D299/$C299</f>
        <v>#VALUE!</v>
      </c>
    </row>
    <row r="300" spans="1:19">
      <c r="A300" s="39">
        <v>44448</v>
      </c>
      <c r="B300" s="38">
        <v>300</v>
      </c>
      <c r="C300" s="38">
        <v>1.65</v>
      </c>
      <c r="D300">
        <v>0.01</v>
      </c>
      <c r="E300" s="37">
        <v>18450</v>
      </c>
      <c r="F300">
        <v>20.98</v>
      </c>
      <c r="G300" s="38">
        <v>1207.25</v>
      </c>
      <c r="H300" s="38">
        <v>-0.99</v>
      </c>
      <c r="I300" s="38">
        <v>0</v>
      </c>
      <c r="J300" s="38">
        <v>-0.94</v>
      </c>
      <c r="K300" s="38">
        <v>0.63</v>
      </c>
      <c r="L300">
        <v>5.0000000000000002E-5</v>
      </c>
      <c r="M300" s="41">
        <f t="shared" si="4"/>
        <v>7.8646329837940884E-2</v>
      </c>
      <c r="N300" s="40" t="e">
        <f>Market!$C$3*Market!$D$3*NIFTY_OC!$D300/$C300</f>
        <v>#VALUE!</v>
      </c>
      <c r="O300" s="40" t="e">
        <f>Market!$C$3*Market!$E$3*NIFTY_OC!$D300/$C300</f>
        <v>#VALUE!</v>
      </c>
      <c r="P300" s="40" t="e">
        <f>Market!$C$3*Market!$F$3*NIFTY_OC!$D300/$C300</f>
        <v>#VALUE!</v>
      </c>
      <c r="Q300" s="40" t="e">
        <f>Market!$C$3*Market!$G$3*NIFTY_OC!$D300/$C300</f>
        <v>#VALUE!</v>
      </c>
      <c r="R300" s="40" t="e">
        <f>Market!$C$3*Market!$H$3*NIFTY_OC!$D300/$C300</f>
        <v>#VALUE!</v>
      </c>
      <c r="S300" s="40" t="e">
        <f>Market!$C$3*Market!$I$3*NIFTY_OC!$D300/$C300</f>
        <v>#VALUE!</v>
      </c>
    </row>
    <row r="301" spans="1:19">
      <c r="A301" s="39">
        <v>44448</v>
      </c>
      <c r="B301" s="38">
        <v>530500</v>
      </c>
      <c r="C301" s="38">
        <v>1.3</v>
      </c>
      <c r="D301">
        <v>0.01</v>
      </c>
      <c r="E301" s="37">
        <v>18500</v>
      </c>
      <c r="F301">
        <v>21.08</v>
      </c>
      <c r="G301" s="38">
        <v>1256.3499999999999</v>
      </c>
      <c r="H301" s="38">
        <v>-0.99</v>
      </c>
      <c r="I301" s="38">
        <v>300</v>
      </c>
      <c r="J301" s="38">
        <v>-0.78</v>
      </c>
      <c r="K301" s="38">
        <v>0.52</v>
      </c>
      <c r="L301">
        <v>4.0000000000000003E-5</v>
      </c>
      <c r="M301" s="41">
        <f t="shared" si="4"/>
        <v>6.1669829222011391E-2</v>
      </c>
      <c r="N301" s="40" t="e">
        <f>Market!$C$3*Market!$D$3*NIFTY_OC!$D301/$C301</f>
        <v>#VALUE!</v>
      </c>
      <c r="O301" s="40" t="e">
        <f>Market!$C$3*Market!$E$3*NIFTY_OC!$D301/$C301</f>
        <v>#VALUE!</v>
      </c>
      <c r="P301" s="40" t="e">
        <f>Market!$C$3*Market!$F$3*NIFTY_OC!$D301/$C301</f>
        <v>#VALUE!</v>
      </c>
      <c r="Q301" s="40" t="e">
        <f>Market!$C$3*Market!$G$3*NIFTY_OC!$D301/$C301</f>
        <v>#VALUE!</v>
      </c>
      <c r="R301" s="40" t="e">
        <f>Market!$C$3*Market!$H$3*NIFTY_OC!$D301/$C301</f>
        <v>#VALUE!</v>
      </c>
      <c r="S301" s="40" t="e">
        <f>Market!$C$3*Market!$I$3*NIFTY_OC!$D301/$C301</f>
        <v>#VALUE!</v>
      </c>
    </row>
    <row r="302" spans="1:19">
      <c r="A302" s="39">
        <v>44448</v>
      </c>
      <c r="B302" s="38">
        <v>1150</v>
      </c>
      <c r="C302" s="38">
        <v>1.5</v>
      </c>
      <c r="D302">
        <v>0.01</v>
      </c>
      <c r="E302" s="37">
        <v>18550</v>
      </c>
      <c r="F302">
        <v>22.16</v>
      </c>
      <c r="G302" s="38">
        <v>1305.5999999999999</v>
      </c>
      <c r="H302" s="38">
        <v>-0.99</v>
      </c>
      <c r="I302" s="38">
        <v>50</v>
      </c>
      <c r="J302" s="38">
        <v>-0.88</v>
      </c>
      <c r="K302" s="38">
        <v>0.56000000000000005</v>
      </c>
      <c r="L302">
        <v>4.0000000000000003E-5</v>
      </c>
      <c r="M302" s="41">
        <f t="shared" si="4"/>
        <v>6.7689530685920582E-2</v>
      </c>
      <c r="N302" s="40" t="e">
        <f>Market!$C$3*Market!$D$3*NIFTY_OC!$D302/$C302</f>
        <v>#VALUE!</v>
      </c>
      <c r="O302" s="40" t="e">
        <f>Market!$C$3*Market!$E$3*NIFTY_OC!$D302/$C302</f>
        <v>#VALUE!</v>
      </c>
      <c r="P302" s="40" t="e">
        <f>Market!$C$3*Market!$F$3*NIFTY_OC!$D302/$C302</f>
        <v>#VALUE!</v>
      </c>
      <c r="Q302" s="40" t="e">
        <f>Market!$C$3*Market!$G$3*NIFTY_OC!$D302/$C302</f>
        <v>#VALUE!</v>
      </c>
      <c r="R302" s="40" t="e">
        <f>Market!$C$3*Market!$H$3*NIFTY_OC!$D302/$C302</f>
        <v>#VALUE!</v>
      </c>
      <c r="S302" s="40" t="e">
        <f>Market!$C$3*Market!$I$3*NIFTY_OC!$D302/$C302</f>
        <v>#VALUE!</v>
      </c>
    </row>
    <row r="303" spans="1:19">
      <c r="A303" s="39">
        <v>44448</v>
      </c>
      <c r="B303" s="38">
        <v>71250</v>
      </c>
      <c r="C303" s="38">
        <v>1.1000000000000001</v>
      </c>
      <c r="D303">
        <v>0.01</v>
      </c>
      <c r="E303" s="37">
        <v>18600</v>
      </c>
      <c r="F303">
        <v>22.05</v>
      </c>
      <c r="G303" s="38">
        <v>1355</v>
      </c>
      <c r="H303" s="38">
        <v>-0.99</v>
      </c>
      <c r="I303" s="38">
        <v>0</v>
      </c>
      <c r="J303" s="38">
        <v>-0.69</v>
      </c>
      <c r="K303" s="38">
        <v>0.44</v>
      </c>
      <c r="L303">
        <v>3.0000000000000001E-5</v>
      </c>
      <c r="M303" s="41">
        <f t="shared" si="4"/>
        <v>4.9886621315192746E-2</v>
      </c>
      <c r="N303" s="40" t="e">
        <f>Market!$C$3*Market!$D$3*NIFTY_OC!$D303/$C303</f>
        <v>#VALUE!</v>
      </c>
      <c r="O303" s="40" t="e">
        <f>Market!$C$3*Market!$E$3*NIFTY_OC!$D303/$C303</f>
        <v>#VALUE!</v>
      </c>
      <c r="P303" s="40" t="e">
        <f>Market!$C$3*Market!$F$3*NIFTY_OC!$D303/$C303</f>
        <v>#VALUE!</v>
      </c>
      <c r="Q303" s="40" t="e">
        <f>Market!$C$3*Market!$G$3*NIFTY_OC!$D303/$C303</f>
        <v>#VALUE!</v>
      </c>
      <c r="R303" s="40" t="e">
        <f>Market!$C$3*Market!$H$3*NIFTY_OC!$D303/$C303</f>
        <v>#VALUE!</v>
      </c>
      <c r="S303" s="40" t="e">
        <f>Market!$C$3*Market!$I$3*NIFTY_OC!$D303/$C303</f>
        <v>#VALUE!</v>
      </c>
    </row>
    <row r="304" spans="1:19">
      <c r="A304" s="39">
        <v>44448</v>
      </c>
      <c r="B304" s="38">
        <v>23250</v>
      </c>
      <c r="C304" s="38">
        <v>1.25</v>
      </c>
      <c r="D304">
        <v>0.01</v>
      </c>
      <c r="E304" s="37">
        <v>18650</v>
      </c>
      <c r="F304">
        <v>23.07</v>
      </c>
      <c r="G304" s="38">
        <v>1404.5</v>
      </c>
      <c r="H304" s="38">
        <v>-0.99</v>
      </c>
      <c r="I304" s="38">
        <v>0</v>
      </c>
      <c r="J304" s="38">
        <v>-0.77</v>
      </c>
      <c r="K304" s="38">
        <v>0.47</v>
      </c>
      <c r="L304">
        <v>4.0000000000000003E-5</v>
      </c>
      <c r="M304" s="41">
        <f t="shared" si="4"/>
        <v>5.4182921543129606E-2</v>
      </c>
      <c r="N304" s="40" t="e">
        <f>Market!$C$3*Market!$D$3*NIFTY_OC!$D304/$C304</f>
        <v>#VALUE!</v>
      </c>
      <c r="O304" s="40" t="e">
        <f>Market!$C$3*Market!$E$3*NIFTY_OC!$D304/$C304</f>
        <v>#VALUE!</v>
      </c>
      <c r="P304" s="40" t="e">
        <f>Market!$C$3*Market!$F$3*NIFTY_OC!$D304/$C304</f>
        <v>#VALUE!</v>
      </c>
      <c r="Q304" s="40" t="e">
        <f>Market!$C$3*Market!$G$3*NIFTY_OC!$D304/$C304</f>
        <v>#VALUE!</v>
      </c>
      <c r="R304" s="40" t="e">
        <f>Market!$C$3*Market!$H$3*NIFTY_OC!$D304/$C304</f>
        <v>#VALUE!</v>
      </c>
      <c r="S304" s="40" t="e">
        <f>Market!$C$3*Market!$I$3*NIFTY_OC!$D304/$C304</f>
        <v>#VALUE!</v>
      </c>
    </row>
    <row r="305" spans="1:19">
      <c r="A305" s="39">
        <v>44448</v>
      </c>
      <c r="B305" s="38">
        <v>0</v>
      </c>
      <c r="C305" s="38">
        <v>1.35</v>
      </c>
      <c r="D305">
        <v>0.01</v>
      </c>
      <c r="E305" s="37">
        <v>18700</v>
      </c>
      <c r="F305">
        <v>23.97</v>
      </c>
      <c r="G305" s="38">
        <v>1454.15</v>
      </c>
      <c r="H305" s="38">
        <v>-0.99</v>
      </c>
      <c r="I305" s="38">
        <v>0</v>
      </c>
      <c r="J305" s="38">
        <v>-0.82</v>
      </c>
      <c r="K305" s="38">
        <v>0.48</v>
      </c>
      <c r="L305">
        <v>4.0000000000000003E-5</v>
      </c>
      <c r="M305" s="41">
        <f t="shared" si="4"/>
        <v>5.632040050062579E-2</v>
      </c>
      <c r="N305" s="40" t="e">
        <f>Market!$C$3*Market!$D$3*NIFTY_OC!$D305/$C305</f>
        <v>#VALUE!</v>
      </c>
      <c r="O305" s="40" t="e">
        <f>Market!$C$3*Market!$E$3*NIFTY_OC!$D305/$C305</f>
        <v>#VALUE!</v>
      </c>
      <c r="P305" s="40" t="e">
        <f>Market!$C$3*Market!$F$3*NIFTY_OC!$D305/$C305</f>
        <v>#VALUE!</v>
      </c>
      <c r="Q305" s="40" t="e">
        <f>Market!$C$3*Market!$G$3*NIFTY_OC!$D305/$C305</f>
        <v>#VALUE!</v>
      </c>
      <c r="R305" s="40" t="e">
        <f>Market!$C$3*Market!$H$3*NIFTY_OC!$D305/$C305</f>
        <v>#VALUE!</v>
      </c>
      <c r="S305" s="40" t="e">
        <f>Market!$C$3*Market!$I$3*NIFTY_OC!$D305/$C305</f>
        <v>#VALUE!</v>
      </c>
    </row>
    <row r="306" spans="1:19">
      <c r="A306" s="39">
        <v>44448</v>
      </c>
      <c r="B306" s="38">
        <v>0</v>
      </c>
      <c r="C306" s="38">
        <v>1.05</v>
      </c>
      <c r="D306">
        <v>0.01</v>
      </c>
      <c r="E306" s="37">
        <v>18750</v>
      </c>
      <c r="F306">
        <v>23.96</v>
      </c>
      <c r="G306" s="38">
        <v>1503.8</v>
      </c>
      <c r="H306" s="38">
        <v>-0.99</v>
      </c>
      <c r="I306" s="38">
        <v>3459600</v>
      </c>
      <c r="J306" s="38">
        <v>-0.67</v>
      </c>
      <c r="K306" s="38">
        <v>0.39</v>
      </c>
      <c r="L306">
        <v>3.0000000000000001E-5</v>
      </c>
      <c r="M306" s="41">
        <f t="shared" si="4"/>
        <v>4.382303839732888E-2</v>
      </c>
      <c r="N306" s="40" t="e">
        <f>Market!$C$3*Market!$D$3*NIFTY_OC!$D306/$C306</f>
        <v>#VALUE!</v>
      </c>
      <c r="O306" s="40" t="e">
        <f>Market!$C$3*Market!$E$3*NIFTY_OC!$D306/$C306</f>
        <v>#VALUE!</v>
      </c>
      <c r="P306" s="40" t="e">
        <f>Market!$C$3*Market!$F$3*NIFTY_OC!$D306/$C306</f>
        <v>#VALUE!</v>
      </c>
      <c r="Q306" s="40" t="e">
        <f>Market!$C$3*Market!$G$3*NIFTY_OC!$D306/$C306</f>
        <v>#VALUE!</v>
      </c>
      <c r="R306" s="40" t="e">
        <f>Market!$C$3*Market!$H$3*NIFTY_OC!$D306/$C306</f>
        <v>#VALUE!</v>
      </c>
      <c r="S306" s="40" t="e">
        <f>Market!$C$3*Market!$I$3*NIFTY_OC!$D306/$C306</f>
        <v>#VALUE!</v>
      </c>
    </row>
  </sheetData>
  <autoFilter ref="A1:L306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123"/>
  <sheetViews>
    <sheetView zoomScale="85" zoomScaleNormal="85" workbookViewId="0">
      <pane ySplit="1" topLeftCell="A33" activePane="bottomLeft" state="frozen"/>
      <selection pane="bottomLeft" activeCell="H59" sqref="H59"/>
    </sheetView>
  </sheetViews>
  <sheetFormatPr defaultRowHeight="15"/>
  <cols>
    <col min="1" max="1" width="9.85546875" bestFit="1" customWidth="1"/>
    <col min="2" max="2" width="12.7109375" style="38" bestFit="1" customWidth="1"/>
    <col min="3" max="4" width="9.28515625" style="38" bestFit="1" customWidth="1"/>
    <col min="5" max="5" width="9.140625" style="37"/>
    <col min="6" max="8" width="9.28515625" style="38" bestFit="1" customWidth="1"/>
    <col min="9" max="9" width="12.7109375" style="38" bestFit="1" customWidth="1"/>
    <col min="10" max="11" width="9.28515625" style="38" bestFit="1" customWidth="1"/>
  </cols>
  <sheetData>
    <row r="1" spans="1:12">
      <c r="A1" t="s">
        <v>99</v>
      </c>
      <c r="B1" s="38" t="s">
        <v>89</v>
      </c>
      <c r="C1" s="38" t="s">
        <v>90</v>
      </c>
      <c r="D1" s="38" t="s">
        <v>91</v>
      </c>
      <c r="E1" s="37" t="s">
        <v>43</v>
      </c>
      <c r="F1" s="38" t="s">
        <v>92</v>
      </c>
      <c r="G1" s="38" t="s">
        <v>93</v>
      </c>
      <c r="H1" s="38" t="s">
        <v>94</v>
      </c>
      <c r="I1" s="38" t="s">
        <v>95</v>
      </c>
      <c r="J1" s="38" t="s">
        <v>96</v>
      </c>
      <c r="K1" s="38" t="s">
        <v>97</v>
      </c>
      <c r="L1" t="s">
        <v>98</v>
      </c>
    </row>
    <row r="2" spans="1:12">
      <c r="A2" s="39">
        <v>44469</v>
      </c>
      <c r="B2" s="38">
        <v>25875</v>
      </c>
      <c r="C2" s="38">
        <v>3026.9</v>
      </c>
      <c r="D2" s="38">
        <v>0.93</v>
      </c>
      <c r="E2" s="37">
        <v>34000</v>
      </c>
      <c r="F2" s="38">
        <v>21.31</v>
      </c>
      <c r="G2" s="38">
        <v>73.650000000000006</v>
      </c>
      <c r="H2" s="38">
        <v>-7.0000000000000007E-2</v>
      </c>
      <c r="I2" s="38">
        <v>397800</v>
      </c>
      <c r="J2" s="38">
        <v>-5.45</v>
      </c>
      <c r="K2" s="38">
        <v>14.32</v>
      </c>
      <c r="L2">
        <v>6.0000000000000002E-5</v>
      </c>
    </row>
    <row r="3" spans="1:12">
      <c r="A3" s="39">
        <v>44469</v>
      </c>
      <c r="B3" s="38">
        <v>750</v>
      </c>
      <c r="C3" s="38">
        <v>3210.45</v>
      </c>
      <c r="D3" s="38">
        <v>0.92</v>
      </c>
      <c r="E3" s="37">
        <v>34100</v>
      </c>
      <c r="F3" s="38">
        <v>21.09</v>
      </c>
      <c r="G3" s="38">
        <v>78.849999999999994</v>
      </c>
      <c r="H3" s="38">
        <v>-0.08</v>
      </c>
      <c r="I3" s="38">
        <v>6450</v>
      </c>
      <c r="J3" s="38">
        <v>-5.67</v>
      </c>
      <c r="K3" s="38">
        <v>15.06</v>
      </c>
      <c r="L3">
        <v>6.9999999999999994E-5</v>
      </c>
    </row>
    <row r="4" spans="1:12">
      <c r="A4" s="39">
        <v>44469</v>
      </c>
      <c r="B4" s="38">
        <v>675</v>
      </c>
      <c r="C4" s="38">
        <v>3132.65</v>
      </c>
      <c r="D4" s="38">
        <v>0.91</v>
      </c>
      <c r="E4" s="37">
        <v>34200</v>
      </c>
      <c r="F4" s="38">
        <v>20.98</v>
      </c>
      <c r="G4" s="38">
        <v>86.3</v>
      </c>
      <c r="H4" s="38">
        <v>-0.09</v>
      </c>
      <c r="I4" s="38">
        <v>14275</v>
      </c>
      <c r="J4" s="38">
        <v>-5.99</v>
      </c>
      <c r="K4" s="38">
        <v>16</v>
      </c>
      <c r="L4">
        <v>6.9999999999999994E-5</v>
      </c>
    </row>
    <row r="5" spans="1:12">
      <c r="A5" s="39">
        <v>44469</v>
      </c>
      <c r="B5" s="38">
        <v>1125</v>
      </c>
      <c r="C5" s="38">
        <v>3055.85</v>
      </c>
      <c r="D5" s="38">
        <v>0.91</v>
      </c>
      <c r="E5" s="37">
        <v>34300</v>
      </c>
      <c r="F5" s="38">
        <v>20.73</v>
      </c>
      <c r="G5" s="38">
        <v>92.05</v>
      </c>
      <c r="H5" s="38">
        <v>-0.09</v>
      </c>
      <c r="I5" s="38">
        <v>8325</v>
      </c>
      <c r="J5" s="38">
        <v>-6.21</v>
      </c>
      <c r="K5" s="38">
        <v>16.78</v>
      </c>
      <c r="L5">
        <v>8.0000000000000007E-5</v>
      </c>
    </row>
    <row r="6" spans="1:12">
      <c r="A6" s="39">
        <v>44469</v>
      </c>
      <c r="B6" s="38">
        <v>675</v>
      </c>
      <c r="C6" s="38">
        <v>2979.9</v>
      </c>
      <c r="D6" s="38">
        <v>0.9</v>
      </c>
      <c r="E6" s="37">
        <v>34400</v>
      </c>
      <c r="F6" s="38">
        <v>20.56</v>
      </c>
      <c r="G6" s="38">
        <v>99.55</v>
      </c>
      <c r="H6" s="38">
        <v>-0.1</v>
      </c>
      <c r="I6" s="38">
        <v>7100</v>
      </c>
      <c r="J6" s="38">
        <v>-6.5</v>
      </c>
      <c r="K6" s="38">
        <v>17.7</v>
      </c>
      <c r="L6">
        <v>8.0000000000000007E-5</v>
      </c>
    </row>
    <row r="7" spans="1:12">
      <c r="A7" s="39">
        <v>44469</v>
      </c>
      <c r="B7" s="38">
        <v>18800</v>
      </c>
      <c r="C7" s="38">
        <v>2555.6999999999998</v>
      </c>
      <c r="D7" s="38">
        <v>0.89</v>
      </c>
      <c r="E7" s="37">
        <v>34500</v>
      </c>
      <c r="F7" s="38">
        <v>20.37</v>
      </c>
      <c r="G7" s="38">
        <v>107.25</v>
      </c>
      <c r="H7" s="38">
        <v>-0.11</v>
      </c>
      <c r="I7" s="38">
        <v>364675</v>
      </c>
      <c r="J7" s="38">
        <v>-6.77</v>
      </c>
      <c r="K7" s="38">
        <v>18.62</v>
      </c>
      <c r="L7">
        <v>9.0000000000000006E-5</v>
      </c>
    </row>
    <row r="8" spans="1:12">
      <c r="A8" s="39">
        <v>44469</v>
      </c>
      <c r="B8" s="38">
        <v>2250</v>
      </c>
      <c r="C8" s="38">
        <v>2419.3000000000002</v>
      </c>
      <c r="D8" s="38">
        <v>0.89</v>
      </c>
      <c r="E8" s="37">
        <v>34600</v>
      </c>
      <c r="F8" s="38">
        <v>20.100000000000001</v>
      </c>
      <c r="G8" s="38">
        <v>114.1</v>
      </c>
      <c r="H8" s="38">
        <v>-0.11</v>
      </c>
      <c r="I8" s="38">
        <v>11175</v>
      </c>
      <c r="J8" s="38">
        <v>-6.99</v>
      </c>
      <c r="K8" s="38">
        <v>19.47</v>
      </c>
      <c r="L8">
        <v>9.0000000000000006E-5</v>
      </c>
    </row>
    <row r="9" spans="1:12">
      <c r="A9" s="39">
        <v>44469</v>
      </c>
      <c r="B9" s="38">
        <v>2000</v>
      </c>
      <c r="C9" s="38">
        <v>2394.6</v>
      </c>
      <c r="D9" s="38">
        <v>0.88</v>
      </c>
      <c r="E9" s="37">
        <v>34700</v>
      </c>
      <c r="F9" s="38">
        <v>19.87</v>
      </c>
      <c r="G9" s="38">
        <v>122.2</v>
      </c>
      <c r="H9" s="38">
        <v>-0.12</v>
      </c>
      <c r="I9" s="38">
        <v>15925</v>
      </c>
      <c r="J9" s="38">
        <v>-7.24</v>
      </c>
      <c r="K9" s="38">
        <v>20.399999999999999</v>
      </c>
      <c r="L9">
        <v>1E-4</v>
      </c>
    </row>
    <row r="10" spans="1:12">
      <c r="A10" s="39">
        <v>44469</v>
      </c>
      <c r="B10" s="38">
        <v>2225</v>
      </c>
      <c r="C10" s="38">
        <v>2300</v>
      </c>
      <c r="D10" s="38">
        <v>0.87</v>
      </c>
      <c r="E10" s="37">
        <v>34800</v>
      </c>
      <c r="F10" s="38">
        <v>19.75</v>
      </c>
      <c r="G10" s="38">
        <v>133.15</v>
      </c>
      <c r="H10" s="38">
        <v>-0.13</v>
      </c>
      <c r="I10" s="38">
        <v>16800</v>
      </c>
      <c r="J10" s="38">
        <v>-7.58</v>
      </c>
      <c r="K10" s="38">
        <v>21.5</v>
      </c>
      <c r="L10">
        <v>1E-4</v>
      </c>
    </row>
    <row r="11" spans="1:12">
      <c r="A11" s="39">
        <v>44469</v>
      </c>
      <c r="B11" s="38">
        <v>3025</v>
      </c>
      <c r="C11" s="38">
        <v>2614.3000000000002</v>
      </c>
      <c r="D11" s="38">
        <v>0.86</v>
      </c>
      <c r="E11" s="37">
        <v>34900</v>
      </c>
      <c r="F11" s="38">
        <v>19.64</v>
      </c>
      <c r="G11" s="38">
        <v>145.4</v>
      </c>
      <c r="H11" s="38">
        <v>-0.14000000000000001</v>
      </c>
      <c r="I11" s="38">
        <v>12575</v>
      </c>
      <c r="J11" s="38">
        <v>-7.95</v>
      </c>
      <c r="K11" s="38">
        <v>22.65</v>
      </c>
      <c r="L11">
        <v>1.1E-4</v>
      </c>
    </row>
    <row r="12" spans="1:12">
      <c r="A12" s="39">
        <v>44469</v>
      </c>
      <c r="B12" s="38">
        <v>262575</v>
      </c>
      <c r="C12" s="38">
        <v>2111.4499999999998</v>
      </c>
      <c r="D12" s="38">
        <v>0.85</v>
      </c>
      <c r="E12" s="37">
        <v>35000</v>
      </c>
      <c r="F12" s="38">
        <v>19.38</v>
      </c>
      <c r="G12" s="38">
        <v>154.80000000000001</v>
      </c>
      <c r="H12" s="38">
        <v>-0.15</v>
      </c>
      <c r="I12" s="38">
        <v>634025</v>
      </c>
      <c r="J12" s="38">
        <v>-8.17</v>
      </c>
      <c r="K12" s="38">
        <v>23.62</v>
      </c>
      <c r="L12">
        <v>1.2E-4</v>
      </c>
    </row>
    <row r="13" spans="1:12">
      <c r="A13" s="39">
        <v>44469</v>
      </c>
      <c r="B13" s="38">
        <v>6625</v>
      </c>
      <c r="C13" s="38">
        <v>1990</v>
      </c>
      <c r="D13" s="38">
        <v>0.84</v>
      </c>
      <c r="E13" s="37">
        <v>35100</v>
      </c>
      <c r="F13" s="38">
        <v>19.12</v>
      </c>
      <c r="G13" s="38">
        <v>165.2</v>
      </c>
      <c r="H13" s="38">
        <v>-0.16</v>
      </c>
      <c r="I13" s="38">
        <v>13525</v>
      </c>
      <c r="J13" s="38">
        <v>-8.41</v>
      </c>
      <c r="K13" s="38">
        <v>24.63</v>
      </c>
      <c r="L13">
        <v>1.2E-4</v>
      </c>
    </row>
    <row r="14" spans="1:12">
      <c r="A14" s="39">
        <v>44469</v>
      </c>
      <c r="B14" s="38">
        <v>24225</v>
      </c>
      <c r="C14" s="38">
        <v>1947.95</v>
      </c>
      <c r="D14" s="38">
        <v>0.83</v>
      </c>
      <c r="E14" s="37">
        <v>35200</v>
      </c>
      <c r="F14" s="38">
        <v>19.11</v>
      </c>
      <c r="G14" s="38">
        <v>182.55</v>
      </c>
      <c r="H14" s="38">
        <v>-0.17</v>
      </c>
      <c r="I14" s="38">
        <v>28225</v>
      </c>
      <c r="J14" s="38">
        <v>-8.85</v>
      </c>
      <c r="K14" s="38">
        <v>25.94</v>
      </c>
      <c r="L14">
        <v>1.2999999999999999E-4</v>
      </c>
    </row>
    <row r="15" spans="1:12">
      <c r="A15" s="39">
        <v>44469</v>
      </c>
      <c r="B15" s="38">
        <v>4850</v>
      </c>
      <c r="C15" s="38">
        <v>1837.15</v>
      </c>
      <c r="D15" s="38">
        <v>0.82</v>
      </c>
      <c r="E15" s="37">
        <v>35300</v>
      </c>
      <c r="F15" s="38">
        <v>18.940000000000001</v>
      </c>
      <c r="G15" s="38">
        <v>197</v>
      </c>
      <c r="H15" s="38">
        <v>-0.18</v>
      </c>
      <c r="I15" s="38">
        <v>15925</v>
      </c>
      <c r="J15" s="38">
        <v>-9.15</v>
      </c>
      <c r="K15" s="38">
        <v>27.07</v>
      </c>
      <c r="L15">
        <v>1.3999999999999999E-4</v>
      </c>
    </row>
    <row r="16" spans="1:12">
      <c r="A16" s="39">
        <v>44469</v>
      </c>
      <c r="B16" s="38">
        <v>7725</v>
      </c>
      <c r="C16" s="38">
        <v>1746.6</v>
      </c>
      <c r="D16" s="38">
        <v>0.8</v>
      </c>
      <c r="E16" s="37">
        <v>35400</v>
      </c>
      <c r="F16" s="38">
        <v>18.82</v>
      </c>
      <c r="G16" s="38">
        <v>214.05</v>
      </c>
      <c r="H16" s="38">
        <v>-0.2</v>
      </c>
      <c r="I16" s="38">
        <v>18000</v>
      </c>
      <c r="J16" s="38">
        <v>-9.5</v>
      </c>
      <c r="K16" s="38">
        <v>28.26</v>
      </c>
      <c r="L16">
        <v>1.3999999999999999E-4</v>
      </c>
    </row>
    <row r="17" spans="1:12">
      <c r="A17" s="39">
        <v>44469</v>
      </c>
      <c r="B17" s="38">
        <v>138125</v>
      </c>
      <c r="C17" s="38">
        <v>1678.5</v>
      </c>
      <c r="D17" s="38">
        <v>0.79</v>
      </c>
      <c r="E17" s="37">
        <v>35500</v>
      </c>
      <c r="F17" s="38">
        <v>18.72</v>
      </c>
      <c r="G17" s="38">
        <v>232.9</v>
      </c>
      <c r="H17" s="38">
        <v>-0.21</v>
      </c>
      <c r="I17" s="38">
        <v>350300</v>
      </c>
      <c r="J17" s="38">
        <v>-9.85</v>
      </c>
      <c r="K17" s="38">
        <v>29.47</v>
      </c>
      <c r="L17">
        <v>1.4999999999999999E-4</v>
      </c>
    </row>
    <row r="18" spans="1:12">
      <c r="A18" s="39">
        <v>44469</v>
      </c>
      <c r="B18" s="38">
        <v>21050</v>
      </c>
      <c r="C18" s="38">
        <v>1598.7</v>
      </c>
      <c r="D18" s="38">
        <v>0.78</v>
      </c>
      <c r="E18" s="37">
        <v>35600</v>
      </c>
      <c r="F18" s="38">
        <v>18.62</v>
      </c>
      <c r="G18" s="38">
        <v>253.1</v>
      </c>
      <c r="H18" s="38">
        <v>-0.22</v>
      </c>
      <c r="I18" s="38">
        <v>43175</v>
      </c>
      <c r="J18" s="38">
        <v>-10.19</v>
      </c>
      <c r="K18" s="38">
        <v>30.66</v>
      </c>
      <c r="L18">
        <v>1.6000000000000001E-4</v>
      </c>
    </row>
    <row r="19" spans="1:12">
      <c r="A19" s="39">
        <v>44469</v>
      </c>
      <c r="B19" s="38">
        <v>21650</v>
      </c>
      <c r="C19" s="38">
        <v>1510.35</v>
      </c>
      <c r="D19" s="38">
        <v>0.76</v>
      </c>
      <c r="E19" s="37">
        <v>35700</v>
      </c>
      <c r="F19" s="38">
        <v>18.489999999999998</v>
      </c>
      <c r="G19" s="38">
        <v>273.95</v>
      </c>
      <c r="H19" s="38">
        <v>-0.24</v>
      </c>
      <c r="I19" s="38">
        <v>50100</v>
      </c>
      <c r="J19" s="38">
        <v>-10.5</v>
      </c>
      <c r="K19" s="38">
        <v>31.8</v>
      </c>
      <c r="L19">
        <v>1.6000000000000001E-4</v>
      </c>
    </row>
    <row r="20" spans="1:12">
      <c r="A20" s="39">
        <v>44469</v>
      </c>
      <c r="B20" s="38">
        <v>23950</v>
      </c>
      <c r="C20" s="38">
        <v>1446.55</v>
      </c>
      <c r="D20" s="38">
        <v>0.75</v>
      </c>
      <c r="E20" s="37">
        <v>35800</v>
      </c>
      <c r="F20" s="38">
        <v>18.309999999999999</v>
      </c>
      <c r="G20" s="38">
        <v>294.35000000000002</v>
      </c>
      <c r="H20" s="38">
        <v>-0.25</v>
      </c>
      <c r="I20" s="38">
        <v>52850</v>
      </c>
      <c r="J20" s="38">
        <v>-10.75</v>
      </c>
      <c r="K20" s="38">
        <v>32.869999999999997</v>
      </c>
      <c r="L20">
        <v>1.7000000000000001E-4</v>
      </c>
    </row>
    <row r="21" spans="1:12">
      <c r="A21" s="39">
        <v>44469</v>
      </c>
      <c r="B21" s="38">
        <v>7950</v>
      </c>
      <c r="C21" s="38">
        <v>1370.65</v>
      </c>
      <c r="D21" s="38">
        <v>0.73</v>
      </c>
      <c r="E21" s="37">
        <v>35900</v>
      </c>
      <c r="F21" s="38">
        <v>18.190000000000001</v>
      </c>
      <c r="G21" s="38">
        <v>318.39999999999998</v>
      </c>
      <c r="H21" s="38">
        <v>-0.27</v>
      </c>
      <c r="I21" s="38">
        <v>37750</v>
      </c>
      <c r="J21" s="38">
        <v>-11.03</v>
      </c>
      <c r="K21" s="38">
        <v>33.96</v>
      </c>
      <c r="L21">
        <v>1.8000000000000001E-4</v>
      </c>
    </row>
    <row r="22" spans="1:12">
      <c r="A22" s="39">
        <v>44469</v>
      </c>
      <c r="B22" s="38">
        <v>363125</v>
      </c>
      <c r="C22" s="38">
        <v>1300.6500000000001</v>
      </c>
      <c r="D22" s="38">
        <v>0.71</v>
      </c>
      <c r="E22" s="37">
        <v>36000</v>
      </c>
      <c r="F22" s="38">
        <v>18.149999999999999</v>
      </c>
      <c r="G22" s="38">
        <v>346.9</v>
      </c>
      <c r="H22" s="38">
        <v>-0.28999999999999998</v>
      </c>
      <c r="I22" s="38">
        <v>462600</v>
      </c>
      <c r="J22" s="38">
        <v>-11.36</v>
      </c>
      <c r="K22" s="38">
        <v>35.049999999999997</v>
      </c>
      <c r="L22">
        <v>1.8000000000000001E-4</v>
      </c>
    </row>
    <row r="23" spans="1:12">
      <c r="A23" s="39">
        <v>44469</v>
      </c>
      <c r="B23" s="38">
        <v>11425</v>
      </c>
      <c r="C23" s="38">
        <v>1238.4000000000001</v>
      </c>
      <c r="D23" s="38">
        <v>0.69</v>
      </c>
      <c r="E23" s="37">
        <v>36100</v>
      </c>
      <c r="F23" s="38">
        <v>17.989999999999998</v>
      </c>
      <c r="G23" s="38">
        <v>372.75</v>
      </c>
      <c r="H23" s="38">
        <v>-0.31</v>
      </c>
      <c r="I23" s="38">
        <v>22450</v>
      </c>
      <c r="J23" s="38">
        <v>-11.57</v>
      </c>
      <c r="K23" s="38">
        <v>36</v>
      </c>
      <c r="L23">
        <v>1.9000000000000001E-4</v>
      </c>
    </row>
    <row r="24" spans="1:12">
      <c r="A24" s="39">
        <v>44469</v>
      </c>
      <c r="B24" s="38">
        <v>17350</v>
      </c>
      <c r="C24" s="38">
        <v>1161.3499999999999</v>
      </c>
      <c r="D24" s="38">
        <v>0.67</v>
      </c>
      <c r="E24" s="37">
        <v>36200</v>
      </c>
      <c r="F24" s="38">
        <v>17.829999999999998</v>
      </c>
      <c r="G24" s="38">
        <v>400.45</v>
      </c>
      <c r="H24" s="38">
        <v>-0.33</v>
      </c>
      <c r="I24" s="38">
        <v>35200</v>
      </c>
      <c r="J24" s="38">
        <v>-11.75</v>
      </c>
      <c r="K24" s="38">
        <v>36.909999999999997</v>
      </c>
      <c r="L24">
        <v>2.0000000000000001E-4</v>
      </c>
    </row>
    <row r="25" spans="1:12">
      <c r="A25" s="39">
        <v>44469</v>
      </c>
      <c r="B25" s="38">
        <v>14050</v>
      </c>
      <c r="C25" s="38">
        <v>1079.7</v>
      </c>
      <c r="D25" s="38">
        <v>0.65</v>
      </c>
      <c r="E25" s="37">
        <v>36300</v>
      </c>
      <c r="F25" s="38">
        <v>17.87</v>
      </c>
      <c r="G25" s="38">
        <v>437.45</v>
      </c>
      <c r="H25" s="38">
        <v>-0.35</v>
      </c>
      <c r="I25" s="38">
        <v>31925</v>
      </c>
      <c r="J25" s="38">
        <v>-12.06</v>
      </c>
      <c r="K25" s="38">
        <v>37.799999999999997</v>
      </c>
      <c r="L25">
        <v>2.0000000000000001E-4</v>
      </c>
    </row>
    <row r="26" spans="1:12">
      <c r="A26" s="39">
        <v>44469</v>
      </c>
      <c r="B26" s="38">
        <v>12925</v>
      </c>
      <c r="C26" s="38">
        <v>1023.65</v>
      </c>
      <c r="D26" s="38">
        <v>0.63</v>
      </c>
      <c r="E26" s="37">
        <v>36400</v>
      </c>
      <c r="F26" s="38">
        <v>17.62</v>
      </c>
      <c r="G26" s="38">
        <v>465.15</v>
      </c>
      <c r="H26" s="38">
        <v>-0.37</v>
      </c>
      <c r="I26" s="38">
        <v>31500</v>
      </c>
      <c r="J26" s="38">
        <v>-12.12</v>
      </c>
      <c r="K26" s="38">
        <v>38.520000000000003</v>
      </c>
      <c r="L26">
        <v>2.1000000000000001E-4</v>
      </c>
    </row>
    <row r="27" spans="1:12">
      <c r="A27" s="39">
        <v>44469</v>
      </c>
      <c r="B27" s="38">
        <v>405800</v>
      </c>
      <c r="C27" s="38">
        <v>964.75</v>
      </c>
      <c r="D27" s="38">
        <v>0.61</v>
      </c>
      <c r="E27" s="37">
        <v>36500</v>
      </c>
      <c r="F27" s="38">
        <v>17.68</v>
      </c>
      <c r="G27" s="38">
        <v>507.35</v>
      </c>
      <c r="H27" s="38">
        <v>-0.39</v>
      </c>
      <c r="I27" s="38">
        <v>299050</v>
      </c>
      <c r="J27" s="38">
        <v>-12.38</v>
      </c>
      <c r="K27" s="38">
        <v>39.22</v>
      </c>
      <c r="L27">
        <v>2.1000000000000001E-4</v>
      </c>
    </row>
    <row r="28" spans="1:12">
      <c r="A28" s="39">
        <v>44469</v>
      </c>
      <c r="B28" s="38">
        <v>26150</v>
      </c>
      <c r="C28" s="38">
        <v>898.2</v>
      </c>
      <c r="D28" s="38">
        <v>0.59</v>
      </c>
      <c r="E28" s="37">
        <v>36600</v>
      </c>
      <c r="F28" s="38">
        <v>17.649999999999999</v>
      </c>
      <c r="G28" s="38">
        <v>547.9</v>
      </c>
      <c r="H28" s="38">
        <v>-0.41</v>
      </c>
      <c r="I28" s="38">
        <v>34475</v>
      </c>
      <c r="J28" s="38">
        <v>-12.54</v>
      </c>
      <c r="K28" s="38">
        <v>39.79</v>
      </c>
      <c r="L28">
        <v>2.1000000000000001E-4</v>
      </c>
    </row>
    <row r="29" spans="1:12">
      <c r="A29" s="39">
        <v>44469</v>
      </c>
      <c r="B29" s="38">
        <v>41875</v>
      </c>
      <c r="C29" s="38">
        <v>854</v>
      </c>
      <c r="D29" s="38">
        <v>0.56999999999999995</v>
      </c>
      <c r="E29" s="37">
        <v>36700</v>
      </c>
      <c r="F29" s="38">
        <v>17.670000000000002</v>
      </c>
      <c r="G29" s="38">
        <v>592.6</v>
      </c>
      <c r="H29" s="38">
        <v>-0.43</v>
      </c>
      <c r="I29" s="38">
        <v>58850</v>
      </c>
      <c r="J29" s="38">
        <v>-12.7</v>
      </c>
      <c r="K29" s="38">
        <v>40.24</v>
      </c>
      <c r="L29">
        <v>2.2000000000000001E-4</v>
      </c>
    </row>
    <row r="30" spans="1:12">
      <c r="A30" s="39">
        <v>44469</v>
      </c>
      <c r="B30" s="38">
        <v>38325</v>
      </c>
      <c r="C30" s="38">
        <v>795.25</v>
      </c>
      <c r="D30" s="38">
        <v>0.55000000000000004</v>
      </c>
      <c r="E30" s="37">
        <v>36800</v>
      </c>
      <c r="F30" s="38">
        <v>17.61</v>
      </c>
      <c r="G30" s="38">
        <v>636.1</v>
      </c>
      <c r="H30" s="38">
        <v>-0.45</v>
      </c>
      <c r="I30" s="38">
        <v>29800</v>
      </c>
      <c r="J30" s="38">
        <v>-12.75</v>
      </c>
      <c r="K30" s="38">
        <v>40.56</v>
      </c>
      <c r="L30">
        <v>2.2000000000000001E-4</v>
      </c>
    </row>
    <row r="31" spans="1:12">
      <c r="A31" s="39">
        <v>44469</v>
      </c>
      <c r="B31" s="38">
        <v>33150</v>
      </c>
      <c r="C31" s="38">
        <v>742.7</v>
      </c>
      <c r="D31" s="38">
        <v>0.53</v>
      </c>
      <c r="E31" s="37">
        <v>36900</v>
      </c>
      <c r="F31" s="38">
        <v>17.5</v>
      </c>
      <c r="G31" s="38">
        <v>680.05</v>
      </c>
      <c r="H31" s="38">
        <v>-0.47</v>
      </c>
      <c r="I31" s="38">
        <v>17050</v>
      </c>
      <c r="J31" s="38">
        <v>-12.74</v>
      </c>
      <c r="K31" s="38">
        <v>40.770000000000003</v>
      </c>
      <c r="L31">
        <v>2.2000000000000001E-4</v>
      </c>
    </row>
    <row r="32" spans="1:12">
      <c r="A32" s="39">
        <v>44469</v>
      </c>
      <c r="B32" s="38">
        <v>467275</v>
      </c>
      <c r="C32" s="38">
        <v>693.3</v>
      </c>
      <c r="D32" s="38">
        <v>0.5</v>
      </c>
      <c r="E32" s="37">
        <v>37000</v>
      </c>
      <c r="F32" s="38">
        <v>17.34</v>
      </c>
      <c r="G32" s="38">
        <v>729.35</v>
      </c>
      <c r="H32" s="38">
        <v>-0.5</v>
      </c>
      <c r="I32" s="38">
        <v>202775</v>
      </c>
      <c r="J32" s="38">
        <v>-12.65</v>
      </c>
      <c r="K32" s="38">
        <v>40.85</v>
      </c>
      <c r="L32">
        <v>2.2000000000000001E-4</v>
      </c>
    </row>
    <row r="33" spans="1:12">
      <c r="A33" s="39">
        <v>44469</v>
      </c>
      <c r="B33" s="38">
        <v>34025</v>
      </c>
      <c r="C33" s="38">
        <v>654.04999999999995</v>
      </c>
      <c r="D33" s="38">
        <v>0.48</v>
      </c>
      <c r="E33" s="37">
        <v>37100</v>
      </c>
      <c r="F33" s="38">
        <v>17.54</v>
      </c>
      <c r="G33" s="38">
        <v>784.9</v>
      </c>
      <c r="H33" s="38">
        <v>-0.52</v>
      </c>
      <c r="I33" s="38">
        <v>5225</v>
      </c>
      <c r="J33" s="38">
        <v>-12.78</v>
      </c>
      <c r="K33" s="38">
        <v>40.799999999999997</v>
      </c>
      <c r="L33">
        <v>2.2000000000000001E-4</v>
      </c>
    </row>
    <row r="34" spans="1:12">
      <c r="A34" s="39">
        <v>44469</v>
      </c>
      <c r="B34" s="38">
        <v>23150</v>
      </c>
      <c r="C34" s="38">
        <v>605.79999999999995</v>
      </c>
      <c r="D34" s="38">
        <v>0.46</v>
      </c>
      <c r="E34" s="37">
        <v>37200</v>
      </c>
      <c r="F34" s="38">
        <v>17.46</v>
      </c>
      <c r="G34" s="38">
        <v>822.85</v>
      </c>
      <c r="H34" s="38">
        <v>-0.54</v>
      </c>
      <c r="I34" s="38">
        <v>4950</v>
      </c>
      <c r="J34" s="38">
        <v>-12.66</v>
      </c>
      <c r="K34" s="38">
        <v>40.630000000000003</v>
      </c>
      <c r="L34">
        <v>2.2000000000000001E-4</v>
      </c>
    </row>
    <row r="35" spans="1:12">
      <c r="A35" s="39">
        <v>44469</v>
      </c>
      <c r="B35" s="38">
        <v>29225</v>
      </c>
      <c r="C35" s="38">
        <v>551.1</v>
      </c>
      <c r="D35" s="38">
        <v>0.44</v>
      </c>
      <c r="E35" s="37">
        <v>37300</v>
      </c>
      <c r="F35" s="38">
        <v>17.16</v>
      </c>
      <c r="G35" s="38">
        <v>882.05</v>
      </c>
      <c r="H35" s="38">
        <v>-0.56000000000000005</v>
      </c>
      <c r="I35" s="38">
        <v>2775</v>
      </c>
      <c r="J35" s="38">
        <v>-12.35</v>
      </c>
      <c r="K35" s="38">
        <v>40.31</v>
      </c>
      <c r="L35">
        <v>2.2000000000000001E-4</v>
      </c>
    </row>
    <row r="36" spans="1:12">
      <c r="A36" s="39">
        <v>44469</v>
      </c>
      <c r="B36" s="38">
        <v>34475</v>
      </c>
      <c r="C36" s="38">
        <v>519.85</v>
      </c>
      <c r="D36" s="38">
        <v>0.41</v>
      </c>
      <c r="E36" s="37">
        <v>37400</v>
      </c>
      <c r="F36" s="38">
        <v>17.399999999999999</v>
      </c>
      <c r="G36" s="38">
        <v>944.35</v>
      </c>
      <c r="H36" s="38">
        <v>-0.59</v>
      </c>
      <c r="I36" s="38">
        <v>2200</v>
      </c>
      <c r="J36" s="38">
        <v>-12.4</v>
      </c>
      <c r="K36" s="38">
        <v>39.9</v>
      </c>
      <c r="L36">
        <v>2.2000000000000001E-4</v>
      </c>
    </row>
    <row r="37" spans="1:12">
      <c r="A37" s="39">
        <v>44469</v>
      </c>
      <c r="B37" s="38">
        <v>373600</v>
      </c>
      <c r="C37" s="38">
        <v>472.2</v>
      </c>
      <c r="D37" s="38">
        <v>0.39</v>
      </c>
      <c r="E37" s="37">
        <v>37500</v>
      </c>
      <c r="F37" s="38">
        <v>17.16</v>
      </c>
      <c r="G37" s="38">
        <v>1003.4</v>
      </c>
      <c r="H37" s="38">
        <v>-0.61</v>
      </c>
      <c r="I37" s="38">
        <v>25775</v>
      </c>
      <c r="J37" s="38">
        <v>-12.05</v>
      </c>
      <c r="K37" s="38">
        <v>39.32</v>
      </c>
      <c r="L37">
        <v>2.2000000000000001E-4</v>
      </c>
    </row>
    <row r="38" spans="1:12">
      <c r="A38" s="39">
        <v>44469</v>
      </c>
      <c r="B38" s="38">
        <v>14650</v>
      </c>
      <c r="C38" s="38">
        <v>430.1</v>
      </c>
      <c r="D38" s="38">
        <v>0.37</v>
      </c>
      <c r="E38" s="37">
        <v>37600</v>
      </c>
      <c r="F38" s="38">
        <v>17.010000000000002</v>
      </c>
      <c r="G38" s="38">
        <v>1073.95</v>
      </c>
      <c r="H38" s="38">
        <v>-0.63</v>
      </c>
      <c r="I38" s="38">
        <v>1675</v>
      </c>
      <c r="J38" s="38">
        <v>-11.73</v>
      </c>
      <c r="K38" s="38">
        <v>38.61</v>
      </c>
      <c r="L38">
        <v>2.2000000000000001E-4</v>
      </c>
    </row>
    <row r="39" spans="1:12">
      <c r="A39" s="39">
        <v>44469</v>
      </c>
      <c r="B39" s="38">
        <v>12750</v>
      </c>
      <c r="C39" s="38">
        <v>407</v>
      </c>
      <c r="D39" s="38">
        <v>0.35</v>
      </c>
      <c r="E39" s="37">
        <v>37700</v>
      </c>
      <c r="F39" s="38">
        <v>17.3</v>
      </c>
      <c r="G39" s="38">
        <v>1105.55</v>
      </c>
      <c r="H39" s="38">
        <v>-0.65</v>
      </c>
      <c r="I39" s="38">
        <v>1200</v>
      </c>
      <c r="J39" s="38">
        <v>-11.72</v>
      </c>
      <c r="K39" s="38">
        <v>37.94</v>
      </c>
      <c r="L39">
        <v>2.1000000000000001E-4</v>
      </c>
    </row>
    <row r="40" spans="1:12">
      <c r="A40" s="39">
        <v>44469</v>
      </c>
      <c r="B40" s="38">
        <v>16700</v>
      </c>
      <c r="C40" s="38">
        <v>371.35</v>
      </c>
      <c r="D40" s="38">
        <v>0.33</v>
      </c>
      <c r="E40" s="37">
        <v>37800</v>
      </c>
      <c r="F40" s="38">
        <v>17.21</v>
      </c>
      <c r="G40" s="38">
        <v>1895.35</v>
      </c>
      <c r="H40" s="38">
        <v>-0.67</v>
      </c>
      <c r="I40" s="38">
        <v>875</v>
      </c>
      <c r="J40" s="38">
        <v>-11.38</v>
      </c>
      <c r="K40" s="38">
        <v>37.04</v>
      </c>
      <c r="L40">
        <v>2.1000000000000001E-4</v>
      </c>
    </row>
    <row r="41" spans="1:12">
      <c r="A41" s="39">
        <v>44469</v>
      </c>
      <c r="B41" s="38">
        <v>8875</v>
      </c>
      <c r="C41" s="38">
        <v>342.35</v>
      </c>
      <c r="D41" s="38">
        <v>0.31</v>
      </c>
      <c r="E41" s="37">
        <v>37900</v>
      </c>
      <c r="F41" s="38">
        <v>17.239999999999998</v>
      </c>
      <c r="G41" s="38">
        <v>1283.75</v>
      </c>
      <c r="H41" s="38">
        <v>-0.69</v>
      </c>
      <c r="I41" s="38">
        <v>350</v>
      </c>
      <c r="J41" s="38">
        <v>-11.12</v>
      </c>
      <c r="K41" s="38">
        <v>36.11</v>
      </c>
      <c r="L41">
        <v>2.0000000000000001E-4</v>
      </c>
    </row>
    <row r="42" spans="1:12">
      <c r="A42" s="39">
        <v>44469</v>
      </c>
      <c r="B42" s="38">
        <v>503750</v>
      </c>
      <c r="C42" s="38">
        <v>320.05</v>
      </c>
      <c r="D42" s="38">
        <v>0.28999999999999998</v>
      </c>
      <c r="E42" s="37">
        <v>38000</v>
      </c>
      <c r="F42" s="38">
        <v>17.420000000000002</v>
      </c>
      <c r="G42" s="38">
        <v>1342.75</v>
      </c>
      <c r="H42" s="38">
        <v>-0.71</v>
      </c>
      <c r="I42" s="38">
        <v>34400</v>
      </c>
      <c r="J42" s="38">
        <v>-10.95</v>
      </c>
      <c r="K42" s="38">
        <v>35.19</v>
      </c>
      <c r="L42">
        <v>1.9000000000000001E-4</v>
      </c>
    </row>
    <row r="43" spans="1:12">
      <c r="A43" s="39">
        <v>44469</v>
      </c>
      <c r="B43" s="38">
        <v>11975</v>
      </c>
      <c r="C43" s="38">
        <v>288.25</v>
      </c>
      <c r="D43" s="38">
        <v>0.27</v>
      </c>
      <c r="E43" s="37">
        <v>38100</v>
      </c>
      <c r="F43" s="38">
        <v>17.27</v>
      </c>
      <c r="G43" s="38">
        <v>2083.6999999999998</v>
      </c>
      <c r="H43" s="38">
        <v>-0.73</v>
      </c>
      <c r="I43" s="38">
        <v>25</v>
      </c>
      <c r="J43" s="38">
        <v>-10.48</v>
      </c>
      <c r="K43" s="38">
        <v>34</v>
      </c>
      <c r="L43">
        <v>1.9000000000000001E-4</v>
      </c>
    </row>
    <row r="44" spans="1:12">
      <c r="A44" s="39">
        <v>44469</v>
      </c>
      <c r="B44" s="38">
        <v>10625</v>
      </c>
      <c r="C44" s="38">
        <v>267.8</v>
      </c>
      <c r="D44" s="38">
        <v>0.26</v>
      </c>
      <c r="E44" s="37">
        <v>38200</v>
      </c>
      <c r="F44" s="38">
        <v>17.399999999999999</v>
      </c>
      <c r="G44" s="38">
        <v>2148.5500000000002</v>
      </c>
      <c r="H44" s="38">
        <v>-0.74</v>
      </c>
      <c r="I44" s="38">
        <v>50</v>
      </c>
      <c r="J44" s="38">
        <v>-10.24</v>
      </c>
      <c r="K44" s="38">
        <v>32.950000000000003</v>
      </c>
      <c r="L44">
        <v>1.8000000000000001E-4</v>
      </c>
    </row>
    <row r="45" spans="1:12">
      <c r="A45" s="39">
        <v>44469</v>
      </c>
      <c r="B45" s="38">
        <v>9475</v>
      </c>
      <c r="C45" s="38">
        <v>246.05</v>
      </c>
      <c r="D45" s="38">
        <v>0.24</v>
      </c>
      <c r="E45" s="37">
        <v>38300</v>
      </c>
      <c r="F45" s="38">
        <v>17.45</v>
      </c>
      <c r="G45" s="38">
        <v>2214.4</v>
      </c>
      <c r="H45" s="38">
        <v>-0.76</v>
      </c>
      <c r="I45" s="38">
        <v>25</v>
      </c>
      <c r="J45" s="38">
        <v>-9.91</v>
      </c>
      <c r="K45" s="38">
        <v>31.8</v>
      </c>
      <c r="L45">
        <v>1.7000000000000001E-4</v>
      </c>
    </row>
    <row r="46" spans="1:12">
      <c r="A46" s="39">
        <v>44469</v>
      </c>
      <c r="B46" s="38">
        <v>6750</v>
      </c>
      <c r="C46" s="38">
        <v>224.9</v>
      </c>
      <c r="D46" s="38">
        <v>0.22</v>
      </c>
      <c r="E46" s="37">
        <v>38400</v>
      </c>
      <c r="F46" s="38">
        <v>17.46</v>
      </c>
      <c r="G46" s="38">
        <v>2281.25</v>
      </c>
      <c r="H46" s="38">
        <v>-0.78</v>
      </c>
      <c r="I46" s="38">
        <v>50</v>
      </c>
      <c r="J46" s="38">
        <v>-9.5399999999999991</v>
      </c>
      <c r="K46" s="38">
        <v>30.58</v>
      </c>
      <c r="L46">
        <v>1.7000000000000001E-4</v>
      </c>
    </row>
    <row r="47" spans="1:12">
      <c r="A47" s="39">
        <v>44469</v>
      </c>
      <c r="B47" s="38">
        <v>174175</v>
      </c>
      <c r="C47" s="38">
        <v>207.55</v>
      </c>
      <c r="D47" s="38">
        <v>0.21</v>
      </c>
      <c r="E47" s="37">
        <v>38500</v>
      </c>
      <c r="F47" s="38">
        <v>17.559999999999999</v>
      </c>
      <c r="G47" s="38">
        <v>1711.05</v>
      </c>
      <c r="H47" s="38">
        <v>-0.79</v>
      </c>
      <c r="I47" s="38">
        <v>2800</v>
      </c>
      <c r="J47" s="38">
        <v>-9.23</v>
      </c>
      <c r="K47" s="38">
        <v>29.43</v>
      </c>
      <c r="L47">
        <v>1.6000000000000001E-4</v>
      </c>
    </row>
    <row r="48" spans="1:12">
      <c r="A48" s="39">
        <v>44469</v>
      </c>
      <c r="B48" s="38">
        <v>6750</v>
      </c>
      <c r="C48" s="38">
        <v>185.65</v>
      </c>
      <c r="D48" s="38">
        <v>0.19</v>
      </c>
      <c r="E48" s="37">
        <v>38600</v>
      </c>
      <c r="F48" s="38">
        <v>17.45</v>
      </c>
      <c r="G48" s="38">
        <v>2417.85</v>
      </c>
      <c r="H48" s="38">
        <v>-0.81</v>
      </c>
      <c r="I48" s="38">
        <v>25</v>
      </c>
      <c r="J48" s="38">
        <v>-8.73</v>
      </c>
      <c r="K48" s="38">
        <v>28</v>
      </c>
      <c r="L48">
        <v>1.4999999999999999E-4</v>
      </c>
    </row>
    <row r="49" spans="1:12">
      <c r="A49" s="39">
        <v>44469</v>
      </c>
      <c r="B49" s="38">
        <v>12475</v>
      </c>
      <c r="C49" s="38">
        <v>175.05</v>
      </c>
      <c r="D49" s="38">
        <v>0.18</v>
      </c>
      <c r="E49" s="37">
        <v>38700</v>
      </c>
      <c r="F49" s="38">
        <v>17.7</v>
      </c>
      <c r="G49" s="38">
        <v>2487.6</v>
      </c>
      <c r="H49" s="38">
        <v>-0.82</v>
      </c>
      <c r="I49" s="38">
        <v>25</v>
      </c>
      <c r="J49" s="38">
        <v>-8.5399999999999991</v>
      </c>
      <c r="K49" s="38">
        <v>27.03</v>
      </c>
      <c r="L49">
        <v>1.4999999999999999E-4</v>
      </c>
    </row>
    <row r="50" spans="1:12">
      <c r="A50" s="39">
        <v>44469</v>
      </c>
      <c r="B50" s="38">
        <v>9325</v>
      </c>
      <c r="C50" s="38">
        <v>159.1</v>
      </c>
      <c r="D50" s="38">
        <v>0.17</v>
      </c>
      <c r="E50" s="37">
        <v>38800</v>
      </c>
      <c r="F50" s="38">
        <v>17.71</v>
      </c>
      <c r="G50" s="38">
        <v>2558.25</v>
      </c>
      <c r="H50" s="38">
        <v>-0.83</v>
      </c>
      <c r="I50" s="38">
        <v>25</v>
      </c>
      <c r="J50" s="38">
        <v>-8.14</v>
      </c>
      <c r="K50" s="38">
        <v>25.75</v>
      </c>
      <c r="L50">
        <v>1.3999999999999999E-4</v>
      </c>
    </row>
    <row r="51" spans="1:12">
      <c r="A51" s="39">
        <v>44469</v>
      </c>
      <c r="B51" s="38">
        <v>6100</v>
      </c>
      <c r="C51" s="38">
        <v>147</v>
      </c>
      <c r="D51" s="38">
        <v>0.16</v>
      </c>
      <c r="E51" s="37">
        <v>38900</v>
      </c>
      <c r="F51" s="38">
        <v>17.829999999999998</v>
      </c>
      <c r="G51" s="38">
        <v>2629.8</v>
      </c>
      <c r="H51" s="38">
        <v>-0.84</v>
      </c>
      <c r="I51" s="38">
        <v>25</v>
      </c>
      <c r="J51" s="38">
        <v>-7.84</v>
      </c>
      <c r="K51" s="38">
        <v>24.62</v>
      </c>
      <c r="L51">
        <v>1.2999999999999999E-4</v>
      </c>
    </row>
    <row r="52" spans="1:12">
      <c r="A52" s="39">
        <v>44469</v>
      </c>
      <c r="B52" s="38">
        <v>382350</v>
      </c>
      <c r="C52" s="38">
        <v>137.19999999999999</v>
      </c>
      <c r="D52" s="38">
        <v>0.15</v>
      </c>
      <c r="E52" s="37">
        <v>39000</v>
      </c>
      <c r="F52" s="38">
        <v>18.010000000000002</v>
      </c>
      <c r="G52" s="38">
        <v>2171.75</v>
      </c>
      <c r="H52" s="38">
        <v>-0.85</v>
      </c>
      <c r="I52" s="38">
        <v>10625</v>
      </c>
      <c r="J52" s="38">
        <v>-7.59</v>
      </c>
      <c r="K52" s="38">
        <v>23.6</v>
      </c>
      <c r="L52">
        <v>1.2999999999999999E-4</v>
      </c>
    </row>
    <row r="53" spans="1:12">
      <c r="A53" s="39">
        <v>44469</v>
      </c>
      <c r="B53" s="38">
        <v>1800</v>
      </c>
      <c r="C53" s="38">
        <v>127</v>
      </c>
      <c r="D53" s="38">
        <v>0.14000000000000001</v>
      </c>
      <c r="E53" s="37">
        <v>39100</v>
      </c>
      <c r="F53" s="38">
        <v>18.13</v>
      </c>
      <c r="G53" s="38">
        <v>2775.65</v>
      </c>
      <c r="H53" s="38">
        <v>-0.86</v>
      </c>
      <c r="I53" s="38">
        <v>25</v>
      </c>
      <c r="J53" s="38">
        <v>-7.3</v>
      </c>
      <c r="K53" s="38">
        <v>22.54</v>
      </c>
      <c r="L53">
        <v>1.2E-4</v>
      </c>
    </row>
    <row r="54" spans="1:12">
      <c r="A54" s="39">
        <v>44469</v>
      </c>
      <c r="B54" s="38">
        <v>1925</v>
      </c>
      <c r="C54" s="38">
        <v>113.8</v>
      </c>
      <c r="D54" s="38">
        <v>0.13</v>
      </c>
      <c r="E54" s="37">
        <v>39200</v>
      </c>
      <c r="F54" s="38">
        <v>18.09</v>
      </c>
      <c r="G54" s="38">
        <v>2851.5</v>
      </c>
      <c r="H54" s="38">
        <v>-0.87</v>
      </c>
      <c r="I54" s="38">
        <v>25</v>
      </c>
      <c r="J54" s="38">
        <v>-6.85</v>
      </c>
      <c r="K54" s="38">
        <v>21.22</v>
      </c>
      <c r="L54">
        <v>1.1E-4</v>
      </c>
    </row>
    <row r="55" spans="1:12">
      <c r="A55" s="39">
        <v>44469</v>
      </c>
      <c r="B55" s="38">
        <v>1125</v>
      </c>
      <c r="C55" s="38">
        <v>100.7</v>
      </c>
      <c r="D55" s="38">
        <v>0.11</v>
      </c>
      <c r="E55" s="37">
        <v>39300</v>
      </c>
      <c r="F55" s="38">
        <v>17.989999999999998</v>
      </c>
      <c r="G55" s="38">
        <v>2926.7</v>
      </c>
      <c r="H55" s="38">
        <v>-0.89</v>
      </c>
      <c r="I55" s="38">
        <v>25</v>
      </c>
      <c r="J55" s="38">
        <v>-6.37</v>
      </c>
      <c r="K55" s="38">
        <v>19.829999999999998</v>
      </c>
      <c r="L55">
        <v>1.1E-4</v>
      </c>
    </row>
    <row r="56" spans="1:12">
      <c r="A56" s="39">
        <v>44469</v>
      </c>
      <c r="B56" s="38">
        <v>1275</v>
      </c>
      <c r="C56" s="38">
        <v>96.9</v>
      </c>
      <c r="D56" s="38">
        <v>0.11</v>
      </c>
      <c r="E56" s="37">
        <v>39400</v>
      </c>
      <c r="F56" s="38">
        <v>18.32</v>
      </c>
      <c r="G56" s="38">
        <v>3002.75</v>
      </c>
      <c r="H56" s="38">
        <v>-0.89</v>
      </c>
      <c r="I56" s="38">
        <v>25</v>
      </c>
      <c r="J56" s="38">
        <v>-6.27</v>
      </c>
      <c r="K56" s="38">
        <v>19.18</v>
      </c>
      <c r="L56">
        <v>1E-4</v>
      </c>
    </row>
    <row r="57" spans="1:12">
      <c r="A57" s="39">
        <v>44469</v>
      </c>
      <c r="B57" s="38">
        <v>152100</v>
      </c>
      <c r="C57" s="38">
        <v>91.6</v>
      </c>
      <c r="D57" s="38">
        <v>0.1</v>
      </c>
      <c r="E57" s="37">
        <v>39500</v>
      </c>
      <c r="F57" s="38">
        <v>18.55</v>
      </c>
      <c r="G57" s="38">
        <v>2639.9</v>
      </c>
      <c r="H57" s="38">
        <v>-0.9</v>
      </c>
      <c r="I57" s="38">
        <v>3675</v>
      </c>
      <c r="J57" s="38">
        <v>-6.1</v>
      </c>
      <c r="K57" s="38">
        <v>18.399999999999999</v>
      </c>
      <c r="L57">
        <v>9.0000000000000006E-5</v>
      </c>
    </row>
    <row r="58" spans="1:12">
      <c r="A58" s="39">
        <v>44469</v>
      </c>
      <c r="B58" s="38">
        <v>2000</v>
      </c>
      <c r="C58" s="38">
        <v>83.75</v>
      </c>
      <c r="D58" s="38">
        <v>0.1</v>
      </c>
      <c r="E58" s="37">
        <v>39600</v>
      </c>
      <c r="F58" s="38">
        <v>18.62</v>
      </c>
      <c r="G58" s="38">
        <v>3155.7</v>
      </c>
      <c r="H58" s="38">
        <v>-0.9</v>
      </c>
      <c r="I58" s="38">
        <v>25</v>
      </c>
      <c r="J58" s="38">
        <v>-5.78</v>
      </c>
      <c r="K58" s="38">
        <v>17.39</v>
      </c>
      <c r="L58">
        <v>9.0000000000000006E-5</v>
      </c>
    </row>
    <row r="59" spans="1:12">
      <c r="A59" s="39">
        <v>44469</v>
      </c>
      <c r="B59" s="38">
        <v>375</v>
      </c>
      <c r="C59" s="38">
        <v>77.099999999999994</v>
      </c>
      <c r="D59" s="38">
        <v>0.09</v>
      </c>
      <c r="E59" s="37">
        <v>39700</v>
      </c>
      <c r="F59" s="38">
        <v>18.73</v>
      </c>
      <c r="G59" s="38">
        <v>3234</v>
      </c>
      <c r="H59" s="38">
        <v>-0.91</v>
      </c>
      <c r="I59" s="38">
        <v>0</v>
      </c>
      <c r="J59" s="38">
        <v>-5.51</v>
      </c>
      <c r="K59" s="38">
        <v>16.46</v>
      </c>
      <c r="L59">
        <v>8.0000000000000007E-5</v>
      </c>
    </row>
    <row r="60" spans="1:12">
      <c r="A60" s="39">
        <v>44469</v>
      </c>
      <c r="B60" s="38">
        <v>475</v>
      </c>
      <c r="C60" s="38">
        <v>77.3</v>
      </c>
      <c r="D60" s="38">
        <v>0.09</v>
      </c>
      <c r="E60" s="37">
        <v>39800</v>
      </c>
      <c r="F60" s="38">
        <v>19.23</v>
      </c>
      <c r="G60" s="38">
        <v>3313.05</v>
      </c>
      <c r="H60" s="38">
        <v>-0.91</v>
      </c>
      <c r="I60" s="38">
        <v>25</v>
      </c>
      <c r="J60" s="38">
        <v>-5.57</v>
      </c>
      <c r="K60" s="38">
        <v>16.23</v>
      </c>
      <c r="L60">
        <v>8.0000000000000007E-5</v>
      </c>
    </row>
    <row r="61" spans="1:12">
      <c r="A61" s="39">
        <v>44469</v>
      </c>
      <c r="B61" s="38">
        <v>1725</v>
      </c>
      <c r="C61" s="38">
        <v>69.2</v>
      </c>
      <c r="D61" s="38">
        <v>0.08</v>
      </c>
      <c r="E61" s="37">
        <v>39900</v>
      </c>
      <c r="F61" s="38">
        <v>19.190000000000001</v>
      </c>
      <c r="G61" s="38">
        <v>3392.8</v>
      </c>
      <c r="H61" s="38">
        <v>-0.92</v>
      </c>
      <c r="I61" s="38">
        <v>0</v>
      </c>
      <c r="J61" s="38">
        <v>-5.19</v>
      </c>
      <c r="K61" s="38">
        <v>15.14</v>
      </c>
      <c r="L61">
        <v>8.0000000000000007E-5</v>
      </c>
    </row>
    <row r="62" spans="1:12">
      <c r="A62" s="39">
        <v>44469</v>
      </c>
      <c r="B62" s="38">
        <v>278800</v>
      </c>
      <c r="C62" s="38">
        <v>63.65</v>
      </c>
      <c r="D62" s="38">
        <v>7.0000000000000007E-2</v>
      </c>
      <c r="E62" s="37">
        <v>40000</v>
      </c>
      <c r="F62" s="38">
        <v>19.28</v>
      </c>
      <c r="G62" s="38">
        <v>3081.65</v>
      </c>
      <c r="H62" s="38">
        <v>-0.93</v>
      </c>
      <c r="I62" s="38">
        <v>26100</v>
      </c>
      <c r="J62" s="38">
        <v>-4.93</v>
      </c>
      <c r="K62" s="38">
        <v>14.31</v>
      </c>
      <c r="L62">
        <v>6.9999999999999994E-5</v>
      </c>
    </row>
    <row r="63" spans="1:12">
      <c r="A63" s="39"/>
    </row>
    <row r="64" spans="1:12">
      <c r="A64" s="39"/>
    </row>
    <row r="65" spans="1:1">
      <c r="A65" s="39"/>
    </row>
    <row r="66" spans="1:1">
      <c r="A66" s="39"/>
    </row>
    <row r="67" spans="1:1">
      <c r="A67" s="39"/>
    </row>
    <row r="68" spans="1:1">
      <c r="A68" s="39"/>
    </row>
    <row r="69" spans="1:1">
      <c r="A69" s="39"/>
    </row>
    <row r="70" spans="1:1">
      <c r="A70" s="39"/>
    </row>
    <row r="71" spans="1:1">
      <c r="A71" s="39"/>
    </row>
    <row r="72" spans="1:1">
      <c r="A72" s="39"/>
    </row>
    <row r="73" spans="1:1">
      <c r="A73" s="39"/>
    </row>
    <row r="74" spans="1:1">
      <c r="A74" s="39"/>
    </row>
    <row r="75" spans="1:1">
      <c r="A75" s="39"/>
    </row>
    <row r="76" spans="1:1">
      <c r="A76" s="39"/>
    </row>
    <row r="77" spans="1:1">
      <c r="A77" s="39"/>
    </row>
    <row r="78" spans="1:1">
      <c r="A78" s="39"/>
    </row>
    <row r="79" spans="1:1">
      <c r="A79" s="39"/>
    </row>
    <row r="80" spans="1:1">
      <c r="A80" s="39"/>
    </row>
    <row r="81" spans="1:1">
      <c r="A81" s="39"/>
    </row>
    <row r="82" spans="1:1">
      <c r="A82" s="39"/>
    </row>
    <row r="83" spans="1:1">
      <c r="A83" s="39"/>
    </row>
    <row r="84" spans="1:1">
      <c r="A84" s="39"/>
    </row>
    <row r="85" spans="1:1">
      <c r="A85" s="39"/>
    </row>
    <row r="86" spans="1:1">
      <c r="A86" s="39"/>
    </row>
    <row r="87" spans="1:1">
      <c r="A87" s="39"/>
    </row>
    <row r="88" spans="1:1">
      <c r="A88" s="39"/>
    </row>
    <row r="89" spans="1:1">
      <c r="A89" s="39"/>
    </row>
    <row r="90" spans="1:1">
      <c r="A90" s="39"/>
    </row>
    <row r="91" spans="1:1">
      <c r="A91" s="39"/>
    </row>
    <row r="92" spans="1:1">
      <c r="A92" s="39"/>
    </row>
    <row r="93" spans="1:1">
      <c r="A93" s="39"/>
    </row>
    <row r="94" spans="1:1">
      <c r="A94" s="39"/>
    </row>
    <row r="95" spans="1:1">
      <c r="A95" s="39"/>
    </row>
    <row r="96" spans="1:1">
      <c r="A96" s="39"/>
    </row>
    <row r="97" spans="1:1">
      <c r="A97" s="39"/>
    </row>
    <row r="98" spans="1:1">
      <c r="A98" s="39"/>
    </row>
    <row r="99" spans="1:1">
      <c r="A99" s="39"/>
    </row>
    <row r="100" spans="1:1">
      <c r="A100" s="39"/>
    </row>
    <row r="101" spans="1:1">
      <c r="A101" s="39"/>
    </row>
    <row r="102" spans="1:1">
      <c r="A102" s="39"/>
    </row>
    <row r="103" spans="1:1">
      <c r="A103" s="39"/>
    </row>
    <row r="104" spans="1:1">
      <c r="A104" s="39"/>
    </row>
    <row r="105" spans="1:1">
      <c r="A105" s="39"/>
    </row>
    <row r="106" spans="1:1">
      <c r="A106" s="39"/>
    </row>
    <row r="107" spans="1:1">
      <c r="A107" s="39"/>
    </row>
    <row r="108" spans="1:1">
      <c r="A108" s="39"/>
    </row>
    <row r="109" spans="1:1">
      <c r="A109" s="39"/>
    </row>
    <row r="110" spans="1:1">
      <c r="A110" s="39"/>
    </row>
    <row r="111" spans="1:1">
      <c r="A111" s="39"/>
    </row>
    <row r="112" spans="1:1">
      <c r="A112" s="39"/>
    </row>
    <row r="113" spans="1:1">
      <c r="A113" s="39"/>
    </row>
    <row r="114" spans="1:1">
      <c r="A114" s="39"/>
    </row>
    <row r="115" spans="1:1">
      <c r="A115" s="39"/>
    </row>
    <row r="116" spans="1:1">
      <c r="A116" s="39"/>
    </row>
    <row r="117" spans="1:1">
      <c r="A117" s="39"/>
    </row>
    <row r="118" spans="1:1">
      <c r="A118" s="39"/>
    </row>
    <row r="119" spans="1:1">
      <c r="A119" s="39"/>
    </row>
    <row r="120" spans="1:1">
      <c r="A120" s="39"/>
    </row>
    <row r="121" spans="1:1">
      <c r="A121" s="39"/>
    </row>
    <row r="122" spans="1:1">
      <c r="A122" s="39"/>
    </row>
    <row r="123" spans="1:1">
      <c r="A123" s="39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78"/>
  <sheetViews>
    <sheetView workbookViewId="0">
      <selection activeCell="H3" sqref="H3:H5"/>
    </sheetView>
  </sheetViews>
  <sheetFormatPr defaultRowHeight="15"/>
  <cols>
    <col min="1" max="1" width="34.42578125" style="56" bestFit="1" customWidth="1"/>
    <col min="2" max="2" width="14.5703125" style="56" bestFit="1" customWidth="1"/>
    <col min="3" max="5" width="9.140625" style="56"/>
  </cols>
  <sheetData>
    <row r="1" spans="1:6">
      <c r="A1" s="124" t="s">
        <v>520</v>
      </c>
      <c r="B1" s="125"/>
      <c r="C1" s="125"/>
      <c r="D1" s="125"/>
      <c r="E1" s="126"/>
    </row>
    <row r="2" spans="1:6">
      <c r="A2" s="55" t="s">
        <v>171</v>
      </c>
      <c r="B2" s="55" t="s">
        <v>172</v>
      </c>
      <c r="C2" s="58">
        <v>44440</v>
      </c>
      <c r="D2" s="58">
        <v>44470</v>
      </c>
      <c r="E2" s="58">
        <v>44501</v>
      </c>
    </row>
    <row r="3" spans="1:6">
      <c r="A3" s="56" t="s">
        <v>173</v>
      </c>
      <c r="B3" s="56" t="s">
        <v>634</v>
      </c>
      <c r="C3" s="56">
        <v>25</v>
      </c>
      <c r="D3" s="56">
        <v>25</v>
      </c>
      <c r="E3" s="56">
        <v>25</v>
      </c>
      <c r="F3" s="56" t="s">
        <v>111</v>
      </c>
    </row>
    <row r="4" spans="1:6">
      <c r="A4" s="56" t="s">
        <v>176</v>
      </c>
      <c r="B4" s="56" t="s">
        <v>630</v>
      </c>
      <c r="C4" s="56">
        <v>50</v>
      </c>
      <c r="D4" s="56">
        <v>50</v>
      </c>
      <c r="E4" s="56">
        <v>50</v>
      </c>
      <c r="F4" s="56" t="s">
        <v>110</v>
      </c>
    </row>
    <row r="5" spans="1:6">
      <c r="A5" s="56" t="s">
        <v>178</v>
      </c>
      <c r="B5" s="56" t="s">
        <v>635</v>
      </c>
      <c r="C5" s="56">
        <v>40</v>
      </c>
      <c r="D5" s="56">
        <v>40</v>
      </c>
      <c r="E5" s="56">
        <v>40</v>
      </c>
      <c r="F5" s="56" t="s">
        <v>636</v>
      </c>
    </row>
    <row r="6" spans="1:6">
      <c r="A6" s="56" t="s">
        <v>180</v>
      </c>
      <c r="B6" s="56" t="s">
        <v>3</v>
      </c>
      <c r="C6" s="57">
        <v>44440</v>
      </c>
      <c r="D6" s="57">
        <v>44470</v>
      </c>
      <c r="E6" s="57">
        <v>44501</v>
      </c>
    </row>
    <row r="7" spans="1:6">
      <c r="A7" s="56" t="s">
        <v>182</v>
      </c>
      <c r="B7" s="56" t="s">
        <v>113</v>
      </c>
      <c r="C7" s="56">
        <v>500</v>
      </c>
      <c r="D7" s="56">
        <v>500</v>
      </c>
      <c r="E7" s="56">
        <v>500</v>
      </c>
    </row>
    <row r="8" spans="1:6">
      <c r="A8" s="56" t="s">
        <v>183</v>
      </c>
      <c r="B8" s="56" t="s">
        <v>184</v>
      </c>
      <c r="C8" s="56">
        <v>1250</v>
      </c>
      <c r="D8" s="56">
        <v>1250</v>
      </c>
      <c r="E8" s="56">
        <v>1250</v>
      </c>
    </row>
    <row r="9" spans="1:6">
      <c r="A9" s="56" t="s">
        <v>185</v>
      </c>
      <c r="B9" s="56" t="s">
        <v>386</v>
      </c>
      <c r="C9" s="56">
        <v>850</v>
      </c>
      <c r="D9" s="56">
        <v>850</v>
      </c>
      <c r="E9" s="56">
        <v>850</v>
      </c>
    </row>
    <row r="10" spans="1:6">
      <c r="A10" s="56" t="s">
        <v>186</v>
      </c>
      <c r="B10" s="56" t="s">
        <v>387</v>
      </c>
      <c r="C10" s="56">
        <v>200</v>
      </c>
      <c r="D10" s="56">
        <v>200</v>
      </c>
      <c r="E10" s="56">
        <v>200</v>
      </c>
    </row>
    <row r="11" spans="1:6">
      <c r="A11" s="56" t="s">
        <v>187</v>
      </c>
      <c r="B11" s="56" t="s">
        <v>388</v>
      </c>
      <c r="C11" s="56">
        <v>4500</v>
      </c>
      <c r="D11" s="56">
        <v>4500</v>
      </c>
      <c r="E11" s="56">
        <v>4500</v>
      </c>
    </row>
    <row r="12" spans="1:6">
      <c r="A12" s="56" t="s">
        <v>188</v>
      </c>
      <c r="B12" s="56" t="s">
        <v>118</v>
      </c>
      <c r="C12" s="56">
        <v>300</v>
      </c>
      <c r="D12" s="56">
        <v>300</v>
      </c>
      <c r="E12" s="56">
        <v>300</v>
      </c>
    </row>
    <row r="13" spans="1:6">
      <c r="A13" s="56" t="s">
        <v>189</v>
      </c>
      <c r="B13" s="56" t="s">
        <v>120</v>
      </c>
      <c r="C13" s="56">
        <v>1200</v>
      </c>
      <c r="D13" s="56">
        <v>1200</v>
      </c>
      <c r="E13" s="56">
        <v>1200</v>
      </c>
    </row>
    <row r="14" spans="1:6">
      <c r="A14" s="56" t="s">
        <v>190</v>
      </c>
      <c r="B14" s="56" t="s">
        <v>389</v>
      </c>
      <c r="C14" s="56">
        <v>2600</v>
      </c>
      <c r="D14" s="56">
        <v>2600</v>
      </c>
      <c r="E14" s="56">
        <v>2600</v>
      </c>
    </row>
    <row r="15" spans="1:6">
      <c r="A15" s="56" t="s">
        <v>191</v>
      </c>
      <c r="B15" s="56" t="s">
        <v>390</v>
      </c>
      <c r="C15" s="56">
        <v>3000</v>
      </c>
      <c r="D15" s="56">
        <v>3000</v>
      </c>
      <c r="E15" s="56">
        <v>3000</v>
      </c>
    </row>
    <row r="16" spans="1:6">
      <c r="A16" s="56" t="s">
        <v>192</v>
      </c>
      <c r="B16" s="56" t="s">
        <v>193</v>
      </c>
      <c r="C16" s="56">
        <v>250</v>
      </c>
      <c r="D16" s="56">
        <v>250</v>
      </c>
      <c r="E16" s="56">
        <v>250</v>
      </c>
    </row>
    <row r="17" spans="1:5">
      <c r="A17" s="56" t="s">
        <v>194</v>
      </c>
      <c r="B17" s="56" t="s">
        <v>195</v>
      </c>
      <c r="C17" s="56">
        <v>1800</v>
      </c>
      <c r="D17" s="56">
        <v>1800</v>
      </c>
      <c r="E17" s="56">
        <v>1800</v>
      </c>
    </row>
    <row r="18" spans="1:5">
      <c r="A18" s="56" t="s">
        <v>196</v>
      </c>
      <c r="B18" s="56" t="s">
        <v>391</v>
      </c>
      <c r="C18" s="56">
        <v>1000</v>
      </c>
      <c r="D18" s="56">
        <v>1000</v>
      </c>
      <c r="E18" s="56">
        <v>1000</v>
      </c>
    </row>
    <row r="19" spans="1:5">
      <c r="A19" s="56" t="s">
        <v>197</v>
      </c>
      <c r="B19" s="56" t="s">
        <v>392</v>
      </c>
      <c r="C19" s="56">
        <v>10500</v>
      </c>
      <c r="D19" s="56">
        <v>10500</v>
      </c>
      <c r="E19" s="56">
        <v>10500</v>
      </c>
    </row>
    <row r="20" spans="1:5">
      <c r="A20" s="56" t="s">
        <v>198</v>
      </c>
      <c r="B20" s="56" t="s">
        <v>199</v>
      </c>
      <c r="C20" s="56">
        <v>1000</v>
      </c>
      <c r="D20" s="56">
        <v>1000</v>
      </c>
      <c r="E20" s="56">
        <v>1000</v>
      </c>
    </row>
    <row r="21" spans="1:5">
      <c r="A21" s="56" t="s">
        <v>200</v>
      </c>
      <c r="B21" s="56" t="s">
        <v>393</v>
      </c>
      <c r="C21" s="56">
        <v>1250</v>
      </c>
      <c r="D21" s="56">
        <v>1250</v>
      </c>
      <c r="E21" s="56">
        <v>1250</v>
      </c>
    </row>
    <row r="22" spans="1:5">
      <c r="A22" s="56" t="s">
        <v>201</v>
      </c>
      <c r="B22" s="56" t="s">
        <v>394</v>
      </c>
      <c r="C22" s="56">
        <v>500</v>
      </c>
      <c r="D22" s="56">
        <v>500</v>
      </c>
      <c r="E22" s="56">
        <v>500</v>
      </c>
    </row>
    <row r="23" spans="1:5">
      <c r="A23" s="56" t="s">
        <v>202</v>
      </c>
      <c r="B23" s="56" t="s">
        <v>119</v>
      </c>
      <c r="C23" s="56">
        <v>650</v>
      </c>
      <c r="D23" s="56">
        <v>650</v>
      </c>
      <c r="E23" s="56">
        <v>650</v>
      </c>
    </row>
    <row r="24" spans="1:5">
      <c r="A24" s="56" t="s">
        <v>203</v>
      </c>
      <c r="B24" s="56" t="s">
        <v>395</v>
      </c>
      <c r="C24" s="56">
        <v>500</v>
      </c>
      <c r="D24" s="56">
        <v>500</v>
      </c>
      <c r="E24" s="56">
        <v>500</v>
      </c>
    </row>
    <row r="25" spans="1:5">
      <c r="A25" s="56" t="s">
        <v>204</v>
      </c>
      <c r="B25" s="56" t="s">
        <v>205</v>
      </c>
      <c r="C25" s="56">
        <v>250</v>
      </c>
      <c r="D25" s="56">
        <v>250</v>
      </c>
      <c r="E25" s="56">
        <v>250</v>
      </c>
    </row>
    <row r="26" spans="1:5">
      <c r="A26" s="56" t="s">
        <v>206</v>
      </c>
      <c r="B26" s="56" t="s">
        <v>121</v>
      </c>
      <c r="C26" s="56">
        <v>75</v>
      </c>
      <c r="D26" s="56">
        <v>75</v>
      </c>
      <c r="E26" s="56">
        <v>75</v>
      </c>
    </row>
    <row r="27" spans="1:5">
      <c r="A27" s="56" t="s">
        <v>207</v>
      </c>
      <c r="B27" s="56" t="s">
        <v>133</v>
      </c>
      <c r="C27" s="56">
        <v>125</v>
      </c>
      <c r="D27" s="56">
        <v>125</v>
      </c>
      <c r="E27" s="56">
        <v>125</v>
      </c>
    </row>
    <row r="28" spans="1:5">
      <c r="A28" s="56" t="s">
        <v>208</v>
      </c>
      <c r="B28" s="56" t="s">
        <v>209</v>
      </c>
      <c r="C28" s="56">
        <v>11700</v>
      </c>
      <c r="D28" s="56">
        <v>11700</v>
      </c>
      <c r="E28" s="56">
        <v>11700</v>
      </c>
    </row>
    <row r="29" spans="1:5">
      <c r="A29" s="56" t="s">
        <v>210</v>
      </c>
      <c r="B29" s="56" t="s">
        <v>396</v>
      </c>
      <c r="C29" s="56">
        <v>550</v>
      </c>
      <c r="D29" s="56">
        <v>550</v>
      </c>
      <c r="E29" s="56">
        <v>550</v>
      </c>
    </row>
    <row r="30" spans="1:5">
      <c r="A30" s="56" t="s">
        <v>211</v>
      </c>
      <c r="B30" s="56" t="s">
        <v>212</v>
      </c>
      <c r="C30" s="56">
        <v>650</v>
      </c>
      <c r="D30" s="56">
        <v>650</v>
      </c>
      <c r="E30" s="56">
        <v>650</v>
      </c>
    </row>
    <row r="31" spans="1:5">
      <c r="A31" s="56" t="s">
        <v>213</v>
      </c>
      <c r="B31" s="56" t="s">
        <v>122</v>
      </c>
      <c r="C31" s="56">
        <v>3800</v>
      </c>
      <c r="D31" s="56">
        <v>3800</v>
      </c>
      <c r="E31" s="56">
        <v>3800</v>
      </c>
    </row>
    <row r="32" spans="1:5">
      <c r="A32" s="56" t="s">
        <v>214</v>
      </c>
      <c r="B32" s="56" t="s">
        <v>215</v>
      </c>
      <c r="C32" s="56">
        <v>1851</v>
      </c>
      <c r="D32" s="56">
        <v>1851</v>
      </c>
      <c r="E32" s="56">
        <v>1851</v>
      </c>
    </row>
    <row r="33" spans="1:5">
      <c r="A33" s="56" t="s">
        <v>216</v>
      </c>
      <c r="B33" s="56" t="s">
        <v>397</v>
      </c>
      <c r="C33" s="56">
        <v>1800</v>
      </c>
      <c r="D33" s="56">
        <v>1800</v>
      </c>
      <c r="E33" s="56">
        <v>1800</v>
      </c>
    </row>
    <row r="34" spans="1:5">
      <c r="A34" s="56" t="s">
        <v>217</v>
      </c>
      <c r="B34" s="56" t="s">
        <v>398</v>
      </c>
      <c r="C34" s="56">
        <v>2700</v>
      </c>
      <c r="D34" s="56">
        <v>2700</v>
      </c>
      <c r="E34" s="56">
        <v>2700</v>
      </c>
    </row>
    <row r="35" spans="1:5">
      <c r="A35" s="56" t="s">
        <v>218</v>
      </c>
      <c r="B35" s="56" t="s">
        <v>399</v>
      </c>
      <c r="C35" s="56">
        <v>500</v>
      </c>
      <c r="D35" s="56">
        <v>500</v>
      </c>
      <c r="E35" s="56">
        <v>500</v>
      </c>
    </row>
    <row r="36" spans="1:5">
      <c r="A36" s="56" t="s">
        <v>219</v>
      </c>
      <c r="B36" s="56" t="s">
        <v>400</v>
      </c>
      <c r="C36" s="56">
        <v>5400</v>
      </c>
      <c r="D36" s="56">
        <v>5400</v>
      </c>
      <c r="E36" s="56">
        <v>5400</v>
      </c>
    </row>
    <row r="37" spans="1:5">
      <c r="A37" s="56" t="s">
        <v>220</v>
      </c>
      <c r="B37" s="56" t="s">
        <v>401</v>
      </c>
      <c r="C37" s="56">
        <v>6500</v>
      </c>
      <c r="D37" s="56">
        <v>6500</v>
      </c>
      <c r="E37" s="56">
        <v>6500</v>
      </c>
    </row>
    <row r="38" spans="1:5">
      <c r="A38" s="56" t="s">
        <v>221</v>
      </c>
      <c r="B38" s="56" t="s">
        <v>402</v>
      </c>
      <c r="C38" s="56">
        <v>650</v>
      </c>
      <c r="D38" s="56">
        <v>650</v>
      </c>
      <c r="E38" s="56">
        <v>650</v>
      </c>
    </row>
    <row r="39" spans="1:5">
      <c r="A39" s="56" t="s">
        <v>222</v>
      </c>
      <c r="B39" s="56" t="s">
        <v>123</v>
      </c>
      <c r="C39" s="56">
        <v>4200</v>
      </c>
      <c r="D39" s="56">
        <v>4200</v>
      </c>
      <c r="E39" s="56">
        <v>4200</v>
      </c>
    </row>
    <row r="40" spans="1:5">
      <c r="A40" s="56" t="s">
        <v>223</v>
      </c>
      <c r="B40" s="56" t="s">
        <v>403</v>
      </c>
      <c r="C40" s="56">
        <v>350</v>
      </c>
      <c r="D40" s="56">
        <v>350</v>
      </c>
      <c r="E40" s="56">
        <v>350</v>
      </c>
    </row>
    <row r="41" spans="1:5">
      <c r="A41" s="56" t="s">
        <v>224</v>
      </c>
      <c r="B41" s="56" t="s">
        <v>404</v>
      </c>
      <c r="C41" s="56">
        <v>250</v>
      </c>
      <c r="D41" s="56">
        <v>250</v>
      </c>
      <c r="E41" s="56">
        <v>250</v>
      </c>
    </row>
    <row r="42" spans="1:5">
      <c r="A42" s="56" t="s">
        <v>225</v>
      </c>
      <c r="B42" s="56" t="s">
        <v>226</v>
      </c>
      <c r="C42" s="56">
        <v>625</v>
      </c>
      <c r="D42" s="56">
        <v>625</v>
      </c>
      <c r="E42" s="56">
        <v>625</v>
      </c>
    </row>
    <row r="43" spans="1:5">
      <c r="A43" s="56" t="s">
        <v>227</v>
      </c>
      <c r="B43" s="56" t="s">
        <v>405</v>
      </c>
      <c r="C43" s="56">
        <v>150</v>
      </c>
      <c r="D43" s="56">
        <v>150</v>
      </c>
      <c r="E43" s="56">
        <v>150</v>
      </c>
    </row>
    <row r="44" spans="1:5">
      <c r="A44" s="56" t="s">
        <v>228</v>
      </c>
      <c r="B44" s="56" t="s">
        <v>406</v>
      </c>
      <c r="C44" s="56">
        <v>3100</v>
      </c>
      <c r="D44" s="56">
        <v>3100</v>
      </c>
      <c r="E44" s="56">
        <v>3100</v>
      </c>
    </row>
    <row r="45" spans="1:5">
      <c r="A45" s="56" t="s">
        <v>229</v>
      </c>
      <c r="B45" s="56" t="s">
        <v>407</v>
      </c>
      <c r="C45" s="56">
        <v>2000</v>
      </c>
      <c r="D45" s="56">
        <v>2000</v>
      </c>
      <c r="E45" s="56">
        <v>2000</v>
      </c>
    </row>
    <row r="46" spans="1:5">
      <c r="A46" s="56" t="s">
        <v>230</v>
      </c>
      <c r="B46" s="56" t="s">
        <v>11</v>
      </c>
      <c r="C46" s="56">
        <v>600</v>
      </c>
      <c r="D46" s="56">
        <v>600</v>
      </c>
      <c r="E46" s="56">
        <v>600</v>
      </c>
    </row>
    <row r="47" spans="1:5">
      <c r="A47" s="56" t="s">
        <v>231</v>
      </c>
      <c r="B47" s="56" t="s">
        <v>408</v>
      </c>
      <c r="C47" s="56">
        <v>400</v>
      </c>
      <c r="D47" s="56">
        <v>400</v>
      </c>
      <c r="E47" s="56">
        <v>400</v>
      </c>
    </row>
    <row r="48" spans="1:5">
      <c r="A48" s="56" t="s">
        <v>232</v>
      </c>
      <c r="B48" s="56" t="s">
        <v>145</v>
      </c>
      <c r="C48" s="56">
        <v>3300</v>
      </c>
      <c r="D48" s="56">
        <v>3300</v>
      </c>
      <c r="E48" s="56">
        <v>3300</v>
      </c>
    </row>
    <row r="49" spans="1:5">
      <c r="A49" s="56" t="s">
        <v>233</v>
      </c>
      <c r="B49" s="56" t="s">
        <v>234</v>
      </c>
      <c r="C49" s="56">
        <v>17000</v>
      </c>
      <c r="D49" s="56">
        <v>17000</v>
      </c>
      <c r="E49" s="56">
        <v>17000</v>
      </c>
    </row>
    <row r="50" spans="1:5">
      <c r="A50" s="56" t="s">
        <v>235</v>
      </c>
      <c r="B50" s="56" t="s">
        <v>409</v>
      </c>
      <c r="C50" s="56">
        <v>550</v>
      </c>
      <c r="D50" s="56">
        <v>550</v>
      </c>
      <c r="E50" s="56">
        <v>550</v>
      </c>
    </row>
    <row r="51" spans="1:5">
      <c r="A51" s="56" t="s">
        <v>236</v>
      </c>
      <c r="B51" s="56" t="s">
        <v>237</v>
      </c>
      <c r="C51" s="56">
        <v>10000</v>
      </c>
      <c r="D51" s="56">
        <v>10000</v>
      </c>
      <c r="E51" s="56">
        <v>10000</v>
      </c>
    </row>
    <row r="52" spans="1:5">
      <c r="A52" s="56" t="s">
        <v>238</v>
      </c>
      <c r="B52" s="56" t="s">
        <v>410</v>
      </c>
      <c r="C52" s="56">
        <v>1150</v>
      </c>
      <c r="D52" s="56">
        <v>1150</v>
      </c>
      <c r="E52" s="56">
        <v>1150</v>
      </c>
    </row>
    <row r="53" spans="1:5">
      <c r="A53" s="56" t="s">
        <v>239</v>
      </c>
      <c r="B53" s="56" t="s">
        <v>411</v>
      </c>
      <c r="C53" s="56">
        <v>5333</v>
      </c>
      <c r="D53" s="56">
        <v>5333</v>
      </c>
      <c r="E53" s="56">
        <v>5333</v>
      </c>
    </row>
    <row r="54" spans="1:5">
      <c r="A54" s="56" t="s">
        <v>240</v>
      </c>
      <c r="B54" s="56" t="s">
        <v>412</v>
      </c>
      <c r="C54" s="56">
        <v>1550</v>
      </c>
      <c r="D54" s="56">
        <v>1550</v>
      </c>
      <c r="E54" s="56">
        <v>1550</v>
      </c>
    </row>
    <row r="55" spans="1:5">
      <c r="A55" s="56" t="s">
        <v>241</v>
      </c>
      <c r="B55" s="56" t="s">
        <v>413</v>
      </c>
      <c r="C55" s="56">
        <v>1250</v>
      </c>
      <c r="D55" s="56">
        <v>1250</v>
      </c>
      <c r="E55" s="56">
        <v>1250</v>
      </c>
    </row>
    <row r="56" spans="1:5">
      <c r="A56" s="56" t="s">
        <v>242</v>
      </c>
      <c r="B56" s="56" t="s">
        <v>414</v>
      </c>
      <c r="C56" s="56">
        <v>700</v>
      </c>
      <c r="D56" s="56">
        <v>700</v>
      </c>
      <c r="E56" s="56">
        <v>700</v>
      </c>
    </row>
    <row r="57" spans="1:5">
      <c r="A57" s="56" t="s">
        <v>243</v>
      </c>
      <c r="B57" s="56" t="s">
        <v>415</v>
      </c>
      <c r="C57" s="56">
        <v>200</v>
      </c>
      <c r="D57" s="56">
        <v>200</v>
      </c>
      <c r="E57" s="56">
        <v>200</v>
      </c>
    </row>
    <row r="58" spans="1:5">
      <c r="A58" s="56" t="s">
        <v>244</v>
      </c>
      <c r="B58" s="56" t="s">
        <v>125</v>
      </c>
      <c r="C58" s="56">
        <v>550</v>
      </c>
      <c r="D58" s="56">
        <v>550</v>
      </c>
      <c r="E58" s="56">
        <v>550</v>
      </c>
    </row>
    <row r="59" spans="1:5">
      <c r="A59" s="56" t="s">
        <v>245</v>
      </c>
      <c r="B59" s="56" t="s">
        <v>416</v>
      </c>
      <c r="C59" s="56">
        <v>1100</v>
      </c>
      <c r="D59" s="56">
        <v>1100</v>
      </c>
      <c r="E59" s="56">
        <v>1100</v>
      </c>
    </row>
    <row r="60" spans="1:5">
      <c r="A60" s="56" t="s">
        <v>246</v>
      </c>
      <c r="B60" s="56" t="s">
        <v>247</v>
      </c>
      <c r="C60" s="56">
        <v>300</v>
      </c>
      <c r="D60" s="56">
        <v>300</v>
      </c>
      <c r="E60" s="56">
        <v>300</v>
      </c>
    </row>
    <row r="61" spans="1:5">
      <c r="A61" s="56" t="s">
        <v>248</v>
      </c>
      <c r="B61" s="56" t="s">
        <v>115</v>
      </c>
      <c r="C61" s="56">
        <v>2150</v>
      </c>
      <c r="D61" s="56">
        <v>2150</v>
      </c>
      <c r="E61" s="56">
        <v>2150</v>
      </c>
    </row>
    <row r="62" spans="1:5">
      <c r="A62" s="56" t="s">
        <v>249</v>
      </c>
      <c r="B62" s="56" t="s">
        <v>126</v>
      </c>
      <c r="C62" s="56">
        <v>300</v>
      </c>
      <c r="D62" s="56">
        <v>300</v>
      </c>
      <c r="E62" s="56">
        <v>300</v>
      </c>
    </row>
    <row r="63" spans="1:5">
      <c r="A63" s="56" t="s">
        <v>250</v>
      </c>
      <c r="B63" s="56" t="s">
        <v>147</v>
      </c>
      <c r="C63" s="56">
        <v>3100</v>
      </c>
      <c r="D63" s="56">
        <v>3100</v>
      </c>
      <c r="E63" s="56">
        <v>3100</v>
      </c>
    </row>
    <row r="64" spans="1:5">
      <c r="A64" s="56" t="s">
        <v>251</v>
      </c>
      <c r="B64" s="56" t="s">
        <v>417</v>
      </c>
      <c r="C64" s="56">
        <v>125</v>
      </c>
      <c r="D64" s="56">
        <v>125</v>
      </c>
      <c r="E64" s="56">
        <v>125</v>
      </c>
    </row>
    <row r="65" spans="1:5">
      <c r="A65" s="56" t="s">
        <v>252</v>
      </c>
      <c r="B65" s="56" t="s">
        <v>124</v>
      </c>
      <c r="C65" s="56">
        <v>1375</v>
      </c>
      <c r="D65" s="56">
        <v>1375</v>
      </c>
      <c r="E65" s="56">
        <v>1375</v>
      </c>
    </row>
    <row r="66" spans="1:5">
      <c r="A66" s="56" t="s">
        <v>253</v>
      </c>
      <c r="B66" s="56" t="s">
        <v>418</v>
      </c>
      <c r="C66" s="56">
        <v>425</v>
      </c>
      <c r="D66" s="56">
        <v>425</v>
      </c>
      <c r="E66" s="56">
        <v>425</v>
      </c>
    </row>
    <row r="67" spans="1:5">
      <c r="A67" s="56" t="s">
        <v>254</v>
      </c>
      <c r="B67" s="56" t="s">
        <v>255</v>
      </c>
      <c r="C67" s="56">
        <v>1500</v>
      </c>
      <c r="D67" s="56">
        <v>1500</v>
      </c>
      <c r="E67" s="56">
        <v>1500</v>
      </c>
    </row>
    <row r="68" spans="1:5">
      <c r="A68" s="56" t="s">
        <v>256</v>
      </c>
      <c r="B68" s="56" t="s">
        <v>419</v>
      </c>
      <c r="C68" s="56">
        <v>70000</v>
      </c>
      <c r="D68" s="56">
        <v>70000</v>
      </c>
      <c r="E68" s="56">
        <v>70000</v>
      </c>
    </row>
    <row r="69" spans="1:5">
      <c r="A69" s="56" t="s">
        <v>257</v>
      </c>
      <c r="B69" s="56" t="s">
        <v>420</v>
      </c>
      <c r="C69" s="56">
        <v>1400</v>
      </c>
      <c r="D69" s="56">
        <v>1400</v>
      </c>
      <c r="E69" s="56">
        <v>1400</v>
      </c>
    </row>
    <row r="70" spans="1:5">
      <c r="A70" s="56" t="s">
        <v>258</v>
      </c>
      <c r="B70" s="56" t="s">
        <v>259</v>
      </c>
      <c r="C70" s="56">
        <v>9500</v>
      </c>
      <c r="D70" s="56">
        <v>9500</v>
      </c>
      <c r="E70" s="56">
        <v>9500</v>
      </c>
    </row>
    <row r="71" spans="1:5">
      <c r="A71" s="56" t="s">
        <v>260</v>
      </c>
      <c r="B71" s="56" t="s">
        <v>421</v>
      </c>
      <c r="C71" s="56">
        <v>3900</v>
      </c>
      <c r="D71" s="56">
        <v>3900</v>
      </c>
      <c r="E71" s="56">
        <v>3900</v>
      </c>
    </row>
    <row r="72" spans="1:5">
      <c r="A72" s="56" t="s">
        <v>261</v>
      </c>
      <c r="B72" s="56" t="s">
        <v>127</v>
      </c>
      <c r="C72" s="56">
        <v>900</v>
      </c>
      <c r="D72" s="56">
        <v>900</v>
      </c>
      <c r="E72" s="56">
        <v>900</v>
      </c>
    </row>
    <row r="73" spans="1:5">
      <c r="A73" s="56" t="s">
        <v>262</v>
      </c>
      <c r="B73" s="56" t="s">
        <v>116</v>
      </c>
      <c r="C73" s="56">
        <v>600</v>
      </c>
      <c r="D73" s="56">
        <v>600</v>
      </c>
      <c r="E73" s="56">
        <v>600</v>
      </c>
    </row>
    <row r="74" spans="1:5">
      <c r="A74" s="56" t="s">
        <v>263</v>
      </c>
      <c r="B74" s="56" t="s">
        <v>422</v>
      </c>
      <c r="C74" s="56">
        <v>325</v>
      </c>
      <c r="D74" s="56">
        <v>325</v>
      </c>
      <c r="E74" s="56">
        <v>325</v>
      </c>
    </row>
    <row r="75" spans="1:5">
      <c r="A75" s="56" t="s">
        <v>264</v>
      </c>
      <c r="B75" s="56" t="s">
        <v>423</v>
      </c>
      <c r="C75" s="56">
        <v>3200</v>
      </c>
      <c r="D75" s="56">
        <v>3200</v>
      </c>
      <c r="E75" s="56">
        <v>3200</v>
      </c>
    </row>
    <row r="76" spans="1:5">
      <c r="A76" s="56" t="s">
        <v>265</v>
      </c>
      <c r="B76" s="56" t="s">
        <v>266</v>
      </c>
      <c r="C76" s="56">
        <v>2500</v>
      </c>
      <c r="D76" s="56">
        <v>2500</v>
      </c>
      <c r="E76" s="56">
        <v>2500</v>
      </c>
    </row>
    <row r="77" spans="1:5">
      <c r="A77" s="56" t="s">
        <v>267</v>
      </c>
      <c r="B77" s="56" t="s">
        <v>155</v>
      </c>
      <c r="C77" s="56">
        <v>1350</v>
      </c>
      <c r="D77" s="56">
        <v>1350</v>
      </c>
      <c r="E77" s="56">
        <v>1350</v>
      </c>
    </row>
    <row r="78" spans="1:5">
      <c r="A78" s="56" t="s">
        <v>268</v>
      </c>
      <c r="B78" s="56" t="s">
        <v>269</v>
      </c>
      <c r="C78" s="56">
        <v>250</v>
      </c>
      <c r="D78" s="56">
        <v>250</v>
      </c>
      <c r="E78" s="56">
        <v>250</v>
      </c>
    </row>
    <row r="79" spans="1:5">
      <c r="A79" s="56" t="s">
        <v>270</v>
      </c>
      <c r="B79" s="56" t="s">
        <v>424</v>
      </c>
      <c r="C79" s="56">
        <v>1500</v>
      </c>
      <c r="D79" s="56">
        <v>1500</v>
      </c>
      <c r="E79" s="56">
        <v>1500</v>
      </c>
    </row>
    <row r="80" spans="1:5">
      <c r="A80" s="56" t="s">
        <v>271</v>
      </c>
      <c r="B80" s="56" t="s">
        <v>425</v>
      </c>
      <c r="C80" s="56">
        <v>2000</v>
      </c>
      <c r="D80" s="56">
        <v>2000</v>
      </c>
      <c r="E80" s="56">
        <v>2000</v>
      </c>
    </row>
    <row r="81" spans="1:5">
      <c r="A81" s="56" t="s">
        <v>272</v>
      </c>
      <c r="B81" s="56" t="s">
        <v>426</v>
      </c>
      <c r="C81" s="56">
        <v>575</v>
      </c>
      <c r="D81" s="56">
        <v>575</v>
      </c>
      <c r="E81" s="56">
        <v>575</v>
      </c>
    </row>
    <row r="82" spans="1:5">
      <c r="A82" s="56" t="s">
        <v>273</v>
      </c>
      <c r="B82" s="56" t="s">
        <v>427</v>
      </c>
      <c r="C82" s="56">
        <v>200</v>
      </c>
      <c r="D82" s="56">
        <v>200</v>
      </c>
      <c r="E82" s="56">
        <v>200</v>
      </c>
    </row>
    <row r="83" spans="1:5">
      <c r="A83" s="56" t="s">
        <v>274</v>
      </c>
      <c r="B83" s="56" t="s">
        <v>149</v>
      </c>
      <c r="C83" s="56">
        <v>850</v>
      </c>
      <c r="D83" s="56">
        <v>850</v>
      </c>
      <c r="E83" s="56">
        <v>850</v>
      </c>
    </row>
    <row r="84" spans="1:5">
      <c r="A84" s="56" t="s">
        <v>275</v>
      </c>
      <c r="B84" s="56" t="s">
        <v>428</v>
      </c>
      <c r="C84" s="56">
        <v>4000</v>
      </c>
      <c r="D84" s="56">
        <v>4000</v>
      </c>
      <c r="E84" s="56">
        <v>4000</v>
      </c>
    </row>
    <row r="85" spans="1:5">
      <c r="A85" s="56" t="s">
        <v>276</v>
      </c>
      <c r="B85" s="56" t="s">
        <v>277</v>
      </c>
      <c r="C85" s="56">
        <v>6000</v>
      </c>
      <c r="D85" s="56">
        <v>6000</v>
      </c>
      <c r="E85" s="56">
        <v>6000</v>
      </c>
    </row>
    <row r="86" spans="1:5">
      <c r="A86" s="56" t="s">
        <v>278</v>
      </c>
      <c r="B86" s="56" t="s">
        <v>112</v>
      </c>
      <c r="C86" s="56">
        <v>300</v>
      </c>
      <c r="D86" s="56">
        <v>300</v>
      </c>
      <c r="E86" s="56">
        <v>300</v>
      </c>
    </row>
    <row r="87" spans="1:5">
      <c r="A87" s="56" t="s">
        <v>279</v>
      </c>
      <c r="B87" s="56" t="s">
        <v>429</v>
      </c>
      <c r="C87" s="56">
        <v>100</v>
      </c>
      <c r="D87" s="56">
        <v>100</v>
      </c>
      <c r="E87" s="56">
        <v>100</v>
      </c>
    </row>
    <row r="88" spans="1:5">
      <c r="A88" s="56" t="s">
        <v>280</v>
      </c>
      <c r="B88" s="56" t="s">
        <v>281</v>
      </c>
      <c r="C88" s="56">
        <v>1250</v>
      </c>
      <c r="D88" s="56">
        <v>1250</v>
      </c>
      <c r="E88" s="56">
        <v>1250</v>
      </c>
    </row>
    <row r="89" spans="1:5">
      <c r="A89" s="56" t="s">
        <v>282</v>
      </c>
      <c r="B89" s="56" t="s">
        <v>430</v>
      </c>
      <c r="C89" s="56">
        <v>600</v>
      </c>
      <c r="D89" s="56">
        <v>600</v>
      </c>
      <c r="E89" s="56">
        <v>600</v>
      </c>
    </row>
    <row r="90" spans="1:5">
      <c r="A90" s="56" t="s">
        <v>283</v>
      </c>
      <c r="B90" s="56" t="s">
        <v>284</v>
      </c>
      <c r="C90" s="56">
        <v>200</v>
      </c>
      <c r="D90" s="56">
        <v>200</v>
      </c>
      <c r="E90" s="56">
        <v>200</v>
      </c>
    </row>
    <row r="91" spans="1:5">
      <c r="A91" s="56" t="s">
        <v>285</v>
      </c>
      <c r="B91" s="56" t="s">
        <v>431</v>
      </c>
      <c r="C91" s="56">
        <v>650</v>
      </c>
      <c r="D91" s="56">
        <v>650</v>
      </c>
      <c r="E91" s="56">
        <v>650</v>
      </c>
    </row>
    <row r="92" spans="1:5">
      <c r="A92" s="56" t="s">
        <v>286</v>
      </c>
      <c r="B92" s="56" t="s">
        <v>432</v>
      </c>
      <c r="C92" s="56">
        <v>3100</v>
      </c>
      <c r="D92" s="56">
        <v>3100</v>
      </c>
      <c r="E92" s="56">
        <v>3100</v>
      </c>
    </row>
    <row r="93" spans="1:5">
      <c r="A93" s="56" t="s">
        <v>287</v>
      </c>
      <c r="B93" s="56" t="s">
        <v>129</v>
      </c>
      <c r="C93" s="56">
        <v>600</v>
      </c>
      <c r="D93" s="56">
        <v>600</v>
      </c>
      <c r="E93" s="56">
        <v>600</v>
      </c>
    </row>
    <row r="94" spans="1:5">
      <c r="A94" s="56" t="s">
        <v>288</v>
      </c>
      <c r="B94" s="56" t="s">
        <v>24</v>
      </c>
      <c r="C94" s="56">
        <v>550</v>
      </c>
      <c r="D94" s="56">
        <v>550</v>
      </c>
      <c r="E94" s="56">
        <v>550</v>
      </c>
    </row>
    <row r="95" spans="1:5">
      <c r="A95" s="56" t="s">
        <v>289</v>
      </c>
      <c r="B95" s="56" t="s">
        <v>433</v>
      </c>
      <c r="C95" s="56">
        <v>10</v>
      </c>
      <c r="D95" s="56">
        <v>10</v>
      </c>
      <c r="E95" s="56">
        <v>10</v>
      </c>
    </row>
    <row r="96" spans="1:5">
      <c r="A96" s="56" t="s">
        <v>290</v>
      </c>
      <c r="B96" s="56" t="s">
        <v>154</v>
      </c>
      <c r="C96" s="56">
        <v>750</v>
      </c>
      <c r="D96" s="56">
        <v>750</v>
      </c>
      <c r="E96" s="56">
        <v>750</v>
      </c>
    </row>
    <row r="97" spans="1:5">
      <c r="A97" s="56" t="s">
        <v>291</v>
      </c>
      <c r="B97" s="56" t="s">
        <v>292</v>
      </c>
      <c r="C97" s="56">
        <v>400</v>
      </c>
      <c r="D97" s="56">
        <v>400</v>
      </c>
      <c r="E97" s="56">
        <v>400</v>
      </c>
    </row>
    <row r="98" spans="1:5">
      <c r="A98" s="56" t="s">
        <v>293</v>
      </c>
      <c r="B98" s="56" t="s">
        <v>434</v>
      </c>
      <c r="C98" s="56">
        <v>125</v>
      </c>
      <c r="D98" s="56">
        <v>125</v>
      </c>
      <c r="E98" s="56">
        <v>125</v>
      </c>
    </row>
    <row r="99" spans="1:5">
      <c r="A99" s="56" t="s">
        <v>294</v>
      </c>
      <c r="B99" s="56" t="s">
        <v>435</v>
      </c>
      <c r="C99" s="56">
        <v>275</v>
      </c>
      <c r="D99" s="56">
        <v>275</v>
      </c>
      <c r="E99" s="56">
        <v>275</v>
      </c>
    </row>
    <row r="100" spans="1:5">
      <c r="A100" s="56" t="s">
        <v>295</v>
      </c>
      <c r="B100" s="56" t="s">
        <v>150</v>
      </c>
      <c r="C100" s="56">
        <v>225</v>
      </c>
      <c r="D100" s="56">
        <v>225</v>
      </c>
      <c r="E100" s="56">
        <v>225</v>
      </c>
    </row>
    <row r="101" spans="1:5">
      <c r="A101" s="56" t="s">
        <v>296</v>
      </c>
      <c r="B101" s="56" t="s">
        <v>436</v>
      </c>
      <c r="C101" s="56">
        <v>50</v>
      </c>
      <c r="D101" s="56">
        <v>50</v>
      </c>
      <c r="E101" s="56">
        <v>50</v>
      </c>
    </row>
    <row r="102" spans="1:5">
      <c r="A102" s="56" t="s">
        <v>297</v>
      </c>
      <c r="B102" s="56" t="s">
        <v>437</v>
      </c>
      <c r="C102" s="56">
        <v>6700</v>
      </c>
      <c r="D102" s="56">
        <v>6700</v>
      </c>
      <c r="E102" s="56">
        <v>6700</v>
      </c>
    </row>
    <row r="103" spans="1:5">
      <c r="A103" s="56" t="s">
        <v>298</v>
      </c>
      <c r="B103" s="56" t="s">
        <v>438</v>
      </c>
      <c r="C103" s="56">
        <v>5700</v>
      </c>
      <c r="D103" s="56">
        <v>5700</v>
      </c>
      <c r="E103" s="56">
        <v>5700</v>
      </c>
    </row>
    <row r="104" spans="1:5">
      <c r="A104" s="56" t="s">
        <v>299</v>
      </c>
      <c r="B104" s="56" t="s">
        <v>439</v>
      </c>
      <c r="C104" s="56">
        <v>7700</v>
      </c>
      <c r="D104" s="56">
        <v>7700</v>
      </c>
      <c r="E104" s="56">
        <v>7700</v>
      </c>
    </row>
    <row r="105" spans="1:5">
      <c r="A105" s="56" t="s">
        <v>300</v>
      </c>
      <c r="B105" s="56" t="s">
        <v>151</v>
      </c>
      <c r="C105" s="56">
        <v>125</v>
      </c>
      <c r="D105" s="56">
        <v>125</v>
      </c>
      <c r="E105" s="56">
        <v>125</v>
      </c>
    </row>
    <row r="106" spans="1:5">
      <c r="A106" s="56" t="s">
        <v>301</v>
      </c>
      <c r="B106" s="56" t="s">
        <v>302</v>
      </c>
      <c r="C106" s="56">
        <v>500</v>
      </c>
      <c r="D106" s="56">
        <v>500</v>
      </c>
      <c r="E106" s="56">
        <v>500</v>
      </c>
    </row>
    <row r="107" spans="1:5">
      <c r="A107" s="56" t="s">
        <v>303</v>
      </c>
      <c r="B107" s="56" t="s">
        <v>440</v>
      </c>
      <c r="C107" s="56">
        <v>250</v>
      </c>
      <c r="D107" s="56">
        <v>250</v>
      </c>
      <c r="E107" s="56">
        <v>250</v>
      </c>
    </row>
    <row r="108" spans="1:5">
      <c r="A108" s="56" t="s">
        <v>304</v>
      </c>
      <c r="B108" s="56" t="s">
        <v>441</v>
      </c>
      <c r="C108" s="56">
        <v>2900</v>
      </c>
      <c r="D108" s="56">
        <v>2900</v>
      </c>
      <c r="E108" s="56">
        <v>2900</v>
      </c>
    </row>
    <row r="109" spans="1:5">
      <c r="A109" s="56" t="s">
        <v>305</v>
      </c>
      <c r="B109" s="56" t="s">
        <v>117</v>
      </c>
      <c r="C109" s="56">
        <v>250</v>
      </c>
      <c r="D109" s="56">
        <v>250</v>
      </c>
      <c r="E109" s="56">
        <v>250</v>
      </c>
    </row>
    <row r="110" spans="1:5">
      <c r="A110" s="56" t="s">
        <v>306</v>
      </c>
      <c r="B110" s="56" t="s">
        <v>442</v>
      </c>
      <c r="C110" s="56">
        <v>9500</v>
      </c>
      <c r="D110" s="56">
        <v>9500</v>
      </c>
      <c r="E110" s="56">
        <v>9500</v>
      </c>
    </row>
    <row r="111" spans="1:5">
      <c r="A111" s="56" t="s">
        <v>307</v>
      </c>
      <c r="B111" s="56" t="s">
        <v>443</v>
      </c>
      <c r="C111" s="56">
        <v>750</v>
      </c>
      <c r="D111" s="56">
        <v>750</v>
      </c>
      <c r="E111" s="56">
        <v>750</v>
      </c>
    </row>
    <row r="112" spans="1:5">
      <c r="A112" s="56" t="s">
        <v>308</v>
      </c>
      <c r="B112" s="56" t="s">
        <v>130</v>
      </c>
      <c r="C112" s="56">
        <v>1500</v>
      </c>
      <c r="D112" s="56">
        <v>1500</v>
      </c>
      <c r="E112" s="56">
        <v>1500</v>
      </c>
    </row>
    <row r="113" spans="1:5">
      <c r="A113" s="56" t="s">
        <v>309</v>
      </c>
      <c r="B113" s="56" t="s">
        <v>444</v>
      </c>
      <c r="C113" s="56">
        <v>1000</v>
      </c>
      <c r="D113" s="56">
        <v>1000</v>
      </c>
      <c r="E113" s="56">
        <v>1000</v>
      </c>
    </row>
    <row r="114" spans="1:5">
      <c r="A114" s="56" t="s">
        <v>310</v>
      </c>
      <c r="B114" s="56" t="s">
        <v>311</v>
      </c>
      <c r="C114" s="56">
        <v>2850</v>
      </c>
      <c r="D114" s="56">
        <v>2850</v>
      </c>
      <c r="E114" s="56">
        <v>2850</v>
      </c>
    </row>
    <row r="115" spans="1:5">
      <c r="A115" s="56" t="s">
        <v>312</v>
      </c>
      <c r="B115" s="56" t="s">
        <v>445</v>
      </c>
      <c r="C115" s="56">
        <v>850</v>
      </c>
      <c r="D115" s="56">
        <v>850</v>
      </c>
      <c r="E115" s="56">
        <v>850</v>
      </c>
    </row>
    <row r="116" spans="1:5">
      <c r="A116" s="56" t="s">
        <v>313</v>
      </c>
      <c r="B116" s="56" t="s">
        <v>446</v>
      </c>
      <c r="C116" s="56">
        <v>375</v>
      </c>
      <c r="D116" s="56">
        <v>375</v>
      </c>
      <c r="E116" s="56">
        <v>375</v>
      </c>
    </row>
    <row r="117" spans="1:5">
      <c r="A117" s="56" t="s">
        <v>314</v>
      </c>
      <c r="B117" s="56" t="s">
        <v>447</v>
      </c>
      <c r="C117" s="56">
        <v>1400</v>
      </c>
      <c r="D117" s="56">
        <v>1400</v>
      </c>
      <c r="E117" s="56">
        <v>1400</v>
      </c>
    </row>
    <row r="118" spans="1:5">
      <c r="A118" s="56" t="s">
        <v>315</v>
      </c>
      <c r="B118" s="56" t="s">
        <v>448</v>
      </c>
      <c r="C118" s="56">
        <v>200</v>
      </c>
      <c r="D118" s="56">
        <v>200</v>
      </c>
      <c r="E118" s="56">
        <v>200</v>
      </c>
    </row>
    <row r="119" spans="1:5">
      <c r="A119" s="56" t="s">
        <v>316</v>
      </c>
      <c r="B119" s="56" t="s">
        <v>131</v>
      </c>
      <c r="C119" s="56">
        <v>100</v>
      </c>
      <c r="D119" s="56">
        <v>100</v>
      </c>
      <c r="E119" s="56">
        <v>100</v>
      </c>
    </row>
    <row r="120" spans="1:5">
      <c r="A120" s="56" t="s">
        <v>317</v>
      </c>
      <c r="B120" s="56" t="s">
        <v>449</v>
      </c>
      <c r="C120" s="56">
        <v>3000</v>
      </c>
      <c r="D120" s="56">
        <v>3000</v>
      </c>
      <c r="E120" s="56">
        <v>3000</v>
      </c>
    </row>
    <row r="121" spans="1:5">
      <c r="A121" s="56" t="s">
        <v>318</v>
      </c>
      <c r="B121" s="56" t="s">
        <v>319</v>
      </c>
      <c r="C121" s="56">
        <v>2500</v>
      </c>
      <c r="D121" s="56">
        <v>2500</v>
      </c>
      <c r="E121" s="56">
        <v>2500</v>
      </c>
    </row>
    <row r="122" spans="1:5">
      <c r="A122" s="56" t="s">
        <v>320</v>
      </c>
      <c r="B122" s="56" t="s">
        <v>321</v>
      </c>
      <c r="C122" s="56">
        <v>1100</v>
      </c>
      <c r="D122" s="56">
        <v>1100</v>
      </c>
      <c r="E122" s="56">
        <v>1100</v>
      </c>
    </row>
    <row r="123" spans="1:5">
      <c r="A123" s="56" t="s">
        <v>322</v>
      </c>
      <c r="B123" s="56" t="s">
        <v>450</v>
      </c>
      <c r="C123" s="56">
        <v>2300</v>
      </c>
      <c r="D123" s="56">
        <v>2300</v>
      </c>
      <c r="E123" s="56">
        <v>2300</v>
      </c>
    </row>
    <row r="124" spans="1:5">
      <c r="A124" s="56" t="s">
        <v>323</v>
      </c>
      <c r="B124" s="56" t="s">
        <v>451</v>
      </c>
      <c r="C124" s="56">
        <v>50</v>
      </c>
      <c r="D124" s="56">
        <v>50</v>
      </c>
      <c r="E124" s="56">
        <v>50</v>
      </c>
    </row>
    <row r="125" spans="1:5">
      <c r="A125" s="56" t="s">
        <v>324</v>
      </c>
      <c r="B125" s="56" t="s">
        <v>452</v>
      </c>
      <c r="C125" s="56">
        <v>200</v>
      </c>
      <c r="D125" s="56">
        <v>200</v>
      </c>
      <c r="E125" s="56">
        <v>200</v>
      </c>
    </row>
    <row r="126" spans="1:5">
      <c r="A126" s="56" t="s">
        <v>325</v>
      </c>
      <c r="B126" s="56" t="s">
        <v>453</v>
      </c>
      <c r="C126" s="56">
        <v>2200</v>
      </c>
      <c r="D126" s="56">
        <v>2200</v>
      </c>
      <c r="E126" s="56">
        <v>2200</v>
      </c>
    </row>
    <row r="127" spans="1:5">
      <c r="A127" s="56" t="s">
        <v>326</v>
      </c>
      <c r="B127" s="56" t="s">
        <v>454</v>
      </c>
      <c r="C127" s="56">
        <v>475</v>
      </c>
      <c r="D127" s="56">
        <v>475</v>
      </c>
      <c r="E127" s="56">
        <v>475</v>
      </c>
    </row>
    <row r="128" spans="1:5">
      <c r="A128" s="56" t="s">
        <v>327</v>
      </c>
      <c r="B128" s="56" t="s">
        <v>455</v>
      </c>
      <c r="C128" s="56">
        <v>1250</v>
      </c>
      <c r="D128" s="56">
        <v>1250</v>
      </c>
      <c r="E128" s="56">
        <v>1250</v>
      </c>
    </row>
    <row r="129" spans="1:5">
      <c r="A129" s="56" t="s">
        <v>328</v>
      </c>
      <c r="B129" s="56" t="s">
        <v>146</v>
      </c>
      <c r="C129" s="56">
        <v>125</v>
      </c>
      <c r="D129" s="56">
        <v>125</v>
      </c>
      <c r="E129" s="56">
        <v>125</v>
      </c>
    </row>
    <row r="130" spans="1:5">
      <c r="A130" s="56" t="s">
        <v>329</v>
      </c>
      <c r="B130" s="56" t="s">
        <v>456</v>
      </c>
      <c r="C130" s="56">
        <v>350</v>
      </c>
      <c r="D130" s="56">
        <v>350</v>
      </c>
      <c r="E130" s="56">
        <v>350</v>
      </c>
    </row>
    <row r="131" spans="1:5">
      <c r="A131" s="56" t="s">
        <v>330</v>
      </c>
      <c r="B131" s="56" t="s">
        <v>457</v>
      </c>
      <c r="C131" s="56">
        <v>22500</v>
      </c>
      <c r="D131" s="56">
        <v>22500</v>
      </c>
      <c r="E131" s="56">
        <v>22500</v>
      </c>
    </row>
    <row r="132" spans="1:5">
      <c r="A132" s="56" t="s">
        <v>331</v>
      </c>
      <c r="B132" s="56" t="s">
        <v>458</v>
      </c>
      <c r="C132" s="56">
        <v>275</v>
      </c>
      <c r="D132" s="56">
        <v>275</v>
      </c>
      <c r="E132" s="56">
        <v>275</v>
      </c>
    </row>
    <row r="133" spans="1:5">
      <c r="A133" s="56" t="s">
        <v>332</v>
      </c>
      <c r="B133" s="56" t="s">
        <v>36</v>
      </c>
      <c r="C133" s="56">
        <v>6200</v>
      </c>
      <c r="D133" s="56">
        <v>6200</v>
      </c>
      <c r="E133" s="56">
        <v>6200</v>
      </c>
    </row>
    <row r="134" spans="1:5">
      <c r="A134" s="56" t="s">
        <v>333</v>
      </c>
      <c r="B134" s="56" t="s">
        <v>459</v>
      </c>
      <c r="C134" s="56">
        <v>1375</v>
      </c>
      <c r="D134" s="56">
        <v>1375</v>
      </c>
      <c r="E134" s="56">
        <v>1375</v>
      </c>
    </row>
    <row r="135" spans="1:5">
      <c r="A135" s="56" t="s">
        <v>334</v>
      </c>
      <c r="B135" s="56" t="s">
        <v>460</v>
      </c>
      <c r="C135" s="56">
        <v>6000</v>
      </c>
      <c r="D135" s="56">
        <v>6000</v>
      </c>
      <c r="E135" s="56">
        <v>6000</v>
      </c>
    </row>
    <row r="136" spans="1:5">
      <c r="A136" s="56" t="s">
        <v>335</v>
      </c>
      <c r="B136" s="56" t="s">
        <v>461</v>
      </c>
      <c r="C136" s="56">
        <v>1600</v>
      </c>
      <c r="D136" s="56">
        <v>1600</v>
      </c>
      <c r="E136" s="56">
        <v>1600</v>
      </c>
    </row>
    <row r="137" spans="1:5">
      <c r="A137" s="56" t="s">
        <v>336</v>
      </c>
      <c r="B137" s="56" t="s">
        <v>462</v>
      </c>
      <c r="C137" s="56">
        <v>25</v>
      </c>
      <c r="D137" s="56">
        <v>25</v>
      </c>
      <c r="E137" s="56">
        <v>25</v>
      </c>
    </row>
    <row r="138" spans="1:5">
      <c r="A138" s="56" t="s">
        <v>337</v>
      </c>
      <c r="B138" s="56" t="s">
        <v>463</v>
      </c>
      <c r="C138" s="56">
        <v>675</v>
      </c>
      <c r="D138" s="56">
        <v>675</v>
      </c>
      <c r="E138" s="56">
        <v>675</v>
      </c>
    </row>
    <row r="139" spans="1:5">
      <c r="A139" s="56" t="s">
        <v>338</v>
      </c>
      <c r="B139" s="56" t="s">
        <v>153</v>
      </c>
      <c r="C139" s="56">
        <v>6750</v>
      </c>
      <c r="D139" s="56">
        <v>6750</v>
      </c>
      <c r="E139" s="56">
        <v>6750</v>
      </c>
    </row>
    <row r="140" spans="1:5">
      <c r="A140" s="56" t="s">
        <v>339</v>
      </c>
      <c r="B140" s="56" t="s">
        <v>464</v>
      </c>
      <c r="C140" s="56">
        <v>16000</v>
      </c>
      <c r="D140" s="56">
        <v>16000</v>
      </c>
      <c r="E140" s="56">
        <v>16000</v>
      </c>
    </row>
    <row r="141" spans="1:5">
      <c r="A141" s="56" t="s">
        <v>340</v>
      </c>
      <c r="B141" s="56" t="s">
        <v>465</v>
      </c>
      <c r="C141" s="56">
        <v>725</v>
      </c>
      <c r="D141" s="56">
        <v>725</v>
      </c>
      <c r="E141" s="56">
        <v>725</v>
      </c>
    </row>
    <row r="142" spans="1:5">
      <c r="A142" s="56" t="s">
        <v>341</v>
      </c>
      <c r="B142" s="56" t="s">
        <v>342</v>
      </c>
      <c r="C142" s="56">
        <v>400</v>
      </c>
      <c r="D142" s="56">
        <v>400</v>
      </c>
      <c r="E142" s="56">
        <v>400</v>
      </c>
    </row>
    <row r="143" spans="1:5">
      <c r="A143" s="56" t="s">
        <v>343</v>
      </c>
      <c r="B143" s="56" t="s">
        <v>344</v>
      </c>
      <c r="C143" s="56">
        <v>1350</v>
      </c>
      <c r="D143" s="56">
        <v>1350</v>
      </c>
      <c r="E143" s="56">
        <v>1350</v>
      </c>
    </row>
    <row r="144" spans="1:5">
      <c r="A144" s="56" t="s">
        <v>345</v>
      </c>
      <c r="B144" s="56" t="s">
        <v>346</v>
      </c>
      <c r="C144" s="56">
        <v>250</v>
      </c>
      <c r="D144" s="56">
        <v>250</v>
      </c>
      <c r="E144" s="56">
        <v>250</v>
      </c>
    </row>
    <row r="145" spans="1:5">
      <c r="A145" s="56" t="s">
        <v>347</v>
      </c>
      <c r="B145" s="56" t="s">
        <v>466</v>
      </c>
      <c r="C145" s="56">
        <v>700</v>
      </c>
      <c r="D145" s="56">
        <v>700</v>
      </c>
      <c r="E145" s="56">
        <v>700</v>
      </c>
    </row>
    <row r="146" spans="1:5">
      <c r="A146" s="56" t="s">
        <v>348</v>
      </c>
      <c r="B146" s="56" t="s">
        <v>467</v>
      </c>
      <c r="C146" s="56">
        <v>500</v>
      </c>
      <c r="D146" s="56">
        <v>500</v>
      </c>
      <c r="E146" s="56">
        <v>500</v>
      </c>
    </row>
    <row r="147" spans="1:5">
      <c r="A147" s="56" t="s">
        <v>349</v>
      </c>
      <c r="B147" s="56" t="s">
        <v>350</v>
      </c>
      <c r="C147" s="56">
        <v>1500</v>
      </c>
      <c r="D147" s="56">
        <v>1500</v>
      </c>
      <c r="E147" s="56">
        <v>1500</v>
      </c>
    </row>
    <row r="148" spans="1:5">
      <c r="A148" s="56" t="s">
        <v>351</v>
      </c>
      <c r="B148" s="56" t="s">
        <v>468</v>
      </c>
      <c r="C148" s="56">
        <v>1563</v>
      </c>
      <c r="D148" s="56">
        <v>1563</v>
      </c>
      <c r="E148" s="56">
        <v>1563</v>
      </c>
    </row>
    <row r="149" spans="1:5">
      <c r="A149" s="56" t="s">
        <v>352</v>
      </c>
      <c r="B149" s="56" t="s">
        <v>469</v>
      </c>
      <c r="C149" s="56">
        <v>1000</v>
      </c>
      <c r="D149" s="56">
        <v>1000</v>
      </c>
      <c r="E149" s="56">
        <v>1000</v>
      </c>
    </row>
    <row r="150" spans="1:5">
      <c r="A150" s="56" t="s">
        <v>353</v>
      </c>
      <c r="B150" s="56" t="s">
        <v>470</v>
      </c>
      <c r="C150" s="56">
        <v>500</v>
      </c>
      <c r="D150" s="56">
        <v>500</v>
      </c>
      <c r="E150" s="56">
        <v>500</v>
      </c>
    </row>
    <row r="151" spans="1:5">
      <c r="A151" s="56" t="s">
        <v>354</v>
      </c>
      <c r="B151" s="56" t="s">
        <v>355</v>
      </c>
      <c r="C151" s="56">
        <v>2800</v>
      </c>
      <c r="D151" s="56">
        <v>2800</v>
      </c>
      <c r="E151" s="56">
        <v>2800</v>
      </c>
    </row>
    <row r="152" spans="1:5">
      <c r="A152" s="56" t="s">
        <v>356</v>
      </c>
      <c r="B152" s="56" t="s">
        <v>128</v>
      </c>
      <c r="C152" s="56">
        <v>400</v>
      </c>
      <c r="D152" s="56">
        <v>400</v>
      </c>
      <c r="E152" s="56">
        <v>400</v>
      </c>
    </row>
    <row r="153" spans="1:5">
      <c r="A153" s="56" t="s">
        <v>357</v>
      </c>
      <c r="B153" s="56" t="s">
        <v>471</v>
      </c>
      <c r="C153" s="56">
        <v>8924</v>
      </c>
      <c r="D153" s="56">
        <v>8924</v>
      </c>
      <c r="E153" s="56">
        <v>8924</v>
      </c>
    </row>
    <row r="154" spans="1:5">
      <c r="A154" s="56" t="s">
        <v>358</v>
      </c>
      <c r="B154" s="56" t="s">
        <v>472</v>
      </c>
      <c r="C154" s="56">
        <v>700</v>
      </c>
      <c r="D154" s="56">
        <v>700</v>
      </c>
      <c r="E154" s="56">
        <v>700</v>
      </c>
    </row>
    <row r="155" spans="1:5">
      <c r="A155" s="56" t="s">
        <v>359</v>
      </c>
      <c r="B155" s="56" t="s">
        <v>473</v>
      </c>
      <c r="C155" s="56">
        <v>3600</v>
      </c>
      <c r="D155" s="56">
        <v>3600</v>
      </c>
      <c r="E155" s="56">
        <v>3600</v>
      </c>
    </row>
    <row r="156" spans="1:5">
      <c r="A156" s="56" t="s">
        <v>360</v>
      </c>
      <c r="B156" s="56" t="s">
        <v>474</v>
      </c>
      <c r="C156" s="56">
        <v>325</v>
      </c>
      <c r="D156" s="56">
        <v>325</v>
      </c>
      <c r="E156" s="56">
        <v>325</v>
      </c>
    </row>
    <row r="157" spans="1:5">
      <c r="A157" s="56" t="s">
        <v>361</v>
      </c>
      <c r="B157" s="56" t="s">
        <v>475</v>
      </c>
      <c r="C157" s="56">
        <v>3000</v>
      </c>
      <c r="D157" s="56">
        <v>3000</v>
      </c>
      <c r="E157" s="56">
        <v>3000</v>
      </c>
    </row>
    <row r="158" spans="1:5">
      <c r="A158" s="56" t="s">
        <v>362</v>
      </c>
      <c r="B158" s="56" t="s">
        <v>476</v>
      </c>
      <c r="C158" s="56">
        <v>407</v>
      </c>
      <c r="D158" s="56">
        <v>407</v>
      </c>
      <c r="E158" s="56">
        <v>407</v>
      </c>
    </row>
    <row r="159" spans="1:5">
      <c r="A159" s="56" t="s">
        <v>363</v>
      </c>
      <c r="B159" s="56" t="s">
        <v>477</v>
      </c>
      <c r="C159" s="56">
        <v>275</v>
      </c>
      <c r="D159" s="56">
        <v>275</v>
      </c>
      <c r="E159" s="56">
        <v>275</v>
      </c>
    </row>
    <row r="160" spans="1:5">
      <c r="A160" s="56" t="s">
        <v>364</v>
      </c>
      <c r="B160" s="56" t="s">
        <v>478</v>
      </c>
      <c r="C160" s="56">
        <v>1600</v>
      </c>
      <c r="D160" s="56">
        <v>1600</v>
      </c>
      <c r="E160" s="56">
        <v>1600</v>
      </c>
    </row>
    <row r="161" spans="1:5">
      <c r="A161" s="56" t="s">
        <v>365</v>
      </c>
      <c r="B161" s="56" t="s">
        <v>479</v>
      </c>
      <c r="C161" s="56">
        <v>200</v>
      </c>
      <c r="D161" s="56">
        <v>200</v>
      </c>
      <c r="E161" s="56">
        <v>200</v>
      </c>
    </row>
    <row r="162" spans="1:5">
      <c r="A162" s="56" t="s">
        <v>366</v>
      </c>
      <c r="B162" s="56" t="s">
        <v>480</v>
      </c>
      <c r="C162" s="56">
        <v>6100</v>
      </c>
      <c r="D162" s="56">
        <v>6100</v>
      </c>
      <c r="E162" s="56">
        <v>6100</v>
      </c>
    </row>
    <row r="163" spans="1:5">
      <c r="A163" s="56" t="s">
        <v>367</v>
      </c>
      <c r="B163" s="56" t="s">
        <v>368</v>
      </c>
      <c r="C163" s="56">
        <v>3500</v>
      </c>
      <c r="D163" s="56">
        <v>3500</v>
      </c>
      <c r="E163" s="56">
        <v>3500</v>
      </c>
    </row>
    <row r="164" spans="1:5">
      <c r="A164" s="56" t="s">
        <v>369</v>
      </c>
      <c r="B164" s="56" t="s">
        <v>481</v>
      </c>
      <c r="C164" s="56">
        <v>30</v>
      </c>
      <c r="D164" s="56">
        <v>30</v>
      </c>
      <c r="E164" s="56">
        <v>30</v>
      </c>
    </row>
    <row r="165" spans="1:5">
      <c r="A165" s="56" t="s">
        <v>370</v>
      </c>
      <c r="B165" s="56" t="s">
        <v>482</v>
      </c>
      <c r="C165" s="56">
        <v>850</v>
      </c>
      <c r="D165" s="56">
        <v>850</v>
      </c>
      <c r="E165" s="56">
        <v>850</v>
      </c>
    </row>
    <row r="166" spans="1:5">
      <c r="A166" s="56" t="s">
        <v>371</v>
      </c>
      <c r="B166" s="56" t="s">
        <v>372</v>
      </c>
      <c r="C166" s="56">
        <v>1500</v>
      </c>
      <c r="D166" s="56">
        <v>1500</v>
      </c>
      <c r="E166" s="56">
        <v>1500</v>
      </c>
    </row>
    <row r="167" spans="1:5">
      <c r="A167" s="56" t="s">
        <v>373</v>
      </c>
      <c r="B167" s="56" t="s">
        <v>483</v>
      </c>
      <c r="C167" s="56">
        <v>1300</v>
      </c>
      <c r="D167" s="56">
        <v>1300</v>
      </c>
      <c r="E167" s="56">
        <v>1300</v>
      </c>
    </row>
    <row r="168" spans="1:5">
      <c r="A168" s="56" t="s">
        <v>374</v>
      </c>
      <c r="B168" s="56" t="s">
        <v>114</v>
      </c>
      <c r="C168" s="56">
        <v>300</v>
      </c>
      <c r="D168" s="56">
        <v>300</v>
      </c>
      <c r="E168" s="56">
        <v>300</v>
      </c>
    </row>
    <row r="169" spans="1:5">
      <c r="A169" s="56" t="s">
        <v>375</v>
      </c>
      <c r="B169" s="56" t="s">
        <v>376</v>
      </c>
      <c r="C169" s="56">
        <v>975</v>
      </c>
      <c r="D169" s="56">
        <v>975</v>
      </c>
      <c r="E169" s="56">
        <v>975</v>
      </c>
    </row>
    <row r="170" spans="1:5">
      <c r="A170" s="56" t="s">
        <v>377</v>
      </c>
      <c r="B170" s="56" t="s">
        <v>484</v>
      </c>
      <c r="C170" s="56">
        <v>125</v>
      </c>
      <c r="D170" s="56">
        <v>125</v>
      </c>
      <c r="E170" s="56">
        <v>125</v>
      </c>
    </row>
    <row r="171" spans="1:5">
      <c r="A171" s="56" t="s">
        <v>378</v>
      </c>
      <c r="B171" s="56" t="s">
        <v>485</v>
      </c>
      <c r="C171" s="56">
        <v>475</v>
      </c>
      <c r="D171" s="56">
        <v>475</v>
      </c>
      <c r="E171" s="56">
        <v>475</v>
      </c>
    </row>
    <row r="172" spans="1:5">
      <c r="A172" s="56" t="s">
        <v>379</v>
      </c>
      <c r="B172" s="56" t="s">
        <v>148</v>
      </c>
      <c r="C172" s="56">
        <v>1250</v>
      </c>
      <c r="D172" s="56">
        <v>1250</v>
      </c>
      <c r="E172" s="56">
        <v>1250</v>
      </c>
    </row>
    <row r="173" spans="1:5">
      <c r="A173" s="56" t="s">
        <v>380</v>
      </c>
      <c r="B173" s="56" t="s">
        <v>486</v>
      </c>
      <c r="C173" s="56">
        <v>75</v>
      </c>
      <c r="D173" s="56">
        <v>75</v>
      </c>
      <c r="E173" s="56">
        <v>75</v>
      </c>
    </row>
    <row r="174" spans="1:5">
      <c r="A174" s="56" t="s">
        <v>381</v>
      </c>
      <c r="B174" s="56" t="s">
        <v>487</v>
      </c>
      <c r="C174" s="56">
        <v>225</v>
      </c>
      <c r="D174" s="56">
        <v>225</v>
      </c>
      <c r="E174" s="56">
        <v>225</v>
      </c>
    </row>
    <row r="175" spans="1:5">
      <c r="A175" s="56" t="s">
        <v>382</v>
      </c>
      <c r="B175" s="56" t="s">
        <v>488</v>
      </c>
      <c r="C175" s="56">
        <v>350</v>
      </c>
      <c r="D175" s="56">
        <v>350</v>
      </c>
      <c r="E175" s="56">
        <v>350</v>
      </c>
    </row>
    <row r="176" spans="1:5">
      <c r="A176" s="56" t="s">
        <v>383</v>
      </c>
      <c r="B176" s="56" t="s">
        <v>489</v>
      </c>
      <c r="C176" s="56">
        <v>125</v>
      </c>
      <c r="D176" s="56">
        <v>125</v>
      </c>
      <c r="E176" s="56">
        <v>125</v>
      </c>
    </row>
    <row r="177" spans="1:5">
      <c r="A177" s="56" t="s">
        <v>384</v>
      </c>
      <c r="B177" s="56" t="s">
        <v>490</v>
      </c>
      <c r="C177" s="56">
        <v>300</v>
      </c>
      <c r="D177" s="56">
        <v>300</v>
      </c>
      <c r="E177" s="56">
        <v>300</v>
      </c>
    </row>
    <row r="178" spans="1:5">
      <c r="A178" s="56" t="s">
        <v>385</v>
      </c>
      <c r="B178" s="56" t="s">
        <v>491</v>
      </c>
      <c r="C178" s="56">
        <v>850</v>
      </c>
      <c r="D178" s="56">
        <v>850</v>
      </c>
      <c r="E178" s="56">
        <v>850</v>
      </c>
    </row>
  </sheetData>
  <mergeCells count="1">
    <mergeCell ref="A1:E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filterMode="1"/>
  <dimension ref="B1:H4001"/>
  <sheetViews>
    <sheetView workbookViewId="0">
      <selection activeCell="C1" sqref="C1"/>
    </sheetView>
  </sheetViews>
  <sheetFormatPr defaultRowHeight="15"/>
  <cols>
    <col min="2" max="2" width="10.42578125" bestFit="1" customWidth="1"/>
    <col min="4" max="4" width="10.42578125" bestFit="1" customWidth="1"/>
  </cols>
  <sheetData>
    <row r="1" spans="2:8">
      <c r="B1" t="s">
        <v>508</v>
      </c>
      <c r="C1" t="s">
        <v>509</v>
      </c>
      <c r="D1" t="s">
        <v>510</v>
      </c>
      <c r="E1" t="s">
        <v>511</v>
      </c>
      <c r="F1" t="s">
        <v>512</v>
      </c>
      <c r="G1" t="s">
        <v>513</v>
      </c>
      <c r="H1" t="s">
        <v>517</v>
      </c>
    </row>
    <row r="2" spans="2:8" hidden="1">
      <c r="B2" s="43">
        <v>44404</v>
      </c>
      <c r="C2" t="s">
        <v>123</v>
      </c>
      <c r="D2" s="48">
        <v>44406</v>
      </c>
      <c r="E2">
        <v>0</v>
      </c>
      <c r="F2" t="s">
        <v>516</v>
      </c>
      <c r="G2">
        <v>142.4</v>
      </c>
      <c r="H2" s="43"/>
    </row>
    <row r="3" spans="2:8" hidden="1">
      <c r="B3" s="43">
        <v>44405</v>
      </c>
      <c r="C3" t="s">
        <v>123</v>
      </c>
      <c r="D3" s="48">
        <v>44406</v>
      </c>
      <c r="E3">
        <v>0</v>
      </c>
      <c r="F3" t="s">
        <v>516</v>
      </c>
      <c r="G3">
        <v>143.94999999999999</v>
      </c>
    </row>
    <row r="4" spans="2:8" hidden="1">
      <c r="B4" s="43">
        <v>44406</v>
      </c>
      <c r="C4" t="s">
        <v>123</v>
      </c>
      <c r="D4" s="48">
        <v>44406</v>
      </c>
      <c r="E4">
        <v>0</v>
      </c>
      <c r="F4" t="s">
        <v>516</v>
      </c>
      <c r="G4">
        <v>142.19999999999999</v>
      </c>
    </row>
    <row r="5" spans="2:8" hidden="1">
      <c r="B5" s="43">
        <v>44404</v>
      </c>
      <c r="C5" t="s">
        <v>123</v>
      </c>
      <c r="D5" s="48">
        <v>44406</v>
      </c>
      <c r="E5">
        <v>95</v>
      </c>
      <c r="F5" t="s">
        <v>514</v>
      </c>
      <c r="G5">
        <v>34.6</v>
      </c>
    </row>
    <row r="6" spans="2:8" hidden="1">
      <c r="B6" s="43">
        <v>44404</v>
      </c>
      <c r="C6" t="s">
        <v>123</v>
      </c>
      <c r="D6" s="48">
        <v>44406</v>
      </c>
      <c r="E6">
        <v>95</v>
      </c>
      <c r="F6" t="s">
        <v>515</v>
      </c>
      <c r="G6">
        <v>0.05</v>
      </c>
    </row>
    <row r="7" spans="2:8" hidden="1">
      <c r="B7" s="43">
        <v>44405</v>
      </c>
      <c r="C7" t="s">
        <v>123</v>
      </c>
      <c r="D7" s="48">
        <v>44406</v>
      </c>
      <c r="E7">
        <v>95</v>
      </c>
      <c r="F7" t="s">
        <v>514</v>
      </c>
      <c r="G7">
        <v>34.6</v>
      </c>
    </row>
    <row r="8" spans="2:8" hidden="1">
      <c r="B8" s="43">
        <v>44405</v>
      </c>
      <c r="C8" t="s">
        <v>123</v>
      </c>
      <c r="D8" s="48">
        <v>44406</v>
      </c>
      <c r="E8">
        <v>95</v>
      </c>
      <c r="F8" t="s">
        <v>515</v>
      </c>
      <c r="G8">
        <v>0.05</v>
      </c>
    </row>
    <row r="9" spans="2:8" hidden="1">
      <c r="B9" s="43">
        <v>44406</v>
      </c>
      <c r="C9" t="s">
        <v>123</v>
      </c>
      <c r="D9" s="48">
        <v>44406</v>
      </c>
      <c r="E9">
        <v>95</v>
      </c>
      <c r="F9" t="s">
        <v>514</v>
      </c>
      <c r="G9">
        <v>34.6</v>
      </c>
    </row>
    <row r="10" spans="2:8" hidden="1">
      <c r="B10" s="43">
        <v>44406</v>
      </c>
      <c r="C10" t="s">
        <v>123</v>
      </c>
      <c r="D10" s="48">
        <v>44406</v>
      </c>
      <c r="E10">
        <v>95</v>
      </c>
      <c r="F10" t="s">
        <v>515</v>
      </c>
      <c r="G10">
        <v>0.05</v>
      </c>
    </row>
    <row r="11" spans="2:8" hidden="1">
      <c r="B11" s="43">
        <v>44404</v>
      </c>
      <c r="C11" t="s">
        <v>123</v>
      </c>
      <c r="D11" s="48">
        <v>44406</v>
      </c>
      <c r="E11">
        <v>97.5</v>
      </c>
      <c r="F11" t="s">
        <v>514</v>
      </c>
      <c r="G11">
        <v>32.35</v>
      </c>
    </row>
    <row r="12" spans="2:8" hidden="1">
      <c r="B12" s="43">
        <v>44404</v>
      </c>
      <c r="C12" t="s">
        <v>123</v>
      </c>
      <c r="D12" s="48">
        <v>44406</v>
      </c>
      <c r="E12">
        <v>97.5</v>
      </c>
      <c r="F12" t="s">
        <v>515</v>
      </c>
      <c r="G12">
        <v>0.85</v>
      </c>
    </row>
    <row r="13" spans="2:8" hidden="1">
      <c r="B13" s="43">
        <v>44405</v>
      </c>
      <c r="C13" t="s">
        <v>123</v>
      </c>
      <c r="D13" s="48">
        <v>44406</v>
      </c>
      <c r="E13">
        <v>97.5</v>
      </c>
      <c r="F13" t="s">
        <v>514</v>
      </c>
      <c r="G13">
        <v>32.35</v>
      </c>
    </row>
    <row r="14" spans="2:8" hidden="1">
      <c r="B14" s="43">
        <v>44405</v>
      </c>
      <c r="C14" t="s">
        <v>123</v>
      </c>
      <c r="D14" s="48">
        <v>44406</v>
      </c>
      <c r="E14">
        <v>97.5</v>
      </c>
      <c r="F14" t="s">
        <v>515</v>
      </c>
      <c r="G14">
        <v>0.85</v>
      </c>
    </row>
    <row r="15" spans="2:8" hidden="1">
      <c r="B15" s="43">
        <v>44406</v>
      </c>
      <c r="C15" t="s">
        <v>123</v>
      </c>
      <c r="D15" s="48">
        <v>44406</v>
      </c>
      <c r="E15">
        <v>97.5</v>
      </c>
      <c r="F15" t="s">
        <v>514</v>
      </c>
      <c r="G15">
        <v>32.35</v>
      </c>
    </row>
    <row r="16" spans="2:8" hidden="1">
      <c r="B16" s="43">
        <v>44406</v>
      </c>
      <c r="C16" t="s">
        <v>123</v>
      </c>
      <c r="D16" s="48">
        <v>44406</v>
      </c>
      <c r="E16">
        <v>97.5</v>
      </c>
      <c r="F16" t="s">
        <v>515</v>
      </c>
      <c r="G16">
        <v>0.85</v>
      </c>
    </row>
    <row r="17" spans="2:7" hidden="1">
      <c r="B17" s="43">
        <v>44404</v>
      </c>
      <c r="C17" t="s">
        <v>123</v>
      </c>
      <c r="D17" s="48">
        <v>44406</v>
      </c>
      <c r="E17">
        <v>100</v>
      </c>
      <c r="F17" t="s">
        <v>514</v>
      </c>
      <c r="G17">
        <v>30.15</v>
      </c>
    </row>
    <row r="18" spans="2:7" hidden="1">
      <c r="B18" s="43">
        <v>44404</v>
      </c>
      <c r="C18" t="s">
        <v>123</v>
      </c>
      <c r="D18" s="48">
        <v>44406</v>
      </c>
      <c r="E18">
        <v>100</v>
      </c>
      <c r="F18" t="s">
        <v>515</v>
      </c>
      <c r="G18">
        <v>0.1</v>
      </c>
    </row>
    <row r="19" spans="2:7" hidden="1">
      <c r="B19" s="43">
        <v>44405</v>
      </c>
      <c r="C19" t="s">
        <v>123</v>
      </c>
      <c r="D19" s="48">
        <v>44406</v>
      </c>
      <c r="E19">
        <v>100</v>
      </c>
      <c r="F19" t="s">
        <v>514</v>
      </c>
      <c r="G19">
        <v>30.15</v>
      </c>
    </row>
    <row r="20" spans="2:7" hidden="1">
      <c r="B20" s="43">
        <v>44405</v>
      </c>
      <c r="C20" t="s">
        <v>123</v>
      </c>
      <c r="D20" s="48">
        <v>44406</v>
      </c>
      <c r="E20">
        <v>100</v>
      </c>
      <c r="F20" t="s">
        <v>515</v>
      </c>
      <c r="G20">
        <v>0.1</v>
      </c>
    </row>
    <row r="21" spans="2:7" hidden="1">
      <c r="B21" s="43">
        <v>44406</v>
      </c>
      <c r="C21" t="s">
        <v>123</v>
      </c>
      <c r="D21" s="48">
        <v>44406</v>
      </c>
      <c r="E21">
        <v>100</v>
      </c>
      <c r="F21" t="s">
        <v>514</v>
      </c>
      <c r="G21">
        <v>30.15</v>
      </c>
    </row>
    <row r="22" spans="2:7" hidden="1">
      <c r="B22" s="43">
        <v>44406</v>
      </c>
      <c r="C22" t="s">
        <v>123</v>
      </c>
      <c r="D22" s="48">
        <v>44406</v>
      </c>
      <c r="E22">
        <v>100</v>
      </c>
      <c r="F22" t="s">
        <v>515</v>
      </c>
      <c r="G22">
        <v>0.1</v>
      </c>
    </row>
    <row r="23" spans="2:7" hidden="1">
      <c r="B23" s="43">
        <v>44404</v>
      </c>
      <c r="C23" t="s">
        <v>123</v>
      </c>
      <c r="D23" s="48">
        <v>44406</v>
      </c>
      <c r="E23">
        <v>102.5</v>
      </c>
      <c r="F23" t="s">
        <v>514</v>
      </c>
      <c r="G23">
        <v>28</v>
      </c>
    </row>
    <row r="24" spans="2:7" hidden="1">
      <c r="B24" s="43">
        <v>44404</v>
      </c>
      <c r="C24" t="s">
        <v>123</v>
      </c>
      <c r="D24" s="48">
        <v>44406</v>
      </c>
      <c r="E24">
        <v>102.5</v>
      </c>
      <c r="F24" t="s">
        <v>515</v>
      </c>
      <c r="G24">
        <v>0.05</v>
      </c>
    </row>
    <row r="25" spans="2:7" hidden="1">
      <c r="B25" s="43">
        <v>44405</v>
      </c>
      <c r="C25" t="s">
        <v>123</v>
      </c>
      <c r="D25" s="48">
        <v>44406</v>
      </c>
      <c r="E25">
        <v>102.5</v>
      </c>
      <c r="F25" t="s">
        <v>514</v>
      </c>
      <c r="G25">
        <v>28</v>
      </c>
    </row>
    <row r="26" spans="2:7" hidden="1">
      <c r="B26" s="43">
        <v>44405</v>
      </c>
      <c r="C26" t="s">
        <v>123</v>
      </c>
      <c r="D26" s="48">
        <v>44406</v>
      </c>
      <c r="E26">
        <v>102.5</v>
      </c>
      <c r="F26" t="s">
        <v>515</v>
      </c>
      <c r="G26">
        <v>0.05</v>
      </c>
    </row>
    <row r="27" spans="2:7" hidden="1">
      <c r="B27" s="43">
        <v>44406</v>
      </c>
      <c r="C27" t="s">
        <v>123</v>
      </c>
      <c r="D27" s="48">
        <v>44406</v>
      </c>
      <c r="E27">
        <v>102.5</v>
      </c>
      <c r="F27" t="s">
        <v>514</v>
      </c>
      <c r="G27">
        <v>28</v>
      </c>
    </row>
    <row r="28" spans="2:7" hidden="1">
      <c r="B28" s="43">
        <v>44406</v>
      </c>
      <c r="C28" t="s">
        <v>123</v>
      </c>
      <c r="D28" s="48">
        <v>44406</v>
      </c>
      <c r="E28">
        <v>102.5</v>
      </c>
      <c r="F28" t="s">
        <v>515</v>
      </c>
      <c r="G28">
        <v>0.05</v>
      </c>
    </row>
    <row r="29" spans="2:7" hidden="1">
      <c r="B29" s="43">
        <v>44404</v>
      </c>
      <c r="C29" t="s">
        <v>123</v>
      </c>
      <c r="D29" s="48">
        <v>44406</v>
      </c>
      <c r="E29">
        <v>105</v>
      </c>
      <c r="F29" t="s">
        <v>514</v>
      </c>
      <c r="G29">
        <v>25.9</v>
      </c>
    </row>
    <row r="30" spans="2:7" hidden="1">
      <c r="B30" s="43">
        <v>44404</v>
      </c>
      <c r="C30" t="s">
        <v>123</v>
      </c>
      <c r="D30" s="48">
        <v>44406</v>
      </c>
      <c r="E30">
        <v>105</v>
      </c>
      <c r="F30" t="s">
        <v>515</v>
      </c>
      <c r="G30">
        <v>1.9</v>
      </c>
    </row>
    <row r="31" spans="2:7" hidden="1">
      <c r="B31" s="43">
        <v>44405</v>
      </c>
      <c r="C31" t="s">
        <v>123</v>
      </c>
      <c r="D31" s="48">
        <v>44406</v>
      </c>
      <c r="E31">
        <v>105</v>
      </c>
      <c r="F31" t="s">
        <v>514</v>
      </c>
      <c r="G31">
        <v>25.9</v>
      </c>
    </row>
    <row r="32" spans="2:7" hidden="1">
      <c r="B32" s="43">
        <v>44405</v>
      </c>
      <c r="C32" t="s">
        <v>123</v>
      </c>
      <c r="D32" s="48">
        <v>44406</v>
      </c>
      <c r="E32">
        <v>105</v>
      </c>
      <c r="F32" t="s">
        <v>515</v>
      </c>
      <c r="G32">
        <v>1.9</v>
      </c>
    </row>
    <row r="33" spans="2:7" hidden="1">
      <c r="B33" s="43">
        <v>44406</v>
      </c>
      <c r="C33" t="s">
        <v>123</v>
      </c>
      <c r="D33" s="48">
        <v>44406</v>
      </c>
      <c r="E33">
        <v>105</v>
      </c>
      <c r="F33" t="s">
        <v>514</v>
      </c>
      <c r="G33">
        <v>25.9</v>
      </c>
    </row>
    <row r="34" spans="2:7" hidden="1">
      <c r="B34" s="43">
        <v>44406</v>
      </c>
      <c r="C34" t="s">
        <v>123</v>
      </c>
      <c r="D34" s="48">
        <v>44406</v>
      </c>
      <c r="E34">
        <v>105</v>
      </c>
      <c r="F34" t="s">
        <v>515</v>
      </c>
      <c r="G34">
        <v>1.9</v>
      </c>
    </row>
    <row r="35" spans="2:7" hidden="1">
      <c r="B35" s="43">
        <v>44404</v>
      </c>
      <c r="C35" t="s">
        <v>123</v>
      </c>
      <c r="D35" s="48">
        <v>44406</v>
      </c>
      <c r="E35">
        <v>107.5</v>
      </c>
      <c r="F35" t="s">
        <v>514</v>
      </c>
      <c r="G35">
        <v>23.9</v>
      </c>
    </row>
    <row r="36" spans="2:7" hidden="1">
      <c r="B36" s="43">
        <v>44404</v>
      </c>
      <c r="C36" t="s">
        <v>123</v>
      </c>
      <c r="D36" s="48">
        <v>44406</v>
      </c>
      <c r="E36">
        <v>107.5</v>
      </c>
      <c r="F36" t="s">
        <v>515</v>
      </c>
      <c r="G36">
        <v>2.35</v>
      </c>
    </row>
    <row r="37" spans="2:7" hidden="1">
      <c r="B37" s="43">
        <v>44405</v>
      </c>
      <c r="C37" t="s">
        <v>123</v>
      </c>
      <c r="D37" s="48">
        <v>44406</v>
      </c>
      <c r="E37">
        <v>107.5</v>
      </c>
      <c r="F37" t="s">
        <v>514</v>
      </c>
      <c r="G37">
        <v>23.9</v>
      </c>
    </row>
    <row r="38" spans="2:7" hidden="1">
      <c r="B38" s="43">
        <v>44405</v>
      </c>
      <c r="C38" t="s">
        <v>123</v>
      </c>
      <c r="D38" s="48">
        <v>44406</v>
      </c>
      <c r="E38">
        <v>107.5</v>
      </c>
      <c r="F38" t="s">
        <v>515</v>
      </c>
      <c r="G38">
        <v>2.35</v>
      </c>
    </row>
    <row r="39" spans="2:7" hidden="1">
      <c r="B39" s="43">
        <v>44406</v>
      </c>
      <c r="C39" t="s">
        <v>123</v>
      </c>
      <c r="D39" s="48">
        <v>44406</v>
      </c>
      <c r="E39">
        <v>107.5</v>
      </c>
      <c r="F39" t="s">
        <v>514</v>
      </c>
      <c r="G39">
        <v>23.9</v>
      </c>
    </row>
    <row r="40" spans="2:7" hidden="1">
      <c r="B40" s="43">
        <v>44406</v>
      </c>
      <c r="C40" t="s">
        <v>123</v>
      </c>
      <c r="D40" s="48">
        <v>44406</v>
      </c>
      <c r="E40">
        <v>107.5</v>
      </c>
      <c r="F40" t="s">
        <v>515</v>
      </c>
      <c r="G40">
        <v>2.35</v>
      </c>
    </row>
    <row r="41" spans="2:7" hidden="1">
      <c r="B41" s="43">
        <v>44404</v>
      </c>
      <c r="C41" t="s">
        <v>123</v>
      </c>
      <c r="D41" s="48">
        <v>44406</v>
      </c>
      <c r="E41">
        <v>110</v>
      </c>
      <c r="F41" t="s">
        <v>514</v>
      </c>
      <c r="G41">
        <v>22</v>
      </c>
    </row>
    <row r="42" spans="2:7" hidden="1">
      <c r="B42" s="43">
        <v>44404</v>
      </c>
      <c r="C42" t="s">
        <v>123</v>
      </c>
      <c r="D42" s="48">
        <v>44406</v>
      </c>
      <c r="E42">
        <v>110</v>
      </c>
      <c r="F42" t="s">
        <v>515</v>
      </c>
      <c r="G42">
        <v>0.15</v>
      </c>
    </row>
    <row r="43" spans="2:7" hidden="1">
      <c r="B43" s="43">
        <v>44405</v>
      </c>
      <c r="C43" t="s">
        <v>123</v>
      </c>
      <c r="D43" s="48">
        <v>44406</v>
      </c>
      <c r="E43">
        <v>110</v>
      </c>
      <c r="F43" t="s">
        <v>514</v>
      </c>
      <c r="G43">
        <v>22</v>
      </c>
    </row>
    <row r="44" spans="2:7" hidden="1">
      <c r="B44" s="43">
        <v>44405</v>
      </c>
      <c r="C44" t="s">
        <v>123</v>
      </c>
      <c r="D44" s="48">
        <v>44406</v>
      </c>
      <c r="E44">
        <v>110</v>
      </c>
      <c r="F44" t="s">
        <v>515</v>
      </c>
      <c r="G44">
        <v>0.15</v>
      </c>
    </row>
    <row r="45" spans="2:7" hidden="1">
      <c r="B45" s="43">
        <v>44406</v>
      </c>
      <c r="C45" t="s">
        <v>123</v>
      </c>
      <c r="D45" s="48">
        <v>44406</v>
      </c>
      <c r="E45">
        <v>110</v>
      </c>
      <c r="F45" t="s">
        <v>514</v>
      </c>
      <c r="G45">
        <v>22</v>
      </c>
    </row>
    <row r="46" spans="2:7" hidden="1">
      <c r="B46" s="43">
        <v>44406</v>
      </c>
      <c r="C46" t="s">
        <v>123</v>
      </c>
      <c r="D46" s="48">
        <v>44406</v>
      </c>
      <c r="E46">
        <v>110</v>
      </c>
      <c r="F46" t="s">
        <v>515</v>
      </c>
      <c r="G46">
        <v>0.15</v>
      </c>
    </row>
    <row r="47" spans="2:7" hidden="1">
      <c r="B47" s="43">
        <v>44404</v>
      </c>
      <c r="C47" t="s">
        <v>123</v>
      </c>
      <c r="D47" s="48">
        <v>44406</v>
      </c>
      <c r="E47">
        <v>112.5</v>
      </c>
      <c r="F47" t="s">
        <v>514</v>
      </c>
      <c r="G47">
        <v>20.2</v>
      </c>
    </row>
    <row r="48" spans="2:7" hidden="1">
      <c r="B48" s="43">
        <v>44404</v>
      </c>
      <c r="C48" t="s">
        <v>123</v>
      </c>
      <c r="D48" s="48">
        <v>44406</v>
      </c>
      <c r="E48">
        <v>112.5</v>
      </c>
      <c r="F48" t="s">
        <v>515</v>
      </c>
      <c r="G48">
        <v>0.15</v>
      </c>
    </row>
    <row r="49" spans="2:7" hidden="1">
      <c r="B49" s="43">
        <v>44405</v>
      </c>
      <c r="C49" t="s">
        <v>123</v>
      </c>
      <c r="D49" s="48">
        <v>44406</v>
      </c>
      <c r="E49">
        <v>112.5</v>
      </c>
      <c r="F49" t="s">
        <v>514</v>
      </c>
      <c r="G49">
        <v>20.2</v>
      </c>
    </row>
    <row r="50" spans="2:7" hidden="1">
      <c r="B50" s="43">
        <v>44405</v>
      </c>
      <c r="C50" t="s">
        <v>123</v>
      </c>
      <c r="D50" s="48">
        <v>44406</v>
      </c>
      <c r="E50">
        <v>112.5</v>
      </c>
      <c r="F50" t="s">
        <v>515</v>
      </c>
      <c r="G50">
        <v>0.15</v>
      </c>
    </row>
    <row r="51" spans="2:7" hidden="1">
      <c r="B51" s="43">
        <v>44406</v>
      </c>
      <c r="C51" t="s">
        <v>123</v>
      </c>
      <c r="D51" s="48">
        <v>44406</v>
      </c>
      <c r="E51">
        <v>112.5</v>
      </c>
      <c r="F51" t="s">
        <v>514</v>
      </c>
      <c r="G51">
        <v>20.2</v>
      </c>
    </row>
    <row r="52" spans="2:7" hidden="1">
      <c r="B52" s="43">
        <v>44406</v>
      </c>
      <c r="C52" t="s">
        <v>123</v>
      </c>
      <c r="D52" s="48">
        <v>44406</v>
      </c>
      <c r="E52">
        <v>112.5</v>
      </c>
      <c r="F52" t="s">
        <v>515</v>
      </c>
      <c r="G52">
        <v>0.15</v>
      </c>
    </row>
    <row r="53" spans="2:7" hidden="1">
      <c r="B53" s="43">
        <v>44404</v>
      </c>
      <c r="C53" t="s">
        <v>123</v>
      </c>
      <c r="D53" s="48">
        <v>44406</v>
      </c>
      <c r="E53">
        <v>115</v>
      </c>
      <c r="F53" t="s">
        <v>514</v>
      </c>
      <c r="G53">
        <v>18.45</v>
      </c>
    </row>
    <row r="54" spans="2:7" hidden="1">
      <c r="B54" s="43">
        <v>44404</v>
      </c>
      <c r="C54" t="s">
        <v>123</v>
      </c>
      <c r="D54" s="48">
        <v>44406</v>
      </c>
      <c r="E54">
        <v>115</v>
      </c>
      <c r="F54" t="s">
        <v>515</v>
      </c>
      <c r="G54">
        <v>4.3</v>
      </c>
    </row>
    <row r="55" spans="2:7" hidden="1">
      <c r="B55" s="43">
        <v>44405</v>
      </c>
      <c r="C55" t="s">
        <v>123</v>
      </c>
      <c r="D55" s="48">
        <v>44406</v>
      </c>
      <c r="E55">
        <v>115</v>
      </c>
      <c r="F55" t="s">
        <v>514</v>
      </c>
      <c r="G55">
        <v>18.45</v>
      </c>
    </row>
    <row r="56" spans="2:7" hidden="1">
      <c r="B56" s="43">
        <v>44405</v>
      </c>
      <c r="C56" t="s">
        <v>123</v>
      </c>
      <c r="D56" s="48">
        <v>44406</v>
      </c>
      <c r="E56">
        <v>115</v>
      </c>
      <c r="F56" t="s">
        <v>515</v>
      </c>
      <c r="G56">
        <v>4.3</v>
      </c>
    </row>
    <row r="57" spans="2:7" hidden="1">
      <c r="B57" s="43">
        <v>44406</v>
      </c>
      <c r="C57" t="s">
        <v>123</v>
      </c>
      <c r="D57" s="48">
        <v>44406</v>
      </c>
      <c r="E57">
        <v>115</v>
      </c>
      <c r="F57" t="s">
        <v>514</v>
      </c>
      <c r="G57">
        <v>18.45</v>
      </c>
    </row>
    <row r="58" spans="2:7" hidden="1">
      <c r="B58" s="43">
        <v>44406</v>
      </c>
      <c r="C58" t="s">
        <v>123</v>
      </c>
      <c r="D58" s="48">
        <v>44406</v>
      </c>
      <c r="E58">
        <v>115</v>
      </c>
      <c r="F58" t="s">
        <v>515</v>
      </c>
      <c r="G58">
        <v>4.3</v>
      </c>
    </row>
    <row r="59" spans="2:7" hidden="1">
      <c r="B59" s="43">
        <v>44404</v>
      </c>
      <c r="C59" t="s">
        <v>123</v>
      </c>
      <c r="D59" s="48">
        <v>44406</v>
      </c>
      <c r="E59">
        <v>117.5</v>
      </c>
      <c r="F59" t="s">
        <v>514</v>
      </c>
      <c r="G59">
        <v>16.8</v>
      </c>
    </row>
    <row r="60" spans="2:7" hidden="1">
      <c r="B60" s="43">
        <v>44404</v>
      </c>
      <c r="C60" t="s">
        <v>123</v>
      </c>
      <c r="D60" s="48">
        <v>44406</v>
      </c>
      <c r="E60">
        <v>117.5</v>
      </c>
      <c r="F60" t="s">
        <v>515</v>
      </c>
      <c r="G60">
        <v>0.05</v>
      </c>
    </row>
    <row r="61" spans="2:7" hidden="1">
      <c r="B61" s="43">
        <v>44405</v>
      </c>
      <c r="C61" t="s">
        <v>123</v>
      </c>
      <c r="D61" s="48">
        <v>44406</v>
      </c>
      <c r="E61">
        <v>117.5</v>
      </c>
      <c r="F61" t="s">
        <v>514</v>
      </c>
      <c r="G61">
        <v>16.8</v>
      </c>
    </row>
    <row r="62" spans="2:7" hidden="1">
      <c r="B62" s="43">
        <v>44405</v>
      </c>
      <c r="C62" t="s">
        <v>123</v>
      </c>
      <c r="D62" s="48">
        <v>44406</v>
      </c>
      <c r="E62">
        <v>117.5</v>
      </c>
      <c r="F62" t="s">
        <v>515</v>
      </c>
      <c r="G62">
        <v>0.05</v>
      </c>
    </row>
    <row r="63" spans="2:7" hidden="1">
      <c r="B63" s="43">
        <v>44406</v>
      </c>
      <c r="C63" t="s">
        <v>123</v>
      </c>
      <c r="D63" s="48">
        <v>44406</v>
      </c>
      <c r="E63">
        <v>117.5</v>
      </c>
      <c r="F63" t="s">
        <v>514</v>
      </c>
      <c r="G63">
        <v>16.8</v>
      </c>
    </row>
    <row r="64" spans="2:7" hidden="1">
      <c r="B64" s="43">
        <v>44406</v>
      </c>
      <c r="C64" t="s">
        <v>123</v>
      </c>
      <c r="D64" s="48">
        <v>44406</v>
      </c>
      <c r="E64">
        <v>117.5</v>
      </c>
      <c r="F64" t="s">
        <v>515</v>
      </c>
      <c r="G64">
        <v>0.05</v>
      </c>
    </row>
    <row r="65" spans="2:7" hidden="1">
      <c r="B65" s="43">
        <v>44404</v>
      </c>
      <c r="C65" t="s">
        <v>123</v>
      </c>
      <c r="D65" s="48">
        <v>44406</v>
      </c>
      <c r="E65">
        <v>120</v>
      </c>
      <c r="F65" t="s">
        <v>514</v>
      </c>
      <c r="G65">
        <v>28.5</v>
      </c>
    </row>
    <row r="66" spans="2:7" hidden="1">
      <c r="B66" s="43">
        <v>44404</v>
      </c>
      <c r="C66" t="s">
        <v>123</v>
      </c>
      <c r="D66" s="48">
        <v>44406</v>
      </c>
      <c r="E66">
        <v>120</v>
      </c>
      <c r="F66" t="s">
        <v>515</v>
      </c>
      <c r="G66">
        <v>0.05</v>
      </c>
    </row>
    <row r="67" spans="2:7" hidden="1">
      <c r="B67" s="43">
        <v>44405</v>
      </c>
      <c r="C67" t="s">
        <v>123</v>
      </c>
      <c r="D67" s="48">
        <v>44406</v>
      </c>
      <c r="E67">
        <v>120</v>
      </c>
      <c r="F67" t="s">
        <v>514</v>
      </c>
      <c r="G67">
        <v>28.5</v>
      </c>
    </row>
    <row r="68" spans="2:7" hidden="1">
      <c r="B68" s="43">
        <v>44405</v>
      </c>
      <c r="C68" t="s">
        <v>123</v>
      </c>
      <c r="D68" s="48">
        <v>44406</v>
      </c>
      <c r="E68">
        <v>120</v>
      </c>
      <c r="F68" t="s">
        <v>515</v>
      </c>
      <c r="G68">
        <v>0.05</v>
      </c>
    </row>
    <row r="69" spans="2:7" hidden="1">
      <c r="B69" s="43">
        <v>44406</v>
      </c>
      <c r="C69" t="s">
        <v>123</v>
      </c>
      <c r="D69" s="48">
        <v>44406</v>
      </c>
      <c r="E69">
        <v>120</v>
      </c>
      <c r="F69" t="s">
        <v>514</v>
      </c>
      <c r="G69">
        <v>28.5</v>
      </c>
    </row>
    <row r="70" spans="2:7" hidden="1">
      <c r="B70" s="43">
        <v>44406</v>
      </c>
      <c r="C70" t="s">
        <v>123</v>
      </c>
      <c r="D70" s="48">
        <v>44406</v>
      </c>
      <c r="E70">
        <v>120</v>
      </c>
      <c r="F70" t="s">
        <v>515</v>
      </c>
      <c r="G70">
        <v>0.05</v>
      </c>
    </row>
    <row r="71" spans="2:7" hidden="1">
      <c r="B71" s="43">
        <v>44404</v>
      </c>
      <c r="C71" t="s">
        <v>123</v>
      </c>
      <c r="D71" s="48">
        <v>44406</v>
      </c>
      <c r="E71">
        <v>122.5</v>
      </c>
      <c r="F71" t="s">
        <v>514</v>
      </c>
      <c r="G71">
        <v>13.8</v>
      </c>
    </row>
    <row r="72" spans="2:7" hidden="1">
      <c r="B72" s="43">
        <v>44404</v>
      </c>
      <c r="C72" t="s">
        <v>123</v>
      </c>
      <c r="D72" s="48">
        <v>44406</v>
      </c>
      <c r="E72">
        <v>122.5</v>
      </c>
      <c r="F72" t="s">
        <v>515</v>
      </c>
      <c r="G72">
        <v>0.05</v>
      </c>
    </row>
    <row r="73" spans="2:7" hidden="1">
      <c r="B73" s="43">
        <v>44405</v>
      </c>
      <c r="C73" t="s">
        <v>123</v>
      </c>
      <c r="D73" s="48">
        <v>44406</v>
      </c>
      <c r="E73">
        <v>122.5</v>
      </c>
      <c r="F73" t="s">
        <v>514</v>
      </c>
      <c r="G73">
        <v>13.8</v>
      </c>
    </row>
    <row r="74" spans="2:7" hidden="1">
      <c r="B74" s="43">
        <v>44405</v>
      </c>
      <c r="C74" t="s">
        <v>123</v>
      </c>
      <c r="D74" s="48">
        <v>44406</v>
      </c>
      <c r="E74">
        <v>122.5</v>
      </c>
      <c r="F74" t="s">
        <v>515</v>
      </c>
      <c r="G74">
        <v>0.05</v>
      </c>
    </row>
    <row r="75" spans="2:7" hidden="1">
      <c r="B75" s="43">
        <v>44406</v>
      </c>
      <c r="C75" t="s">
        <v>123</v>
      </c>
      <c r="D75" s="48">
        <v>44406</v>
      </c>
      <c r="E75">
        <v>122.5</v>
      </c>
      <c r="F75" t="s">
        <v>514</v>
      </c>
      <c r="G75">
        <v>13.8</v>
      </c>
    </row>
    <row r="76" spans="2:7" hidden="1">
      <c r="B76" s="43">
        <v>44406</v>
      </c>
      <c r="C76" t="s">
        <v>123</v>
      </c>
      <c r="D76" s="48">
        <v>44406</v>
      </c>
      <c r="E76">
        <v>122.5</v>
      </c>
      <c r="F76" t="s">
        <v>515</v>
      </c>
      <c r="G76">
        <v>0.05</v>
      </c>
    </row>
    <row r="77" spans="2:7" hidden="1">
      <c r="B77" s="43">
        <v>44404</v>
      </c>
      <c r="C77" t="s">
        <v>123</v>
      </c>
      <c r="D77" s="48">
        <v>44406</v>
      </c>
      <c r="E77">
        <v>125</v>
      </c>
      <c r="F77" t="s">
        <v>514</v>
      </c>
      <c r="G77">
        <v>24</v>
      </c>
    </row>
    <row r="78" spans="2:7" hidden="1">
      <c r="B78" s="43">
        <v>44404</v>
      </c>
      <c r="C78" t="s">
        <v>123</v>
      </c>
      <c r="D78" s="48">
        <v>44406</v>
      </c>
      <c r="E78">
        <v>125</v>
      </c>
      <c r="F78" t="s">
        <v>515</v>
      </c>
      <c r="G78">
        <v>0.05</v>
      </c>
    </row>
    <row r="79" spans="2:7" hidden="1">
      <c r="B79" s="43">
        <v>44405</v>
      </c>
      <c r="C79" t="s">
        <v>123</v>
      </c>
      <c r="D79" s="48">
        <v>44406</v>
      </c>
      <c r="E79">
        <v>125</v>
      </c>
      <c r="F79" t="s">
        <v>514</v>
      </c>
      <c r="G79">
        <v>24</v>
      </c>
    </row>
    <row r="80" spans="2:7" hidden="1">
      <c r="B80" s="43">
        <v>44405</v>
      </c>
      <c r="C80" t="s">
        <v>123</v>
      </c>
      <c r="D80" s="48">
        <v>44406</v>
      </c>
      <c r="E80">
        <v>125</v>
      </c>
      <c r="F80" t="s">
        <v>515</v>
      </c>
      <c r="G80">
        <v>0.05</v>
      </c>
    </row>
    <row r="81" spans="2:7" hidden="1">
      <c r="B81" s="43">
        <v>44406</v>
      </c>
      <c r="C81" t="s">
        <v>123</v>
      </c>
      <c r="D81" s="48">
        <v>44406</v>
      </c>
      <c r="E81">
        <v>125</v>
      </c>
      <c r="F81" t="s">
        <v>514</v>
      </c>
      <c r="G81">
        <v>24</v>
      </c>
    </row>
    <row r="82" spans="2:7" hidden="1">
      <c r="B82" s="43">
        <v>44406</v>
      </c>
      <c r="C82" t="s">
        <v>123</v>
      </c>
      <c r="D82" s="48">
        <v>44406</v>
      </c>
      <c r="E82">
        <v>125</v>
      </c>
      <c r="F82" t="s">
        <v>515</v>
      </c>
      <c r="G82">
        <v>0.05</v>
      </c>
    </row>
    <row r="83" spans="2:7" hidden="1">
      <c r="B83" s="43">
        <v>44404</v>
      </c>
      <c r="C83" t="s">
        <v>123</v>
      </c>
      <c r="D83" s="48">
        <v>44406</v>
      </c>
      <c r="E83">
        <v>127.5</v>
      </c>
      <c r="F83" t="s">
        <v>514</v>
      </c>
      <c r="G83">
        <v>11.2</v>
      </c>
    </row>
    <row r="84" spans="2:7" hidden="1">
      <c r="B84" s="43">
        <v>44404</v>
      </c>
      <c r="C84" t="s">
        <v>123</v>
      </c>
      <c r="D84" s="48">
        <v>44406</v>
      </c>
      <c r="E84">
        <v>127.5</v>
      </c>
      <c r="F84" t="s">
        <v>515</v>
      </c>
      <c r="G84">
        <v>9.4499999999999993</v>
      </c>
    </row>
    <row r="85" spans="2:7" hidden="1">
      <c r="B85" s="43">
        <v>44405</v>
      </c>
      <c r="C85" t="s">
        <v>123</v>
      </c>
      <c r="D85" s="48">
        <v>44406</v>
      </c>
      <c r="E85">
        <v>127.5</v>
      </c>
      <c r="F85" t="s">
        <v>514</v>
      </c>
      <c r="G85">
        <v>11.2</v>
      </c>
    </row>
    <row r="86" spans="2:7" hidden="1">
      <c r="B86" s="43">
        <v>44405</v>
      </c>
      <c r="C86" t="s">
        <v>123</v>
      </c>
      <c r="D86" s="48">
        <v>44406</v>
      </c>
      <c r="E86">
        <v>127.5</v>
      </c>
      <c r="F86" t="s">
        <v>515</v>
      </c>
      <c r="G86">
        <v>9.4499999999999993</v>
      </c>
    </row>
    <row r="87" spans="2:7" hidden="1">
      <c r="B87" s="43">
        <v>44406</v>
      </c>
      <c r="C87" t="s">
        <v>123</v>
      </c>
      <c r="D87" s="48">
        <v>44406</v>
      </c>
      <c r="E87">
        <v>127.5</v>
      </c>
      <c r="F87" t="s">
        <v>514</v>
      </c>
      <c r="G87">
        <v>11.2</v>
      </c>
    </row>
    <row r="88" spans="2:7" hidden="1">
      <c r="B88" s="43">
        <v>44406</v>
      </c>
      <c r="C88" t="s">
        <v>123</v>
      </c>
      <c r="D88" s="48">
        <v>44406</v>
      </c>
      <c r="E88">
        <v>127.5</v>
      </c>
      <c r="F88" t="s">
        <v>515</v>
      </c>
      <c r="G88">
        <v>9.4499999999999993</v>
      </c>
    </row>
    <row r="89" spans="2:7" hidden="1">
      <c r="B89" s="43">
        <v>44404</v>
      </c>
      <c r="C89" t="s">
        <v>123</v>
      </c>
      <c r="D89" s="48">
        <v>44406</v>
      </c>
      <c r="E89">
        <v>130</v>
      </c>
      <c r="F89" t="s">
        <v>514</v>
      </c>
      <c r="G89">
        <v>15.5</v>
      </c>
    </row>
    <row r="90" spans="2:7" hidden="1">
      <c r="B90" s="43">
        <v>44404</v>
      </c>
      <c r="C90" t="s">
        <v>123</v>
      </c>
      <c r="D90" s="48">
        <v>44406</v>
      </c>
      <c r="E90">
        <v>130</v>
      </c>
      <c r="F90" t="s">
        <v>515</v>
      </c>
      <c r="G90">
        <v>0.05</v>
      </c>
    </row>
    <row r="91" spans="2:7" hidden="1">
      <c r="B91" s="43">
        <v>44405</v>
      </c>
      <c r="C91" t="s">
        <v>123</v>
      </c>
      <c r="D91" s="48">
        <v>44406</v>
      </c>
      <c r="E91">
        <v>130</v>
      </c>
      <c r="F91" t="s">
        <v>514</v>
      </c>
      <c r="G91">
        <v>15.5</v>
      </c>
    </row>
    <row r="92" spans="2:7" hidden="1">
      <c r="B92" s="43">
        <v>44405</v>
      </c>
      <c r="C92" t="s">
        <v>123</v>
      </c>
      <c r="D92" s="48">
        <v>44406</v>
      </c>
      <c r="E92">
        <v>130</v>
      </c>
      <c r="F92" t="s">
        <v>515</v>
      </c>
      <c r="G92">
        <v>0.05</v>
      </c>
    </row>
    <row r="93" spans="2:7" hidden="1">
      <c r="B93" s="43">
        <v>44406</v>
      </c>
      <c r="C93" t="s">
        <v>123</v>
      </c>
      <c r="D93" s="48">
        <v>44406</v>
      </c>
      <c r="E93">
        <v>130</v>
      </c>
      <c r="F93" t="s">
        <v>514</v>
      </c>
      <c r="G93">
        <v>12.1</v>
      </c>
    </row>
    <row r="94" spans="2:7" hidden="1">
      <c r="B94" s="43">
        <v>44406</v>
      </c>
      <c r="C94" t="s">
        <v>123</v>
      </c>
      <c r="D94" s="48">
        <v>44406</v>
      </c>
      <c r="E94">
        <v>130</v>
      </c>
      <c r="F94" t="s">
        <v>515</v>
      </c>
      <c r="G94">
        <v>0.05</v>
      </c>
    </row>
    <row r="95" spans="2:7" hidden="1">
      <c r="B95" s="43">
        <v>44404</v>
      </c>
      <c r="C95" t="s">
        <v>123</v>
      </c>
      <c r="D95" s="48">
        <v>44406</v>
      </c>
      <c r="E95">
        <v>132.5</v>
      </c>
      <c r="F95" t="s">
        <v>514</v>
      </c>
      <c r="G95">
        <v>9</v>
      </c>
    </row>
    <row r="96" spans="2:7" hidden="1">
      <c r="B96" s="43">
        <v>44404</v>
      </c>
      <c r="C96" t="s">
        <v>123</v>
      </c>
      <c r="D96" s="48">
        <v>44406</v>
      </c>
      <c r="E96">
        <v>132.5</v>
      </c>
      <c r="F96" t="s">
        <v>515</v>
      </c>
      <c r="G96">
        <v>0.05</v>
      </c>
    </row>
    <row r="97" spans="2:7" hidden="1">
      <c r="B97" s="43">
        <v>44405</v>
      </c>
      <c r="C97" t="s">
        <v>123</v>
      </c>
      <c r="D97" s="48">
        <v>44406</v>
      </c>
      <c r="E97">
        <v>132.5</v>
      </c>
      <c r="F97" t="s">
        <v>514</v>
      </c>
      <c r="G97">
        <v>9</v>
      </c>
    </row>
    <row r="98" spans="2:7" hidden="1">
      <c r="B98" s="43">
        <v>44405</v>
      </c>
      <c r="C98" t="s">
        <v>123</v>
      </c>
      <c r="D98" s="48">
        <v>44406</v>
      </c>
      <c r="E98">
        <v>132.5</v>
      </c>
      <c r="F98" t="s">
        <v>515</v>
      </c>
      <c r="G98">
        <v>0.05</v>
      </c>
    </row>
    <row r="99" spans="2:7" hidden="1">
      <c r="B99" s="43">
        <v>44406</v>
      </c>
      <c r="C99" t="s">
        <v>123</v>
      </c>
      <c r="D99" s="48">
        <v>44406</v>
      </c>
      <c r="E99">
        <v>132.5</v>
      </c>
      <c r="F99" t="s">
        <v>514</v>
      </c>
      <c r="G99">
        <v>9</v>
      </c>
    </row>
    <row r="100" spans="2:7" hidden="1">
      <c r="B100" s="43">
        <v>44406</v>
      </c>
      <c r="C100" t="s">
        <v>123</v>
      </c>
      <c r="D100" s="48">
        <v>44406</v>
      </c>
      <c r="E100">
        <v>132.5</v>
      </c>
      <c r="F100" t="s">
        <v>515</v>
      </c>
      <c r="G100">
        <v>0.05</v>
      </c>
    </row>
    <row r="101" spans="2:7" hidden="1">
      <c r="B101" s="43">
        <v>44404</v>
      </c>
      <c r="C101" t="s">
        <v>123</v>
      </c>
      <c r="D101" s="48">
        <v>44406</v>
      </c>
      <c r="E101">
        <v>135</v>
      </c>
      <c r="F101" t="s">
        <v>514</v>
      </c>
      <c r="G101">
        <v>9.5</v>
      </c>
    </row>
    <row r="102" spans="2:7" hidden="1">
      <c r="B102" s="43">
        <v>44404</v>
      </c>
      <c r="C102" t="s">
        <v>123</v>
      </c>
      <c r="D102" s="48">
        <v>44406</v>
      </c>
      <c r="E102">
        <v>135</v>
      </c>
      <c r="F102" t="s">
        <v>515</v>
      </c>
      <c r="G102">
        <v>0.1</v>
      </c>
    </row>
    <row r="103" spans="2:7" hidden="1">
      <c r="B103" s="43">
        <v>44405</v>
      </c>
      <c r="C103" t="s">
        <v>123</v>
      </c>
      <c r="D103" s="48">
        <v>44406</v>
      </c>
      <c r="E103">
        <v>135</v>
      </c>
      <c r="F103" t="s">
        <v>514</v>
      </c>
      <c r="G103">
        <v>7.55</v>
      </c>
    </row>
    <row r="104" spans="2:7" hidden="1">
      <c r="B104" s="43">
        <v>44405</v>
      </c>
      <c r="C104" t="s">
        <v>123</v>
      </c>
      <c r="D104" s="48">
        <v>44406</v>
      </c>
      <c r="E104">
        <v>135</v>
      </c>
      <c r="F104" t="s">
        <v>515</v>
      </c>
      <c r="G104">
        <v>0.05</v>
      </c>
    </row>
    <row r="105" spans="2:7" hidden="1">
      <c r="B105" s="43">
        <v>44406</v>
      </c>
      <c r="C105" t="s">
        <v>123</v>
      </c>
      <c r="D105" s="48">
        <v>44406</v>
      </c>
      <c r="E105">
        <v>135</v>
      </c>
      <c r="F105" t="s">
        <v>514</v>
      </c>
      <c r="G105">
        <v>7.25</v>
      </c>
    </row>
    <row r="106" spans="2:7" hidden="1">
      <c r="B106" s="43">
        <v>44406</v>
      </c>
      <c r="C106" t="s">
        <v>123</v>
      </c>
      <c r="D106" s="48">
        <v>44406</v>
      </c>
      <c r="E106">
        <v>135</v>
      </c>
      <c r="F106" t="s">
        <v>515</v>
      </c>
      <c r="G106">
        <v>0.05</v>
      </c>
    </row>
    <row r="107" spans="2:7" hidden="1">
      <c r="B107" s="43">
        <v>44404</v>
      </c>
      <c r="C107" t="s">
        <v>123</v>
      </c>
      <c r="D107" s="48">
        <v>44406</v>
      </c>
      <c r="E107">
        <v>137.5</v>
      </c>
      <c r="F107" t="s">
        <v>514</v>
      </c>
      <c r="G107">
        <v>6.95</v>
      </c>
    </row>
    <row r="108" spans="2:7" hidden="1">
      <c r="B108" s="43">
        <v>44404</v>
      </c>
      <c r="C108" t="s">
        <v>123</v>
      </c>
      <c r="D108" s="48">
        <v>44406</v>
      </c>
      <c r="E108">
        <v>137.5</v>
      </c>
      <c r="F108" t="s">
        <v>515</v>
      </c>
      <c r="G108">
        <v>0.15</v>
      </c>
    </row>
    <row r="109" spans="2:7" hidden="1">
      <c r="B109" s="43">
        <v>44405</v>
      </c>
      <c r="C109" t="s">
        <v>123</v>
      </c>
      <c r="D109" s="48">
        <v>44406</v>
      </c>
      <c r="E109">
        <v>137.5</v>
      </c>
      <c r="F109" t="s">
        <v>514</v>
      </c>
      <c r="G109">
        <v>4.75</v>
      </c>
    </row>
    <row r="110" spans="2:7" hidden="1">
      <c r="B110" s="43">
        <v>44405</v>
      </c>
      <c r="C110" t="s">
        <v>123</v>
      </c>
      <c r="D110" s="48">
        <v>44406</v>
      </c>
      <c r="E110">
        <v>137.5</v>
      </c>
      <c r="F110" t="s">
        <v>515</v>
      </c>
      <c r="G110">
        <v>0.05</v>
      </c>
    </row>
    <row r="111" spans="2:7" hidden="1">
      <c r="B111" s="43">
        <v>44406</v>
      </c>
      <c r="C111" t="s">
        <v>123</v>
      </c>
      <c r="D111" s="48">
        <v>44406</v>
      </c>
      <c r="E111">
        <v>137.5</v>
      </c>
      <c r="F111" t="s">
        <v>514</v>
      </c>
      <c r="G111">
        <v>5.15</v>
      </c>
    </row>
    <row r="112" spans="2:7" hidden="1">
      <c r="B112" s="43">
        <v>44406</v>
      </c>
      <c r="C112" t="s">
        <v>123</v>
      </c>
      <c r="D112" s="48">
        <v>44406</v>
      </c>
      <c r="E112">
        <v>137.5</v>
      </c>
      <c r="F112" t="s">
        <v>515</v>
      </c>
      <c r="G112">
        <v>0.05</v>
      </c>
    </row>
    <row r="113" spans="2:7" hidden="1">
      <c r="B113" s="43">
        <v>44404</v>
      </c>
      <c r="C113" t="s">
        <v>123</v>
      </c>
      <c r="D113" s="48">
        <v>44406</v>
      </c>
      <c r="E113">
        <v>140</v>
      </c>
      <c r="F113" t="s">
        <v>514</v>
      </c>
      <c r="G113">
        <v>2.75</v>
      </c>
    </row>
    <row r="114" spans="2:7" hidden="1">
      <c r="B114" s="43">
        <v>44404</v>
      </c>
      <c r="C114" t="s">
        <v>123</v>
      </c>
      <c r="D114" s="48">
        <v>44406</v>
      </c>
      <c r="E114">
        <v>140</v>
      </c>
      <c r="F114" t="s">
        <v>515</v>
      </c>
      <c r="G114">
        <v>0.4</v>
      </c>
    </row>
    <row r="115" spans="2:7" hidden="1">
      <c r="B115" s="43">
        <v>44405</v>
      </c>
      <c r="C115" t="s">
        <v>123</v>
      </c>
      <c r="D115" s="48">
        <v>44406</v>
      </c>
      <c r="E115">
        <v>140</v>
      </c>
      <c r="F115" t="s">
        <v>514</v>
      </c>
      <c r="G115">
        <v>3.7</v>
      </c>
    </row>
    <row r="116" spans="2:7" hidden="1">
      <c r="B116" s="43">
        <v>44405</v>
      </c>
      <c r="C116" t="s">
        <v>123</v>
      </c>
      <c r="D116" s="48">
        <v>44406</v>
      </c>
      <c r="E116">
        <v>140</v>
      </c>
      <c r="F116" t="s">
        <v>515</v>
      </c>
      <c r="G116">
        <v>0.15</v>
      </c>
    </row>
    <row r="117" spans="2:7" hidden="1">
      <c r="B117" s="43">
        <v>44406</v>
      </c>
      <c r="C117" t="s">
        <v>123</v>
      </c>
      <c r="D117" s="48">
        <v>44406</v>
      </c>
      <c r="E117">
        <v>140</v>
      </c>
      <c r="F117" t="s">
        <v>514</v>
      </c>
      <c r="G117">
        <v>1.95</v>
      </c>
    </row>
    <row r="118" spans="2:7" hidden="1">
      <c r="B118" s="43">
        <v>44406</v>
      </c>
      <c r="C118" t="s">
        <v>123</v>
      </c>
      <c r="D118" s="48">
        <v>44406</v>
      </c>
      <c r="E118">
        <v>140</v>
      </c>
      <c r="F118" t="s">
        <v>515</v>
      </c>
      <c r="G118">
        <v>0.05</v>
      </c>
    </row>
    <row r="119" spans="2:7" hidden="1">
      <c r="B119" s="43">
        <v>44404</v>
      </c>
      <c r="C119" t="s">
        <v>123</v>
      </c>
      <c r="D119" s="48">
        <v>44406</v>
      </c>
      <c r="E119">
        <v>142.5</v>
      </c>
      <c r="F119" t="s">
        <v>514</v>
      </c>
      <c r="G119">
        <v>0.95</v>
      </c>
    </row>
    <row r="120" spans="2:7" hidden="1">
      <c r="B120" s="43">
        <v>44404</v>
      </c>
      <c r="C120" t="s">
        <v>123</v>
      </c>
      <c r="D120" s="48">
        <v>44406</v>
      </c>
      <c r="E120">
        <v>142.5</v>
      </c>
      <c r="F120" t="s">
        <v>515</v>
      </c>
      <c r="G120">
        <v>1.1000000000000001</v>
      </c>
    </row>
    <row r="121" spans="2:7" hidden="1">
      <c r="B121" s="43">
        <v>44405</v>
      </c>
      <c r="C121" t="s">
        <v>123</v>
      </c>
      <c r="D121" s="48">
        <v>44406</v>
      </c>
      <c r="E121">
        <v>142.5</v>
      </c>
      <c r="F121" t="s">
        <v>514</v>
      </c>
      <c r="G121">
        <v>1.65</v>
      </c>
    </row>
    <row r="122" spans="2:7" hidden="1">
      <c r="B122" s="43">
        <v>44405</v>
      </c>
      <c r="C122" t="s">
        <v>123</v>
      </c>
      <c r="D122" s="48">
        <v>44406</v>
      </c>
      <c r="E122">
        <v>142.5</v>
      </c>
      <c r="F122" t="s">
        <v>515</v>
      </c>
      <c r="G122">
        <v>0.3</v>
      </c>
    </row>
    <row r="123" spans="2:7" hidden="1">
      <c r="B123" s="43">
        <v>44406</v>
      </c>
      <c r="C123" t="s">
        <v>123</v>
      </c>
      <c r="D123" s="48">
        <v>44406</v>
      </c>
      <c r="E123">
        <v>142.5</v>
      </c>
      <c r="F123" t="s">
        <v>514</v>
      </c>
      <c r="G123">
        <v>0.05</v>
      </c>
    </row>
    <row r="124" spans="2:7" hidden="1">
      <c r="B124" s="43">
        <v>44406</v>
      </c>
      <c r="C124" t="s">
        <v>123</v>
      </c>
      <c r="D124" s="48">
        <v>44406</v>
      </c>
      <c r="E124">
        <v>142.5</v>
      </c>
      <c r="F124" t="s">
        <v>515</v>
      </c>
      <c r="G124">
        <v>0.4</v>
      </c>
    </row>
    <row r="125" spans="2:7" hidden="1">
      <c r="B125" s="43">
        <v>44404</v>
      </c>
      <c r="C125" t="s">
        <v>123</v>
      </c>
      <c r="D125" s="48">
        <v>44406</v>
      </c>
      <c r="E125">
        <v>145</v>
      </c>
      <c r="F125" t="s">
        <v>514</v>
      </c>
      <c r="G125">
        <v>0.45</v>
      </c>
    </row>
    <row r="126" spans="2:7" hidden="1">
      <c r="B126" s="43">
        <v>44404</v>
      </c>
      <c r="C126" t="s">
        <v>123</v>
      </c>
      <c r="D126" s="48">
        <v>44406</v>
      </c>
      <c r="E126">
        <v>145</v>
      </c>
      <c r="F126" t="s">
        <v>515</v>
      </c>
      <c r="G126">
        <v>3.05</v>
      </c>
    </row>
    <row r="127" spans="2:7" hidden="1">
      <c r="B127" s="43">
        <v>44405</v>
      </c>
      <c r="C127" t="s">
        <v>123</v>
      </c>
      <c r="D127" s="48">
        <v>44406</v>
      </c>
      <c r="E127">
        <v>145</v>
      </c>
      <c r="F127" t="s">
        <v>514</v>
      </c>
      <c r="G127">
        <v>0.6</v>
      </c>
    </row>
    <row r="128" spans="2:7" hidden="1">
      <c r="B128" s="43">
        <v>44405</v>
      </c>
      <c r="C128" t="s">
        <v>123</v>
      </c>
      <c r="D128" s="48">
        <v>44406</v>
      </c>
      <c r="E128">
        <v>145</v>
      </c>
      <c r="F128" t="s">
        <v>515</v>
      </c>
      <c r="G128">
        <v>1.65</v>
      </c>
    </row>
    <row r="129" spans="2:7" hidden="1">
      <c r="B129" s="43">
        <v>44406</v>
      </c>
      <c r="C129" t="s">
        <v>123</v>
      </c>
      <c r="D129" s="48">
        <v>44406</v>
      </c>
      <c r="E129">
        <v>145</v>
      </c>
      <c r="F129" t="s">
        <v>514</v>
      </c>
      <c r="G129">
        <v>0.05</v>
      </c>
    </row>
    <row r="130" spans="2:7" hidden="1">
      <c r="B130" s="43">
        <v>44406</v>
      </c>
      <c r="C130" t="s">
        <v>123</v>
      </c>
      <c r="D130" s="48">
        <v>44406</v>
      </c>
      <c r="E130">
        <v>145</v>
      </c>
      <c r="F130" t="s">
        <v>515</v>
      </c>
      <c r="G130">
        <v>2.85</v>
      </c>
    </row>
    <row r="131" spans="2:7" hidden="1">
      <c r="B131" s="43">
        <v>44404</v>
      </c>
      <c r="C131" t="s">
        <v>123</v>
      </c>
      <c r="D131" s="48">
        <v>44406</v>
      </c>
      <c r="E131">
        <v>147.5</v>
      </c>
      <c r="F131" t="s">
        <v>514</v>
      </c>
      <c r="G131">
        <v>0.3</v>
      </c>
    </row>
    <row r="132" spans="2:7" hidden="1">
      <c r="B132" s="43">
        <v>44404</v>
      </c>
      <c r="C132" t="s">
        <v>123</v>
      </c>
      <c r="D132" s="48">
        <v>44406</v>
      </c>
      <c r="E132">
        <v>147.5</v>
      </c>
      <c r="F132" t="s">
        <v>515</v>
      </c>
      <c r="G132">
        <v>5.4</v>
      </c>
    </row>
    <row r="133" spans="2:7" hidden="1">
      <c r="B133" s="43">
        <v>44405</v>
      </c>
      <c r="C133" t="s">
        <v>123</v>
      </c>
      <c r="D133" s="48">
        <v>44406</v>
      </c>
      <c r="E133">
        <v>147.5</v>
      </c>
      <c r="F133" t="s">
        <v>514</v>
      </c>
      <c r="G133">
        <v>0.25</v>
      </c>
    </row>
    <row r="134" spans="2:7" hidden="1">
      <c r="B134" s="43">
        <v>44405</v>
      </c>
      <c r="C134" t="s">
        <v>123</v>
      </c>
      <c r="D134" s="48">
        <v>44406</v>
      </c>
      <c r="E134">
        <v>147.5</v>
      </c>
      <c r="F134" t="s">
        <v>515</v>
      </c>
      <c r="G134">
        <v>3.75</v>
      </c>
    </row>
    <row r="135" spans="2:7" hidden="1">
      <c r="B135" s="43">
        <v>44406</v>
      </c>
      <c r="C135" t="s">
        <v>123</v>
      </c>
      <c r="D135" s="48">
        <v>44406</v>
      </c>
      <c r="E135">
        <v>147.5</v>
      </c>
      <c r="F135" t="s">
        <v>514</v>
      </c>
      <c r="G135">
        <v>0.05</v>
      </c>
    </row>
    <row r="136" spans="2:7" hidden="1">
      <c r="B136" s="43">
        <v>44406</v>
      </c>
      <c r="C136" t="s">
        <v>123</v>
      </c>
      <c r="D136" s="48">
        <v>44406</v>
      </c>
      <c r="E136">
        <v>147.5</v>
      </c>
      <c r="F136" t="s">
        <v>515</v>
      </c>
      <c r="G136">
        <v>5.55</v>
      </c>
    </row>
    <row r="137" spans="2:7" hidden="1">
      <c r="B137" s="43">
        <v>44404</v>
      </c>
      <c r="C137" t="s">
        <v>123</v>
      </c>
      <c r="D137" s="48">
        <v>44406</v>
      </c>
      <c r="E137">
        <v>150</v>
      </c>
      <c r="F137" t="s">
        <v>514</v>
      </c>
      <c r="G137">
        <v>0.2</v>
      </c>
    </row>
    <row r="138" spans="2:7" hidden="1">
      <c r="B138" s="43">
        <v>44404</v>
      </c>
      <c r="C138" t="s">
        <v>123</v>
      </c>
      <c r="D138" s="48">
        <v>44406</v>
      </c>
      <c r="E138">
        <v>150</v>
      </c>
      <c r="F138" t="s">
        <v>515</v>
      </c>
      <c r="G138">
        <v>7.8</v>
      </c>
    </row>
    <row r="139" spans="2:7" hidden="1">
      <c r="B139" s="43">
        <v>44405</v>
      </c>
      <c r="C139" t="s">
        <v>123</v>
      </c>
      <c r="D139" s="48">
        <v>44406</v>
      </c>
      <c r="E139">
        <v>150</v>
      </c>
      <c r="F139" t="s">
        <v>514</v>
      </c>
      <c r="G139">
        <v>0.1</v>
      </c>
    </row>
    <row r="140" spans="2:7" hidden="1">
      <c r="B140" s="43">
        <v>44405</v>
      </c>
      <c r="C140" t="s">
        <v>123</v>
      </c>
      <c r="D140" s="48">
        <v>44406</v>
      </c>
      <c r="E140">
        <v>150</v>
      </c>
      <c r="F140" t="s">
        <v>515</v>
      </c>
      <c r="G140">
        <v>6.2</v>
      </c>
    </row>
    <row r="141" spans="2:7" hidden="1">
      <c r="B141" s="43">
        <v>44406</v>
      </c>
      <c r="C141" t="s">
        <v>123</v>
      </c>
      <c r="D141" s="48">
        <v>44406</v>
      </c>
      <c r="E141">
        <v>150</v>
      </c>
      <c r="F141" t="s">
        <v>514</v>
      </c>
      <c r="G141">
        <v>0.05</v>
      </c>
    </row>
    <row r="142" spans="2:7" hidden="1">
      <c r="B142" s="43">
        <v>44406</v>
      </c>
      <c r="C142" t="s">
        <v>123</v>
      </c>
      <c r="D142" s="48">
        <v>44406</v>
      </c>
      <c r="E142">
        <v>150</v>
      </c>
      <c r="F142" t="s">
        <v>515</v>
      </c>
      <c r="G142">
        <v>7.95</v>
      </c>
    </row>
    <row r="143" spans="2:7" hidden="1">
      <c r="B143" s="43">
        <v>44404</v>
      </c>
      <c r="C143" t="s">
        <v>123</v>
      </c>
      <c r="D143" s="48">
        <v>44406</v>
      </c>
      <c r="E143">
        <v>152.5</v>
      </c>
      <c r="F143" t="s">
        <v>514</v>
      </c>
      <c r="G143">
        <v>0.15</v>
      </c>
    </row>
    <row r="144" spans="2:7" hidden="1">
      <c r="B144" s="43">
        <v>44404</v>
      </c>
      <c r="C144" t="s">
        <v>123</v>
      </c>
      <c r="D144" s="48">
        <v>44406</v>
      </c>
      <c r="E144">
        <v>152.5</v>
      </c>
      <c r="F144" t="s">
        <v>515</v>
      </c>
      <c r="G144">
        <v>9.6999999999999993</v>
      </c>
    </row>
    <row r="145" spans="2:7" hidden="1">
      <c r="B145" s="43">
        <v>44405</v>
      </c>
      <c r="C145" t="s">
        <v>123</v>
      </c>
      <c r="D145" s="48">
        <v>44406</v>
      </c>
      <c r="E145">
        <v>152.5</v>
      </c>
      <c r="F145" t="s">
        <v>514</v>
      </c>
      <c r="G145">
        <v>0.1</v>
      </c>
    </row>
    <row r="146" spans="2:7" hidden="1">
      <c r="B146" s="43">
        <v>44405</v>
      </c>
      <c r="C146" t="s">
        <v>123</v>
      </c>
      <c r="D146" s="48">
        <v>44406</v>
      </c>
      <c r="E146">
        <v>152.5</v>
      </c>
      <c r="F146" t="s">
        <v>515</v>
      </c>
      <c r="G146">
        <v>9.1</v>
      </c>
    </row>
    <row r="147" spans="2:7" hidden="1">
      <c r="B147" s="43">
        <v>44406</v>
      </c>
      <c r="C147" t="s">
        <v>123</v>
      </c>
      <c r="D147" s="48">
        <v>44406</v>
      </c>
      <c r="E147">
        <v>152.5</v>
      </c>
      <c r="F147" t="s">
        <v>514</v>
      </c>
      <c r="G147">
        <v>0.05</v>
      </c>
    </row>
    <row r="148" spans="2:7" hidden="1">
      <c r="B148" s="43">
        <v>44406</v>
      </c>
      <c r="C148" t="s">
        <v>123</v>
      </c>
      <c r="D148" s="48">
        <v>44406</v>
      </c>
      <c r="E148">
        <v>152.5</v>
      </c>
      <c r="F148" t="s">
        <v>515</v>
      </c>
      <c r="G148">
        <v>10.25</v>
      </c>
    </row>
    <row r="149" spans="2:7" hidden="1">
      <c r="B149" s="43">
        <v>44404</v>
      </c>
      <c r="C149" t="s">
        <v>123</v>
      </c>
      <c r="D149" s="48">
        <v>44406</v>
      </c>
      <c r="E149">
        <v>155</v>
      </c>
      <c r="F149" t="s">
        <v>514</v>
      </c>
      <c r="G149">
        <v>0.1</v>
      </c>
    </row>
    <row r="150" spans="2:7" hidden="1">
      <c r="B150" s="43">
        <v>44404</v>
      </c>
      <c r="C150" t="s">
        <v>123</v>
      </c>
      <c r="D150" s="48">
        <v>44406</v>
      </c>
      <c r="E150">
        <v>155</v>
      </c>
      <c r="F150" t="s">
        <v>515</v>
      </c>
      <c r="G150">
        <v>12.8</v>
      </c>
    </row>
    <row r="151" spans="2:7" hidden="1">
      <c r="B151" s="43">
        <v>44405</v>
      </c>
      <c r="C151" t="s">
        <v>123</v>
      </c>
      <c r="D151" s="48">
        <v>44406</v>
      </c>
      <c r="E151">
        <v>155</v>
      </c>
      <c r="F151" t="s">
        <v>514</v>
      </c>
      <c r="G151">
        <v>0.05</v>
      </c>
    </row>
    <row r="152" spans="2:7" hidden="1">
      <c r="B152" s="43">
        <v>44405</v>
      </c>
      <c r="C152" t="s">
        <v>123</v>
      </c>
      <c r="D152" s="48">
        <v>44406</v>
      </c>
      <c r="E152">
        <v>155</v>
      </c>
      <c r="F152" t="s">
        <v>515</v>
      </c>
      <c r="G152">
        <v>11.1</v>
      </c>
    </row>
    <row r="153" spans="2:7" hidden="1">
      <c r="B153" s="43">
        <v>44406</v>
      </c>
      <c r="C153" t="s">
        <v>123</v>
      </c>
      <c r="D153" s="48">
        <v>44406</v>
      </c>
      <c r="E153">
        <v>155</v>
      </c>
      <c r="F153" t="s">
        <v>514</v>
      </c>
      <c r="G153">
        <v>0.05</v>
      </c>
    </row>
    <row r="154" spans="2:7" hidden="1">
      <c r="B154" s="43">
        <v>44406</v>
      </c>
      <c r="C154" t="s">
        <v>123</v>
      </c>
      <c r="D154" s="48">
        <v>44406</v>
      </c>
      <c r="E154">
        <v>155</v>
      </c>
      <c r="F154" t="s">
        <v>515</v>
      </c>
      <c r="G154">
        <v>13</v>
      </c>
    </row>
    <row r="155" spans="2:7" hidden="1">
      <c r="B155" s="43">
        <v>44404</v>
      </c>
      <c r="C155" t="s">
        <v>123</v>
      </c>
      <c r="D155" s="48">
        <v>44406</v>
      </c>
      <c r="E155">
        <v>157.5</v>
      </c>
      <c r="F155" t="s">
        <v>514</v>
      </c>
      <c r="G155">
        <v>0.05</v>
      </c>
    </row>
    <row r="156" spans="2:7" hidden="1">
      <c r="B156" s="43">
        <v>44404</v>
      </c>
      <c r="C156" t="s">
        <v>123</v>
      </c>
      <c r="D156" s="48">
        <v>44406</v>
      </c>
      <c r="E156">
        <v>157.5</v>
      </c>
      <c r="F156" t="s">
        <v>515</v>
      </c>
      <c r="G156">
        <v>12.5</v>
      </c>
    </row>
    <row r="157" spans="2:7" hidden="1">
      <c r="B157" s="43">
        <v>44405</v>
      </c>
      <c r="C157" t="s">
        <v>123</v>
      </c>
      <c r="D157" s="48">
        <v>44406</v>
      </c>
      <c r="E157">
        <v>157.5</v>
      </c>
      <c r="F157" t="s">
        <v>514</v>
      </c>
      <c r="G157">
        <v>0.05</v>
      </c>
    </row>
    <row r="158" spans="2:7" hidden="1">
      <c r="B158" s="43">
        <v>44405</v>
      </c>
      <c r="C158" t="s">
        <v>123</v>
      </c>
      <c r="D158" s="48">
        <v>44406</v>
      </c>
      <c r="E158">
        <v>157.5</v>
      </c>
      <c r="F158" t="s">
        <v>515</v>
      </c>
      <c r="G158">
        <v>12.5</v>
      </c>
    </row>
    <row r="159" spans="2:7" hidden="1">
      <c r="B159" s="43">
        <v>44406</v>
      </c>
      <c r="C159" t="s">
        <v>123</v>
      </c>
      <c r="D159" s="48">
        <v>44406</v>
      </c>
      <c r="E159">
        <v>157.5</v>
      </c>
      <c r="F159" t="s">
        <v>514</v>
      </c>
      <c r="G159">
        <v>0.05</v>
      </c>
    </row>
    <row r="160" spans="2:7" hidden="1">
      <c r="B160" s="43">
        <v>44406</v>
      </c>
      <c r="C160" t="s">
        <v>123</v>
      </c>
      <c r="D160" s="48">
        <v>44406</v>
      </c>
      <c r="E160">
        <v>157.5</v>
      </c>
      <c r="F160" t="s">
        <v>515</v>
      </c>
      <c r="G160">
        <v>15</v>
      </c>
    </row>
    <row r="161" spans="2:7" hidden="1">
      <c r="B161" s="43">
        <v>44404</v>
      </c>
      <c r="C161" t="s">
        <v>123</v>
      </c>
      <c r="D161" s="48">
        <v>44406</v>
      </c>
      <c r="E161">
        <v>160</v>
      </c>
      <c r="F161" t="s">
        <v>514</v>
      </c>
      <c r="G161">
        <v>0.1</v>
      </c>
    </row>
    <row r="162" spans="2:7" hidden="1">
      <c r="B162" s="43">
        <v>44404</v>
      </c>
      <c r="C162" t="s">
        <v>123</v>
      </c>
      <c r="D162" s="48">
        <v>44406</v>
      </c>
      <c r="E162">
        <v>160</v>
      </c>
      <c r="F162" t="s">
        <v>515</v>
      </c>
      <c r="G162">
        <v>17.8</v>
      </c>
    </row>
    <row r="163" spans="2:7" hidden="1">
      <c r="B163" s="43">
        <v>44405</v>
      </c>
      <c r="C163" t="s">
        <v>123</v>
      </c>
      <c r="D163" s="48">
        <v>44406</v>
      </c>
      <c r="E163">
        <v>160</v>
      </c>
      <c r="F163" t="s">
        <v>514</v>
      </c>
      <c r="G163">
        <v>0.05</v>
      </c>
    </row>
    <row r="164" spans="2:7" hidden="1">
      <c r="B164" s="43">
        <v>44405</v>
      </c>
      <c r="C164" t="s">
        <v>123</v>
      </c>
      <c r="D164" s="48">
        <v>44406</v>
      </c>
      <c r="E164">
        <v>160</v>
      </c>
      <c r="F164" t="s">
        <v>515</v>
      </c>
      <c r="G164">
        <v>16.2</v>
      </c>
    </row>
    <row r="165" spans="2:7" hidden="1">
      <c r="B165" s="43">
        <v>44406</v>
      </c>
      <c r="C165" t="s">
        <v>123</v>
      </c>
      <c r="D165" s="48">
        <v>44406</v>
      </c>
      <c r="E165">
        <v>160</v>
      </c>
      <c r="F165" t="s">
        <v>514</v>
      </c>
      <c r="G165">
        <v>0.05</v>
      </c>
    </row>
    <row r="166" spans="2:7" hidden="1">
      <c r="B166" s="43">
        <v>44406</v>
      </c>
      <c r="C166" t="s">
        <v>123</v>
      </c>
      <c r="D166" s="48">
        <v>44406</v>
      </c>
      <c r="E166">
        <v>160</v>
      </c>
      <c r="F166" t="s">
        <v>515</v>
      </c>
      <c r="G166">
        <v>18.149999999999999</v>
      </c>
    </row>
    <row r="167" spans="2:7" hidden="1">
      <c r="B167" s="43">
        <v>44404</v>
      </c>
      <c r="C167" t="s">
        <v>123</v>
      </c>
      <c r="D167" s="48">
        <v>44406</v>
      </c>
      <c r="E167">
        <v>162.5</v>
      </c>
      <c r="F167" t="s">
        <v>514</v>
      </c>
      <c r="G167">
        <v>0.1</v>
      </c>
    </row>
    <row r="168" spans="2:7" hidden="1">
      <c r="B168" s="43">
        <v>44404</v>
      </c>
      <c r="C168" t="s">
        <v>123</v>
      </c>
      <c r="D168" s="48">
        <v>44406</v>
      </c>
      <c r="E168">
        <v>162.5</v>
      </c>
      <c r="F168" t="s">
        <v>515</v>
      </c>
      <c r="G168">
        <v>17.75</v>
      </c>
    </row>
    <row r="169" spans="2:7" hidden="1">
      <c r="B169" s="43">
        <v>44405</v>
      </c>
      <c r="C169" t="s">
        <v>123</v>
      </c>
      <c r="D169" s="48">
        <v>44406</v>
      </c>
      <c r="E169">
        <v>162.5</v>
      </c>
      <c r="F169" t="s">
        <v>514</v>
      </c>
      <c r="G169">
        <v>0.05</v>
      </c>
    </row>
    <row r="170" spans="2:7" hidden="1">
      <c r="B170" s="43">
        <v>44405</v>
      </c>
      <c r="C170" t="s">
        <v>123</v>
      </c>
      <c r="D170" s="48">
        <v>44406</v>
      </c>
      <c r="E170">
        <v>162.5</v>
      </c>
      <c r="F170" t="s">
        <v>515</v>
      </c>
      <c r="G170">
        <v>17.75</v>
      </c>
    </row>
    <row r="171" spans="2:7" hidden="1">
      <c r="B171" s="43">
        <v>44406</v>
      </c>
      <c r="C171" t="s">
        <v>123</v>
      </c>
      <c r="D171" s="48">
        <v>44406</v>
      </c>
      <c r="E171">
        <v>162.5</v>
      </c>
      <c r="F171" t="s">
        <v>514</v>
      </c>
      <c r="G171">
        <v>0.05</v>
      </c>
    </row>
    <row r="172" spans="2:7" hidden="1">
      <c r="B172" s="43">
        <v>44406</v>
      </c>
      <c r="C172" t="s">
        <v>123</v>
      </c>
      <c r="D172" s="48">
        <v>44406</v>
      </c>
      <c r="E172">
        <v>162.5</v>
      </c>
      <c r="F172" t="s">
        <v>515</v>
      </c>
      <c r="G172">
        <v>19.7</v>
      </c>
    </row>
    <row r="173" spans="2:7" hidden="1">
      <c r="B173" s="43">
        <v>44404</v>
      </c>
      <c r="C173" t="s">
        <v>123</v>
      </c>
      <c r="D173" s="48">
        <v>44406</v>
      </c>
      <c r="E173">
        <v>165</v>
      </c>
      <c r="F173" t="s">
        <v>514</v>
      </c>
      <c r="G173">
        <v>0.05</v>
      </c>
    </row>
    <row r="174" spans="2:7" hidden="1">
      <c r="B174" s="43">
        <v>44404</v>
      </c>
      <c r="C174" t="s">
        <v>123</v>
      </c>
      <c r="D174" s="48">
        <v>44406</v>
      </c>
      <c r="E174">
        <v>165</v>
      </c>
      <c r="F174" t="s">
        <v>515</v>
      </c>
      <c r="G174">
        <v>22.75</v>
      </c>
    </row>
    <row r="175" spans="2:7" hidden="1">
      <c r="B175" s="43">
        <v>44405</v>
      </c>
      <c r="C175" t="s">
        <v>123</v>
      </c>
      <c r="D175" s="48">
        <v>44406</v>
      </c>
      <c r="E175">
        <v>165</v>
      </c>
      <c r="F175" t="s">
        <v>514</v>
      </c>
      <c r="G175">
        <v>0.05</v>
      </c>
    </row>
    <row r="176" spans="2:7" hidden="1">
      <c r="B176" s="43">
        <v>44405</v>
      </c>
      <c r="C176" t="s">
        <v>123</v>
      </c>
      <c r="D176" s="48">
        <v>44406</v>
      </c>
      <c r="E176">
        <v>165</v>
      </c>
      <c r="F176" t="s">
        <v>515</v>
      </c>
      <c r="G176">
        <v>22.75</v>
      </c>
    </row>
    <row r="177" spans="2:7" hidden="1">
      <c r="B177" s="43">
        <v>44406</v>
      </c>
      <c r="C177" t="s">
        <v>123</v>
      </c>
      <c r="D177" s="48">
        <v>44406</v>
      </c>
      <c r="E177">
        <v>165</v>
      </c>
      <c r="F177" t="s">
        <v>514</v>
      </c>
      <c r="G177">
        <v>0.05</v>
      </c>
    </row>
    <row r="178" spans="2:7" hidden="1">
      <c r="B178" s="43">
        <v>44406</v>
      </c>
      <c r="C178" t="s">
        <v>123</v>
      </c>
      <c r="D178" s="48">
        <v>44406</v>
      </c>
      <c r="E178">
        <v>165</v>
      </c>
      <c r="F178" t="s">
        <v>515</v>
      </c>
      <c r="G178">
        <v>22.8</v>
      </c>
    </row>
    <row r="179" spans="2:7" hidden="1">
      <c r="B179" s="43">
        <v>44404</v>
      </c>
      <c r="C179" t="s">
        <v>123</v>
      </c>
      <c r="D179" s="48">
        <v>44406</v>
      </c>
      <c r="E179">
        <v>167.5</v>
      </c>
      <c r="F179" t="s">
        <v>514</v>
      </c>
      <c r="G179">
        <v>0.05</v>
      </c>
    </row>
    <row r="180" spans="2:7" hidden="1">
      <c r="B180" s="43">
        <v>44404</v>
      </c>
      <c r="C180" t="s">
        <v>123</v>
      </c>
      <c r="D180" s="48">
        <v>44406</v>
      </c>
      <c r="E180">
        <v>167.5</v>
      </c>
      <c r="F180" t="s">
        <v>515</v>
      </c>
      <c r="G180">
        <v>39.299999999999997</v>
      </c>
    </row>
    <row r="181" spans="2:7" hidden="1">
      <c r="B181" s="43">
        <v>44405</v>
      </c>
      <c r="C181" t="s">
        <v>123</v>
      </c>
      <c r="D181" s="48">
        <v>44406</v>
      </c>
      <c r="E181">
        <v>167.5</v>
      </c>
      <c r="F181" t="s">
        <v>514</v>
      </c>
      <c r="G181">
        <v>0.05</v>
      </c>
    </row>
    <row r="182" spans="2:7" hidden="1">
      <c r="B182" s="43">
        <v>44405</v>
      </c>
      <c r="C182" t="s">
        <v>123</v>
      </c>
      <c r="D182" s="48">
        <v>44406</v>
      </c>
      <c r="E182">
        <v>167.5</v>
      </c>
      <c r="F182" t="s">
        <v>515</v>
      </c>
      <c r="G182">
        <v>39.299999999999997</v>
      </c>
    </row>
    <row r="183" spans="2:7" hidden="1">
      <c r="B183" s="43">
        <v>44406</v>
      </c>
      <c r="C183" t="s">
        <v>123</v>
      </c>
      <c r="D183" s="48">
        <v>44406</v>
      </c>
      <c r="E183">
        <v>167.5</v>
      </c>
      <c r="F183" t="s">
        <v>514</v>
      </c>
      <c r="G183">
        <v>0.05</v>
      </c>
    </row>
    <row r="184" spans="2:7" hidden="1">
      <c r="B184" s="43">
        <v>44406</v>
      </c>
      <c r="C184" t="s">
        <v>123</v>
      </c>
      <c r="D184" s="48">
        <v>44406</v>
      </c>
      <c r="E184">
        <v>167.5</v>
      </c>
      <c r="F184" t="s">
        <v>515</v>
      </c>
      <c r="G184">
        <v>39.299999999999997</v>
      </c>
    </row>
    <row r="185" spans="2:7" hidden="1">
      <c r="B185" s="43">
        <v>44404</v>
      </c>
      <c r="C185" t="s">
        <v>123</v>
      </c>
      <c r="D185" s="48">
        <v>44406</v>
      </c>
      <c r="E185">
        <v>170</v>
      </c>
      <c r="F185" t="s">
        <v>514</v>
      </c>
      <c r="G185">
        <v>0.05</v>
      </c>
    </row>
    <row r="186" spans="2:7" hidden="1">
      <c r="B186" s="43">
        <v>44404</v>
      </c>
      <c r="C186" t="s">
        <v>123</v>
      </c>
      <c r="D186" s="48">
        <v>44406</v>
      </c>
      <c r="E186">
        <v>170</v>
      </c>
      <c r="F186" t="s">
        <v>515</v>
      </c>
      <c r="G186">
        <v>25.3</v>
      </c>
    </row>
    <row r="187" spans="2:7" hidden="1">
      <c r="B187" s="43">
        <v>44405</v>
      </c>
      <c r="C187" t="s">
        <v>123</v>
      </c>
      <c r="D187" s="48">
        <v>44406</v>
      </c>
      <c r="E187">
        <v>170</v>
      </c>
      <c r="F187" t="s">
        <v>514</v>
      </c>
      <c r="G187">
        <v>0.05</v>
      </c>
    </row>
    <row r="188" spans="2:7" hidden="1">
      <c r="B188" s="43">
        <v>44405</v>
      </c>
      <c r="C188" t="s">
        <v>123</v>
      </c>
      <c r="D188" s="48">
        <v>44406</v>
      </c>
      <c r="E188">
        <v>170</v>
      </c>
      <c r="F188" t="s">
        <v>515</v>
      </c>
      <c r="G188">
        <v>27</v>
      </c>
    </row>
    <row r="189" spans="2:7" hidden="1">
      <c r="B189" s="43">
        <v>44406</v>
      </c>
      <c r="C189" t="s">
        <v>123</v>
      </c>
      <c r="D189" s="48">
        <v>44406</v>
      </c>
      <c r="E189">
        <v>170</v>
      </c>
      <c r="F189" t="s">
        <v>514</v>
      </c>
      <c r="G189">
        <v>0.05</v>
      </c>
    </row>
    <row r="190" spans="2:7" hidden="1">
      <c r="B190" s="43">
        <v>44406</v>
      </c>
      <c r="C190" t="s">
        <v>123</v>
      </c>
      <c r="D190" s="48">
        <v>44406</v>
      </c>
      <c r="E190">
        <v>170</v>
      </c>
      <c r="F190" t="s">
        <v>515</v>
      </c>
      <c r="G190">
        <v>27.9</v>
      </c>
    </row>
    <row r="191" spans="2:7" hidden="1">
      <c r="B191" s="43">
        <v>44404</v>
      </c>
      <c r="C191" t="s">
        <v>123</v>
      </c>
      <c r="D191" s="48">
        <v>44406</v>
      </c>
      <c r="E191">
        <v>172.5</v>
      </c>
      <c r="F191" t="s">
        <v>514</v>
      </c>
      <c r="G191">
        <v>0.05</v>
      </c>
    </row>
    <row r="192" spans="2:7" hidden="1">
      <c r="B192" s="43">
        <v>44404</v>
      </c>
      <c r="C192" t="s">
        <v>123</v>
      </c>
      <c r="D192" s="48">
        <v>44406</v>
      </c>
      <c r="E192">
        <v>172.5</v>
      </c>
      <c r="F192" t="s">
        <v>515</v>
      </c>
      <c r="G192">
        <v>43.9</v>
      </c>
    </row>
    <row r="193" spans="2:7" hidden="1">
      <c r="B193" s="43">
        <v>44405</v>
      </c>
      <c r="C193" t="s">
        <v>123</v>
      </c>
      <c r="D193" s="48">
        <v>44406</v>
      </c>
      <c r="E193">
        <v>172.5</v>
      </c>
      <c r="F193" t="s">
        <v>514</v>
      </c>
      <c r="G193">
        <v>0.05</v>
      </c>
    </row>
    <row r="194" spans="2:7" hidden="1">
      <c r="B194" s="43">
        <v>44405</v>
      </c>
      <c r="C194" t="s">
        <v>123</v>
      </c>
      <c r="D194" s="48">
        <v>44406</v>
      </c>
      <c r="E194">
        <v>172.5</v>
      </c>
      <c r="F194" t="s">
        <v>515</v>
      </c>
      <c r="G194">
        <v>43.9</v>
      </c>
    </row>
    <row r="195" spans="2:7" hidden="1">
      <c r="B195" s="43">
        <v>44406</v>
      </c>
      <c r="C195" t="s">
        <v>123</v>
      </c>
      <c r="D195" s="48">
        <v>44406</v>
      </c>
      <c r="E195">
        <v>172.5</v>
      </c>
      <c r="F195" t="s">
        <v>514</v>
      </c>
      <c r="G195">
        <v>0.05</v>
      </c>
    </row>
    <row r="196" spans="2:7" hidden="1">
      <c r="B196" s="43">
        <v>44406</v>
      </c>
      <c r="C196" t="s">
        <v>123</v>
      </c>
      <c r="D196" s="48">
        <v>44406</v>
      </c>
      <c r="E196">
        <v>172.5</v>
      </c>
      <c r="F196" t="s">
        <v>515</v>
      </c>
      <c r="G196">
        <v>43.9</v>
      </c>
    </row>
    <row r="197" spans="2:7" hidden="1">
      <c r="B197" s="43">
        <v>44404</v>
      </c>
      <c r="C197" t="s">
        <v>123</v>
      </c>
      <c r="D197" s="48">
        <v>44406</v>
      </c>
      <c r="E197">
        <v>175</v>
      </c>
      <c r="F197" t="s">
        <v>514</v>
      </c>
      <c r="G197">
        <v>0.05</v>
      </c>
    </row>
    <row r="198" spans="2:7" hidden="1">
      <c r="B198" s="43">
        <v>44404</v>
      </c>
      <c r="C198" t="s">
        <v>123</v>
      </c>
      <c r="D198" s="48">
        <v>44406</v>
      </c>
      <c r="E198">
        <v>175</v>
      </c>
      <c r="F198" t="s">
        <v>515</v>
      </c>
      <c r="G198">
        <v>46.25</v>
      </c>
    </row>
    <row r="199" spans="2:7" hidden="1">
      <c r="B199" s="43">
        <v>44405</v>
      </c>
      <c r="C199" t="s">
        <v>123</v>
      </c>
      <c r="D199" s="48">
        <v>44406</v>
      </c>
      <c r="E199">
        <v>175</v>
      </c>
      <c r="F199" t="s">
        <v>514</v>
      </c>
      <c r="G199">
        <v>0.05</v>
      </c>
    </row>
    <row r="200" spans="2:7" hidden="1">
      <c r="B200" s="43">
        <v>44405</v>
      </c>
      <c r="C200" t="s">
        <v>123</v>
      </c>
      <c r="D200" s="48">
        <v>44406</v>
      </c>
      <c r="E200">
        <v>175</v>
      </c>
      <c r="F200" t="s">
        <v>515</v>
      </c>
      <c r="G200">
        <v>46.25</v>
      </c>
    </row>
    <row r="201" spans="2:7" hidden="1">
      <c r="B201" s="43">
        <v>44406</v>
      </c>
      <c r="C201" t="s">
        <v>123</v>
      </c>
      <c r="D201" s="48">
        <v>44406</v>
      </c>
      <c r="E201">
        <v>175</v>
      </c>
      <c r="F201" t="s">
        <v>514</v>
      </c>
      <c r="G201">
        <v>0.05</v>
      </c>
    </row>
    <row r="202" spans="2:7" hidden="1">
      <c r="B202" s="43">
        <v>44406</v>
      </c>
      <c r="C202" t="s">
        <v>123</v>
      </c>
      <c r="D202" s="48">
        <v>44406</v>
      </c>
      <c r="E202">
        <v>175</v>
      </c>
      <c r="F202" t="s">
        <v>515</v>
      </c>
      <c r="G202">
        <v>46.25</v>
      </c>
    </row>
    <row r="203" spans="2:7" hidden="1">
      <c r="B203" s="43">
        <v>44404</v>
      </c>
      <c r="C203" t="s">
        <v>123</v>
      </c>
      <c r="D203" s="48">
        <v>44406</v>
      </c>
      <c r="E203">
        <v>177.5</v>
      </c>
      <c r="F203" t="s">
        <v>514</v>
      </c>
      <c r="G203">
        <v>0.25</v>
      </c>
    </row>
    <row r="204" spans="2:7" hidden="1">
      <c r="B204" s="43">
        <v>44404</v>
      </c>
      <c r="C204" t="s">
        <v>123</v>
      </c>
      <c r="D204" s="48">
        <v>44406</v>
      </c>
      <c r="E204">
        <v>177.5</v>
      </c>
      <c r="F204" t="s">
        <v>515</v>
      </c>
      <c r="G204">
        <v>48.6</v>
      </c>
    </row>
    <row r="205" spans="2:7" hidden="1">
      <c r="B205" s="43">
        <v>44405</v>
      </c>
      <c r="C205" t="s">
        <v>123</v>
      </c>
      <c r="D205" s="48">
        <v>44406</v>
      </c>
      <c r="E205">
        <v>177.5</v>
      </c>
      <c r="F205" t="s">
        <v>514</v>
      </c>
      <c r="G205">
        <v>0.25</v>
      </c>
    </row>
    <row r="206" spans="2:7" hidden="1">
      <c r="B206" s="43">
        <v>44405</v>
      </c>
      <c r="C206" t="s">
        <v>123</v>
      </c>
      <c r="D206" s="48">
        <v>44406</v>
      </c>
      <c r="E206">
        <v>177.5</v>
      </c>
      <c r="F206" t="s">
        <v>515</v>
      </c>
      <c r="G206">
        <v>48.6</v>
      </c>
    </row>
    <row r="207" spans="2:7" hidden="1">
      <c r="B207" s="43">
        <v>44406</v>
      </c>
      <c r="C207" t="s">
        <v>123</v>
      </c>
      <c r="D207" s="48">
        <v>44406</v>
      </c>
      <c r="E207">
        <v>177.5</v>
      </c>
      <c r="F207" t="s">
        <v>514</v>
      </c>
      <c r="G207">
        <v>0.25</v>
      </c>
    </row>
    <row r="208" spans="2:7" hidden="1">
      <c r="B208" s="43">
        <v>44406</v>
      </c>
      <c r="C208" t="s">
        <v>123</v>
      </c>
      <c r="D208" s="48">
        <v>44406</v>
      </c>
      <c r="E208">
        <v>177.5</v>
      </c>
      <c r="F208" t="s">
        <v>515</v>
      </c>
      <c r="G208">
        <v>48.6</v>
      </c>
    </row>
    <row r="209" spans="2:7" hidden="1">
      <c r="B209" s="43">
        <v>44404</v>
      </c>
      <c r="C209" t="s">
        <v>123</v>
      </c>
      <c r="D209" s="48">
        <v>44406</v>
      </c>
      <c r="E209">
        <v>180</v>
      </c>
      <c r="F209" t="s">
        <v>514</v>
      </c>
      <c r="G209">
        <v>0.05</v>
      </c>
    </row>
    <row r="210" spans="2:7" hidden="1">
      <c r="B210" s="43">
        <v>44404</v>
      </c>
      <c r="C210" t="s">
        <v>123</v>
      </c>
      <c r="D210" s="48">
        <v>44406</v>
      </c>
      <c r="E210">
        <v>180</v>
      </c>
      <c r="F210" t="s">
        <v>515</v>
      </c>
      <c r="G210">
        <v>37.799999999999997</v>
      </c>
    </row>
    <row r="211" spans="2:7" hidden="1">
      <c r="B211" s="43">
        <v>44405</v>
      </c>
      <c r="C211" t="s">
        <v>123</v>
      </c>
      <c r="D211" s="48">
        <v>44406</v>
      </c>
      <c r="E211">
        <v>180</v>
      </c>
      <c r="F211" t="s">
        <v>514</v>
      </c>
      <c r="G211">
        <v>0.05</v>
      </c>
    </row>
    <row r="212" spans="2:7" hidden="1">
      <c r="B212" s="43">
        <v>44405</v>
      </c>
      <c r="C212" t="s">
        <v>123</v>
      </c>
      <c r="D212" s="48">
        <v>44406</v>
      </c>
      <c r="E212">
        <v>180</v>
      </c>
      <c r="F212" t="s">
        <v>515</v>
      </c>
      <c r="G212">
        <v>37.799999999999997</v>
      </c>
    </row>
    <row r="213" spans="2:7" hidden="1">
      <c r="B213" s="43">
        <v>44406</v>
      </c>
      <c r="C213" t="s">
        <v>123</v>
      </c>
      <c r="D213" s="48">
        <v>44406</v>
      </c>
      <c r="E213">
        <v>180</v>
      </c>
      <c r="F213" t="s">
        <v>514</v>
      </c>
      <c r="G213">
        <v>0.05</v>
      </c>
    </row>
    <row r="214" spans="2:7" hidden="1">
      <c r="B214" s="43">
        <v>44406</v>
      </c>
      <c r="C214" t="s">
        <v>123</v>
      </c>
      <c r="D214" s="48">
        <v>44406</v>
      </c>
      <c r="E214">
        <v>180</v>
      </c>
      <c r="F214" t="s">
        <v>515</v>
      </c>
      <c r="G214">
        <v>37.799999999999997</v>
      </c>
    </row>
    <row r="215" spans="2:7" hidden="1">
      <c r="B215" s="43">
        <v>44404</v>
      </c>
      <c r="C215" t="s">
        <v>123</v>
      </c>
      <c r="D215" s="48">
        <v>44406</v>
      </c>
      <c r="E215">
        <v>182.5</v>
      </c>
      <c r="F215" t="s">
        <v>514</v>
      </c>
      <c r="G215">
        <v>0.05</v>
      </c>
    </row>
    <row r="216" spans="2:7" hidden="1">
      <c r="B216" s="43">
        <v>44404</v>
      </c>
      <c r="C216" t="s">
        <v>123</v>
      </c>
      <c r="D216" s="48">
        <v>44406</v>
      </c>
      <c r="E216">
        <v>182.5</v>
      </c>
      <c r="F216" t="s">
        <v>515</v>
      </c>
      <c r="G216">
        <v>53.35</v>
      </c>
    </row>
    <row r="217" spans="2:7" hidden="1">
      <c r="B217" s="43">
        <v>44405</v>
      </c>
      <c r="C217" t="s">
        <v>123</v>
      </c>
      <c r="D217" s="48">
        <v>44406</v>
      </c>
      <c r="E217">
        <v>182.5</v>
      </c>
      <c r="F217" t="s">
        <v>514</v>
      </c>
      <c r="G217">
        <v>0.05</v>
      </c>
    </row>
    <row r="218" spans="2:7" hidden="1">
      <c r="B218" s="43">
        <v>44405</v>
      </c>
      <c r="C218" t="s">
        <v>123</v>
      </c>
      <c r="D218" s="48">
        <v>44406</v>
      </c>
      <c r="E218">
        <v>182.5</v>
      </c>
      <c r="F218" t="s">
        <v>515</v>
      </c>
      <c r="G218">
        <v>53.35</v>
      </c>
    </row>
    <row r="219" spans="2:7" hidden="1">
      <c r="B219" s="43">
        <v>44406</v>
      </c>
      <c r="C219" t="s">
        <v>123</v>
      </c>
      <c r="D219" s="48">
        <v>44406</v>
      </c>
      <c r="E219">
        <v>182.5</v>
      </c>
      <c r="F219" t="s">
        <v>514</v>
      </c>
      <c r="G219">
        <v>0.05</v>
      </c>
    </row>
    <row r="220" spans="2:7" hidden="1">
      <c r="B220" s="43">
        <v>44406</v>
      </c>
      <c r="C220" t="s">
        <v>123</v>
      </c>
      <c r="D220" s="48">
        <v>44406</v>
      </c>
      <c r="E220">
        <v>182.5</v>
      </c>
      <c r="F220" t="s">
        <v>515</v>
      </c>
      <c r="G220">
        <v>53.35</v>
      </c>
    </row>
    <row r="221" spans="2:7" hidden="1">
      <c r="B221" s="43">
        <v>44404</v>
      </c>
      <c r="C221" t="s">
        <v>123</v>
      </c>
      <c r="D221" s="48">
        <v>44406</v>
      </c>
      <c r="E221">
        <v>185</v>
      </c>
      <c r="F221" t="s">
        <v>514</v>
      </c>
      <c r="G221">
        <v>0.05</v>
      </c>
    </row>
    <row r="222" spans="2:7" hidden="1">
      <c r="B222" s="43">
        <v>44404</v>
      </c>
      <c r="C222" t="s">
        <v>123</v>
      </c>
      <c r="D222" s="48">
        <v>44406</v>
      </c>
      <c r="E222">
        <v>185</v>
      </c>
      <c r="F222" t="s">
        <v>515</v>
      </c>
      <c r="G222">
        <v>55.7</v>
      </c>
    </row>
    <row r="223" spans="2:7" hidden="1">
      <c r="B223" s="43">
        <v>44405</v>
      </c>
      <c r="C223" t="s">
        <v>123</v>
      </c>
      <c r="D223" s="48">
        <v>44406</v>
      </c>
      <c r="E223">
        <v>185</v>
      </c>
      <c r="F223" t="s">
        <v>514</v>
      </c>
      <c r="G223">
        <v>0.05</v>
      </c>
    </row>
    <row r="224" spans="2:7" hidden="1">
      <c r="B224" s="43">
        <v>44405</v>
      </c>
      <c r="C224" t="s">
        <v>123</v>
      </c>
      <c r="D224" s="48">
        <v>44406</v>
      </c>
      <c r="E224">
        <v>185</v>
      </c>
      <c r="F224" t="s">
        <v>515</v>
      </c>
      <c r="G224">
        <v>55.7</v>
      </c>
    </row>
    <row r="225" spans="2:7" hidden="1">
      <c r="B225" s="43">
        <v>44406</v>
      </c>
      <c r="C225" t="s">
        <v>123</v>
      </c>
      <c r="D225" s="48">
        <v>44406</v>
      </c>
      <c r="E225">
        <v>185</v>
      </c>
      <c r="F225" t="s">
        <v>514</v>
      </c>
      <c r="G225">
        <v>0.05</v>
      </c>
    </row>
    <row r="226" spans="2:7" hidden="1">
      <c r="B226" s="43">
        <v>44406</v>
      </c>
      <c r="C226" t="s">
        <v>123</v>
      </c>
      <c r="D226" s="48">
        <v>44406</v>
      </c>
      <c r="E226">
        <v>185</v>
      </c>
      <c r="F226" t="s">
        <v>515</v>
      </c>
      <c r="G226">
        <v>55.7</v>
      </c>
    </row>
    <row r="227" spans="2:7" hidden="1">
      <c r="B227" s="43">
        <v>44404</v>
      </c>
      <c r="C227" t="s">
        <v>123</v>
      </c>
      <c r="D227" s="48">
        <v>44406</v>
      </c>
      <c r="E227">
        <v>187.5</v>
      </c>
      <c r="F227" t="s">
        <v>514</v>
      </c>
      <c r="G227">
        <v>0.05</v>
      </c>
    </row>
    <row r="228" spans="2:7" hidden="1">
      <c r="B228" s="43">
        <v>44404</v>
      </c>
      <c r="C228" t="s">
        <v>123</v>
      </c>
      <c r="D228" s="48">
        <v>44406</v>
      </c>
      <c r="E228">
        <v>187.5</v>
      </c>
      <c r="F228" t="s">
        <v>515</v>
      </c>
      <c r="G228">
        <v>58.1</v>
      </c>
    </row>
    <row r="229" spans="2:7" hidden="1">
      <c r="B229" s="43">
        <v>44405</v>
      </c>
      <c r="C229" t="s">
        <v>123</v>
      </c>
      <c r="D229" s="48">
        <v>44406</v>
      </c>
      <c r="E229">
        <v>187.5</v>
      </c>
      <c r="F229" t="s">
        <v>514</v>
      </c>
      <c r="G229">
        <v>0.05</v>
      </c>
    </row>
    <row r="230" spans="2:7" hidden="1">
      <c r="B230" s="43">
        <v>44405</v>
      </c>
      <c r="C230" t="s">
        <v>123</v>
      </c>
      <c r="D230" s="48">
        <v>44406</v>
      </c>
      <c r="E230">
        <v>187.5</v>
      </c>
      <c r="F230" t="s">
        <v>515</v>
      </c>
      <c r="G230">
        <v>58.1</v>
      </c>
    </row>
    <row r="231" spans="2:7" hidden="1">
      <c r="B231" s="43">
        <v>44406</v>
      </c>
      <c r="C231" t="s">
        <v>123</v>
      </c>
      <c r="D231" s="48">
        <v>44406</v>
      </c>
      <c r="E231">
        <v>187.5</v>
      </c>
      <c r="F231" t="s">
        <v>514</v>
      </c>
      <c r="G231">
        <v>0.05</v>
      </c>
    </row>
    <row r="232" spans="2:7" hidden="1">
      <c r="B232" s="43">
        <v>44406</v>
      </c>
      <c r="C232" t="s">
        <v>123</v>
      </c>
      <c r="D232" s="48">
        <v>44406</v>
      </c>
      <c r="E232">
        <v>187.5</v>
      </c>
      <c r="F232" t="s">
        <v>515</v>
      </c>
      <c r="G232">
        <v>58.1</v>
      </c>
    </row>
    <row r="233" spans="2:7" hidden="1">
      <c r="B233" s="43">
        <v>44404</v>
      </c>
      <c r="C233" t="s">
        <v>123</v>
      </c>
      <c r="D233" s="48">
        <v>44406</v>
      </c>
      <c r="E233">
        <v>190</v>
      </c>
      <c r="F233" t="s">
        <v>514</v>
      </c>
      <c r="G233">
        <v>0.05</v>
      </c>
    </row>
    <row r="234" spans="2:7" hidden="1">
      <c r="B234" s="43">
        <v>44404</v>
      </c>
      <c r="C234" t="s">
        <v>123</v>
      </c>
      <c r="D234" s="48">
        <v>44406</v>
      </c>
      <c r="E234">
        <v>190</v>
      </c>
      <c r="F234" t="s">
        <v>515</v>
      </c>
      <c r="G234">
        <v>55.75</v>
      </c>
    </row>
    <row r="235" spans="2:7" hidden="1">
      <c r="B235" s="43">
        <v>44405</v>
      </c>
      <c r="C235" t="s">
        <v>123</v>
      </c>
      <c r="D235" s="48">
        <v>44406</v>
      </c>
      <c r="E235">
        <v>190</v>
      </c>
      <c r="F235" t="s">
        <v>514</v>
      </c>
      <c r="G235">
        <v>0.05</v>
      </c>
    </row>
    <row r="236" spans="2:7" hidden="1">
      <c r="B236" s="43">
        <v>44405</v>
      </c>
      <c r="C236" t="s">
        <v>123</v>
      </c>
      <c r="D236" s="48">
        <v>44406</v>
      </c>
      <c r="E236">
        <v>190</v>
      </c>
      <c r="F236" t="s">
        <v>515</v>
      </c>
      <c r="G236">
        <v>55.75</v>
      </c>
    </row>
    <row r="237" spans="2:7" hidden="1">
      <c r="B237" s="43">
        <v>44406</v>
      </c>
      <c r="C237" t="s">
        <v>123</v>
      </c>
      <c r="D237" s="48">
        <v>44406</v>
      </c>
      <c r="E237">
        <v>190</v>
      </c>
      <c r="F237" t="s">
        <v>514</v>
      </c>
      <c r="G237">
        <v>0.05</v>
      </c>
    </row>
    <row r="238" spans="2:7" hidden="1">
      <c r="B238" s="43">
        <v>44406</v>
      </c>
      <c r="C238" t="s">
        <v>123</v>
      </c>
      <c r="D238" s="48">
        <v>44406</v>
      </c>
      <c r="E238">
        <v>190</v>
      </c>
      <c r="F238" t="s">
        <v>515</v>
      </c>
      <c r="G238">
        <v>55.75</v>
      </c>
    </row>
    <row r="239" spans="2:7" hidden="1">
      <c r="B239" s="43">
        <v>44404</v>
      </c>
      <c r="C239" t="s">
        <v>123</v>
      </c>
      <c r="D239" s="48">
        <v>44406</v>
      </c>
      <c r="E239">
        <v>192.5</v>
      </c>
      <c r="F239" t="s">
        <v>514</v>
      </c>
      <c r="G239">
        <v>0.05</v>
      </c>
    </row>
    <row r="240" spans="2:7" hidden="1">
      <c r="B240" s="43">
        <v>44404</v>
      </c>
      <c r="C240" t="s">
        <v>123</v>
      </c>
      <c r="D240" s="48">
        <v>44406</v>
      </c>
      <c r="E240">
        <v>192.5</v>
      </c>
      <c r="F240" t="s">
        <v>515</v>
      </c>
      <c r="G240">
        <v>58.15</v>
      </c>
    </row>
    <row r="241" spans="2:7" hidden="1">
      <c r="B241" s="43">
        <v>44405</v>
      </c>
      <c r="C241" t="s">
        <v>123</v>
      </c>
      <c r="D241" s="48">
        <v>44406</v>
      </c>
      <c r="E241">
        <v>192.5</v>
      </c>
      <c r="F241" t="s">
        <v>514</v>
      </c>
      <c r="G241">
        <v>0.05</v>
      </c>
    </row>
    <row r="242" spans="2:7" hidden="1">
      <c r="B242" s="43">
        <v>44405</v>
      </c>
      <c r="C242" t="s">
        <v>123</v>
      </c>
      <c r="D242" s="48">
        <v>44406</v>
      </c>
      <c r="E242">
        <v>192.5</v>
      </c>
      <c r="F242" t="s">
        <v>515</v>
      </c>
      <c r="G242">
        <v>58.15</v>
      </c>
    </row>
    <row r="243" spans="2:7" hidden="1">
      <c r="B243" s="43">
        <v>44406</v>
      </c>
      <c r="C243" t="s">
        <v>123</v>
      </c>
      <c r="D243" s="48">
        <v>44406</v>
      </c>
      <c r="E243">
        <v>192.5</v>
      </c>
      <c r="F243" t="s">
        <v>514</v>
      </c>
      <c r="G243">
        <v>0.05</v>
      </c>
    </row>
    <row r="244" spans="2:7" hidden="1">
      <c r="B244" s="43">
        <v>44406</v>
      </c>
      <c r="C244" t="s">
        <v>123</v>
      </c>
      <c r="D244" s="48">
        <v>44406</v>
      </c>
      <c r="E244">
        <v>192.5</v>
      </c>
      <c r="F244" t="s">
        <v>515</v>
      </c>
      <c r="G244">
        <v>58.15</v>
      </c>
    </row>
    <row r="245" spans="2:7" hidden="1">
      <c r="B245" s="43">
        <v>44404</v>
      </c>
      <c r="C245" t="s">
        <v>123</v>
      </c>
      <c r="D245" s="48">
        <v>44434</v>
      </c>
      <c r="E245">
        <v>0</v>
      </c>
      <c r="F245" t="s">
        <v>516</v>
      </c>
      <c r="G245">
        <v>142.30000000000001</v>
      </c>
    </row>
    <row r="246" spans="2:7" hidden="1">
      <c r="B246" s="43">
        <v>44405</v>
      </c>
      <c r="C246" t="s">
        <v>123</v>
      </c>
      <c r="D246" s="48">
        <v>44434</v>
      </c>
      <c r="E246">
        <v>0</v>
      </c>
      <c r="F246" t="s">
        <v>516</v>
      </c>
      <c r="G246">
        <v>143.85</v>
      </c>
    </row>
    <row r="247" spans="2:7" hidden="1">
      <c r="B247" s="43">
        <v>44406</v>
      </c>
      <c r="C247" t="s">
        <v>123</v>
      </c>
      <c r="D247" s="48">
        <v>44434</v>
      </c>
      <c r="E247">
        <v>0</v>
      </c>
      <c r="F247" t="s">
        <v>516</v>
      </c>
      <c r="G247">
        <v>142.15</v>
      </c>
    </row>
    <row r="248" spans="2:7" hidden="1">
      <c r="B248" s="43">
        <v>44407</v>
      </c>
      <c r="C248" t="s">
        <v>123</v>
      </c>
      <c r="D248" s="48">
        <v>44434</v>
      </c>
      <c r="E248">
        <v>0</v>
      </c>
      <c r="F248" t="s">
        <v>516</v>
      </c>
      <c r="G248">
        <v>144.05000000000001</v>
      </c>
    </row>
    <row r="249" spans="2:7" hidden="1">
      <c r="B249" s="43">
        <v>44410</v>
      </c>
      <c r="C249" t="s">
        <v>123</v>
      </c>
      <c r="D249" s="48">
        <v>44434</v>
      </c>
      <c r="E249">
        <v>0</v>
      </c>
      <c r="F249" t="s">
        <v>516</v>
      </c>
      <c r="G249">
        <v>144.5</v>
      </c>
    </row>
    <row r="250" spans="2:7" hidden="1">
      <c r="B250" s="43">
        <v>44404</v>
      </c>
      <c r="C250" t="s">
        <v>123</v>
      </c>
      <c r="D250" s="48">
        <v>44434</v>
      </c>
      <c r="E250">
        <v>95</v>
      </c>
      <c r="F250" t="s">
        <v>514</v>
      </c>
      <c r="G250">
        <v>50.65</v>
      </c>
    </row>
    <row r="251" spans="2:7" hidden="1">
      <c r="B251" s="43">
        <v>44404</v>
      </c>
      <c r="C251" t="s">
        <v>123</v>
      </c>
      <c r="D251" s="48">
        <v>44434</v>
      </c>
      <c r="E251">
        <v>95</v>
      </c>
      <c r="F251" t="s">
        <v>515</v>
      </c>
      <c r="G251">
        <v>0.2</v>
      </c>
    </row>
    <row r="252" spans="2:7" hidden="1">
      <c r="B252" s="43">
        <v>44405</v>
      </c>
      <c r="C252" t="s">
        <v>123</v>
      </c>
      <c r="D252" s="48">
        <v>44434</v>
      </c>
      <c r="E252">
        <v>95</v>
      </c>
      <c r="F252" t="s">
        <v>514</v>
      </c>
      <c r="G252">
        <v>50.65</v>
      </c>
    </row>
    <row r="253" spans="2:7" hidden="1">
      <c r="B253" s="43">
        <v>44405</v>
      </c>
      <c r="C253" t="s">
        <v>123</v>
      </c>
      <c r="D253" s="48">
        <v>44434</v>
      </c>
      <c r="E253">
        <v>95</v>
      </c>
      <c r="F253" t="s">
        <v>515</v>
      </c>
      <c r="G253">
        <v>0.15</v>
      </c>
    </row>
    <row r="254" spans="2:7" hidden="1">
      <c r="B254" s="43">
        <v>44406</v>
      </c>
      <c r="C254" t="s">
        <v>123</v>
      </c>
      <c r="D254" s="48">
        <v>44434</v>
      </c>
      <c r="E254">
        <v>95</v>
      </c>
      <c r="F254" t="s">
        <v>514</v>
      </c>
      <c r="G254">
        <v>50.65</v>
      </c>
    </row>
    <row r="255" spans="2:7" hidden="1">
      <c r="B255" s="43">
        <v>44406</v>
      </c>
      <c r="C255" t="s">
        <v>123</v>
      </c>
      <c r="D255" s="48">
        <v>44434</v>
      </c>
      <c r="E255">
        <v>95</v>
      </c>
      <c r="F255" t="s">
        <v>515</v>
      </c>
      <c r="G255">
        <v>0.05</v>
      </c>
    </row>
    <row r="256" spans="2:7" hidden="1">
      <c r="B256" s="43">
        <v>44407</v>
      </c>
      <c r="C256" t="s">
        <v>123</v>
      </c>
      <c r="D256" s="48">
        <v>44434</v>
      </c>
      <c r="E256">
        <v>95</v>
      </c>
      <c r="F256" t="s">
        <v>514</v>
      </c>
      <c r="G256">
        <v>50.65</v>
      </c>
    </row>
    <row r="257" spans="2:7" hidden="1">
      <c r="B257" s="43">
        <v>44407</v>
      </c>
      <c r="C257" t="s">
        <v>123</v>
      </c>
      <c r="D257" s="48">
        <v>44434</v>
      </c>
      <c r="E257">
        <v>95</v>
      </c>
      <c r="F257" t="s">
        <v>515</v>
      </c>
      <c r="G257">
        <v>0.05</v>
      </c>
    </row>
    <row r="258" spans="2:7" hidden="1">
      <c r="B258" s="43">
        <v>44410</v>
      </c>
      <c r="C258" t="s">
        <v>123</v>
      </c>
      <c r="D258" s="48">
        <v>44434</v>
      </c>
      <c r="E258">
        <v>95</v>
      </c>
      <c r="F258" t="s">
        <v>514</v>
      </c>
      <c r="G258">
        <v>50.65</v>
      </c>
    </row>
    <row r="259" spans="2:7" hidden="1">
      <c r="B259" s="43">
        <v>44410</v>
      </c>
      <c r="C259" t="s">
        <v>123</v>
      </c>
      <c r="D259" s="48">
        <v>44434</v>
      </c>
      <c r="E259">
        <v>95</v>
      </c>
      <c r="F259" t="s">
        <v>515</v>
      </c>
      <c r="G259">
        <v>0.05</v>
      </c>
    </row>
    <row r="260" spans="2:7" hidden="1">
      <c r="B260" s="43">
        <v>44404</v>
      </c>
      <c r="C260" t="s">
        <v>123</v>
      </c>
      <c r="D260" s="48">
        <v>44434</v>
      </c>
      <c r="E260">
        <v>97.5</v>
      </c>
      <c r="F260" t="s">
        <v>514</v>
      </c>
      <c r="G260">
        <v>48.25</v>
      </c>
    </row>
    <row r="261" spans="2:7" hidden="1">
      <c r="B261" s="43">
        <v>44404</v>
      </c>
      <c r="C261" t="s">
        <v>123</v>
      </c>
      <c r="D261" s="48">
        <v>44434</v>
      </c>
      <c r="E261">
        <v>97.5</v>
      </c>
      <c r="F261" t="s">
        <v>515</v>
      </c>
      <c r="G261">
        <v>0.3</v>
      </c>
    </row>
    <row r="262" spans="2:7" hidden="1">
      <c r="B262" s="43">
        <v>44405</v>
      </c>
      <c r="C262" t="s">
        <v>123</v>
      </c>
      <c r="D262" s="48">
        <v>44434</v>
      </c>
      <c r="E262">
        <v>97.5</v>
      </c>
      <c r="F262" t="s">
        <v>514</v>
      </c>
      <c r="G262">
        <v>48.25</v>
      </c>
    </row>
    <row r="263" spans="2:7" hidden="1">
      <c r="B263" s="43">
        <v>44405</v>
      </c>
      <c r="C263" t="s">
        <v>123</v>
      </c>
      <c r="D263" s="48">
        <v>44434</v>
      </c>
      <c r="E263">
        <v>97.5</v>
      </c>
      <c r="F263" t="s">
        <v>515</v>
      </c>
      <c r="G263">
        <v>0.3</v>
      </c>
    </row>
    <row r="264" spans="2:7" hidden="1">
      <c r="B264" s="43">
        <v>44406</v>
      </c>
      <c r="C264" t="s">
        <v>123</v>
      </c>
      <c r="D264" s="48">
        <v>44434</v>
      </c>
      <c r="E264">
        <v>97.5</v>
      </c>
      <c r="F264" t="s">
        <v>514</v>
      </c>
      <c r="G264">
        <v>48.25</v>
      </c>
    </row>
    <row r="265" spans="2:7" hidden="1">
      <c r="B265" s="43">
        <v>44406</v>
      </c>
      <c r="C265" t="s">
        <v>123</v>
      </c>
      <c r="D265" s="48">
        <v>44434</v>
      </c>
      <c r="E265">
        <v>97.5</v>
      </c>
      <c r="F265" t="s">
        <v>515</v>
      </c>
      <c r="G265">
        <v>0.3</v>
      </c>
    </row>
    <row r="266" spans="2:7" hidden="1">
      <c r="B266" s="43">
        <v>44407</v>
      </c>
      <c r="C266" t="s">
        <v>123</v>
      </c>
      <c r="D266" s="48">
        <v>44434</v>
      </c>
      <c r="E266">
        <v>97.5</v>
      </c>
      <c r="F266" t="s">
        <v>514</v>
      </c>
      <c r="G266">
        <v>48.25</v>
      </c>
    </row>
    <row r="267" spans="2:7" hidden="1">
      <c r="B267" s="43">
        <v>44407</v>
      </c>
      <c r="C267" t="s">
        <v>123</v>
      </c>
      <c r="D267" s="48">
        <v>44434</v>
      </c>
      <c r="E267">
        <v>97.5</v>
      </c>
      <c r="F267" t="s">
        <v>515</v>
      </c>
      <c r="G267">
        <v>0.3</v>
      </c>
    </row>
    <row r="268" spans="2:7" hidden="1">
      <c r="B268" s="43">
        <v>44410</v>
      </c>
      <c r="C268" t="s">
        <v>123</v>
      </c>
      <c r="D268" s="48">
        <v>44434</v>
      </c>
      <c r="E268">
        <v>97.5</v>
      </c>
      <c r="F268" t="s">
        <v>514</v>
      </c>
      <c r="G268">
        <v>48.25</v>
      </c>
    </row>
    <row r="269" spans="2:7" hidden="1">
      <c r="B269" s="43">
        <v>44410</v>
      </c>
      <c r="C269" t="s">
        <v>123</v>
      </c>
      <c r="D269" s="48">
        <v>44434</v>
      </c>
      <c r="E269">
        <v>97.5</v>
      </c>
      <c r="F269" t="s">
        <v>515</v>
      </c>
      <c r="G269">
        <v>0.3</v>
      </c>
    </row>
    <row r="270" spans="2:7" hidden="1">
      <c r="B270" s="43">
        <v>44404</v>
      </c>
      <c r="C270" t="s">
        <v>123</v>
      </c>
      <c r="D270" s="48">
        <v>44434</v>
      </c>
      <c r="E270">
        <v>100</v>
      </c>
      <c r="F270" t="s">
        <v>514</v>
      </c>
      <c r="G270">
        <v>45.85</v>
      </c>
    </row>
    <row r="271" spans="2:7" hidden="1">
      <c r="B271" s="43">
        <v>44404</v>
      </c>
      <c r="C271" t="s">
        <v>123</v>
      </c>
      <c r="D271" s="48">
        <v>44434</v>
      </c>
      <c r="E271">
        <v>100</v>
      </c>
      <c r="F271" t="s">
        <v>515</v>
      </c>
      <c r="G271">
        <v>0.4</v>
      </c>
    </row>
    <row r="272" spans="2:7" hidden="1">
      <c r="B272" s="43">
        <v>44405</v>
      </c>
      <c r="C272" t="s">
        <v>123</v>
      </c>
      <c r="D272" s="48">
        <v>44434</v>
      </c>
      <c r="E272">
        <v>100</v>
      </c>
      <c r="F272" t="s">
        <v>514</v>
      </c>
      <c r="G272">
        <v>45.85</v>
      </c>
    </row>
    <row r="273" spans="2:7" hidden="1">
      <c r="B273" s="43">
        <v>44405</v>
      </c>
      <c r="C273" t="s">
        <v>123</v>
      </c>
      <c r="D273" s="48">
        <v>44434</v>
      </c>
      <c r="E273">
        <v>100</v>
      </c>
      <c r="F273" t="s">
        <v>515</v>
      </c>
      <c r="G273">
        <v>0.4</v>
      </c>
    </row>
    <row r="274" spans="2:7" hidden="1">
      <c r="B274" s="43">
        <v>44406</v>
      </c>
      <c r="C274" t="s">
        <v>123</v>
      </c>
      <c r="D274" s="48">
        <v>44434</v>
      </c>
      <c r="E274">
        <v>100</v>
      </c>
      <c r="F274" t="s">
        <v>514</v>
      </c>
      <c r="G274">
        <v>45.85</v>
      </c>
    </row>
    <row r="275" spans="2:7" hidden="1">
      <c r="B275" s="43">
        <v>44406</v>
      </c>
      <c r="C275" t="s">
        <v>123</v>
      </c>
      <c r="D275" s="48">
        <v>44434</v>
      </c>
      <c r="E275">
        <v>100</v>
      </c>
      <c r="F275" t="s">
        <v>515</v>
      </c>
      <c r="G275">
        <v>0.1</v>
      </c>
    </row>
    <row r="276" spans="2:7" hidden="1">
      <c r="B276" s="43">
        <v>44407</v>
      </c>
      <c r="C276" t="s">
        <v>123</v>
      </c>
      <c r="D276" s="48">
        <v>44434</v>
      </c>
      <c r="E276">
        <v>100</v>
      </c>
      <c r="F276" t="s">
        <v>514</v>
      </c>
      <c r="G276">
        <v>45.85</v>
      </c>
    </row>
    <row r="277" spans="2:7" hidden="1">
      <c r="B277" s="43">
        <v>44407</v>
      </c>
      <c r="C277" t="s">
        <v>123</v>
      </c>
      <c r="D277" s="48">
        <v>44434</v>
      </c>
      <c r="E277">
        <v>100</v>
      </c>
      <c r="F277" t="s">
        <v>515</v>
      </c>
      <c r="G277">
        <v>0.1</v>
      </c>
    </row>
    <row r="278" spans="2:7" hidden="1">
      <c r="B278" s="43">
        <v>44410</v>
      </c>
      <c r="C278" t="s">
        <v>123</v>
      </c>
      <c r="D278" s="48">
        <v>44434</v>
      </c>
      <c r="E278">
        <v>100</v>
      </c>
      <c r="F278" t="s">
        <v>514</v>
      </c>
      <c r="G278">
        <v>45.85</v>
      </c>
    </row>
    <row r="279" spans="2:7" hidden="1">
      <c r="B279" s="43">
        <v>44410</v>
      </c>
      <c r="C279" t="s">
        <v>123</v>
      </c>
      <c r="D279" s="48">
        <v>44434</v>
      </c>
      <c r="E279">
        <v>100</v>
      </c>
      <c r="F279" t="s">
        <v>515</v>
      </c>
      <c r="G279">
        <v>0.1</v>
      </c>
    </row>
    <row r="280" spans="2:7" hidden="1">
      <c r="B280" s="43">
        <v>44404</v>
      </c>
      <c r="C280" t="s">
        <v>123</v>
      </c>
      <c r="D280" s="48">
        <v>44434</v>
      </c>
      <c r="E280">
        <v>102.5</v>
      </c>
      <c r="F280" t="s">
        <v>514</v>
      </c>
      <c r="G280">
        <v>43.5</v>
      </c>
    </row>
    <row r="281" spans="2:7" hidden="1">
      <c r="B281" s="43">
        <v>44404</v>
      </c>
      <c r="C281" t="s">
        <v>123</v>
      </c>
      <c r="D281" s="48">
        <v>44434</v>
      </c>
      <c r="E281">
        <v>102.5</v>
      </c>
      <c r="F281" t="s">
        <v>515</v>
      </c>
      <c r="G281">
        <v>0.5</v>
      </c>
    </row>
    <row r="282" spans="2:7" hidden="1">
      <c r="B282" s="43">
        <v>44405</v>
      </c>
      <c r="C282" t="s">
        <v>123</v>
      </c>
      <c r="D282" s="48">
        <v>44434</v>
      </c>
      <c r="E282">
        <v>102.5</v>
      </c>
      <c r="F282" t="s">
        <v>514</v>
      </c>
      <c r="G282">
        <v>43.5</v>
      </c>
    </row>
    <row r="283" spans="2:7" hidden="1">
      <c r="B283" s="43">
        <v>44405</v>
      </c>
      <c r="C283" t="s">
        <v>123</v>
      </c>
      <c r="D283" s="48">
        <v>44434</v>
      </c>
      <c r="E283">
        <v>102.5</v>
      </c>
      <c r="F283" t="s">
        <v>515</v>
      </c>
      <c r="G283">
        <v>0.5</v>
      </c>
    </row>
    <row r="284" spans="2:7" hidden="1">
      <c r="B284" s="43">
        <v>44406</v>
      </c>
      <c r="C284" t="s">
        <v>123</v>
      </c>
      <c r="D284" s="48">
        <v>44434</v>
      </c>
      <c r="E284">
        <v>102.5</v>
      </c>
      <c r="F284" t="s">
        <v>514</v>
      </c>
      <c r="G284">
        <v>43.5</v>
      </c>
    </row>
    <row r="285" spans="2:7" hidden="1">
      <c r="B285" s="43">
        <v>44406</v>
      </c>
      <c r="C285" t="s">
        <v>123</v>
      </c>
      <c r="D285" s="48">
        <v>44434</v>
      </c>
      <c r="E285">
        <v>102.5</v>
      </c>
      <c r="F285" t="s">
        <v>515</v>
      </c>
      <c r="G285">
        <v>0.5</v>
      </c>
    </row>
    <row r="286" spans="2:7" hidden="1">
      <c r="B286" s="43">
        <v>44407</v>
      </c>
      <c r="C286" t="s">
        <v>123</v>
      </c>
      <c r="D286" s="48">
        <v>44434</v>
      </c>
      <c r="E286">
        <v>102.5</v>
      </c>
      <c r="F286" t="s">
        <v>514</v>
      </c>
      <c r="G286">
        <v>43.5</v>
      </c>
    </row>
    <row r="287" spans="2:7" hidden="1">
      <c r="B287" s="43">
        <v>44407</v>
      </c>
      <c r="C287" t="s">
        <v>123</v>
      </c>
      <c r="D287" s="48">
        <v>44434</v>
      </c>
      <c r="E287">
        <v>102.5</v>
      </c>
      <c r="F287" t="s">
        <v>515</v>
      </c>
      <c r="G287">
        <v>0.5</v>
      </c>
    </row>
    <row r="288" spans="2:7" hidden="1">
      <c r="B288" s="43">
        <v>44410</v>
      </c>
      <c r="C288" t="s">
        <v>123</v>
      </c>
      <c r="D288" s="48">
        <v>44434</v>
      </c>
      <c r="E288">
        <v>102.5</v>
      </c>
      <c r="F288" t="s">
        <v>514</v>
      </c>
      <c r="G288">
        <v>43.5</v>
      </c>
    </row>
    <row r="289" spans="2:7" hidden="1">
      <c r="B289" s="43">
        <v>44410</v>
      </c>
      <c r="C289" t="s">
        <v>123</v>
      </c>
      <c r="D289" s="48">
        <v>44434</v>
      </c>
      <c r="E289">
        <v>102.5</v>
      </c>
      <c r="F289" t="s">
        <v>515</v>
      </c>
      <c r="G289">
        <v>0.5</v>
      </c>
    </row>
    <row r="290" spans="2:7" hidden="1">
      <c r="B290" s="43">
        <v>44404</v>
      </c>
      <c r="C290" t="s">
        <v>123</v>
      </c>
      <c r="D290" s="48">
        <v>44434</v>
      </c>
      <c r="E290">
        <v>105</v>
      </c>
      <c r="F290" t="s">
        <v>514</v>
      </c>
      <c r="G290">
        <v>41.2</v>
      </c>
    </row>
    <row r="291" spans="2:7" hidden="1">
      <c r="B291" s="43">
        <v>44404</v>
      </c>
      <c r="C291" t="s">
        <v>123</v>
      </c>
      <c r="D291" s="48">
        <v>44434</v>
      </c>
      <c r="E291">
        <v>105</v>
      </c>
      <c r="F291" t="s">
        <v>515</v>
      </c>
      <c r="G291">
        <v>0.65</v>
      </c>
    </row>
    <row r="292" spans="2:7" hidden="1">
      <c r="B292" s="43">
        <v>44405</v>
      </c>
      <c r="C292" t="s">
        <v>123</v>
      </c>
      <c r="D292" s="48">
        <v>44434</v>
      </c>
      <c r="E292">
        <v>105</v>
      </c>
      <c r="F292" t="s">
        <v>514</v>
      </c>
      <c r="G292">
        <v>41.2</v>
      </c>
    </row>
    <row r="293" spans="2:7" hidden="1">
      <c r="B293" s="43">
        <v>44405</v>
      </c>
      <c r="C293" t="s">
        <v>123</v>
      </c>
      <c r="D293" s="48">
        <v>44434</v>
      </c>
      <c r="E293">
        <v>105</v>
      </c>
      <c r="F293" t="s">
        <v>515</v>
      </c>
      <c r="G293">
        <v>0.65</v>
      </c>
    </row>
    <row r="294" spans="2:7" hidden="1">
      <c r="B294" s="43">
        <v>44406</v>
      </c>
      <c r="C294" t="s">
        <v>123</v>
      </c>
      <c r="D294" s="48">
        <v>44434</v>
      </c>
      <c r="E294">
        <v>105</v>
      </c>
      <c r="F294" t="s">
        <v>514</v>
      </c>
      <c r="G294">
        <v>41.2</v>
      </c>
    </row>
    <row r="295" spans="2:7" hidden="1">
      <c r="B295" s="43">
        <v>44406</v>
      </c>
      <c r="C295" t="s">
        <v>123</v>
      </c>
      <c r="D295" s="48">
        <v>44434</v>
      </c>
      <c r="E295">
        <v>105</v>
      </c>
      <c r="F295" t="s">
        <v>515</v>
      </c>
      <c r="G295">
        <v>0.1</v>
      </c>
    </row>
    <row r="296" spans="2:7" hidden="1">
      <c r="B296" s="43">
        <v>44407</v>
      </c>
      <c r="C296" t="s">
        <v>123</v>
      </c>
      <c r="D296" s="48">
        <v>44434</v>
      </c>
      <c r="E296">
        <v>105</v>
      </c>
      <c r="F296" t="s">
        <v>514</v>
      </c>
      <c r="G296">
        <v>41.2</v>
      </c>
    </row>
    <row r="297" spans="2:7" hidden="1">
      <c r="B297" s="43">
        <v>44407</v>
      </c>
      <c r="C297" t="s">
        <v>123</v>
      </c>
      <c r="D297" s="48">
        <v>44434</v>
      </c>
      <c r="E297">
        <v>105</v>
      </c>
      <c r="F297" t="s">
        <v>515</v>
      </c>
      <c r="G297">
        <v>0.1</v>
      </c>
    </row>
    <row r="298" spans="2:7" hidden="1">
      <c r="B298" s="43">
        <v>44410</v>
      </c>
      <c r="C298" t="s">
        <v>123</v>
      </c>
      <c r="D298" s="48">
        <v>44434</v>
      </c>
      <c r="E298">
        <v>105</v>
      </c>
      <c r="F298" t="s">
        <v>514</v>
      </c>
      <c r="G298">
        <v>41.2</v>
      </c>
    </row>
    <row r="299" spans="2:7" hidden="1">
      <c r="B299" s="43">
        <v>44410</v>
      </c>
      <c r="C299" t="s">
        <v>123</v>
      </c>
      <c r="D299" s="48">
        <v>44434</v>
      </c>
      <c r="E299">
        <v>105</v>
      </c>
      <c r="F299" t="s">
        <v>515</v>
      </c>
      <c r="G299">
        <v>0.1</v>
      </c>
    </row>
    <row r="300" spans="2:7" hidden="1">
      <c r="B300" s="43">
        <v>44404</v>
      </c>
      <c r="C300" t="s">
        <v>123</v>
      </c>
      <c r="D300" s="48">
        <v>44434</v>
      </c>
      <c r="E300">
        <v>107.5</v>
      </c>
      <c r="F300" t="s">
        <v>514</v>
      </c>
      <c r="G300">
        <v>38.950000000000003</v>
      </c>
    </row>
    <row r="301" spans="2:7" hidden="1">
      <c r="B301" s="43">
        <v>44404</v>
      </c>
      <c r="C301" t="s">
        <v>123</v>
      </c>
      <c r="D301" s="48">
        <v>44434</v>
      </c>
      <c r="E301">
        <v>107.5</v>
      </c>
      <c r="F301" t="s">
        <v>515</v>
      </c>
      <c r="G301">
        <v>0.85</v>
      </c>
    </row>
    <row r="302" spans="2:7" hidden="1">
      <c r="B302" s="43">
        <v>44405</v>
      </c>
      <c r="C302" t="s">
        <v>123</v>
      </c>
      <c r="D302" s="48">
        <v>44434</v>
      </c>
      <c r="E302">
        <v>107.5</v>
      </c>
      <c r="F302" t="s">
        <v>514</v>
      </c>
      <c r="G302">
        <v>38.950000000000003</v>
      </c>
    </row>
    <row r="303" spans="2:7" hidden="1">
      <c r="B303" s="43">
        <v>44405</v>
      </c>
      <c r="C303" t="s">
        <v>123</v>
      </c>
      <c r="D303" s="48">
        <v>44434</v>
      </c>
      <c r="E303">
        <v>107.5</v>
      </c>
      <c r="F303" t="s">
        <v>515</v>
      </c>
      <c r="G303">
        <v>0.85</v>
      </c>
    </row>
    <row r="304" spans="2:7" hidden="1">
      <c r="B304" s="43">
        <v>44406</v>
      </c>
      <c r="C304" t="s">
        <v>123</v>
      </c>
      <c r="D304" s="48">
        <v>44434</v>
      </c>
      <c r="E304">
        <v>107.5</v>
      </c>
      <c r="F304" t="s">
        <v>514</v>
      </c>
      <c r="G304">
        <v>38.950000000000003</v>
      </c>
    </row>
    <row r="305" spans="2:7" hidden="1">
      <c r="B305" s="43">
        <v>44406</v>
      </c>
      <c r="C305" t="s">
        <v>123</v>
      </c>
      <c r="D305" s="48">
        <v>44434</v>
      </c>
      <c r="E305">
        <v>107.5</v>
      </c>
      <c r="F305" t="s">
        <v>515</v>
      </c>
      <c r="G305">
        <v>0.85</v>
      </c>
    </row>
    <row r="306" spans="2:7" hidden="1">
      <c r="B306" s="43">
        <v>44407</v>
      </c>
      <c r="C306" t="s">
        <v>123</v>
      </c>
      <c r="D306" s="48">
        <v>44434</v>
      </c>
      <c r="E306">
        <v>107.5</v>
      </c>
      <c r="F306" t="s">
        <v>514</v>
      </c>
      <c r="G306">
        <v>38.950000000000003</v>
      </c>
    </row>
    <row r="307" spans="2:7" hidden="1">
      <c r="B307" s="43">
        <v>44407</v>
      </c>
      <c r="C307" t="s">
        <v>123</v>
      </c>
      <c r="D307" s="48">
        <v>44434</v>
      </c>
      <c r="E307">
        <v>107.5</v>
      </c>
      <c r="F307" t="s">
        <v>515</v>
      </c>
      <c r="G307">
        <v>0.85</v>
      </c>
    </row>
    <row r="308" spans="2:7" hidden="1">
      <c r="B308" s="43">
        <v>44410</v>
      </c>
      <c r="C308" t="s">
        <v>123</v>
      </c>
      <c r="D308" s="48">
        <v>44434</v>
      </c>
      <c r="E308">
        <v>107.5</v>
      </c>
      <c r="F308" t="s">
        <v>514</v>
      </c>
      <c r="G308">
        <v>38.950000000000003</v>
      </c>
    </row>
    <row r="309" spans="2:7" hidden="1">
      <c r="B309" s="43">
        <v>44410</v>
      </c>
      <c r="C309" t="s">
        <v>123</v>
      </c>
      <c r="D309" s="48">
        <v>44434</v>
      </c>
      <c r="E309">
        <v>107.5</v>
      </c>
      <c r="F309" t="s">
        <v>515</v>
      </c>
      <c r="G309">
        <v>0.85</v>
      </c>
    </row>
    <row r="310" spans="2:7" hidden="1">
      <c r="B310" s="43">
        <v>44404</v>
      </c>
      <c r="C310" t="s">
        <v>123</v>
      </c>
      <c r="D310" s="48">
        <v>44434</v>
      </c>
      <c r="E310">
        <v>110</v>
      </c>
      <c r="F310" t="s">
        <v>514</v>
      </c>
      <c r="G310">
        <v>36.700000000000003</v>
      </c>
    </row>
    <row r="311" spans="2:7" hidden="1">
      <c r="B311" s="43">
        <v>44404</v>
      </c>
      <c r="C311" t="s">
        <v>123</v>
      </c>
      <c r="D311" s="48">
        <v>44434</v>
      </c>
      <c r="E311">
        <v>110</v>
      </c>
      <c r="F311" t="s">
        <v>515</v>
      </c>
      <c r="G311">
        <v>1.1000000000000001</v>
      </c>
    </row>
    <row r="312" spans="2:7" hidden="1">
      <c r="B312" s="43">
        <v>44405</v>
      </c>
      <c r="C312" t="s">
        <v>123</v>
      </c>
      <c r="D312" s="48">
        <v>44434</v>
      </c>
      <c r="E312">
        <v>110</v>
      </c>
      <c r="F312" t="s">
        <v>514</v>
      </c>
      <c r="G312">
        <v>36.700000000000003</v>
      </c>
    </row>
    <row r="313" spans="2:7" hidden="1">
      <c r="B313" s="43">
        <v>44405</v>
      </c>
      <c r="C313" t="s">
        <v>123</v>
      </c>
      <c r="D313" s="48">
        <v>44434</v>
      </c>
      <c r="E313">
        <v>110</v>
      </c>
      <c r="F313" t="s">
        <v>515</v>
      </c>
      <c r="G313">
        <v>0.2</v>
      </c>
    </row>
    <row r="314" spans="2:7" hidden="1">
      <c r="B314" s="43">
        <v>44406</v>
      </c>
      <c r="C314" t="s">
        <v>123</v>
      </c>
      <c r="D314" s="48">
        <v>44434</v>
      </c>
      <c r="E314">
        <v>110</v>
      </c>
      <c r="F314" t="s">
        <v>514</v>
      </c>
      <c r="G314">
        <v>36.700000000000003</v>
      </c>
    </row>
    <row r="315" spans="2:7" hidden="1">
      <c r="B315" s="43">
        <v>44406</v>
      </c>
      <c r="C315" t="s">
        <v>123</v>
      </c>
      <c r="D315" s="48">
        <v>44434</v>
      </c>
      <c r="E315">
        <v>110</v>
      </c>
      <c r="F315" t="s">
        <v>515</v>
      </c>
      <c r="G315">
        <v>0.2</v>
      </c>
    </row>
    <row r="316" spans="2:7" hidden="1">
      <c r="B316" s="43">
        <v>44407</v>
      </c>
      <c r="C316" t="s">
        <v>123</v>
      </c>
      <c r="D316" s="48">
        <v>44434</v>
      </c>
      <c r="E316">
        <v>110</v>
      </c>
      <c r="F316" t="s">
        <v>514</v>
      </c>
      <c r="G316">
        <v>36.700000000000003</v>
      </c>
    </row>
    <row r="317" spans="2:7" hidden="1">
      <c r="B317" s="43">
        <v>44407</v>
      </c>
      <c r="C317" t="s">
        <v>123</v>
      </c>
      <c r="D317" s="48">
        <v>44434</v>
      </c>
      <c r="E317">
        <v>110</v>
      </c>
      <c r="F317" t="s">
        <v>515</v>
      </c>
      <c r="G317">
        <v>0.2</v>
      </c>
    </row>
    <row r="318" spans="2:7" hidden="1">
      <c r="B318" s="43">
        <v>44410</v>
      </c>
      <c r="C318" t="s">
        <v>123</v>
      </c>
      <c r="D318" s="48">
        <v>44434</v>
      </c>
      <c r="E318">
        <v>110</v>
      </c>
      <c r="F318" t="s">
        <v>514</v>
      </c>
      <c r="G318">
        <v>36.700000000000003</v>
      </c>
    </row>
    <row r="319" spans="2:7" hidden="1">
      <c r="B319" s="43">
        <v>44410</v>
      </c>
      <c r="C319" t="s">
        <v>123</v>
      </c>
      <c r="D319" s="48">
        <v>44434</v>
      </c>
      <c r="E319">
        <v>110</v>
      </c>
      <c r="F319" t="s">
        <v>515</v>
      </c>
      <c r="G319">
        <v>0.2</v>
      </c>
    </row>
    <row r="320" spans="2:7" hidden="1">
      <c r="B320" s="43">
        <v>44404</v>
      </c>
      <c r="C320" t="s">
        <v>123</v>
      </c>
      <c r="D320" s="48">
        <v>44434</v>
      </c>
      <c r="E320">
        <v>112.5</v>
      </c>
      <c r="F320" t="s">
        <v>514</v>
      </c>
      <c r="G320">
        <v>34.5</v>
      </c>
    </row>
    <row r="321" spans="2:7" hidden="1">
      <c r="B321" s="43">
        <v>44404</v>
      </c>
      <c r="C321" t="s">
        <v>123</v>
      </c>
      <c r="D321" s="48">
        <v>44434</v>
      </c>
      <c r="E321">
        <v>112.5</v>
      </c>
      <c r="F321" t="s">
        <v>515</v>
      </c>
      <c r="G321">
        <v>1.4</v>
      </c>
    </row>
    <row r="322" spans="2:7" hidden="1">
      <c r="B322" s="43">
        <v>44405</v>
      </c>
      <c r="C322" t="s">
        <v>123</v>
      </c>
      <c r="D322" s="48">
        <v>44434</v>
      </c>
      <c r="E322">
        <v>112.5</v>
      </c>
      <c r="F322" t="s">
        <v>514</v>
      </c>
      <c r="G322">
        <v>34.5</v>
      </c>
    </row>
    <row r="323" spans="2:7" hidden="1">
      <c r="B323" s="43">
        <v>44405</v>
      </c>
      <c r="C323" t="s">
        <v>123</v>
      </c>
      <c r="D323" s="48">
        <v>44434</v>
      </c>
      <c r="E323">
        <v>112.5</v>
      </c>
      <c r="F323" t="s">
        <v>515</v>
      </c>
      <c r="G323">
        <v>1.4</v>
      </c>
    </row>
    <row r="324" spans="2:7" hidden="1">
      <c r="B324" s="43">
        <v>44406</v>
      </c>
      <c r="C324" t="s">
        <v>123</v>
      </c>
      <c r="D324" s="48">
        <v>44434</v>
      </c>
      <c r="E324">
        <v>112.5</v>
      </c>
      <c r="F324" t="s">
        <v>514</v>
      </c>
      <c r="G324">
        <v>34.5</v>
      </c>
    </row>
    <row r="325" spans="2:7" hidden="1">
      <c r="B325" s="43">
        <v>44406</v>
      </c>
      <c r="C325" t="s">
        <v>123</v>
      </c>
      <c r="D325" s="48">
        <v>44434</v>
      </c>
      <c r="E325">
        <v>112.5</v>
      </c>
      <c r="F325" t="s">
        <v>515</v>
      </c>
      <c r="G325">
        <v>1.4</v>
      </c>
    </row>
    <row r="326" spans="2:7" hidden="1">
      <c r="B326" s="43">
        <v>44407</v>
      </c>
      <c r="C326" t="s">
        <v>123</v>
      </c>
      <c r="D326" s="48">
        <v>44434</v>
      </c>
      <c r="E326">
        <v>112.5</v>
      </c>
      <c r="F326" t="s">
        <v>514</v>
      </c>
      <c r="G326">
        <v>34.5</v>
      </c>
    </row>
    <row r="327" spans="2:7" hidden="1">
      <c r="B327" s="43">
        <v>44407</v>
      </c>
      <c r="C327" t="s">
        <v>123</v>
      </c>
      <c r="D327" s="48">
        <v>44434</v>
      </c>
      <c r="E327">
        <v>112.5</v>
      </c>
      <c r="F327" t="s">
        <v>515</v>
      </c>
      <c r="G327">
        <v>1.4</v>
      </c>
    </row>
    <row r="328" spans="2:7" hidden="1">
      <c r="B328" s="43">
        <v>44410</v>
      </c>
      <c r="C328" t="s">
        <v>123</v>
      </c>
      <c r="D328" s="48">
        <v>44434</v>
      </c>
      <c r="E328">
        <v>112.5</v>
      </c>
      <c r="F328" t="s">
        <v>514</v>
      </c>
      <c r="G328">
        <v>34.5</v>
      </c>
    </row>
    <row r="329" spans="2:7" hidden="1">
      <c r="B329" s="43">
        <v>44410</v>
      </c>
      <c r="C329" t="s">
        <v>123</v>
      </c>
      <c r="D329" s="48">
        <v>44434</v>
      </c>
      <c r="E329">
        <v>112.5</v>
      </c>
      <c r="F329" t="s">
        <v>515</v>
      </c>
      <c r="G329">
        <v>1.4</v>
      </c>
    </row>
    <row r="330" spans="2:7" hidden="1">
      <c r="B330" s="43">
        <v>44404</v>
      </c>
      <c r="C330" t="s">
        <v>123</v>
      </c>
      <c r="D330" s="48">
        <v>44434</v>
      </c>
      <c r="E330">
        <v>115</v>
      </c>
      <c r="F330" t="s">
        <v>514</v>
      </c>
      <c r="G330">
        <v>32.4</v>
      </c>
    </row>
    <row r="331" spans="2:7" hidden="1">
      <c r="B331" s="43">
        <v>44404</v>
      </c>
      <c r="C331" t="s">
        <v>123</v>
      </c>
      <c r="D331" s="48">
        <v>44434</v>
      </c>
      <c r="E331">
        <v>115</v>
      </c>
      <c r="F331" t="s">
        <v>515</v>
      </c>
      <c r="G331">
        <v>1.75</v>
      </c>
    </row>
    <row r="332" spans="2:7" hidden="1">
      <c r="B332" s="43">
        <v>44405</v>
      </c>
      <c r="C332" t="s">
        <v>123</v>
      </c>
      <c r="D332" s="48">
        <v>44434</v>
      </c>
      <c r="E332">
        <v>115</v>
      </c>
      <c r="F332" t="s">
        <v>514</v>
      </c>
      <c r="G332">
        <v>32.4</v>
      </c>
    </row>
    <row r="333" spans="2:7" hidden="1">
      <c r="B333" s="43">
        <v>44405</v>
      </c>
      <c r="C333" t="s">
        <v>123</v>
      </c>
      <c r="D333" s="48">
        <v>44434</v>
      </c>
      <c r="E333">
        <v>115</v>
      </c>
      <c r="F333" t="s">
        <v>515</v>
      </c>
      <c r="G333">
        <v>1.75</v>
      </c>
    </row>
    <row r="334" spans="2:7" hidden="1">
      <c r="B334" s="43">
        <v>44406</v>
      </c>
      <c r="C334" t="s">
        <v>123</v>
      </c>
      <c r="D334" s="48">
        <v>44434</v>
      </c>
      <c r="E334">
        <v>115</v>
      </c>
      <c r="F334" t="s">
        <v>514</v>
      </c>
      <c r="G334">
        <v>32.4</v>
      </c>
    </row>
    <row r="335" spans="2:7" hidden="1">
      <c r="B335" s="43">
        <v>44406</v>
      </c>
      <c r="C335" t="s">
        <v>123</v>
      </c>
      <c r="D335" s="48">
        <v>44434</v>
      </c>
      <c r="E335">
        <v>115</v>
      </c>
      <c r="F335" t="s">
        <v>515</v>
      </c>
      <c r="G335">
        <v>1.75</v>
      </c>
    </row>
    <row r="336" spans="2:7" hidden="1">
      <c r="B336" s="43">
        <v>44407</v>
      </c>
      <c r="C336" t="s">
        <v>123</v>
      </c>
      <c r="D336" s="48">
        <v>44434</v>
      </c>
      <c r="E336">
        <v>115</v>
      </c>
      <c r="F336" t="s">
        <v>514</v>
      </c>
      <c r="G336">
        <v>32.4</v>
      </c>
    </row>
    <row r="337" spans="2:7" hidden="1">
      <c r="B337" s="43">
        <v>44407</v>
      </c>
      <c r="C337" t="s">
        <v>123</v>
      </c>
      <c r="D337" s="48">
        <v>44434</v>
      </c>
      <c r="E337">
        <v>115</v>
      </c>
      <c r="F337" t="s">
        <v>515</v>
      </c>
      <c r="G337">
        <v>1.75</v>
      </c>
    </row>
    <row r="338" spans="2:7" hidden="1">
      <c r="B338" s="43">
        <v>44410</v>
      </c>
      <c r="C338" t="s">
        <v>123</v>
      </c>
      <c r="D338" s="48">
        <v>44434</v>
      </c>
      <c r="E338">
        <v>115</v>
      </c>
      <c r="F338" t="s">
        <v>514</v>
      </c>
      <c r="G338">
        <v>32.4</v>
      </c>
    </row>
    <row r="339" spans="2:7" hidden="1">
      <c r="B339" s="43">
        <v>44410</v>
      </c>
      <c r="C339" t="s">
        <v>123</v>
      </c>
      <c r="D339" s="48">
        <v>44434</v>
      </c>
      <c r="E339">
        <v>115</v>
      </c>
      <c r="F339" t="s">
        <v>515</v>
      </c>
      <c r="G339">
        <v>1.75</v>
      </c>
    </row>
    <row r="340" spans="2:7" hidden="1">
      <c r="B340" s="43">
        <v>44404</v>
      </c>
      <c r="C340" t="s">
        <v>123</v>
      </c>
      <c r="D340" s="48">
        <v>44434</v>
      </c>
      <c r="E340">
        <v>117.5</v>
      </c>
      <c r="F340" t="s">
        <v>514</v>
      </c>
      <c r="G340">
        <v>30.3</v>
      </c>
    </row>
    <row r="341" spans="2:7" hidden="1">
      <c r="B341" s="43">
        <v>44404</v>
      </c>
      <c r="C341" t="s">
        <v>123</v>
      </c>
      <c r="D341" s="48">
        <v>44434</v>
      </c>
      <c r="E341">
        <v>117.5</v>
      </c>
      <c r="F341" t="s">
        <v>515</v>
      </c>
      <c r="G341">
        <v>2.15</v>
      </c>
    </row>
    <row r="342" spans="2:7" hidden="1">
      <c r="B342" s="43">
        <v>44405</v>
      </c>
      <c r="C342" t="s">
        <v>123</v>
      </c>
      <c r="D342" s="48">
        <v>44434</v>
      </c>
      <c r="E342">
        <v>117.5</v>
      </c>
      <c r="F342" t="s">
        <v>514</v>
      </c>
      <c r="G342">
        <v>30.3</v>
      </c>
    </row>
    <row r="343" spans="2:7" hidden="1">
      <c r="B343" s="43">
        <v>44405</v>
      </c>
      <c r="C343" t="s">
        <v>123</v>
      </c>
      <c r="D343" s="48">
        <v>44434</v>
      </c>
      <c r="E343">
        <v>117.5</v>
      </c>
      <c r="F343" t="s">
        <v>515</v>
      </c>
      <c r="G343">
        <v>2.15</v>
      </c>
    </row>
    <row r="344" spans="2:7" hidden="1">
      <c r="B344" s="43">
        <v>44406</v>
      </c>
      <c r="C344" t="s">
        <v>123</v>
      </c>
      <c r="D344" s="48">
        <v>44434</v>
      </c>
      <c r="E344">
        <v>117.5</v>
      </c>
      <c r="F344" t="s">
        <v>514</v>
      </c>
      <c r="G344">
        <v>30.3</v>
      </c>
    </row>
    <row r="345" spans="2:7" hidden="1">
      <c r="B345" s="43">
        <v>44406</v>
      </c>
      <c r="C345" t="s">
        <v>123</v>
      </c>
      <c r="D345" s="48">
        <v>44434</v>
      </c>
      <c r="E345">
        <v>117.5</v>
      </c>
      <c r="F345" t="s">
        <v>515</v>
      </c>
      <c r="G345">
        <v>2.15</v>
      </c>
    </row>
    <row r="346" spans="2:7" hidden="1">
      <c r="B346" s="43">
        <v>44407</v>
      </c>
      <c r="C346" t="s">
        <v>123</v>
      </c>
      <c r="D346" s="48">
        <v>44434</v>
      </c>
      <c r="E346">
        <v>117.5</v>
      </c>
      <c r="F346" t="s">
        <v>514</v>
      </c>
      <c r="G346">
        <v>30.3</v>
      </c>
    </row>
    <row r="347" spans="2:7" hidden="1">
      <c r="B347" s="43">
        <v>44407</v>
      </c>
      <c r="C347" t="s">
        <v>123</v>
      </c>
      <c r="D347" s="48">
        <v>44434</v>
      </c>
      <c r="E347">
        <v>117.5</v>
      </c>
      <c r="F347" t="s">
        <v>515</v>
      </c>
      <c r="G347">
        <v>2.15</v>
      </c>
    </row>
    <row r="348" spans="2:7" hidden="1">
      <c r="B348" s="43">
        <v>44410</v>
      </c>
      <c r="C348" t="s">
        <v>123</v>
      </c>
      <c r="D348" s="48">
        <v>44434</v>
      </c>
      <c r="E348">
        <v>117.5</v>
      </c>
      <c r="F348" t="s">
        <v>514</v>
      </c>
      <c r="G348">
        <v>30.3</v>
      </c>
    </row>
    <row r="349" spans="2:7" hidden="1">
      <c r="B349" s="43">
        <v>44410</v>
      </c>
      <c r="C349" t="s">
        <v>123</v>
      </c>
      <c r="D349" s="48">
        <v>44434</v>
      </c>
      <c r="E349">
        <v>117.5</v>
      </c>
      <c r="F349" t="s">
        <v>515</v>
      </c>
      <c r="G349">
        <v>2.15</v>
      </c>
    </row>
    <row r="350" spans="2:7" hidden="1">
      <c r="B350" s="43">
        <v>44404</v>
      </c>
      <c r="C350" t="s">
        <v>123</v>
      </c>
      <c r="D350" s="48">
        <v>44434</v>
      </c>
      <c r="E350">
        <v>120</v>
      </c>
      <c r="F350" t="s">
        <v>514</v>
      </c>
      <c r="G350">
        <v>28.3</v>
      </c>
    </row>
    <row r="351" spans="2:7" hidden="1">
      <c r="B351" s="43">
        <v>44404</v>
      </c>
      <c r="C351" t="s">
        <v>123</v>
      </c>
      <c r="D351" s="48">
        <v>44434</v>
      </c>
      <c r="E351">
        <v>120</v>
      </c>
      <c r="F351" t="s">
        <v>515</v>
      </c>
      <c r="G351">
        <v>0.3</v>
      </c>
    </row>
    <row r="352" spans="2:7" hidden="1">
      <c r="B352" s="43">
        <v>44405</v>
      </c>
      <c r="C352" t="s">
        <v>123</v>
      </c>
      <c r="D352" s="48">
        <v>44434</v>
      </c>
      <c r="E352">
        <v>120</v>
      </c>
      <c r="F352" t="s">
        <v>514</v>
      </c>
      <c r="G352">
        <v>28.3</v>
      </c>
    </row>
    <row r="353" spans="2:7" hidden="1">
      <c r="B353" s="43">
        <v>44405</v>
      </c>
      <c r="C353" t="s">
        <v>123</v>
      </c>
      <c r="D353" s="48">
        <v>44434</v>
      </c>
      <c r="E353">
        <v>120</v>
      </c>
      <c r="F353" t="s">
        <v>515</v>
      </c>
      <c r="G353">
        <v>0.3</v>
      </c>
    </row>
    <row r="354" spans="2:7" hidden="1">
      <c r="B354" s="43">
        <v>44406</v>
      </c>
      <c r="C354" t="s">
        <v>123</v>
      </c>
      <c r="D354" s="48">
        <v>44434</v>
      </c>
      <c r="E354">
        <v>120</v>
      </c>
      <c r="F354" t="s">
        <v>514</v>
      </c>
      <c r="G354">
        <v>28.3</v>
      </c>
    </row>
    <row r="355" spans="2:7" hidden="1">
      <c r="B355" s="43">
        <v>44406</v>
      </c>
      <c r="C355" t="s">
        <v>123</v>
      </c>
      <c r="D355" s="48">
        <v>44434</v>
      </c>
      <c r="E355">
        <v>120</v>
      </c>
      <c r="F355" t="s">
        <v>515</v>
      </c>
      <c r="G355">
        <v>0.3</v>
      </c>
    </row>
    <row r="356" spans="2:7" hidden="1">
      <c r="B356" s="43">
        <v>44407</v>
      </c>
      <c r="C356" t="s">
        <v>123</v>
      </c>
      <c r="D356" s="48">
        <v>44434</v>
      </c>
      <c r="E356">
        <v>120</v>
      </c>
      <c r="F356" t="s">
        <v>514</v>
      </c>
      <c r="G356">
        <v>28.3</v>
      </c>
    </row>
    <row r="357" spans="2:7" hidden="1">
      <c r="B357" s="43">
        <v>44407</v>
      </c>
      <c r="C357" t="s">
        <v>123</v>
      </c>
      <c r="D357" s="48">
        <v>44434</v>
      </c>
      <c r="E357">
        <v>120</v>
      </c>
      <c r="F357" t="s">
        <v>515</v>
      </c>
      <c r="G357">
        <v>0.25</v>
      </c>
    </row>
    <row r="358" spans="2:7" hidden="1">
      <c r="B358" s="43">
        <v>44410</v>
      </c>
      <c r="C358" t="s">
        <v>123</v>
      </c>
      <c r="D358" s="48">
        <v>44434</v>
      </c>
      <c r="E358">
        <v>120</v>
      </c>
      <c r="F358" t="s">
        <v>514</v>
      </c>
      <c r="G358">
        <v>28.3</v>
      </c>
    </row>
    <row r="359" spans="2:7" hidden="1">
      <c r="B359" s="43">
        <v>44410</v>
      </c>
      <c r="C359" t="s">
        <v>123</v>
      </c>
      <c r="D359" s="48">
        <v>44434</v>
      </c>
      <c r="E359">
        <v>120</v>
      </c>
      <c r="F359" t="s">
        <v>515</v>
      </c>
      <c r="G359">
        <v>0.2</v>
      </c>
    </row>
    <row r="360" spans="2:7" hidden="1">
      <c r="B360" s="43">
        <v>44404</v>
      </c>
      <c r="C360" t="s">
        <v>123</v>
      </c>
      <c r="D360" s="48">
        <v>44434</v>
      </c>
      <c r="E360">
        <v>122.5</v>
      </c>
      <c r="F360" t="s">
        <v>514</v>
      </c>
      <c r="G360">
        <v>26.4</v>
      </c>
    </row>
    <row r="361" spans="2:7" hidden="1">
      <c r="B361" s="43">
        <v>44404</v>
      </c>
      <c r="C361" t="s">
        <v>123</v>
      </c>
      <c r="D361" s="48">
        <v>44434</v>
      </c>
      <c r="E361">
        <v>122.5</v>
      </c>
      <c r="F361" t="s">
        <v>515</v>
      </c>
      <c r="G361">
        <v>3.2</v>
      </c>
    </row>
    <row r="362" spans="2:7" hidden="1">
      <c r="B362" s="43">
        <v>44405</v>
      </c>
      <c r="C362" t="s">
        <v>123</v>
      </c>
      <c r="D362" s="48">
        <v>44434</v>
      </c>
      <c r="E362">
        <v>122.5</v>
      </c>
      <c r="F362" t="s">
        <v>514</v>
      </c>
      <c r="G362">
        <v>26.4</v>
      </c>
    </row>
    <row r="363" spans="2:7" hidden="1">
      <c r="B363" s="43">
        <v>44405</v>
      </c>
      <c r="C363" t="s">
        <v>123</v>
      </c>
      <c r="D363" s="48">
        <v>44434</v>
      </c>
      <c r="E363">
        <v>122.5</v>
      </c>
      <c r="F363" t="s">
        <v>515</v>
      </c>
      <c r="G363">
        <v>3.2</v>
      </c>
    </row>
    <row r="364" spans="2:7" hidden="1">
      <c r="B364" s="43">
        <v>44406</v>
      </c>
      <c r="C364" t="s">
        <v>123</v>
      </c>
      <c r="D364" s="48">
        <v>44434</v>
      </c>
      <c r="E364">
        <v>122.5</v>
      </c>
      <c r="F364" t="s">
        <v>514</v>
      </c>
      <c r="G364">
        <v>26.4</v>
      </c>
    </row>
    <row r="365" spans="2:7" hidden="1">
      <c r="B365" s="43">
        <v>44406</v>
      </c>
      <c r="C365" t="s">
        <v>123</v>
      </c>
      <c r="D365" s="48">
        <v>44434</v>
      </c>
      <c r="E365">
        <v>122.5</v>
      </c>
      <c r="F365" t="s">
        <v>515</v>
      </c>
      <c r="G365">
        <v>3.2</v>
      </c>
    </row>
    <row r="366" spans="2:7" hidden="1">
      <c r="B366" s="43">
        <v>44407</v>
      </c>
      <c r="C366" t="s">
        <v>123</v>
      </c>
      <c r="D366" s="48">
        <v>44434</v>
      </c>
      <c r="E366">
        <v>122.5</v>
      </c>
      <c r="F366" t="s">
        <v>514</v>
      </c>
      <c r="G366">
        <v>26.4</v>
      </c>
    </row>
    <row r="367" spans="2:7" hidden="1">
      <c r="B367" s="43">
        <v>44407</v>
      </c>
      <c r="C367" t="s">
        <v>123</v>
      </c>
      <c r="D367" s="48">
        <v>44434</v>
      </c>
      <c r="E367">
        <v>122.5</v>
      </c>
      <c r="F367" t="s">
        <v>515</v>
      </c>
      <c r="G367">
        <v>3.2</v>
      </c>
    </row>
    <row r="368" spans="2:7" hidden="1">
      <c r="B368" s="43">
        <v>44410</v>
      </c>
      <c r="C368" t="s">
        <v>123</v>
      </c>
      <c r="D368" s="48">
        <v>44434</v>
      </c>
      <c r="E368">
        <v>122.5</v>
      </c>
      <c r="F368" t="s">
        <v>514</v>
      </c>
      <c r="G368">
        <v>26.4</v>
      </c>
    </row>
    <row r="369" spans="2:7" hidden="1">
      <c r="B369" s="43">
        <v>44410</v>
      </c>
      <c r="C369" t="s">
        <v>123</v>
      </c>
      <c r="D369" s="48">
        <v>44434</v>
      </c>
      <c r="E369">
        <v>122.5</v>
      </c>
      <c r="F369" t="s">
        <v>515</v>
      </c>
      <c r="G369">
        <v>3.2</v>
      </c>
    </row>
    <row r="370" spans="2:7" hidden="1">
      <c r="B370" s="43">
        <v>44404</v>
      </c>
      <c r="C370" t="s">
        <v>123</v>
      </c>
      <c r="D370" s="48">
        <v>44434</v>
      </c>
      <c r="E370">
        <v>125</v>
      </c>
      <c r="F370" t="s">
        <v>514</v>
      </c>
      <c r="G370">
        <v>24.5</v>
      </c>
    </row>
    <row r="371" spans="2:7" hidden="1">
      <c r="B371" s="43">
        <v>44404</v>
      </c>
      <c r="C371" t="s">
        <v>123</v>
      </c>
      <c r="D371" s="48">
        <v>44434</v>
      </c>
      <c r="E371">
        <v>125</v>
      </c>
      <c r="F371" t="s">
        <v>515</v>
      </c>
      <c r="G371">
        <v>0.5</v>
      </c>
    </row>
    <row r="372" spans="2:7" hidden="1">
      <c r="B372" s="43">
        <v>44405</v>
      </c>
      <c r="C372" t="s">
        <v>123</v>
      </c>
      <c r="D372" s="48">
        <v>44434</v>
      </c>
      <c r="E372">
        <v>125</v>
      </c>
      <c r="F372" t="s">
        <v>514</v>
      </c>
      <c r="G372">
        <v>24.5</v>
      </c>
    </row>
    <row r="373" spans="2:7" hidden="1">
      <c r="B373" s="43">
        <v>44405</v>
      </c>
      <c r="C373" t="s">
        <v>123</v>
      </c>
      <c r="D373" s="48">
        <v>44434</v>
      </c>
      <c r="E373">
        <v>125</v>
      </c>
      <c r="F373" t="s">
        <v>515</v>
      </c>
      <c r="G373">
        <v>0.35</v>
      </c>
    </row>
    <row r="374" spans="2:7" hidden="1">
      <c r="B374" s="43">
        <v>44406</v>
      </c>
      <c r="C374" t="s">
        <v>123</v>
      </c>
      <c r="D374" s="48">
        <v>44434</v>
      </c>
      <c r="E374">
        <v>125</v>
      </c>
      <c r="F374" t="s">
        <v>514</v>
      </c>
      <c r="G374">
        <v>24.5</v>
      </c>
    </row>
    <row r="375" spans="2:7" hidden="1">
      <c r="B375" s="43">
        <v>44406</v>
      </c>
      <c r="C375" t="s">
        <v>123</v>
      </c>
      <c r="D375" s="48">
        <v>44434</v>
      </c>
      <c r="E375">
        <v>125</v>
      </c>
      <c r="F375" t="s">
        <v>515</v>
      </c>
      <c r="G375">
        <v>0.35</v>
      </c>
    </row>
    <row r="376" spans="2:7" hidden="1">
      <c r="B376" s="43">
        <v>44407</v>
      </c>
      <c r="C376" t="s">
        <v>123</v>
      </c>
      <c r="D376" s="48">
        <v>44434</v>
      </c>
      <c r="E376">
        <v>125</v>
      </c>
      <c r="F376" t="s">
        <v>514</v>
      </c>
      <c r="G376">
        <v>24.5</v>
      </c>
    </row>
    <row r="377" spans="2:7" hidden="1">
      <c r="B377" s="43">
        <v>44407</v>
      </c>
      <c r="C377" t="s">
        <v>123</v>
      </c>
      <c r="D377" s="48">
        <v>44434</v>
      </c>
      <c r="E377">
        <v>125</v>
      </c>
      <c r="F377" t="s">
        <v>515</v>
      </c>
      <c r="G377">
        <v>0.3</v>
      </c>
    </row>
    <row r="378" spans="2:7" hidden="1">
      <c r="B378" s="43">
        <v>44410</v>
      </c>
      <c r="C378" t="s">
        <v>123</v>
      </c>
      <c r="D378" s="48">
        <v>44434</v>
      </c>
      <c r="E378">
        <v>125</v>
      </c>
      <c r="F378" t="s">
        <v>514</v>
      </c>
      <c r="G378">
        <v>24.5</v>
      </c>
    </row>
    <row r="379" spans="2:7" hidden="1">
      <c r="B379" s="43">
        <v>44410</v>
      </c>
      <c r="C379" t="s">
        <v>123</v>
      </c>
      <c r="D379" s="48">
        <v>44434</v>
      </c>
      <c r="E379">
        <v>125</v>
      </c>
      <c r="F379" t="s">
        <v>515</v>
      </c>
      <c r="G379">
        <v>0.2</v>
      </c>
    </row>
    <row r="380" spans="2:7" hidden="1">
      <c r="B380" s="43">
        <v>44404</v>
      </c>
      <c r="C380" t="s">
        <v>123</v>
      </c>
      <c r="D380" s="48">
        <v>44434</v>
      </c>
      <c r="E380">
        <v>127.5</v>
      </c>
      <c r="F380" t="s">
        <v>514</v>
      </c>
      <c r="G380">
        <v>22.75</v>
      </c>
    </row>
    <row r="381" spans="2:7" hidden="1">
      <c r="B381" s="43">
        <v>44404</v>
      </c>
      <c r="C381" t="s">
        <v>123</v>
      </c>
      <c r="D381" s="48">
        <v>44434</v>
      </c>
      <c r="E381">
        <v>127.5</v>
      </c>
      <c r="F381" t="s">
        <v>515</v>
      </c>
      <c r="G381">
        <v>4.5</v>
      </c>
    </row>
    <row r="382" spans="2:7" hidden="1">
      <c r="B382" s="43">
        <v>44405</v>
      </c>
      <c r="C382" t="s">
        <v>123</v>
      </c>
      <c r="D382" s="48">
        <v>44434</v>
      </c>
      <c r="E382">
        <v>127.5</v>
      </c>
      <c r="F382" t="s">
        <v>514</v>
      </c>
      <c r="G382">
        <v>22.75</v>
      </c>
    </row>
    <row r="383" spans="2:7" hidden="1">
      <c r="B383" s="43">
        <v>44405</v>
      </c>
      <c r="C383" t="s">
        <v>123</v>
      </c>
      <c r="D383" s="48">
        <v>44434</v>
      </c>
      <c r="E383">
        <v>127.5</v>
      </c>
      <c r="F383" t="s">
        <v>515</v>
      </c>
      <c r="G383">
        <v>4.5</v>
      </c>
    </row>
    <row r="384" spans="2:7" hidden="1">
      <c r="B384" s="43">
        <v>44406</v>
      </c>
      <c r="C384" t="s">
        <v>123</v>
      </c>
      <c r="D384" s="48">
        <v>44434</v>
      </c>
      <c r="E384">
        <v>127.5</v>
      </c>
      <c r="F384" t="s">
        <v>514</v>
      </c>
      <c r="G384">
        <v>22.75</v>
      </c>
    </row>
    <row r="385" spans="2:7" hidden="1">
      <c r="B385" s="43">
        <v>44406</v>
      </c>
      <c r="C385" t="s">
        <v>123</v>
      </c>
      <c r="D385" s="48">
        <v>44434</v>
      </c>
      <c r="E385">
        <v>127.5</v>
      </c>
      <c r="F385" t="s">
        <v>515</v>
      </c>
      <c r="G385">
        <v>4.5</v>
      </c>
    </row>
    <row r="386" spans="2:7" hidden="1">
      <c r="B386" s="43">
        <v>44407</v>
      </c>
      <c r="C386" t="s">
        <v>123</v>
      </c>
      <c r="D386" s="48">
        <v>44434</v>
      </c>
      <c r="E386">
        <v>127.5</v>
      </c>
      <c r="F386" t="s">
        <v>514</v>
      </c>
      <c r="G386">
        <v>22.75</v>
      </c>
    </row>
    <row r="387" spans="2:7" hidden="1">
      <c r="B387" s="43">
        <v>44407</v>
      </c>
      <c r="C387" t="s">
        <v>123</v>
      </c>
      <c r="D387" s="48">
        <v>44434</v>
      </c>
      <c r="E387">
        <v>127.5</v>
      </c>
      <c r="F387" t="s">
        <v>515</v>
      </c>
      <c r="G387">
        <v>4.5</v>
      </c>
    </row>
    <row r="388" spans="2:7" hidden="1">
      <c r="B388" s="43">
        <v>44410</v>
      </c>
      <c r="C388" t="s">
        <v>123</v>
      </c>
      <c r="D388" s="48">
        <v>44434</v>
      </c>
      <c r="E388">
        <v>127.5</v>
      </c>
      <c r="F388" t="s">
        <v>514</v>
      </c>
      <c r="G388">
        <v>22.75</v>
      </c>
    </row>
    <row r="389" spans="2:7" hidden="1">
      <c r="B389" s="43">
        <v>44410</v>
      </c>
      <c r="C389" t="s">
        <v>123</v>
      </c>
      <c r="D389" s="48">
        <v>44434</v>
      </c>
      <c r="E389">
        <v>127.5</v>
      </c>
      <c r="F389" t="s">
        <v>515</v>
      </c>
      <c r="G389">
        <v>4.5</v>
      </c>
    </row>
    <row r="390" spans="2:7" hidden="1">
      <c r="B390" s="43">
        <v>44404</v>
      </c>
      <c r="C390" t="s">
        <v>123</v>
      </c>
      <c r="D390" s="48">
        <v>44434</v>
      </c>
      <c r="E390">
        <v>130</v>
      </c>
      <c r="F390" t="s">
        <v>514</v>
      </c>
      <c r="G390">
        <v>14.8</v>
      </c>
    </row>
    <row r="391" spans="2:7" hidden="1">
      <c r="B391" s="43">
        <v>44404</v>
      </c>
      <c r="C391" t="s">
        <v>123</v>
      </c>
      <c r="D391" s="48">
        <v>44434</v>
      </c>
      <c r="E391">
        <v>130</v>
      </c>
      <c r="F391" t="s">
        <v>515</v>
      </c>
      <c r="G391">
        <v>0.7</v>
      </c>
    </row>
    <row r="392" spans="2:7" hidden="1">
      <c r="B392" s="43">
        <v>44405</v>
      </c>
      <c r="C392" t="s">
        <v>123</v>
      </c>
      <c r="D392" s="48">
        <v>44434</v>
      </c>
      <c r="E392">
        <v>130</v>
      </c>
      <c r="F392" t="s">
        <v>514</v>
      </c>
      <c r="G392">
        <v>13.9</v>
      </c>
    </row>
    <row r="393" spans="2:7" hidden="1">
      <c r="B393" s="43">
        <v>44405</v>
      </c>
      <c r="C393" t="s">
        <v>123</v>
      </c>
      <c r="D393" s="48">
        <v>44434</v>
      </c>
      <c r="E393">
        <v>130</v>
      </c>
      <c r="F393" t="s">
        <v>515</v>
      </c>
      <c r="G393">
        <v>0.7</v>
      </c>
    </row>
    <row r="394" spans="2:7" hidden="1">
      <c r="B394" s="43">
        <v>44406</v>
      </c>
      <c r="C394" t="s">
        <v>123</v>
      </c>
      <c r="D394" s="48">
        <v>44434</v>
      </c>
      <c r="E394">
        <v>130</v>
      </c>
      <c r="F394" t="s">
        <v>514</v>
      </c>
      <c r="G394">
        <v>13</v>
      </c>
    </row>
    <row r="395" spans="2:7" hidden="1">
      <c r="B395" s="43">
        <v>44406</v>
      </c>
      <c r="C395" t="s">
        <v>123</v>
      </c>
      <c r="D395" s="48">
        <v>44434</v>
      </c>
      <c r="E395">
        <v>130</v>
      </c>
      <c r="F395" t="s">
        <v>515</v>
      </c>
      <c r="G395">
        <v>0.7</v>
      </c>
    </row>
    <row r="396" spans="2:7" hidden="1">
      <c r="B396" s="43">
        <v>44407</v>
      </c>
      <c r="C396" t="s">
        <v>123</v>
      </c>
      <c r="D396" s="48">
        <v>44434</v>
      </c>
      <c r="E396">
        <v>130</v>
      </c>
      <c r="F396" t="s">
        <v>514</v>
      </c>
      <c r="G396">
        <v>15.2</v>
      </c>
    </row>
    <row r="397" spans="2:7" hidden="1">
      <c r="B397" s="43">
        <v>44407</v>
      </c>
      <c r="C397" t="s">
        <v>123</v>
      </c>
      <c r="D397" s="48">
        <v>44434</v>
      </c>
      <c r="E397">
        <v>130</v>
      </c>
      <c r="F397" t="s">
        <v>515</v>
      </c>
      <c r="G397">
        <v>0.45</v>
      </c>
    </row>
    <row r="398" spans="2:7" hidden="1">
      <c r="B398" s="43">
        <v>44410</v>
      </c>
      <c r="C398" t="s">
        <v>123</v>
      </c>
      <c r="D398" s="48">
        <v>44434</v>
      </c>
      <c r="E398">
        <v>130</v>
      </c>
      <c r="F398" t="s">
        <v>514</v>
      </c>
      <c r="G398">
        <v>14.8</v>
      </c>
    </row>
    <row r="399" spans="2:7" hidden="1">
      <c r="B399" s="43">
        <v>44410</v>
      </c>
      <c r="C399" t="s">
        <v>123</v>
      </c>
      <c r="D399" s="48">
        <v>44434</v>
      </c>
      <c r="E399">
        <v>130</v>
      </c>
      <c r="F399" t="s">
        <v>515</v>
      </c>
      <c r="G399">
        <v>0.35</v>
      </c>
    </row>
    <row r="400" spans="2:7" hidden="1">
      <c r="B400" s="43">
        <v>44404</v>
      </c>
      <c r="C400" t="s">
        <v>123</v>
      </c>
      <c r="D400" s="48">
        <v>44434</v>
      </c>
      <c r="E400">
        <v>132.5</v>
      </c>
      <c r="F400" t="s">
        <v>514</v>
      </c>
      <c r="G400">
        <v>19.399999999999999</v>
      </c>
    </row>
    <row r="401" spans="2:7" hidden="1">
      <c r="B401" s="43">
        <v>44404</v>
      </c>
      <c r="C401" t="s">
        <v>123</v>
      </c>
      <c r="D401" s="48">
        <v>44434</v>
      </c>
      <c r="E401">
        <v>132.5</v>
      </c>
      <c r="F401" t="s">
        <v>515</v>
      </c>
      <c r="G401">
        <v>6.1</v>
      </c>
    </row>
    <row r="402" spans="2:7" hidden="1">
      <c r="B402" s="43">
        <v>44405</v>
      </c>
      <c r="C402" t="s">
        <v>123</v>
      </c>
      <c r="D402" s="48">
        <v>44434</v>
      </c>
      <c r="E402">
        <v>132.5</v>
      </c>
      <c r="F402" t="s">
        <v>514</v>
      </c>
      <c r="G402">
        <v>19.399999999999999</v>
      </c>
    </row>
    <row r="403" spans="2:7" hidden="1">
      <c r="B403" s="43">
        <v>44405</v>
      </c>
      <c r="C403" t="s">
        <v>123</v>
      </c>
      <c r="D403" s="48">
        <v>44434</v>
      </c>
      <c r="E403">
        <v>132.5</v>
      </c>
      <c r="F403" t="s">
        <v>515</v>
      </c>
      <c r="G403">
        <v>6.1</v>
      </c>
    </row>
    <row r="404" spans="2:7" hidden="1">
      <c r="B404" s="43">
        <v>44406</v>
      </c>
      <c r="C404" t="s">
        <v>123</v>
      </c>
      <c r="D404" s="48">
        <v>44434</v>
      </c>
      <c r="E404">
        <v>132.5</v>
      </c>
      <c r="F404" t="s">
        <v>514</v>
      </c>
      <c r="G404">
        <v>19.399999999999999</v>
      </c>
    </row>
    <row r="405" spans="2:7" hidden="1">
      <c r="B405" s="43">
        <v>44406</v>
      </c>
      <c r="C405" t="s">
        <v>123</v>
      </c>
      <c r="D405" s="48">
        <v>44434</v>
      </c>
      <c r="E405">
        <v>132.5</v>
      </c>
      <c r="F405" t="s">
        <v>515</v>
      </c>
      <c r="G405">
        <v>6.1</v>
      </c>
    </row>
    <row r="406" spans="2:7" hidden="1">
      <c r="B406" s="43">
        <v>44407</v>
      </c>
      <c r="C406" t="s">
        <v>123</v>
      </c>
      <c r="D406" s="48">
        <v>44434</v>
      </c>
      <c r="E406">
        <v>132.5</v>
      </c>
      <c r="F406" t="s">
        <v>514</v>
      </c>
      <c r="G406">
        <v>19.399999999999999</v>
      </c>
    </row>
    <row r="407" spans="2:7" hidden="1">
      <c r="B407" s="43">
        <v>44407</v>
      </c>
      <c r="C407" t="s">
        <v>123</v>
      </c>
      <c r="D407" s="48">
        <v>44434</v>
      </c>
      <c r="E407">
        <v>132.5</v>
      </c>
      <c r="F407" t="s">
        <v>515</v>
      </c>
      <c r="G407">
        <v>0.6</v>
      </c>
    </row>
    <row r="408" spans="2:7" hidden="1">
      <c r="B408" s="43">
        <v>44410</v>
      </c>
      <c r="C408" t="s">
        <v>123</v>
      </c>
      <c r="D408" s="48">
        <v>44434</v>
      </c>
      <c r="E408">
        <v>132.5</v>
      </c>
      <c r="F408" t="s">
        <v>514</v>
      </c>
      <c r="G408">
        <v>19.399999999999999</v>
      </c>
    </row>
    <row r="409" spans="2:7" hidden="1">
      <c r="B409" s="43">
        <v>44410</v>
      </c>
      <c r="C409" t="s">
        <v>123</v>
      </c>
      <c r="D409" s="48">
        <v>44434</v>
      </c>
      <c r="E409">
        <v>132.5</v>
      </c>
      <c r="F409" t="s">
        <v>515</v>
      </c>
      <c r="G409">
        <v>0.5</v>
      </c>
    </row>
    <row r="410" spans="2:7" hidden="1">
      <c r="B410" s="43">
        <v>44404</v>
      </c>
      <c r="C410" t="s">
        <v>123</v>
      </c>
      <c r="D410" s="48">
        <v>44434</v>
      </c>
      <c r="E410">
        <v>135</v>
      </c>
      <c r="F410" t="s">
        <v>514</v>
      </c>
      <c r="G410">
        <v>9</v>
      </c>
    </row>
    <row r="411" spans="2:7" hidden="1">
      <c r="B411" s="43">
        <v>44404</v>
      </c>
      <c r="C411" t="s">
        <v>123</v>
      </c>
      <c r="D411" s="48">
        <v>44434</v>
      </c>
      <c r="E411">
        <v>135</v>
      </c>
      <c r="F411" t="s">
        <v>515</v>
      </c>
      <c r="G411">
        <v>1.3</v>
      </c>
    </row>
    <row r="412" spans="2:7" hidden="1">
      <c r="B412" s="43">
        <v>44405</v>
      </c>
      <c r="C412" t="s">
        <v>123</v>
      </c>
      <c r="D412" s="48">
        <v>44434</v>
      </c>
      <c r="E412">
        <v>135</v>
      </c>
      <c r="F412" t="s">
        <v>514</v>
      </c>
      <c r="G412">
        <v>8.1999999999999993</v>
      </c>
    </row>
    <row r="413" spans="2:7" hidden="1">
      <c r="B413" s="43">
        <v>44405</v>
      </c>
      <c r="C413" t="s">
        <v>123</v>
      </c>
      <c r="D413" s="48">
        <v>44434</v>
      </c>
      <c r="E413">
        <v>135</v>
      </c>
      <c r="F413" t="s">
        <v>515</v>
      </c>
      <c r="G413">
        <v>1.1499999999999999</v>
      </c>
    </row>
    <row r="414" spans="2:7" hidden="1">
      <c r="B414" s="43">
        <v>44406</v>
      </c>
      <c r="C414" t="s">
        <v>123</v>
      </c>
      <c r="D414" s="48">
        <v>44434</v>
      </c>
      <c r="E414">
        <v>135</v>
      </c>
      <c r="F414" t="s">
        <v>514</v>
      </c>
      <c r="G414">
        <v>9.15</v>
      </c>
    </row>
    <row r="415" spans="2:7" hidden="1">
      <c r="B415" s="43">
        <v>44406</v>
      </c>
      <c r="C415" t="s">
        <v>123</v>
      </c>
      <c r="D415" s="48">
        <v>44434</v>
      </c>
      <c r="E415">
        <v>135</v>
      </c>
      <c r="F415" t="s">
        <v>515</v>
      </c>
      <c r="G415">
        <v>1.35</v>
      </c>
    </row>
    <row r="416" spans="2:7" hidden="1">
      <c r="B416" s="43">
        <v>44407</v>
      </c>
      <c r="C416" t="s">
        <v>123</v>
      </c>
      <c r="D416" s="48">
        <v>44434</v>
      </c>
      <c r="E416">
        <v>135</v>
      </c>
      <c r="F416" t="s">
        <v>514</v>
      </c>
      <c r="G416">
        <v>9.9</v>
      </c>
    </row>
    <row r="417" spans="2:7" hidden="1">
      <c r="B417" s="43">
        <v>44407</v>
      </c>
      <c r="C417" t="s">
        <v>123</v>
      </c>
      <c r="D417" s="48">
        <v>44434</v>
      </c>
      <c r="E417">
        <v>135</v>
      </c>
      <c r="F417" t="s">
        <v>515</v>
      </c>
      <c r="G417">
        <v>0.95</v>
      </c>
    </row>
    <row r="418" spans="2:7" hidden="1">
      <c r="B418" s="43">
        <v>44410</v>
      </c>
      <c r="C418" t="s">
        <v>123</v>
      </c>
      <c r="D418" s="48">
        <v>44434</v>
      </c>
      <c r="E418">
        <v>135</v>
      </c>
      <c r="F418" t="s">
        <v>514</v>
      </c>
      <c r="G418">
        <v>9.9</v>
      </c>
    </row>
    <row r="419" spans="2:7" hidden="1">
      <c r="B419" s="43">
        <v>44410</v>
      </c>
      <c r="C419" t="s">
        <v>123</v>
      </c>
      <c r="D419" s="48">
        <v>44434</v>
      </c>
      <c r="E419">
        <v>135</v>
      </c>
      <c r="F419" t="s">
        <v>515</v>
      </c>
      <c r="G419">
        <v>0.8</v>
      </c>
    </row>
    <row r="420" spans="2:7" hidden="1">
      <c r="B420" s="43">
        <v>44404</v>
      </c>
      <c r="C420" t="s">
        <v>123</v>
      </c>
      <c r="D420" s="48">
        <v>44434</v>
      </c>
      <c r="E420">
        <v>137.5</v>
      </c>
      <c r="F420" t="s">
        <v>514</v>
      </c>
      <c r="G420">
        <v>7.1</v>
      </c>
    </row>
    <row r="421" spans="2:7" hidden="1">
      <c r="B421" s="43">
        <v>44404</v>
      </c>
      <c r="C421" t="s">
        <v>123</v>
      </c>
      <c r="D421" s="48">
        <v>44434</v>
      </c>
      <c r="E421">
        <v>137.5</v>
      </c>
      <c r="F421" t="s">
        <v>515</v>
      </c>
      <c r="G421">
        <v>1.9</v>
      </c>
    </row>
    <row r="422" spans="2:7" hidden="1">
      <c r="B422" s="43">
        <v>44405</v>
      </c>
      <c r="C422" t="s">
        <v>123</v>
      </c>
      <c r="D422" s="48">
        <v>44434</v>
      </c>
      <c r="E422">
        <v>137.5</v>
      </c>
      <c r="F422" t="s">
        <v>514</v>
      </c>
      <c r="G422">
        <v>7.1</v>
      </c>
    </row>
    <row r="423" spans="2:7" hidden="1">
      <c r="B423" s="43">
        <v>44405</v>
      </c>
      <c r="C423" t="s">
        <v>123</v>
      </c>
      <c r="D423" s="48">
        <v>44434</v>
      </c>
      <c r="E423">
        <v>137.5</v>
      </c>
      <c r="F423" t="s">
        <v>515</v>
      </c>
      <c r="G423">
        <v>1.6</v>
      </c>
    </row>
    <row r="424" spans="2:7" hidden="1">
      <c r="B424" s="43">
        <v>44406</v>
      </c>
      <c r="C424" t="s">
        <v>123</v>
      </c>
      <c r="D424" s="48">
        <v>44434</v>
      </c>
      <c r="E424">
        <v>137.5</v>
      </c>
      <c r="F424" t="s">
        <v>514</v>
      </c>
      <c r="G424">
        <v>7.1</v>
      </c>
    </row>
    <row r="425" spans="2:7" hidden="1">
      <c r="B425" s="43">
        <v>44406</v>
      </c>
      <c r="C425" t="s">
        <v>123</v>
      </c>
      <c r="D425" s="48">
        <v>44434</v>
      </c>
      <c r="E425">
        <v>137.5</v>
      </c>
      <c r="F425" t="s">
        <v>515</v>
      </c>
      <c r="G425">
        <v>1.95</v>
      </c>
    </row>
    <row r="426" spans="2:7" hidden="1">
      <c r="B426" s="43">
        <v>44407</v>
      </c>
      <c r="C426" t="s">
        <v>123</v>
      </c>
      <c r="D426" s="48">
        <v>44434</v>
      </c>
      <c r="E426">
        <v>137.5</v>
      </c>
      <c r="F426" t="s">
        <v>514</v>
      </c>
      <c r="G426">
        <v>7.1</v>
      </c>
    </row>
    <row r="427" spans="2:7" hidden="1">
      <c r="B427" s="43">
        <v>44407</v>
      </c>
      <c r="C427" t="s">
        <v>123</v>
      </c>
      <c r="D427" s="48">
        <v>44434</v>
      </c>
      <c r="E427">
        <v>137.5</v>
      </c>
      <c r="F427" t="s">
        <v>515</v>
      </c>
      <c r="G427">
        <v>1.4</v>
      </c>
    </row>
    <row r="428" spans="2:7" hidden="1">
      <c r="B428" s="43">
        <v>44410</v>
      </c>
      <c r="C428" t="s">
        <v>123</v>
      </c>
      <c r="D428" s="48">
        <v>44434</v>
      </c>
      <c r="E428">
        <v>137.5</v>
      </c>
      <c r="F428" t="s">
        <v>514</v>
      </c>
      <c r="G428">
        <v>7.1</v>
      </c>
    </row>
    <row r="429" spans="2:7" hidden="1">
      <c r="B429" s="43">
        <v>44410</v>
      </c>
      <c r="C429" t="s">
        <v>123</v>
      </c>
      <c r="D429" s="48">
        <v>44434</v>
      </c>
      <c r="E429">
        <v>137.5</v>
      </c>
      <c r="F429" t="s">
        <v>515</v>
      </c>
      <c r="G429">
        <v>1.25</v>
      </c>
    </row>
    <row r="430" spans="2:7" hidden="1">
      <c r="B430" s="43">
        <v>44404</v>
      </c>
      <c r="C430" t="s">
        <v>123</v>
      </c>
      <c r="D430" s="48">
        <v>44434</v>
      </c>
      <c r="E430">
        <v>140</v>
      </c>
      <c r="F430" t="s">
        <v>514</v>
      </c>
      <c r="G430">
        <v>5.25</v>
      </c>
    </row>
    <row r="431" spans="2:7" hidden="1">
      <c r="B431" s="43">
        <v>44404</v>
      </c>
      <c r="C431" t="s">
        <v>123</v>
      </c>
      <c r="D431" s="48">
        <v>44434</v>
      </c>
      <c r="E431">
        <v>140</v>
      </c>
      <c r="F431" t="s">
        <v>515</v>
      </c>
      <c r="G431">
        <v>2.75</v>
      </c>
    </row>
    <row r="432" spans="2:7" hidden="1">
      <c r="B432" s="43">
        <v>44405</v>
      </c>
      <c r="C432" t="s">
        <v>123</v>
      </c>
      <c r="D432" s="48">
        <v>44434</v>
      </c>
      <c r="E432">
        <v>140</v>
      </c>
      <c r="F432" t="s">
        <v>514</v>
      </c>
      <c r="G432">
        <v>6.25</v>
      </c>
    </row>
    <row r="433" spans="2:7" hidden="1">
      <c r="B433" s="43">
        <v>44405</v>
      </c>
      <c r="C433" t="s">
        <v>123</v>
      </c>
      <c r="D433" s="48">
        <v>44434</v>
      </c>
      <c r="E433">
        <v>140</v>
      </c>
      <c r="F433" t="s">
        <v>515</v>
      </c>
      <c r="G433">
        <v>2.2999999999999998</v>
      </c>
    </row>
    <row r="434" spans="2:7" hidden="1">
      <c r="B434" s="43">
        <v>44406</v>
      </c>
      <c r="C434" t="s">
        <v>123</v>
      </c>
      <c r="D434" s="48">
        <v>44434</v>
      </c>
      <c r="E434">
        <v>140</v>
      </c>
      <c r="F434" t="s">
        <v>514</v>
      </c>
      <c r="G434">
        <v>5.3</v>
      </c>
    </row>
    <row r="435" spans="2:7" hidden="1">
      <c r="B435" s="43">
        <v>44406</v>
      </c>
      <c r="C435" t="s">
        <v>123</v>
      </c>
      <c r="D435" s="48">
        <v>44434</v>
      </c>
      <c r="E435">
        <v>140</v>
      </c>
      <c r="F435" t="s">
        <v>515</v>
      </c>
      <c r="G435">
        <v>2.9</v>
      </c>
    </row>
    <row r="436" spans="2:7" hidden="1">
      <c r="B436" s="43">
        <v>44407</v>
      </c>
      <c r="C436" t="s">
        <v>123</v>
      </c>
      <c r="D436" s="48">
        <v>44434</v>
      </c>
      <c r="E436">
        <v>140</v>
      </c>
      <c r="F436" t="s">
        <v>514</v>
      </c>
      <c r="G436">
        <v>6.1</v>
      </c>
    </row>
    <row r="437" spans="2:7" hidden="1">
      <c r="B437" s="43">
        <v>44407</v>
      </c>
      <c r="C437" t="s">
        <v>123</v>
      </c>
      <c r="D437" s="48">
        <v>44434</v>
      </c>
      <c r="E437">
        <v>140</v>
      </c>
      <c r="F437" t="s">
        <v>515</v>
      </c>
      <c r="G437">
        <v>2.0499999999999998</v>
      </c>
    </row>
    <row r="438" spans="2:7" hidden="1">
      <c r="B438" s="43">
        <v>44410</v>
      </c>
      <c r="C438" t="s">
        <v>123</v>
      </c>
      <c r="D438" s="48">
        <v>44434</v>
      </c>
      <c r="E438">
        <v>140</v>
      </c>
      <c r="F438" t="s">
        <v>514</v>
      </c>
      <c r="G438">
        <v>6.55</v>
      </c>
    </row>
    <row r="439" spans="2:7" hidden="1">
      <c r="B439" s="43">
        <v>44410</v>
      </c>
      <c r="C439" t="s">
        <v>123</v>
      </c>
      <c r="D439" s="48">
        <v>44434</v>
      </c>
      <c r="E439">
        <v>140</v>
      </c>
      <c r="F439" t="s">
        <v>515</v>
      </c>
      <c r="G439">
        <v>1.95</v>
      </c>
    </row>
    <row r="440" spans="2:7" hidden="1">
      <c r="B440" s="43">
        <v>44404</v>
      </c>
      <c r="C440" t="s">
        <v>123</v>
      </c>
      <c r="D440" s="48">
        <v>44434</v>
      </c>
      <c r="E440">
        <v>142.5</v>
      </c>
      <c r="F440" t="s">
        <v>514</v>
      </c>
      <c r="G440">
        <v>3.95</v>
      </c>
    </row>
    <row r="441" spans="2:7" hidden="1">
      <c r="B441" s="43">
        <v>44404</v>
      </c>
      <c r="C441" t="s">
        <v>123</v>
      </c>
      <c r="D441" s="48">
        <v>44434</v>
      </c>
      <c r="E441">
        <v>142.5</v>
      </c>
      <c r="F441" t="s">
        <v>515</v>
      </c>
      <c r="G441">
        <v>3.95</v>
      </c>
    </row>
    <row r="442" spans="2:7" hidden="1">
      <c r="B442" s="43">
        <v>44405</v>
      </c>
      <c r="C442" t="s">
        <v>123</v>
      </c>
      <c r="D442" s="48">
        <v>44434</v>
      </c>
      <c r="E442">
        <v>142.5</v>
      </c>
      <c r="F442" t="s">
        <v>514</v>
      </c>
      <c r="G442">
        <v>4.75</v>
      </c>
    </row>
    <row r="443" spans="2:7" hidden="1">
      <c r="B443" s="43">
        <v>44405</v>
      </c>
      <c r="C443" t="s">
        <v>123</v>
      </c>
      <c r="D443" s="48">
        <v>44434</v>
      </c>
      <c r="E443">
        <v>142.5</v>
      </c>
      <c r="F443" t="s">
        <v>515</v>
      </c>
      <c r="G443">
        <v>3.25</v>
      </c>
    </row>
    <row r="444" spans="2:7" hidden="1">
      <c r="B444" s="43">
        <v>44406</v>
      </c>
      <c r="C444" t="s">
        <v>123</v>
      </c>
      <c r="D444" s="48">
        <v>44434</v>
      </c>
      <c r="E444">
        <v>142.5</v>
      </c>
      <c r="F444" t="s">
        <v>514</v>
      </c>
      <c r="G444">
        <v>4</v>
      </c>
    </row>
    <row r="445" spans="2:7" hidden="1">
      <c r="B445" s="43">
        <v>44406</v>
      </c>
      <c r="C445" t="s">
        <v>123</v>
      </c>
      <c r="D445" s="48">
        <v>44434</v>
      </c>
      <c r="E445">
        <v>142.5</v>
      </c>
      <c r="F445" t="s">
        <v>515</v>
      </c>
      <c r="G445">
        <v>4.0999999999999996</v>
      </c>
    </row>
    <row r="446" spans="2:7" hidden="1">
      <c r="B446" s="43">
        <v>44407</v>
      </c>
      <c r="C446" t="s">
        <v>123</v>
      </c>
      <c r="D446" s="48">
        <v>44434</v>
      </c>
      <c r="E446">
        <v>142.5</v>
      </c>
      <c r="F446" t="s">
        <v>514</v>
      </c>
      <c r="G446">
        <v>4.5999999999999996</v>
      </c>
    </row>
    <row r="447" spans="2:7" hidden="1">
      <c r="B447" s="43">
        <v>44407</v>
      </c>
      <c r="C447" t="s">
        <v>123</v>
      </c>
      <c r="D447" s="48">
        <v>44434</v>
      </c>
      <c r="E447">
        <v>142.5</v>
      </c>
      <c r="F447" t="s">
        <v>515</v>
      </c>
      <c r="G447">
        <v>3.2</v>
      </c>
    </row>
    <row r="448" spans="2:7" hidden="1">
      <c r="B448" s="43">
        <v>44410</v>
      </c>
      <c r="C448" t="s">
        <v>123</v>
      </c>
      <c r="D448" s="48">
        <v>44434</v>
      </c>
      <c r="E448">
        <v>142.5</v>
      </c>
      <c r="F448" t="s">
        <v>514</v>
      </c>
      <c r="G448">
        <v>5.05</v>
      </c>
    </row>
    <row r="449" spans="2:7" hidden="1">
      <c r="B449" s="43">
        <v>44410</v>
      </c>
      <c r="C449" t="s">
        <v>123</v>
      </c>
      <c r="D449" s="48">
        <v>44434</v>
      </c>
      <c r="E449">
        <v>142.5</v>
      </c>
      <c r="F449" t="s">
        <v>515</v>
      </c>
      <c r="G449">
        <v>3</v>
      </c>
    </row>
    <row r="450" spans="2:7" hidden="1">
      <c r="B450" s="43">
        <v>44404</v>
      </c>
      <c r="C450" t="s">
        <v>123</v>
      </c>
      <c r="D450" s="48">
        <v>44434</v>
      </c>
      <c r="E450">
        <v>145</v>
      </c>
      <c r="F450" t="s">
        <v>514</v>
      </c>
      <c r="G450">
        <v>3</v>
      </c>
    </row>
    <row r="451" spans="2:7" hidden="1">
      <c r="B451" s="43">
        <v>44404</v>
      </c>
      <c r="C451" t="s">
        <v>123</v>
      </c>
      <c r="D451" s="48">
        <v>44434</v>
      </c>
      <c r="E451">
        <v>145</v>
      </c>
      <c r="F451" t="s">
        <v>515</v>
      </c>
      <c r="G451">
        <v>5.3</v>
      </c>
    </row>
    <row r="452" spans="2:7" hidden="1">
      <c r="B452" s="43">
        <v>44405</v>
      </c>
      <c r="C452" t="s">
        <v>123</v>
      </c>
      <c r="D452" s="48">
        <v>44434</v>
      </c>
      <c r="E452">
        <v>145</v>
      </c>
      <c r="F452" t="s">
        <v>514</v>
      </c>
      <c r="G452">
        <v>3.5</v>
      </c>
    </row>
    <row r="453" spans="2:7" hidden="1">
      <c r="B453" s="43">
        <v>44405</v>
      </c>
      <c r="C453" t="s">
        <v>123</v>
      </c>
      <c r="D453" s="48">
        <v>44434</v>
      </c>
      <c r="E453">
        <v>145</v>
      </c>
      <c r="F453" t="s">
        <v>515</v>
      </c>
      <c r="G453">
        <v>4.45</v>
      </c>
    </row>
    <row r="454" spans="2:7" hidden="1">
      <c r="B454" s="43">
        <v>44406</v>
      </c>
      <c r="C454" t="s">
        <v>123</v>
      </c>
      <c r="D454" s="48">
        <v>44434</v>
      </c>
      <c r="E454">
        <v>145</v>
      </c>
      <c r="F454" t="s">
        <v>514</v>
      </c>
      <c r="G454">
        <v>3</v>
      </c>
    </row>
    <row r="455" spans="2:7" hidden="1">
      <c r="B455" s="43">
        <v>44406</v>
      </c>
      <c r="C455" t="s">
        <v>123</v>
      </c>
      <c r="D455" s="48">
        <v>44434</v>
      </c>
      <c r="E455">
        <v>145</v>
      </c>
      <c r="F455" t="s">
        <v>515</v>
      </c>
      <c r="G455">
        <v>5.65</v>
      </c>
    </row>
    <row r="456" spans="2:7" hidden="1">
      <c r="B456" s="43">
        <v>44407</v>
      </c>
      <c r="C456" t="s">
        <v>123</v>
      </c>
      <c r="D456" s="48">
        <v>44434</v>
      </c>
      <c r="E456">
        <v>145</v>
      </c>
      <c r="F456" t="s">
        <v>514</v>
      </c>
      <c r="G456">
        <v>3.4</v>
      </c>
    </row>
    <row r="457" spans="2:7" hidden="1">
      <c r="B457" s="43">
        <v>44407</v>
      </c>
      <c r="C457" t="s">
        <v>123</v>
      </c>
      <c r="D457" s="48">
        <v>44434</v>
      </c>
      <c r="E457">
        <v>145</v>
      </c>
      <c r="F457" t="s">
        <v>515</v>
      </c>
      <c r="G457">
        <v>4.4000000000000004</v>
      </c>
    </row>
    <row r="458" spans="2:7" hidden="1">
      <c r="B458" s="43">
        <v>44410</v>
      </c>
      <c r="C458" t="s">
        <v>123</v>
      </c>
      <c r="D458" s="48">
        <v>44434</v>
      </c>
      <c r="E458">
        <v>145</v>
      </c>
      <c r="F458" t="s">
        <v>514</v>
      </c>
      <c r="G458">
        <v>3.75</v>
      </c>
    </row>
    <row r="459" spans="2:7" hidden="1">
      <c r="B459" s="43">
        <v>44410</v>
      </c>
      <c r="C459" t="s">
        <v>123</v>
      </c>
      <c r="D459" s="48">
        <v>44434</v>
      </c>
      <c r="E459">
        <v>145</v>
      </c>
      <c r="F459" t="s">
        <v>515</v>
      </c>
      <c r="G459">
        <v>4.2</v>
      </c>
    </row>
    <row r="460" spans="2:7" hidden="1">
      <c r="B460" s="43">
        <v>44404</v>
      </c>
      <c r="C460" t="s">
        <v>123</v>
      </c>
      <c r="D460" s="48">
        <v>44434</v>
      </c>
      <c r="E460">
        <v>147.5</v>
      </c>
      <c r="F460" t="s">
        <v>514</v>
      </c>
      <c r="G460">
        <v>2.2999999999999998</v>
      </c>
    </row>
    <row r="461" spans="2:7" hidden="1">
      <c r="B461" s="43">
        <v>44404</v>
      </c>
      <c r="C461" t="s">
        <v>123</v>
      </c>
      <c r="D461" s="48">
        <v>44434</v>
      </c>
      <c r="E461">
        <v>147.5</v>
      </c>
      <c r="F461" t="s">
        <v>515</v>
      </c>
      <c r="G461">
        <v>7.3</v>
      </c>
    </row>
    <row r="462" spans="2:7" hidden="1">
      <c r="B462" s="43">
        <v>44405</v>
      </c>
      <c r="C462" t="s">
        <v>123</v>
      </c>
      <c r="D462" s="48">
        <v>44434</v>
      </c>
      <c r="E462">
        <v>147.5</v>
      </c>
      <c r="F462" t="s">
        <v>514</v>
      </c>
      <c r="G462">
        <v>2.5499999999999998</v>
      </c>
    </row>
    <row r="463" spans="2:7" hidden="1">
      <c r="B463" s="43">
        <v>44405</v>
      </c>
      <c r="C463" t="s">
        <v>123</v>
      </c>
      <c r="D463" s="48">
        <v>44434</v>
      </c>
      <c r="E463">
        <v>147.5</v>
      </c>
      <c r="F463" t="s">
        <v>515</v>
      </c>
      <c r="G463">
        <v>6</v>
      </c>
    </row>
    <row r="464" spans="2:7" hidden="1">
      <c r="B464" s="43">
        <v>44406</v>
      </c>
      <c r="C464" t="s">
        <v>123</v>
      </c>
      <c r="D464" s="48">
        <v>44434</v>
      </c>
      <c r="E464">
        <v>147.5</v>
      </c>
      <c r="F464" t="s">
        <v>514</v>
      </c>
      <c r="G464">
        <v>2.25</v>
      </c>
    </row>
    <row r="465" spans="2:7" hidden="1">
      <c r="B465" s="43">
        <v>44406</v>
      </c>
      <c r="C465" t="s">
        <v>123</v>
      </c>
      <c r="D465" s="48">
        <v>44434</v>
      </c>
      <c r="E465">
        <v>147.5</v>
      </c>
      <c r="F465" t="s">
        <v>515</v>
      </c>
      <c r="G465">
        <v>7.25</v>
      </c>
    </row>
    <row r="466" spans="2:7" hidden="1">
      <c r="B466" s="43">
        <v>44407</v>
      </c>
      <c r="C466" t="s">
        <v>123</v>
      </c>
      <c r="D466" s="48">
        <v>44434</v>
      </c>
      <c r="E466">
        <v>147.5</v>
      </c>
      <c r="F466" t="s">
        <v>514</v>
      </c>
      <c r="G466">
        <v>2.6</v>
      </c>
    </row>
    <row r="467" spans="2:7" hidden="1">
      <c r="B467" s="43">
        <v>44407</v>
      </c>
      <c r="C467" t="s">
        <v>123</v>
      </c>
      <c r="D467" s="48">
        <v>44434</v>
      </c>
      <c r="E467">
        <v>147.5</v>
      </c>
      <c r="F467" t="s">
        <v>515</v>
      </c>
      <c r="G467">
        <v>5.15</v>
      </c>
    </row>
    <row r="468" spans="2:7" hidden="1">
      <c r="B468" s="43">
        <v>44410</v>
      </c>
      <c r="C468" t="s">
        <v>123</v>
      </c>
      <c r="D468" s="48">
        <v>44434</v>
      </c>
      <c r="E468">
        <v>147.5</v>
      </c>
      <c r="F468" t="s">
        <v>514</v>
      </c>
      <c r="G468">
        <v>2.85</v>
      </c>
    </row>
    <row r="469" spans="2:7" hidden="1">
      <c r="B469" s="43">
        <v>44410</v>
      </c>
      <c r="C469" t="s">
        <v>123</v>
      </c>
      <c r="D469" s="48">
        <v>44434</v>
      </c>
      <c r="E469">
        <v>147.5</v>
      </c>
      <c r="F469" t="s">
        <v>515</v>
      </c>
      <c r="G469">
        <v>5.7</v>
      </c>
    </row>
    <row r="470" spans="2:7" hidden="1">
      <c r="B470" s="43">
        <v>44404</v>
      </c>
      <c r="C470" t="s">
        <v>123</v>
      </c>
      <c r="D470" s="48">
        <v>44434</v>
      </c>
      <c r="E470">
        <v>150</v>
      </c>
      <c r="F470" t="s">
        <v>514</v>
      </c>
      <c r="G470">
        <v>1.8</v>
      </c>
    </row>
    <row r="471" spans="2:7" hidden="1">
      <c r="B471" s="43">
        <v>44404</v>
      </c>
      <c r="C471" t="s">
        <v>123</v>
      </c>
      <c r="D471" s="48">
        <v>44434</v>
      </c>
      <c r="E471">
        <v>150</v>
      </c>
      <c r="F471" t="s">
        <v>515</v>
      </c>
      <c r="G471">
        <v>9.25</v>
      </c>
    </row>
    <row r="472" spans="2:7" hidden="1">
      <c r="B472" s="43">
        <v>44405</v>
      </c>
      <c r="C472" t="s">
        <v>123</v>
      </c>
      <c r="D472" s="48">
        <v>44434</v>
      </c>
      <c r="E472">
        <v>150</v>
      </c>
      <c r="F472" t="s">
        <v>514</v>
      </c>
      <c r="G472">
        <v>1.95</v>
      </c>
    </row>
    <row r="473" spans="2:7" hidden="1">
      <c r="B473" s="43">
        <v>44405</v>
      </c>
      <c r="C473" t="s">
        <v>123</v>
      </c>
      <c r="D473" s="48">
        <v>44434</v>
      </c>
      <c r="E473">
        <v>150</v>
      </c>
      <c r="F473" t="s">
        <v>515</v>
      </c>
      <c r="G473">
        <v>7.95</v>
      </c>
    </row>
    <row r="474" spans="2:7" hidden="1">
      <c r="B474" s="43">
        <v>44406</v>
      </c>
      <c r="C474" t="s">
        <v>123</v>
      </c>
      <c r="D474" s="48">
        <v>44434</v>
      </c>
      <c r="E474">
        <v>150</v>
      </c>
      <c r="F474" t="s">
        <v>514</v>
      </c>
      <c r="G474">
        <v>1.7</v>
      </c>
    </row>
    <row r="475" spans="2:7" hidden="1">
      <c r="B475" s="43">
        <v>44406</v>
      </c>
      <c r="C475" t="s">
        <v>123</v>
      </c>
      <c r="D475" s="48">
        <v>44434</v>
      </c>
      <c r="E475">
        <v>150</v>
      </c>
      <c r="F475" t="s">
        <v>515</v>
      </c>
      <c r="G475">
        <v>9.4</v>
      </c>
    </row>
    <row r="476" spans="2:7" hidden="1">
      <c r="B476" s="43">
        <v>44407</v>
      </c>
      <c r="C476" t="s">
        <v>123</v>
      </c>
      <c r="D476" s="48">
        <v>44434</v>
      </c>
      <c r="E476">
        <v>150</v>
      </c>
      <c r="F476" t="s">
        <v>514</v>
      </c>
      <c r="G476">
        <v>2</v>
      </c>
    </row>
    <row r="477" spans="2:7" hidden="1">
      <c r="B477" s="43">
        <v>44407</v>
      </c>
      <c r="C477" t="s">
        <v>123</v>
      </c>
      <c r="D477" s="48">
        <v>44434</v>
      </c>
      <c r="E477">
        <v>150</v>
      </c>
      <c r="F477" t="s">
        <v>515</v>
      </c>
      <c r="G477">
        <v>7.7</v>
      </c>
    </row>
    <row r="478" spans="2:7" hidden="1">
      <c r="B478" s="43">
        <v>44410</v>
      </c>
      <c r="C478" t="s">
        <v>123</v>
      </c>
      <c r="D478" s="48">
        <v>44434</v>
      </c>
      <c r="E478">
        <v>150</v>
      </c>
      <c r="F478" t="s">
        <v>514</v>
      </c>
      <c r="G478">
        <v>2.2000000000000002</v>
      </c>
    </row>
    <row r="479" spans="2:7" hidden="1">
      <c r="B479" s="43">
        <v>44410</v>
      </c>
      <c r="C479" t="s">
        <v>123</v>
      </c>
      <c r="D479" s="48">
        <v>44434</v>
      </c>
      <c r="E479">
        <v>150</v>
      </c>
      <c r="F479" t="s">
        <v>515</v>
      </c>
      <c r="G479">
        <v>7.55</v>
      </c>
    </row>
    <row r="480" spans="2:7" hidden="1">
      <c r="B480" s="43">
        <v>44404</v>
      </c>
      <c r="C480" t="s">
        <v>123</v>
      </c>
      <c r="D480" s="48">
        <v>44434</v>
      </c>
      <c r="E480">
        <v>152.5</v>
      </c>
      <c r="F480" t="s">
        <v>514</v>
      </c>
      <c r="G480">
        <v>1.35</v>
      </c>
    </row>
    <row r="481" spans="2:7" hidden="1">
      <c r="B481" s="43">
        <v>44404</v>
      </c>
      <c r="C481" t="s">
        <v>123</v>
      </c>
      <c r="D481" s="48">
        <v>44434</v>
      </c>
      <c r="E481">
        <v>152.5</v>
      </c>
      <c r="F481" t="s">
        <v>515</v>
      </c>
      <c r="G481">
        <v>15.95</v>
      </c>
    </row>
    <row r="482" spans="2:7" hidden="1">
      <c r="B482" s="43">
        <v>44405</v>
      </c>
      <c r="C482" t="s">
        <v>123</v>
      </c>
      <c r="D482" s="48">
        <v>44434</v>
      </c>
      <c r="E482">
        <v>152.5</v>
      </c>
      <c r="F482" t="s">
        <v>514</v>
      </c>
      <c r="G482">
        <v>1.35</v>
      </c>
    </row>
    <row r="483" spans="2:7" hidden="1">
      <c r="B483" s="43">
        <v>44405</v>
      </c>
      <c r="C483" t="s">
        <v>123</v>
      </c>
      <c r="D483" s="48">
        <v>44434</v>
      </c>
      <c r="E483">
        <v>152.5</v>
      </c>
      <c r="F483" t="s">
        <v>515</v>
      </c>
      <c r="G483">
        <v>10.7</v>
      </c>
    </row>
    <row r="484" spans="2:7" hidden="1">
      <c r="B484" s="43">
        <v>44406</v>
      </c>
      <c r="C484" t="s">
        <v>123</v>
      </c>
      <c r="D484" s="48">
        <v>44434</v>
      </c>
      <c r="E484">
        <v>152.5</v>
      </c>
      <c r="F484" t="s">
        <v>514</v>
      </c>
      <c r="G484">
        <v>1.35</v>
      </c>
    </row>
    <row r="485" spans="2:7" hidden="1">
      <c r="B485" s="43">
        <v>44406</v>
      </c>
      <c r="C485" t="s">
        <v>123</v>
      </c>
      <c r="D485" s="48">
        <v>44434</v>
      </c>
      <c r="E485">
        <v>152.5</v>
      </c>
      <c r="F485" t="s">
        <v>515</v>
      </c>
      <c r="G485">
        <v>11.5</v>
      </c>
    </row>
    <row r="486" spans="2:7" hidden="1">
      <c r="B486" s="43">
        <v>44407</v>
      </c>
      <c r="C486" t="s">
        <v>123</v>
      </c>
      <c r="D486" s="48">
        <v>44434</v>
      </c>
      <c r="E486">
        <v>152.5</v>
      </c>
      <c r="F486" t="s">
        <v>514</v>
      </c>
      <c r="G486">
        <v>1.5</v>
      </c>
    </row>
    <row r="487" spans="2:7" hidden="1">
      <c r="B487" s="43">
        <v>44407</v>
      </c>
      <c r="C487" t="s">
        <v>123</v>
      </c>
      <c r="D487" s="48">
        <v>44434</v>
      </c>
      <c r="E487">
        <v>152.5</v>
      </c>
      <c r="F487" t="s">
        <v>515</v>
      </c>
      <c r="G487">
        <v>9.5</v>
      </c>
    </row>
    <row r="488" spans="2:7" hidden="1">
      <c r="B488" s="43">
        <v>44410</v>
      </c>
      <c r="C488" t="s">
        <v>123</v>
      </c>
      <c r="D488" s="48">
        <v>44434</v>
      </c>
      <c r="E488">
        <v>152.5</v>
      </c>
      <c r="F488" t="s">
        <v>514</v>
      </c>
      <c r="G488">
        <v>1.6</v>
      </c>
    </row>
    <row r="489" spans="2:7" hidden="1">
      <c r="B489" s="43">
        <v>44410</v>
      </c>
      <c r="C489" t="s">
        <v>123</v>
      </c>
      <c r="D489" s="48">
        <v>44434</v>
      </c>
      <c r="E489">
        <v>152.5</v>
      </c>
      <c r="F489" t="s">
        <v>515</v>
      </c>
      <c r="G489">
        <v>9.5</v>
      </c>
    </row>
    <row r="490" spans="2:7" hidden="1">
      <c r="B490" s="43">
        <v>44404</v>
      </c>
      <c r="C490" t="s">
        <v>123</v>
      </c>
      <c r="D490" s="48">
        <v>44434</v>
      </c>
      <c r="E490">
        <v>155</v>
      </c>
      <c r="F490" t="s">
        <v>514</v>
      </c>
      <c r="G490">
        <v>1.1000000000000001</v>
      </c>
    </row>
    <row r="491" spans="2:7" hidden="1">
      <c r="B491" s="43">
        <v>44404</v>
      </c>
      <c r="C491" t="s">
        <v>123</v>
      </c>
      <c r="D491" s="48">
        <v>44434</v>
      </c>
      <c r="E491">
        <v>155</v>
      </c>
      <c r="F491" t="s">
        <v>515</v>
      </c>
      <c r="G491">
        <v>13.3</v>
      </c>
    </row>
    <row r="492" spans="2:7" hidden="1">
      <c r="B492" s="43">
        <v>44405</v>
      </c>
      <c r="C492" t="s">
        <v>123</v>
      </c>
      <c r="D492" s="48">
        <v>44434</v>
      </c>
      <c r="E492">
        <v>155</v>
      </c>
      <c r="F492" t="s">
        <v>514</v>
      </c>
      <c r="G492">
        <v>1.05</v>
      </c>
    </row>
    <row r="493" spans="2:7" hidden="1">
      <c r="B493" s="43">
        <v>44405</v>
      </c>
      <c r="C493" t="s">
        <v>123</v>
      </c>
      <c r="D493" s="48">
        <v>44434</v>
      </c>
      <c r="E493">
        <v>155</v>
      </c>
      <c r="F493" t="s">
        <v>515</v>
      </c>
      <c r="G493">
        <v>12.1</v>
      </c>
    </row>
    <row r="494" spans="2:7" hidden="1">
      <c r="B494" s="43">
        <v>44406</v>
      </c>
      <c r="C494" t="s">
        <v>123</v>
      </c>
      <c r="D494" s="48">
        <v>44434</v>
      </c>
      <c r="E494">
        <v>155</v>
      </c>
      <c r="F494" t="s">
        <v>514</v>
      </c>
      <c r="G494">
        <v>1</v>
      </c>
    </row>
    <row r="495" spans="2:7" hidden="1">
      <c r="B495" s="43">
        <v>44406</v>
      </c>
      <c r="C495" t="s">
        <v>123</v>
      </c>
      <c r="D495" s="48">
        <v>44434</v>
      </c>
      <c r="E495">
        <v>155</v>
      </c>
      <c r="F495" t="s">
        <v>515</v>
      </c>
      <c r="G495">
        <v>13.7</v>
      </c>
    </row>
    <row r="496" spans="2:7" hidden="1">
      <c r="B496" s="43">
        <v>44407</v>
      </c>
      <c r="C496" t="s">
        <v>123</v>
      </c>
      <c r="D496" s="48">
        <v>44434</v>
      </c>
      <c r="E496">
        <v>155</v>
      </c>
      <c r="F496" t="s">
        <v>514</v>
      </c>
      <c r="G496">
        <v>1.1499999999999999</v>
      </c>
    </row>
    <row r="497" spans="2:7" hidden="1">
      <c r="B497" s="43">
        <v>44407</v>
      </c>
      <c r="C497" t="s">
        <v>123</v>
      </c>
      <c r="D497" s="48">
        <v>44434</v>
      </c>
      <c r="E497">
        <v>155</v>
      </c>
      <c r="F497" t="s">
        <v>515</v>
      </c>
      <c r="G497">
        <v>11.6</v>
      </c>
    </row>
    <row r="498" spans="2:7" hidden="1">
      <c r="B498" s="43">
        <v>44410</v>
      </c>
      <c r="C498" t="s">
        <v>123</v>
      </c>
      <c r="D498" s="48">
        <v>44434</v>
      </c>
      <c r="E498">
        <v>155</v>
      </c>
      <c r="F498" t="s">
        <v>514</v>
      </c>
      <c r="G498">
        <v>1.2</v>
      </c>
    </row>
    <row r="499" spans="2:7" hidden="1">
      <c r="B499" s="43">
        <v>44410</v>
      </c>
      <c r="C499" t="s">
        <v>123</v>
      </c>
      <c r="D499" s="48">
        <v>44434</v>
      </c>
      <c r="E499">
        <v>155</v>
      </c>
      <c r="F499" t="s">
        <v>515</v>
      </c>
      <c r="G499">
        <v>11.6</v>
      </c>
    </row>
    <row r="500" spans="2:7" hidden="1">
      <c r="B500" s="43">
        <v>44404</v>
      </c>
      <c r="C500" t="s">
        <v>123</v>
      </c>
      <c r="D500" s="48">
        <v>44434</v>
      </c>
      <c r="E500">
        <v>157.5</v>
      </c>
      <c r="F500" t="s">
        <v>514</v>
      </c>
      <c r="G500">
        <v>7.7</v>
      </c>
    </row>
    <row r="501" spans="2:7" hidden="1">
      <c r="B501" s="43">
        <v>44404</v>
      </c>
      <c r="C501" t="s">
        <v>123</v>
      </c>
      <c r="D501" s="48">
        <v>44434</v>
      </c>
      <c r="E501">
        <v>157.5</v>
      </c>
      <c r="F501" t="s">
        <v>515</v>
      </c>
      <c r="G501">
        <v>19.149999999999999</v>
      </c>
    </row>
    <row r="502" spans="2:7" hidden="1">
      <c r="B502" s="43">
        <v>44405</v>
      </c>
      <c r="C502" t="s">
        <v>123</v>
      </c>
      <c r="D502" s="48">
        <v>44434</v>
      </c>
      <c r="E502">
        <v>157.5</v>
      </c>
      <c r="F502" t="s">
        <v>514</v>
      </c>
      <c r="G502">
        <v>7.7</v>
      </c>
    </row>
    <row r="503" spans="2:7" hidden="1">
      <c r="B503" s="43">
        <v>44405</v>
      </c>
      <c r="C503" t="s">
        <v>123</v>
      </c>
      <c r="D503" s="48">
        <v>44434</v>
      </c>
      <c r="E503">
        <v>157.5</v>
      </c>
      <c r="F503" t="s">
        <v>515</v>
      </c>
      <c r="G503">
        <v>19.149999999999999</v>
      </c>
    </row>
    <row r="504" spans="2:7" hidden="1">
      <c r="B504" s="43">
        <v>44406</v>
      </c>
      <c r="C504" t="s">
        <v>123</v>
      </c>
      <c r="D504" s="48">
        <v>44434</v>
      </c>
      <c r="E504">
        <v>157.5</v>
      </c>
      <c r="F504" t="s">
        <v>514</v>
      </c>
      <c r="G504">
        <v>7.7</v>
      </c>
    </row>
    <row r="505" spans="2:7" hidden="1">
      <c r="B505" s="43">
        <v>44406</v>
      </c>
      <c r="C505" t="s">
        <v>123</v>
      </c>
      <c r="D505" s="48">
        <v>44434</v>
      </c>
      <c r="E505">
        <v>157.5</v>
      </c>
      <c r="F505" t="s">
        <v>515</v>
      </c>
      <c r="G505">
        <v>19.149999999999999</v>
      </c>
    </row>
    <row r="506" spans="2:7" hidden="1">
      <c r="B506" s="43">
        <v>44407</v>
      </c>
      <c r="C506" t="s">
        <v>123</v>
      </c>
      <c r="D506" s="48">
        <v>44434</v>
      </c>
      <c r="E506">
        <v>157.5</v>
      </c>
      <c r="F506" t="s">
        <v>514</v>
      </c>
      <c r="G506">
        <v>0.85</v>
      </c>
    </row>
    <row r="507" spans="2:7" hidden="1">
      <c r="B507" s="43">
        <v>44407</v>
      </c>
      <c r="C507" t="s">
        <v>123</v>
      </c>
      <c r="D507" s="48">
        <v>44434</v>
      </c>
      <c r="E507">
        <v>157.5</v>
      </c>
      <c r="F507" t="s">
        <v>515</v>
      </c>
      <c r="G507">
        <v>19.149999999999999</v>
      </c>
    </row>
    <row r="508" spans="2:7" hidden="1">
      <c r="B508" s="43">
        <v>44410</v>
      </c>
      <c r="C508" t="s">
        <v>123</v>
      </c>
      <c r="D508" s="48">
        <v>44434</v>
      </c>
      <c r="E508">
        <v>157.5</v>
      </c>
      <c r="F508" t="s">
        <v>514</v>
      </c>
      <c r="G508">
        <v>0.95</v>
      </c>
    </row>
    <row r="509" spans="2:7" hidden="1">
      <c r="B509" s="43">
        <v>44410</v>
      </c>
      <c r="C509" t="s">
        <v>123</v>
      </c>
      <c r="D509" s="48">
        <v>44434</v>
      </c>
      <c r="E509">
        <v>157.5</v>
      </c>
      <c r="F509" t="s">
        <v>515</v>
      </c>
      <c r="G509">
        <v>19.149999999999999</v>
      </c>
    </row>
    <row r="510" spans="2:7" hidden="1">
      <c r="B510" s="43">
        <v>44404</v>
      </c>
      <c r="C510" t="s">
        <v>123</v>
      </c>
      <c r="D510" s="48">
        <v>44434</v>
      </c>
      <c r="E510">
        <v>160</v>
      </c>
      <c r="F510" t="s">
        <v>514</v>
      </c>
      <c r="G510">
        <v>0.75</v>
      </c>
    </row>
    <row r="511" spans="2:7" hidden="1">
      <c r="B511" s="43">
        <v>44404</v>
      </c>
      <c r="C511" t="s">
        <v>123</v>
      </c>
      <c r="D511" s="48">
        <v>44434</v>
      </c>
      <c r="E511">
        <v>160</v>
      </c>
      <c r="F511" t="s">
        <v>515</v>
      </c>
      <c r="G511">
        <v>18</v>
      </c>
    </row>
    <row r="512" spans="2:7" hidden="1">
      <c r="B512" s="43">
        <v>44405</v>
      </c>
      <c r="C512" t="s">
        <v>123</v>
      </c>
      <c r="D512" s="48">
        <v>44434</v>
      </c>
      <c r="E512">
        <v>160</v>
      </c>
      <c r="F512" t="s">
        <v>514</v>
      </c>
      <c r="G512">
        <v>0.75</v>
      </c>
    </row>
    <row r="513" spans="2:7" hidden="1">
      <c r="B513" s="43">
        <v>44405</v>
      </c>
      <c r="C513" t="s">
        <v>123</v>
      </c>
      <c r="D513" s="48">
        <v>44434</v>
      </c>
      <c r="E513">
        <v>160</v>
      </c>
      <c r="F513" t="s">
        <v>515</v>
      </c>
      <c r="G513">
        <v>16.600000000000001</v>
      </c>
    </row>
    <row r="514" spans="2:7" hidden="1">
      <c r="B514" s="43">
        <v>44406</v>
      </c>
      <c r="C514" t="s">
        <v>123</v>
      </c>
      <c r="D514" s="48">
        <v>44434</v>
      </c>
      <c r="E514">
        <v>160</v>
      </c>
      <c r="F514" t="s">
        <v>514</v>
      </c>
      <c r="G514">
        <v>0.7</v>
      </c>
    </row>
    <row r="515" spans="2:7" hidden="1">
      <c r="B515" s="43">
        <v>44406</v>
      </c>
      <c r="C515" t="s">
        <v>123</v>
      </c>
      <c r="D515" s="48">
        <v>44434</v>
      </c>
      <c r="E515">
        <v>160</v>
      </c>
      <c r="F515" t="s">
        <v>515</v>
      </c>
      <c r="G515">
        <v>17.850000000000001</v>
      </c>
    </row>
    <row r="516" spans="2:7" hidden="1">
      <c r="B516" s="43">
        <v>44407</v>
      </c>
      <c r="C516" t="s">
        <v>123</v>
      </c>
      <c r="D516" s="48">
        <v>44434</v>
      </c>
      <c r="E516">
        <v>160</v>
      </c>
      <c r="F516" t="s">
        <v>514</v>
      </c>
      <c r="G516">
        <v>0.75</v>
      </c>
    </row>
    <row r="517" spans="2:7" hidden="1">
      <c r="B517" s="43">
        <v>44407</v>
      </c>
      <c r="C517" t="s">
        <v>123</v>
      </c>
      <c r="D517" s="48">
        <v>44434</v>
      </c>
      <c r="E517">
        <v>160</v>
      </c>
      <c r="F517" t="s">
        <v>515</v>
      </c>
      <c r="G517">
        <v>17</v>
      </c>
    </row>
    <row r="518" spans="2:7" hidden="1">
      <c r="B518" s="43">
        <v>44410</v>
      </c>
      <c r="C518" t="s">
        <v>123</v>
      </c>
      <c r="D518" s="48">
        <v>44434</v>
      </c>
      <c r="E518">
        <v>160</v>
      </c>
      <c r="F518" t="s">
        <v>514</v>
      </c>
      <c r="G518">
        <v>0.8</v>
      </c>
    </row>
    <row r="519" spans="2:7" hidden="1">
      <c r="B519" s="43">
        <v>44410</v>
      </c>
      <c r="C519" t="s">
        <v>123</v>
      </c>
      <c r="D519" s="48">
        <v>44434</v>
      </c>
      <c r="E519">
        <v>160</v>
      </c>
      <c r="F519" t="s">
        <v>515</v>
      </c>
      <c r="G519">
        <v>16.350000000000001</v>
      </c>
    </row>
    <row r="520" spans="2:7" hidden="1">
      <c r="B520" s="43">
        <v>44404</v>
      </c>
      <c r="C520" t="s">
        <v>123</v>
      </c>
      <c r="D520" s="48">
        <v>44434</v>
      </c>
      <c r="E520">
        <v>162.5</v>
      </c>
      <c r="F520" t="s">
        <v>514</v>
      </c>
      <c r="G520">
        <v>6.25</v>
      </c>
    </row>
    <row r="521" spans="2:7" hidden="1">
      <c r="B521" s="43">
        <v>44404</v>
      </c>
      <c r="C521" t="s">
        <v>123</v>
      </c>
      <c r="D521" s="48">
        <v>44434</v>
      </c>
      <c r="E521">
        <v>162.5</v>
      </c>
      <c r="F521" t="s">
        <v>515</v>
      </c>
      <c r="G521">
        <v>22.65</v>
      </c>
    </row>
    <row r="522" spans="2:7" hidden="1">
      <c r="B522" s="43">
        <v>44405</v>
      </c>
      <c r="C522" t="s">
        <v>123</v>
      </c>
      <c r="D522" s="48">
        <v>44434</v>
      </c>
      <c r="E522">
        <v>162.5</v>
      </c>
      <c r="F522" t="s">
        <v>514</v>
      </c>
      <c r="G522">
        <v>6.25</v>
      </c>
    </row>
    <row r="523" spans="2:7" hidden="1">
      <c r="B523" s="43">
        <v>44405</v>
      </c>
      <c r="C523" t="s">
        <v>123</v>
      </c>
      <c r="D523" s="48">
        <v>44434</v>
      </c>
      <c r="E523">
        <v>162.5</v>
      </c>
      <c r="F523" t="s">
        <v>515</v>
      </c>
      <c r="G523">
        <v>22.65</v>
      </c>
    </row>
    <row r="524" spans="2:7" hidden="1">
      <c r="B524" s="43">
        <v>44406</v>
      </c>
      <c r="C524" t="s">
        <v>123</v>
      </c>
      <c r="D524" s="48">
        <v>44434</v>
      </c>
      <c r="E524">
        <v>162.5</v>
      </c>
      <c r="F524" t="s">
        <v>514</v>
      </c>
      <c r="G524">
        <v>0.55000000000000004</v>
      </c>
    </row>
    <row r="525" spans="2:7" hidden="1">
      <c r="B525" s="43">
        <v>44406</v>
      </c>
      <c r="C525" t="s">
        <v>123</v>
      </c>
      <c r="D525" s="48">
        <v>44434</v>
      </c>
      <c r="E525">
        <v>162.5</v>
      </c>
      <c r="F525" t="s">
        <v>515</v>
      </c>
      <c r="G525">
        <v>20.5</v>
      </c>
    </row>
    <row r="526" spans="2:7" hidden="1">
      <c r="B526" s="43">
        <v>44407</v>
      </c>
      <c r="C526" t="s">
        <v>123</v>
      </c>
      <c r="D526" s="48">
        <v>44434</v>
      </c>
      <c r="E526">
        <v>162.5</v>
      </c>
      <c r="F526" t="s">
        <v>514</v>
      </c>
      <c r="G526">
        <v>0.7</v>
      </c>
    </row>
    <row r="527" spans="2:7" hidden="1">
      <c r="B527" s="43">
        <v>44407</v>
      </c>
      <c r="C527" t="s">
        <v>123</v>
      </c>
      <c r="D527" s="48">
        <v>44434</v>
      </c>
      <c r="E527">
        <v>162.5</v>
      </c>
      <c r="F527" t="s">
        <v>515</v>
      </c>
      <c r="G527">
        <v>20.5</v>
      </c>
    </row>
    <row r="528" spans="2:7" hidden="1">
      <c r="B528" s="43">
        <v>44410</v>
      </c>
      <c r="C528" t="s">
        <v>123</v>
      </c>
      <c r="D528" s="48">
        <v>44434</v>
      </c>
      <c r="E528">
        <v>162.5</v>
      </c>
      <c r="F528" t="s">
        <v>514</v>
      </c>
      <c r="G528">
        <v>0.6</v>
      </c>
    </row>
    <row r="529" spans="2:7" hidden="1">
      <c r="B529" s="43">
        <v>44410</v>
      </c>
      <c r="C529" t="s">
        <v>123</v>
      </c>
      <c r="D529" s="48">
        <v>44434</v>
      </c>
      <c r="E529">
        <v>162.5</v>
      </c>
      <c r="F529" t="s">
        <v>515</v>
      </c>
      <c r="G529">
        <v>20.5</v>
      </c>
    </row>
    <row r="530" spans="2:7" hidden="1">
      <c r="B530" s="43">
        <v>44404</v>
      </c>
      <c r="C530" t="s">
        <v>123</v>
      </c>
      <c r="D530" s="48">
        <v>44434</v>
      </c>
      <c r="E530">
        <v>165</v>
      </c>
      <c r="F530" t="s">
        <v>514</v>
      </c>
      <c r="G530">
        <v>0.55000000000000004</v>
      </c>
    </row>
    <row r="531" spans="2:7" hidden="1">
      <c r="B531" s="43">
        <v>44404</v>
      </c>
      <c r="C531" t="s">
        <v>123</v>
      </c>
      <c r="D531" s="48">
        <v>44434</v>
      </c>
      <c r="E531">
        <v>165</v>
      </c>
      <c r="F531" t="s">
        <v>515</v>
      </c>
      <c r="G531">
        <v>24.5</v>
      </c>
    </row>
    <row r="532" spans="2:7" hidden="1">
      <c r="B532" s="43">
        <v>44405</v>
      </c>
      <c r="C532" t="s">
        <v>123</v>
      </c>
      <c r="D532" s="48">
        <v>44434</v>
      </c>
      <c r="E532">
        <v>165</v>
      </c>
      <c r="F532" t="s">
        <v>514</v>
      </c>
      <c r="G532">
        <v>0.5</v>
      </c>
    </row>
    <row r="533" spans="2:7" hidden="1">
      <c r="B533" s="43">
        <v>44405</v>
      </c>
      <c r="C533" t="s">
        <v>123</v>
      </c>
      <c r="D533" s="48">
        <v>44434</v>
      </c>
      <c r="E533">
        <v>165</v>
      </c>
      <c r="F533" t="s">
        <v>515</v>
      </c>
      <c r="G533">
        <v>24.5</v>
      </c>
    </row>
    <row r="534" spans="2:7" hidden="1">
      <c r="B534" s="43">
        <v>44406</v>
      </c>
      <c r="C534" t="s">
        <v>123</v>
      </c>
      <c r="D534" s="48">
        <v>44434</v>
      </c>
      <c r="E534">
        <v>165</v>
      </c>
      <c r="F534" t="s">
        <v>514</v>
      </c>
      <c r="G534">
        <v>0.45</v>
      </c>
    </row>
    <row r="535" spans="2:7" hidden="1">
      <c r="B535" s="43">
        <v>44406</v>
      </c>
      <c r="C535" t="s">
        <v>123</v>
      </c>
      <c r="D535" s="48">
        <v>44434</v>
      </c>
      <c r="E535">
        <v>165</v>
      </c>
      <c r="F535" t="s">
        <v>515</v>
      </c>
      <c r="G535">
        <v>22.2</v>
      </c>
    </row>
    <row r="536" spans="2:7" hidden="1">
      <c r="B536" s="43">
        <v>44407</v>
      </c>
      <c r="C536" t="s">
        <v>123</v>
      </c>
      <c r="D536" s="48">
        <v>44434</v>
      </c>
      <c r="E536">
        <v>165</v>
      </c>
      <c r="F536" t="s">
        <v>514</v>
      </c>
      <c r="G536">
        <v>0.45</v>
      </c>
    </row>
    <row r="537" spans="2:7" hidden="1">
      <c r="B537" s="43">
        <v>44407</v>
      </c>
      <c r="C537" t="s">
        <v>123</v>
      </c>
      <c r="D537" s="48">
        <v>44434</v>
      </c>
      <c r="E537">
        <v>165</v>
      </c>
      <c r="F537" t="s">
        <v>515</v>
      </c>
      <c r="G537">
        <v>22.2</v>
      </c>
    </row>
    <row r="538" spans="2:7" hidden="1">
      <c r="B538" s="43">
        <v>44410</v>
      </c>
      <c r="C538" t="s">
        <v>123</v>
      </c>
      <c r="D538" s="48">
        <v>44434</v>
      </c>
      <c r="E538">
        <v>165</v>
      </c>
      <c r="F538" t="s">
        <v>514</v>
      </c>
      <c r="G538">
        <v>0.5</v>
      </c>
    </row>
    <row r="539" spans="2:7" hidden="1">
      <c r="B539" s="43">
        <v>44410</v>
      </c>
      <c r="C539" t="s">
        <v>123</v>
      </c>
      <c r="D539" s="48">
        <v>44434</v>
      </c>
      <c r="E539">
        <v>165</v>
      </c>
      <c r="F539" t="s">
        <v>515</v>
      </c>
      <c r="G539">
        <v>22.2</v>
      </c>
    </row>
    <row r="540" spans="2:7" hidden="1">
      <c r="B540" s="43">
        <v>44404</v>
      </c>
      <c r="C540" t="s">
        <v>123</v>
      </c>
      <c r="D540" s="48">
        <v>44434</v>
      </c>
      <c r="E540">
        <v>167.5</v>
      </c>
      <c r="F540" t="s">
        <v>514</v>
      </c>
      <c r="G540">
        <v>5.05</v>
      </c>
    </row>
    <row r="541" spans="2:7" hidden="1">
      <c r="B541" s="43">
        <v>44404</v>
      </c>
      <c r="C541" t="s">
        <v>123</v>
      </c>
      <c r="D541" s="48">
        <v>44434</v>
      </c>
      <c r="E541">
        <v>167.5</v>
      </c>
      <c r="F541" t="s">
        <v>515</v>
      </c>
      <c r="G541">
        <v>26.4</v>
      </c>
    </row>
    <row r="542" spans="2:7" hidden="1">
      <c r="B542" s="43">
        <v>44405</v>
      </c>
      <c r="C542" t="s">
        <v>123</v>
      </c>
      <c r="D542" s="48">
        <v>44434</v>
      </c>
      <c r="E542">
        <v>167.5</v>
      </c>
      <c r="F542" t="s">
        <v>514</v>
      </c>
      <c r="G542">
        <v>5.05</v>
      </c>
    </row>
    <row r="543" spans="2:7" hidden="1">
      <c r="B543" s="43">
        <v>44405</v>
      </c>
      <c r="C543" t="s">
        <v>123</v>
      </c>
      <c r="D543" s="48">
        <v>44434</v>
      </c>
      <c r="E543">
        <v>167.5</v>
      </c>
      <c r="F543" t="s">
        <v>515</v>
      </c>
      <c r="G543">
        <v>26.4</v>
      </c>
    </row>
    <row r="544" spans="2:7" hidden="1">
      <c r="B544" s="43">
        <v>44406</v>
      </c>
      <c r="C544" t="s">
        <v>123</v>
      </c>
      <c r="D544" s="48">
        <v>44434</v>
      </c>
      <c r="E544">
        <v>167.5</v>
      </c>
      <c r="F544" t="s">
        <v>514</v>
      </c>
      <c r="G544">
        <v>5.05</v>
      </c>
    </row>
    <row r="545" spans="2:7" hidden="1">
      <c r="B545" s="43">
        <v>44406</v>
      </c>
      <c r="C545" t="s">
        <v>123</v>
      </c>
      <c r="D545" s="48">
        <v>44434</v>
      </c>
      <c r="E545">
        <v>167.5</v>
      </c>
      <c r="F545" t="s">
        <v>515</v>
      </c>
      <c r="G545">
        <v>26.4</v>
      </c>
    </row>
    <row r="546" spans="2:7" hidden="1">
      <c r="B546" s="43">
        <v>44407</v>
      </c>
      <c r="C546" t="s">
        <v>123</v>
      </c>
      <c r="D546" s="48">
        <v>44434</v>
      </c>
      <c r="E546">
        <v>167.5</v>
      </c>
      <c r="F546" t="s">
        <v>514</v>
      </c>
      <c r="G546">
        <v>5.05</v>
      </c>
    </row>
    <row r="547" spans="2:7" hidden="1">
      <c r="B547" s="43">
        <v>44407</v>
      </c>
      <c r="C547" t="s">
        <v>123</v>
      </c>
      <c r="D547" s="48">
        <v>44434</v>
      </c>
      <c r="E547">
        <v>167.5</v>
      </c>
      <c r="F547" t="s">
        <v>515</v>
      </c>
      <c r="G547">
        <v>26.4</v>
      </c>
    </row>
    <row r="548" spans="2:7" hidden="1">
      <c r="B548" s="43">
        <v>44410</v>
      </c>
      <c r="C548" t="s">
        <v>123</v>
      </c>
      <c r="D548" s="48">
        <v>44434</v>
      </c>
      <c r="E548">
        <v>167.5</v>
      </c>
      <c r="F548" t="s">
        <v>514</v>
      </c>
      <c r="G548">
        <v>5.05</v>
      </c>
    </row>
    <row r="549" spans="2:7" hidden="1">
      <c r="B549" s="43">
        <v>44410</v>
      </c>
      <c r="C549" t="s">
        <v>123</v>
      </c>
      <c r="D549" s="48">
        <v>44434</v>
      </c>
      <c r="E549">
        <v>167.5</v>
      </c>
      <c r="F549" t="s">
        <v>515</v>
      </c>
      <c r="G549">
        <v>26.4</v>
      </c>
    </row>
    <row r="550" spans="2:7" hidden="1">
      <c r="B550" s="43">
        <v>44404</v>
      </c>
      <c r="C550" t="s">
        <v>123</v>
      </c>
      <c r="D550" s="48">
        <v>44434</v>
      </c>
      <c r="E550">
        <v>170</v>
      </c>
      <c r="F550" t="s">
        <v>514</v>
      </c>
      <c r="G550">
        <v>0.4</v>
      </c>
    </row>
    <row r="551" spans="2:7" hidden="1">
      <c r="B551" s="43">
        <v>44404</v>
      </c>
      <c r="C551" t="s">
        <v>123</v>
      </c>
      <c r="D551" s="48">
        <v>44434</v>
      </c>
      <c r="E551">
        <v>170</v>
      </c>
      <c r="F551" t="s">
        <v>515</v>
      </c>
      <c r="G551">
        <v>27.85</v>
      </c>
    </row>
    <row r="552" spans="2:7" hidden="1">
      <c r="B552" s="43">
        <v>44405</v>
      </c>
      <c r="C552" t="s">
        <v>123</v>
      </c>
      <c r="D552" s="48">
        <v>44434</v>
      </c>
      <c r="E552">
        <v>170</v>
      </c>
      <c r="F552" t="s">
        <v>514</v>
      </c>
      <c r="G552">
        <v>0.4</v>
      </c>
    </row>
    <row r="553" spans="2:7" hidden="1">
      <c r="B553" s="43">
        <v>44405</v>
      </c>
      <c r="C553" t="s">
        <v>123</v>
      </c>
      <c r="D553" s="48">
        <v>44434</v>
      </c>
      <c r="E553">
        <v>170</v>
      </c>
      <c r="F553" t="s">
        <v>515</v>
      </c>
      <c r="G553">
        <v>27.85</v>
      </c>
    </row>
    <row r="554" spans="2:7" hidden="1">
      <c r="B554" s="43">
        <v>44406</v>
      </c>
      <c r="C554" t="s">
        <v>123</v>
      </c>
      <c r="D554" s="48">
        <v>44434</v>
      </c>
      <c r="E554">
        <v>170</v>
      </c>
      <c r="F554" t="s">
        <v>514</v>
      </c>
      <c r="G554">
        <v>0.35</v>
      </c>
    </row>
    <row r="555" spans="2:7" hidden="1">
      <c r="B555" s="43">
        <v>44406</v>
      </c>
      <c r="C555" t="s">
        <v>123</v>
      </c>
      <c r="D555" s="48">
        <v>44434</v>
      </c>
      <c r="E555">
        <v>170</v>
      </c>
      <c r="F555" t="s">
        <v>515</v>
      </c>
      <c r="G555">
        <v>27.4</v>
      </c>
    </row>
    <row r="556" spans="2:7" hidden="1">
      <c r="B556" s="43">
        <v>44407</v>
      </c>
      <c r="C556" t="s">
        <v>123</v>
      </c>
      <c r="D556" s="48">
        <v>44434</v>
      </c>
      <c r="E556">
        <v>170</v>
      </c>
      <c r="F556" t="s">
        <v>514</v>
      </c>
      <c r="G556">
        <v>0.35</v>
      </c>
    </row>
    <row r="557" spans="2:7" hidden="1">
      <c r="B557" s="43">
        <v>44407</v>
      </c>
      <c r="C557" t="s">
        <v>123</v>
      </c>
      <c r="D557" s="48">
        <v>44434</v>
      </c>
      <c r="E557">
        <v>170</v>
      </c>
      <c r="F557" t="s">
        <v>515</v>
      </c>
      <c r="G557">
        <v>26</v>
      </c>
    </row>
    <row r="558" spans="2:7" hidden="1">
      <c r="B558" s="43">
        <v>44410</v>
      </c>
      <c r="C558" t="s">
        <v>123</v>
      </c>
      <c r="D558" s="48">
        <v>44434</v>
      </c>
      <c r="E558">
        <v>170</v>
      </c>
      <c r="F558" t="s">
        <v>514</v>
      </c>
      <c r="G558">
        <v>0.4</v>
      </c>
    </row>
    <row r="559" spans="2:7" hidden="1">
      <c r="B559" s="43">
        <v>44410</v>
      </c>
      <c r="C559" t="s">
        <v>123</v>
      </c>
      <c r="D559" s="48">
        <v>44434</v>
      </c>
      <c r="E559">
        <v>170</v>
      </c>
      <c r="F559" t="s">
        <v>515</v>
      </c>
      <c r="G559">
        <v>26</v>
      </c>
    </row>
    <row r="560" spans="2:7" hidden="1">
      <c r="B560" s="43">
        <v>44404</v>
      </c>
      <c r="C560" t="s">
        <v>123</v>
      </c>
      <c r="D560" s="48">
        <v>44434</v>
      </c>
      <c r="E560">
        <v>172.5</v>
      </c>
      <c r="F560" t="s">
        <v>514</v>
      </c>
      <c r="G560">
        <v>4</v>
      </c>
    </row>
    <row r="561" spans="2:7" hidden="1">
      <c r="B561" s="43">
        <v>44404</v>
      </c>
      <c r="C561" t="s">
        <v>123</v>
      </c>
      <c r="D561" s="48">
        <v>44434</v>
      </c>
      <c r="E561">
        <v>172.5</v>
      </c>
      <c r="F561" t="s">
        <v>515</v>
      </c>
      <c r="G561">
        <v>30.35</v>
      </c>
    </row>
    <row r="562" spans="2:7" hidden="1">
      <c r="B562" s="43">
        <v>44405</v>
      </c>
      <c r="C562" t="s">
        <v>123</v>
      </c>
      <c r="D562" s="48">
        <v>44434</v>
      </c>
      <c r="E562">
        <v>172.5</v>
      </c>
      <c r="F562" t="s">
        <v>514</v>
      </c>
      <c r="G562">
        <v>4</v>
      </c>
    </row>
    <row r="563" spans="2:7" hidden="1">
      <c r="B563" s="43">
        <v>44405</v>
      </c>
      <c r="C563" t="s">
        <v>123</v>
      </c>
      <c r="D563" s="48">
        <v>44434</v>
      </c>
      <c r="E563">
        <v>172.5</v>
      </c>
      <c r="F563" t="s">
        <v>515</v>
      </c>
      <c r="G563">
        <v>30.35</v>
      </c>
    </row>
    <row r="564" spans="2:7" hidden="1">
      <c r="B564" s="43">
        <v>44406</v>
      </c>
      <c r="C564" t="s">
        <v>123</v>
      </c>
      <c r="D564" s="48">
        <v>44434</v>
      </c>
      <c r="E564">
        <v>172.5</v>
      </c>
      <c r="F564" t="s">
        <v>514</v>
      </c>
      <c r="G564">
        <v>4</v>
      </c>
    </row>
    <row r="565" spans="2:7" hidden="1">
      <c r="B565" s="43">
        <v>44406</v>
      </c>
      <c r="C565" t="s">
        <v>123</v>
      </c>
      <c r="D565" s="48">
        <v>44434</v>
      </c>
      <c r="E565">
        <v>172.5</v>
      </c>
      <c r="F565" t="s">
        <v>515</v>
      </c>
      <c r="G565">
        <v>30.35</v>
      </c>
    </row>
    <row r="566" spans="2:7" hidden="1">
      <c r="B566" s="43">
        <v>44407</v>
      </c>
      <c r="C566" t="s">
        <v>123</v>
      </c>
      <c r="D566" s="48">
        <v>44434</v>
      </c>
      <c r="E566">
        <v>172.5</v>
      </c>
      <c r="F566" t="s">
        <v>514</v>
      </c>
      <c r="G566">
        <v>4</v>
      </c>
    </row>
    <row r="567" spans="2:7" hidden="1">
      <c r="B567" s="43">
        <v>44407</v>
      </c>
      <c r="C567" t="s">
        <v>123</v>
      </c>
      <c r="D567" s="48">
        <v>44434</v>
      </c>
      <c r="E567">
        <v>172.5</v>
      </c>
      <c r="F567" t="s">
        <v>515</v>
      </c>
      <c r="G567">
        <v>30.35</v>
      </c>
    </row>
    <row r="568" spans="2:7" hidden="1">
      <c r="B568" s="43">
        <v>44410</v>
      </c>
      <c r="C568" t="s">
        <v>123</v>
      </c>
      <c r="D568" s="48">
        <v>44434</v>
      </c>
      <c r="E568">
        <v>172.5</v>
      </c>
      <c r="F568" t="s">
        <v>514</v>
      </c>
      <c r="G568">
        <v>4</v>
      </c>
    </row>
    <row r="569" spans="2:7" hidden="1">
      <c r="B569" s="43">
        <v>44410</v>
      </c>
      <c r="C569" t="s">
        <v>123</v>
      </c>
      <c r="D569" s="48">
        <v>44434</v>
      </c>
      <c r="E569">
        <v>172.5</v>
      </c>
      <c r="F569" t="s">
        <v>515</v>
      </c>
      <c r="G569">
        <v>30.35</v>
      </c>
    </row>
    <row r="570" spans="2:7" hidden="1">
      <c r="B570" s="43">
        <v>44404</v>
      </c>
      <c r="C570" t="s">
        <v>123</v>
      </c>
      <c r="D570" s="48">
        <v>44434</v>
      </c>
      <c r="E570">
        <v>175</v>
      </c>
      <c r="F570" t="s">
        <v>514</v>
      </c>
      <c r="G570">
        <v>3.6</v>
      </c>
    </row>
    <row r="571" spans="2:7" hidden="1">
      <c r="B571" s="43">
        <v>44404</v>
      </c>
      <c r="C571" t="s">
        <v>123</v>
      </c>
      <c r="D571" s="48">
        <v>44434</v>
      </c>
      <c r="E571">
        <v>175</v>
      </c>
      <c r="F571" t="s">
        <v>515</v>
      </c>
      <c r="G571">
        <v>32.4</v>
      </c>
    </row>
    <row r="572" spans="2:7" hidden="1">
      <c r="B572" s="43">
        <v>44405</v>
      </c>
      <c r="C572" t="s">
        <v>123</v>
      </c>
      <c r="D572" s="48">
        <v>44434</v>
      </c>
      <c r="E572">
        <v>175</v>
      </c>
      <c r="F572" t="s">
        <v>514</v>
      </c>
      <c r="G572">
        <v>3.6</v>
      </c>
    </row>
    <row r="573" spans="2:7" hidden="1">
      <c r="B573" s="43">
        <v>44405</v>
      </c>
      <c r="C573" t="s">
        <v>123</v>
      </c>
      <c r="D573" s="48">
        <v>44434</v>
      </c>
      <c r="E573">
        <v>175</v>
      </c>
      <c r="F573" t="s">
        <v>515</v>
      </c>
      <c r="G573">
        <v>32.4</v>
      </c>
    </row>
    <row r="574" spans="2:7" hidden="1">
      <c r="B574" s="43">
        <v>44406</v>
      </c>
      <c r="C574" t="s">
        <v>123</v>
      </c>
      <c r="D574" s="48">
        <v>44434</v>
      </c>
      <c r="E574">
        <v>175</v>
      </c>
      <c r="F574" t="s">
        <v>514</v>
      </c>
      <c r="G574">
        <v>3.6</v>
      </c>
    </row>
    <row r="575" spans="2:7" hidden="1">
      <c r="B575" s="43">
        <v>44406</v>
      </c>
      <c r="C575" t="s">
        <v>123</v>
      </c>
      <c r="D575" s="48">
        <v>44434</v>
      </c>
      <c r="E575">
        <v>175</v>
      </c>
      <c r="F575" t="s">
        <v>515</v>
      </c>
      <c r="G575">
        <v>32.4</v>
      </c>
    </row>
    <row r="576" spans="2:7" hidden="1">
      <c r="B576" s="43">
        <v>44407</v>
      </c>
      <c r="C576" t="s">
        <v>123</v>
      </c>
      <c r="D576" s="48">
        <v>44434</v>
      </c>
      <c r="E576">
        <v>175</v>
      </c>
      <c r="F576" t="s">
        <v>514</v>
      </c>
      <c r="G576">
        <v>0.3</v>
      </c>
    </row>
    <row r="577" spans="2:7" hidden="1">
      <c r="B577" s="43">
        <v>44407</v>
      </c>
      <c r="C577" t="s">
        <v>123</v>
      </c>
      <c r="D577" s="48">
        <v>44434</v>
      </c>
      <c r="E577">
        <v>175</v>
      </c>
      <c r="F577" t="s">
        <v>515</v>
      </c>
      <c r="G577">
        <v>32.4</v>
      </c>
    </row>
    <row r="578" spans="2:7" hidden="1">
      <c r="B578" s="43">
        <v>44410</v>
      </c>
      <c r="C578" t="s">
        <v>123</v>
      </c>
      <c r="D578" s="48">
        <v>44434</v>
      </c>
      <c r="E578">
        <v>175</v>
      </c>
      <c r="F578" t="s">
        <v>514</v>
      </c>
      <c r="G578">
        <v>0.3</v>
      </c>
    </row>
    <row r="579" spans="2:7" hidden="1">
      <c r="B579" s="43">
        <v>44410</v>
      </c>
      <c r="C579" t="s">
        <v>123</v>
      </c>
      <c r="D579" s="48">
        <v>44434</v>
      </c>
      <c r="E579">
        <v>175</v>
      </c>
      <c r="F579" t="s">
        <v>515</v>
      </c>
      <c r="G579">
        <v>32.4</v>
      </c>
    </row>
    <row r="580" spans="2:7" hidden="1">
      <c r="B580" s="43">
        <v>44404</v>
      </c>
      <c r="C580" t="s">
        <v>123</v>
      </c>
      <c r="D580" s="48">
        <v>44434</v>
      </c>
      <c r="E580">
        <v>177.5</v>
      </c>
      <c r="F580" t="s">
        <v>514</v>
      </c>
      <c r="G580">
        <v>3.2</v>
      </c>
    </row>
    <row r="581" spans="2:7" hidden="1">
      <c r="B581" s="43">
        <v>44404</v>
      </c>
      <c r="C581" t="s">
        <v>123</v>
      </c>
      <c r="D581" s="48">
        <v>44434</v>
      </c>
      <c r="E581">
        <v>177.5</v>
      </c>
      <c r="F581" t="s">
        <v>515</v>
      </c>
      <c r="G581">
        <v>34.5</v>
      </c>
    </row>
    <row r="582" spans="2:7" hidden="1">
      <c r="B582" s="43">
        <v>44405</v>
      </c>
      <c r="C582" t="s">
        <v>123</v>
      </c>
      <c r="D582" s="48">
        <v>44434</v>
      </c>
      <c r="E582">
        <v>177.5</v>
      </c>
      <c r="F582" t="s">
        <v>514</v>
      </c>
      <c r="G582">
        <v>3.2</v>
      </c>
    </row>
    <row r="583" spans="2:7" hidden="1">
      <c r="B583" s="43">
        <v>44405</v>
      </c>
      <c r="C583" t="s">
        <v>123</v>
      </c>
      <c r="D583" s="48">
        <v>44434</v>
      </c>
      <c r="E583">
        <v>177.5</v>
      </c>
      <c r="F583" t="s">
        <v>515</v>
      </c>
      <c r="G583">
        <v>34.5</v>
      </c>
    </row>
    <row r="584" spans="2:7" hidden="1">
      <c r="B584" s="43">
        <v>44406</v>
      </c>
      <c r="C584" t="s">
        <v>123</v>
      </c>
      <c r="D584" s="48">
        <v>44434</v>
      </c>
      <c r="E584">
        <v>177.5</v>
      </c>
      <c r="F584" t="s">
        <v>514</v>
      </c>
      <c r="G584">
        <v>3.2</v>
      </c>
    </row>
    <row r="585" spans="2:7" hidden="1">
      <c r="B585" s="43">
        <v>44406</v>
      </c>
      <c r="C585" t="s">
        <v>123</v>
      </c>
      <c r="D585" s="48">
        <v>44434</v>
      </c>
      <c r="E585">
        <v>177.5</v>
      </c>
      <c r="F585" t="s">
        <v>515</v>
      </c>
      <c r="G585">
        <v>34.5</v>
      </c>
    </row>
    <row r="586" spans="2:7" hidden="1">
      <c r="B586" s="43">
        <v>44407</v>
      </c>
      <c r="C586" t="s">
        <v>123</v>
      </c>
      <c r="D586" s="48">
        <v>44434</v>
      </c>
      <c r="E586">
        <v>177.5</v>
      </c>
      <c r="F586" t="s">
        <v>514</v>
      </c>
      <c r="G586">
        <v>3.2</v>
      </c>
    </row>
    <row r="587" spans="2:7" hidden="1">
      <c r="B587" s="43">
        <v>44407</v>
      </c>
      <c r="C587" t="s">
        <v>123</v>
      </c>
      <c r="D587" s="48">
        <v>44434</v>
      </c>
      <c r="E587">
        <v>177.5</v>
      </c>
      <c r="F587" t="s">
        <v>515</v>
      </c>
      <c r="G587">
        <v>34.5</v>
      </c>
    </row>
    <row r="588" spans="2:7" hidden="1">
      <c r="B588" s="43">
        <v>44410</v>
      </c>
      <c r="C588" t="s">
        <v>123</v>
      </c>
      <c r="D588" s="48">
        <v>44434</v>
      </c>
      <c r="E588">
        <v>177.5</v>
      </c>
      <c r="F588" t="s">
        <v>514</v>
      </c>
      <c r="G588">
        <v>3.2</v>
      </c>
    </row>
    <row r="589" spans="2:7" hidden="1">
      <c r="B589" s="43">
        <v>44410</v>
      </c>
      <c r="C589" t="s">
        <v>123</v>
      </c>
      <c r="D589" s="48">
        <v>44434</v>
      </c>
      <c r="E589">
        <v>177.5</v>
      </c>
      <c r="F589" t="s">
        <v>515</v>
      </c>
      <c r="G589">
        <v>34.5</v>
      </c>
    </row>
    <row r="590" spans="2:7" hidden="1">
      <c r="B590" s="43">
        <v>44404</v>
      </c>
      <c r="C590" t="s">
        <v>123</v>
      </c>
      <c r="D590" s="48">
        <v>44434</v>
      </c>
      <c r="E590">
        <v>180</v>
      </c>
      <c r="F590" t="s">
        <v>514</v>
      </c>
      <c r="G590">
        <v>0.2</v>
      </c>
    </row>
    <row r="591" spans="2:7" hidden="1">
      <c r="B591" s="43">
        <v>44404</v>
      </c>
      <c r="C591" t="s">
        <v>123</v>
      </c>
      <c r="D591" s="48">
        <v>44434</v>
      </c>
      <c r="E591">
        <v>180</v>
      </c>
      <c r="F591" t="s">
        <v>515</v>
      </c>
      <c r="G591">
        <v>37.1</v>
      </c>
    </row>
    <row r="592" spans="2:7" hidden="1">
      <c r="B592" s="43">
        <v>44405</v>
      </c>
      <c r="C592" t="s">
        <v>123</v>
      </c>
      <c r="D592" s="48">
        <v>44434</v>
      </c>
      <c r="E592">
        <v>180</v>
      </c>
      <c r="F592" t="s">
        <v>514</v>
      </c>
      <c r="G592">
        <v>0.3</v>
      </c>
    </row>
    <row r="593" spans="2:7" hidden="1">
      <c r="B593" s="43">
        <v>44405</v>
      </c>
      <c r="C593" t="s">
        <v>123</v>
      </c>
      <c r="D593" s="48">
        <v>44434</v>
      </c>
      <c r="E593">
        <v>180</v>
      </c>
      <c r="F593" t="s">
        <v>515</v>
      </c>
      <c r="G593">
        <v>37.25</v>
      </c>
    </row>
    <row r="594" spans="2:7" hidden="1">
      <c r="B594" s="43">
        <v>44406</v>
      </c>
      <c r="C594" t="s">
        <v>123</v>
      </c>
      <c r="D594" s="48">
        <v>44434</v>
      </c>
      <c r="E594">
        <v>180</v>
      </c>
      <c r="F594" t="s">
        <v>514</v>
      </c>
      <c r="G594">
        <v>0.25</v>
      </c>
    </row>
    <row r="595" spans="2:7" hidden="1">
      <c r="B595" s="43">
        <v>44406</v>
      </c>
      <c r="C595" t="s">
        <v>123</v>
      </c>
      <c r="D595" s="48">
        <v>44434</v>
      </c>
      <c r="E595">
        <v>180</v>
      </c>
      <c r="F595" t="s">
        <v>515</v>
      </c>
      <c r="G595">
        <v>37.25</v>
      </c>
    </row>
    <row r="596" spans="2:7" hidden="1">
      <c r="B596" s="43">
        <v>44407</v>
      </c>
      <c r="C596" t="s">
        <v>123</v>
      </c>
      <c r="D596" s="48">
        <v>44434</v>
      </c>
      <c r="E596">
        <v>180</v>
      </c>
      <c r="F596" t="s">
        <v>514</v>
      </c>
      <c r="G596">
        <v>0.25</v>
      </c>
    </row>
    <row r="597" spans="2:7" hidden="1">
      <c r="B597" s="43">
        <v>44407</v>
      </c>
      <c r="C597" t="s">
        <v>123</v>
      </c>
      <c r="D597" s="48">
        <v>44434</v>
      </c>
      <c r="E597">
        <v>180</v>
      </c>
      <c r="F597" t="s">
        <v>515</v>
      </c>
      <c r="G597">
        <v>37.25</v>
      </c>
    </row>
    <row r="598" spans="2:7" hidden="1">
      <c r="B598" s="43">
        <v>44410</v>
      </c>
      <c r="C598" t="s">
        <v>123</v>
      </c>
      <c r="D598" s="48">
        <v>44434</v>
      </c>
      <c r="E598">
        <v>180</v>
      </c>
      <c r="F598" t="s">
        <v>514</v>
      </c>
      <c r="G598">
        <v>0.2</v>
      </c>
    </row>
    <row r="599" spans="2:7" hidden="1">
      <c r="B599" s="43">
        <v>44410</v>
      </c>
      <c r="C599" t="s">
        <v>123</v>
      </c>
      <c r="D599" s="48">
        <v>44434</v>
      </c>
      <c r="E599">
        <v>180</v>
      </c>
      <c r="F599" t="s">
        <v>515</v>
      </c>
      <c r="G599">
        <v>37.25</v>
      </c>
    </row>
    <row r="600" spans="2:7" hidden="1">
      <c r="B600" s="43">
        <v>44404</v>
      </c>
      <c r="C600" t="s">
        <v>123</v>
      </c>
      <c r="D600" s="48">
        <v>44434</v>
      </c>
      <c r="E600">
        <v>182.5</v>
      </c>
      <c r="F600" t="s">
        <v>514</v>
      </c>
      <c r="G600">
        <v>2.5499999999999998</v>
      </c>
    </row>
    <row r="601" spans="2:7" hidden="1">
      <c r="B601" s="43">
        <v>44404</v>
      </c>
      <c r="C601" t="s">
        <v>123</v>
      </c>
      <c r="D601" s="48">
        <v>44434</v>
      </c>
      <c r="E601">
        <v>182.5</v>
      </c>
      <c r="F601" t="s">
        <v>515</v>
      </c>
      <c r="G601">
        <v>38.799999999999997</v>
      </c>
    </row>
    <row r="602" spans="2:7" hidden="1">
      <c r="B602" s="43">
        <v>44405</v>
      </c>
      <c r="C602" t="s">
        <v>123</v>
      </c>
      <c r="D602" s="48">
        <v>44434</v>
      </c>
      <c r="E602">
        <v>182.5</v>
      </c>
      <c r="F602" t="s">
        <v>514</v>
      </c>
      <c r="G602">
        <v>2.5499999999999998</v>
      </c>
    </row>
    <row r="603" spans="2:7" hidden="1">
      <c r="B603" s="43">
        <v>44405</v>
      </c>
      <c r="C603" t="s">
        <v>123</v>
      </c>
      <c r="D603" s="48">
        <v>44434</v>
      </c>
      <c r="E603">
        <v>182.5</v>
      </c>
      <c r="F603" t="s">
        <v>515</v>
      </c>
      <c r="G603">
        <v>38.799999999999997</v>
      </c>
    </row>
    <row r="604" spans="2:7" hidden="1">
      <c r="B604" s="43">
        <v>44406</v>
      </c>
      <c r="C604" t="s">
        <v>123</v>
      </c>
      <c r="D604" s="48">
        <v>44434</v>
      </c>
      <c r="E604">
        <v>182.5</v>
      </c>
      <c r="F604" t="s">
        <v>514</v>
      </c>
      <c r="G604">
        <v>2.5499999999999998</v>
      </c>
    </row>
    <row r="605" spans="2:7" hidden="1">
      <c r="B605" s="43">
        <v>44406</v>
      </c>
      <c r="C605" t="s">
        <v>123</v>
      </c>
      <c r="D605" s="48">
        <v>44434</v>
      </c>
      <c r="E605">
        <v>182.5</v>
      </c>
      <c r="F605" t="s">
        <v>515</v>
      </c>
      <c r="G605">
        <v>38.799999999999997</v>
      </c>
    </row>
    <row r="606" spans="2:7" hidden="1">
      <c r="B606" s="43">
        <v>44407</v>
      </c>
      <c r="C606" t="s">
        <v>123</v>
      </c>
      <c r="D606" s="48">
        <v>44434</v>
      </c>
      <c r="E606">
        <v>182.5</v>
      </c>
      <c r="F606" t="s">
        <v>514</v>
      </c>
      <c r="G606">
        <v>2.5499999999999998</v>
      </c>
    </row>
    <row r="607" spans="2:7" hidden="1">
      <c r="B607" s="43">
        <v>44407</v>
      </c>
      <c r="C607" t="s">
        <v>123</v>
      </c>
      <c r="D607" s="48">
        <v>44434</v>
      </c>
      <c r="E607">
        <v>182.5</v>
      </c>
      <c r="F607" t="s">
        <v>515</v>
      </c>
      <c r="G607">
        <v>38.799999999999997</v>
      </c>
    </row>
    <row r="608" spans="2:7" hidden="1">
      <c r="B608" s="43">
        <v>44410</v>
      </c>
      <c r="C608" t="s">
        <v>123</v>
      </c>
      <c r="D608" s="48">
        <v>44434</v>
      </c>
      <c r="E608">
        <v>182.5</v>
      </c>
      <c r="F608" t="s">
        <v>514</v>
      </c>
      <c r="G608">
        <v>2.5499999999999998</v>
      </c>
    </row>
    <row r="609" spans="2:7" hidden="1">
      <c r="B609" s="43">
        <v>44410</v>
      </c>
      <c r="C609" t="s">
        <v>123</v>
      </c>
      <c r="D609" s="48">
        <v>44434</v>
      </c>
      <c r="E609">
        <v>182.5</v>
      </c>
      <c r="F609" t="s">
        <v>515</v>
      </c>
      <c r="G609">
        <v>38.799999999999997</v>
      </c>
    </row>
    <row r="610" spans="2:7" hidden="1">
      <c r="B610" s="43">
        <v>44404</v>
      </c>
      <c r="C610" t="s">
        <v>123</v>
      </c>
      <c r="D610" s="48">
        <v>44434</v>
      </c>
      <c r="E610">
        <v>185</v>
      </c>
      <c r="F610" t="s">
        <v>514</v>
      </c>
      <c r="G610">
        <v>2.25</v>
      </c>
    </row>
    <row r="611" spans="2:7" hidden="1">
      <c r="B611" s="43">
        <v>44404</v>
      </c>
      <c r="C611" t="s">
        <v>123</v>
      </c>
      <c r="D611" s="48">
        <v>44434</v>
      </c>
      <c r="E611">
        <v>185</v>
      </c>
      <c r="F611" t="s">
        <v>515</v>
      </c>
      <c r="G611">
        <v>40.950000000000003</v>
      </c>
    </row>
    <row r="612" spans="2:7" hidden="1">
      <c r="B612" s="43">
        <v>44405</v>
      </c>
      <c r="C612" t="s">
        <v>123</v>
      </c>
      <c r="D612" s="48">
        <v>44434</v>
      </c>
      <c r="E612">
        <v>185</v>
      </c>
      <c r="F612" t="s">
        <v>514</v>
      </c>
      <c r="G612">
        <v>2.25</v>
      </c>
    </row>
    <row r="613" spans="2:7" hidden="1">
      <c r="B613" s="43">
        <v>44405</v>
      </c>
      <c r="C613" t="s">
        <v>123</v>
      </c>
      <c r="D613" s="48">
        <v>44434</v>
      </c>
      <c r="E613">
        <v>185</v>
      </c>
      <c r="F613" t="s">
        <v>515</v>
      </c>
      <c r="G613">
        <v>40.950000000000003</v>
      </c>
    </row>
    <row r="614" spans="2:7" hidden="1">
      <c r="B614" s="43">
        <v>44406</v>
      </c>
      <c r="C614" t="s">
        <v>123</v>
      </c>
      <c r="D614" s="48">
        <v>44434</v>
      </c>
      <c r="E614">
        <v>185</v>
      </c>
      <c r="F614" t="s">
        <v>514</v>
      </c>
      <c r="G614">
        <v>2.25</v>
      </c>
    </row>
    <row r="615" spans="2:7" hidden="1">
      <c r="B615" s="43">
        <v>44406</v>
      </c>
      <c r="C615" t="s">
        <v>123</v>
      </c>
      <c r="D615" s="48">
        <v>44434</v>
      </c>
      <c r="E615">
        <v>185</v>
      </c>
      <c r="F615" t="s">
        <v>515</v>
      </c>
      <c r="G615">
        <v>40.950000000000003</v>
      </c>
    </row>
    <row r="616" spans="2:7" hidden="1">
      <c r="B616" s="43">
        <v>44407</v>
      </c>
      <c r="C616" t="s">
        <v>123</v>
      </c>
      <c r="D616" s="48">
        <v>44434</v>
      </c>
      <c r="E616">
        <v>185</v>
      </c>
      <c r="F616" t="s">
        <v>514</v>
      </c>
      <c r="G616">
        <v>2.25</v>
      </c>
    </row>
    <row r="617" spans="2:7" hidden="1">
      <c r="B617" s="43">
        <v>44407</v>
      </c>
      <c r="C617" t="s">
        <v>123</v>
      </c>
      <c r="D617" s="48">
        <v>44434</v>
      </c>
      <c r="E617">
        <v>185</v>
      </c>
      <c r="F617" t="s">
        <v>515</v>
      </c>
      <c r="G617">
        <v>40.950000000000003</v>
      </c>
    </row>
    <row r="618" spans="2:7" hidden="1">
      <c r="B618" s="43">
        <v>44410</v>
      </c>
      <c r="C618" t="s">
        <v>123</v>
      </c>
      <c r="D618" s="48">
        <v>44434</v>
      </c>
      <c r="E618">
        <v>185</v>
      </c>
      <c r="F618" t="s">
        <v>514</v>
      </c>
      <c r="G618">
        <v>2.25</v>
      </c>
    </row>
    <row r="619" spans="2:7" hidden="1">
      <c r="B619" s="43">
        <v>44410</v>
      </c>
      <c r="C619" t="s">
        <v>123</v>
      </c>
      <c r="D619" s="48">
        <v>44434</v>
      </c>
      <c r="E619">
        <v>185</v>
      </c>
      <c r="F619" t="s">
        <v>515</v>
      </c>
      <c r="G619">
        <v>40.950000000000003</v>
      </c>
    </row>
    <row r="620" spans="2:7" hidden="1">
      <c r="B620" s="43">
        <v>44404</v>
      </c>
      <c r="C620" t="s">
        <v>123</v>
      </c>
      <c r="D620" s="48">
        <v>44434</v>
      </c>
      <c r="E620">
        <v>187.5</v>
      </c>
      <c r="F620" t="s">
        <v>514</v>
      </c>
      <c r="G620">
        <v>0.45</v>
      </c>
    </row>
    <row r="621" spans="2:7" hidden="1">
      <c r="B621" s="43">
        <v>44404</v>
      </c>
      <c r="C621" t="s">
        <v>123</v>
      </c>
      <c r="D621" s="48">
        <v>44434</v>
      </c>
      <c r="E621">
        <v>187.5</v>
      </c>
      <c r="F621" t="s">
        <v>515</v>
      </c>
      <c r="G621">
        <v>43.2</v>
      </c>
    </row>
    <row r="622" spans="2:7" hidden="1">
      <c r="B622" s="43">
        <v>44405</v>
      </c>
      <c r="C622" t="s">
        <v>123</v>
      </c>
      <c r="D622" s="48">
        <v>44434</v>
      </c>
      <c r="E622">
        <v>187.5</v>
      </c>
      <c r="F622" t="s">
        <v>514</v>
      </c>
      <c r="G622">
        <v>0.45</v>
      </c>
    </row>
    <row r="623" spans="2:7" hidden="1">
      <c r="B623" s="43">
        <v>44405</v>
      </c>
      <c r="C623" t="s">
        <v>123</v>
      </c>
      <c r="D623" s="48">
        <v>44434</v>
      </c>
      <c r="E623">
        <v>187.5</v>
      </c>
      <c r="F623" t="s">
        <v>515</v>
      </c>
      <c r="G623">
        <v>43.2</v>
      </c>
    </row>
    <row r="624" spans="2:7" hidden="1">
      <c r="B624" s="43">
        <v>44406</v>
      </c>
      <c r="C624" t="s">
        <v>123</v>
      </c>
      <c r="D624" s="48">
        <v>44434</v>
      </c>
      <c r="E624">
        <v>187.5</v>
      </c>
      <c r="F624" t="s">
        <v>514</v>
      </c>
      <c r="G624">
        <v>0.45</v>
      </c>
    </row>
    <row r="625" spans="2:7" hidden="1">
      <c r="B625" s="43">
        <v>44406</v>
      </c>
      <c r="C625" t="s">
        <v>123</v>
      </c>
      <c r="D625" s="48">
        <v>44434</v>
      </c>
      <c r="E625">
        <v>187.5</v>
      </c>
      <c r="F625" t="s">
        <v>515</v>
      </c>
      <c r="G625">
        <v>43.2</v>
      </c>
    </row>
    <row r="626" spans="2:7" hidden="1">
      <c r="B626" s="43">
        <v>44407</v>
      </c>
      <c r="C626" t="s">
        <v>123</v>
      </c>
      <c r="D626" s="48">
        <v>44434</v>
      </c>
      <c r="E626">
        <v>187.5</v>
      </c>
      <c r="F626" t="s">
        <v>514</v>
      </c>
      <c r="G626">
        <v>0.45</v>
      </c>
    </row>
    <row r="627" spans="2:7" hidden="1">
      <c r="B627" s="43">
        <v>44407</v>
      </c>
      <c r="C627" t="s">
        <v>123</v>
      </c>
      <c r="D627" s="48">
        <v>44434</v>
      </c>
      <c r="E627">
        <v>187.5</v>
      </c>
      <c r="F627" t="s">
        <v>515</v>
      </c>
      <c r="G627">
        <v>43.2</v>
      </c>
    </row>
    <row r="628" spans="2:7" hidden="1">
      <c r="B628" s="43">
        <v>44410</v>
      </c>
      <c r="C628" t="s">
        <v>123</v>
      </c>
      <c r="D628" s="48">
        <v>44434</v>
      </c>
      <c r="E628">
        <v>187.5</v>
      </c>
      <c r="F628" t="s">
        <v>514</v>
      </c>
      <c r="G628">
        <v>0.45</v>
      </c>
    </row>
    <row r="629" spans="2:7" hidden="1">
      <c r="B629" s="43">
        <v>44410</v>
      </c>
      <c r="C629" t="s">
        <v>123</v>
      </c>
      <c r="D629" s="48">
        <v>44434</v>
      </c>
      <c r="E629">
        <v>187.5</v>
      </c>
      <c r="F629" t="s">
        <v>515</v>
      </c>
      <c r="G629">
        <v>43.2</v>
      </c>
    </row>
    <row r="630" spans="2:7" hidden="1">
      <c r="B630" s="43">
        <v>44404</v>
      </c>
      <c r="C630" t="s">
        <v>123</v>
      </c>
      <c r="D630" s="48">
        <v>44434</v>
      </c>
      <c r="E630">
        <v>190</v>
      </c>
      <c r="F630" t="s">
        <v>514</v>
      </c>
      <c r="G630">
        <v>0.35</v>
      </c>
    </row>
    <row r="631" spans="2:7" hidden="1">
      <c r="B631" s="43">
        <v>44404</v>
      </c>
      <c r="C631" t="s">
        <v>123</v>
      </c>
      <c r="D631" s="48">
        <v>44434</v>
      </c>
      <c r="E631">
        <v>190</v>
      </c>
      <c r="F631" t="s">
        <v>515</v>
      </c>
      <c r="G631">
        <v>45.45</v>
      </c>
    </row>
    <row r="632" spans="2:7" hidden="1">
      <c r="B632" s="43">
        <v>44405</v>
      </c>
      <c r="C632" t="s">
        <v>123</v>
      </c>
      <c r="D632" s="48">
        <v>44434</v>
      </c>
      <c r="E632">
        <v>190</v>
      </c>
      <c r="F632" t="s">
        <v>514</v>
      </c>
      <c r="G632">
        <v>0.35</v>
      </c>
    </row>
    <row r="633" spans="2:7" hidden="1">
      <c r="B633" s="43">
        <v>44405</v>
      </c>
      <c r="C633" t="s">
        <v>123</v>
      </c>
      <c r="D633" s="48">
        <v>44434</v>
      </c>
      <c r="E633">
        <v>190</v>
      </c>
      <c r="F633" t="s">
        <v>515</v>
      </c>
      <c r="G633">
        <v>45.45</v>
      </c>
    </row>
    <row r="634" spans="2:7" hidden="1">
      <c r="B634" s="43">
        <v>44406</v>
      </c>
      <c r="C634" t="s">
        <v>123</v>
      </c>
      <c r="D634" s="48">
        <v>44434</v>
      </c>
      <c r="E634">
        <v>190</v>
      </c>
      <c r="F634" t="s">
        <v>514</v>
      </c>
      <c r="G634">
        <v>0.35</v>
      </c>
    </row>
    <row r="635" spans="2:7" hidden="1">
      <c r="B635" s="43">
        <v>44406</v>
      </c>
      <c r="C635" t="s">
        <v>123</v>
      </c>
      <c r="D635" s="48">
        <v>44434</v>
      </c>
      <c r="E635">
        <v>190</v>
      </c>
      <c r="F635" t="s">
        <v>515</v>
      </c>
      <c r="G635">
        <v>45.45</v>
      </c>
    </row>
    <row r="636" spans="2:7" hidden="1">
      <c r="B636" s="43">
        <v>44407</v>
      </c>
      <c r="C636" t="s">
        <v>123</v>
      </c>
      <c r="D636" s="48">
        <v>44434</v>
      </c>
      <c r="E636">
        <v>190</v>
      </c>
      <c r="F636" t="s">
        <v>514</v>
      </c>
      <c r="G636">
        <v>0.35</v>
      </c>
    </row>
    <row r="637" spans="2:7" hidden="1">
      <c r="B637" s="43">
        <v>44407</v>
      </c>
      <c r="C637" t="s">
        <v>123</v>
      </c>
      <c r="D637" s="48">
        <v>44434</v>
      </c>
      <c r="E637">
        <v>190</v>
      </c>
      <c r="F637" t="s">
        <v>515</v>
      </c>
      <c r="G637">
        <v>45.45</v>
      </c>
    </row>
    <row r="638" spans="2:7" hidden="1">
      <c r="B638" s="43">
        <v>44410</v>
      </c>
      <c r="C638" t="s">
        <v>123</v>
      </c>
      <c r="D638" s="48">
        <v>44434</v>
      </c>
      <c r="E638">
        <v>190</v>
      </c>
      <c r="F638" t="s">
        <v>514</v>
      </c>
      <c r="G638">
        <v>0.35</v>
      </c>
    </row>
    <row r="639" spans="2:7" hidden="1">
      <c r="B639" s="43">
        <v>44410</v>
      </c>
      <c r="C639" t="s">
        <v>123</v>
      </c>
      <c r="D639" s="48">
        <v>44434</v>
      </c>
      <c r="E639">
        <v>190</v>
      </c>
      <c r="F639" t="s">
        <v>515</v>
      </c>
      <c r="G639">
        <v>45.45</v>
      </c>
    </row>
    <row r="640" spans="2:7" hidden="1">
      <c r="B640" s="43">
        <v>44404</v>
      </c>
      <c r="C640" t="s">
        <v>123</v>
      </c>
      <c r="D640" s="48">
        <v>44434</v>
      </c>
      <c r="E640">
        <v>192.5</v>
      </c>
      <c r="F640" t="s">
        <v>514</v>
      </c>
      <c r="G640">
        <v>1.55</v>
      </c>
    </row>
    <row r="641" spans="2:7" hidden="1">
      <c r="B641" s="43">
        <v>44404</v>
      </c>
      <c r="C641" t="s">
        <v>123</v>
      </c>
      <c r="D641" s="48">
        <v>44434</v>
      </c>
      <c r="E641">
        <v>192.5</v>
      </c>
      <c r="F641" t="s">
        <v>515</v>
      </c>
      <c r="G641">
        <v>47.7</v>
      </c>
    </row>
    <row r="642" spans="2:7" hidden="1">
      <c r="B642" s="43">
        <v>44405</v>
      </c>
      <c r="C642" t="s">
        <v>123</v>
      </c>
      <c r="D642" s="48">
        <v>44434</v>
      </c>
      <c r="E642">
        <v>192.5</v>
      </c>
      <c r="F642" t="s">
        <v>514</v>
      </c>
      <c r="G642">
        <v>1.55</v>
      </c>
    </row>
    <row r="643" spans="2:7" hidden="1">
      <c r="B643" s="43">
        <v>44405</v>
      </c>
      <c r="C643" t="s">
        <v>123</v>
      </c>
      <c r="D643" s="48">
        <v>44434</v>
      </c>
      <c r="E643">
        <v>192.5</v>
      </c>
      <c r="F643" t="s">
        <v>515</v>
      </c>
      <c r="G643">
        <v>47.7</v>
      </c>
    </row>
    <row r="644" spans="2:7" hidden="1">
      <c r="B644" s="43">
        <v>44406</v>
      </c>
      <c r="C644" t="s">
        <v>123</v>
      </c>
      <c r="D644" s="48">
        <v>44434</v>
      </c>
      <c r="E644">
        <v>192.5</v>
      </c>
      <c r="F644" t="s">
        <v>514</v>
      </c>
      <c r="G644">
        <v>1.55</v>
      </c>
    </row>
    <row r="645" spans="2:7" hidden="1">
      <c r="B645" s="43">
        <v>44406</v>
      </c>
      <c r="C645" t="s">
        <v>123</v>
      </c>
      <c r="D645" s="48">
        <v>44434</v>
      </c>
      <c r="E645">
        <v>192.5</v>
      </c>
      <c r="F645" t="s">
        <v>515</v>
      </c>
      <c r="G645">
        <v>47.7</v>
      </c>
    </row>
    <row r="646" spans="2:7" hidden="1">
      <c r="B646" s="43">
        <v>44407</v>
      </c>
      <c r="C646" t="s">
        <v>123</v>
      </c>
      <c r="D646" s="48">
        <v>44434</v>
      </c>
      <c r="E646">
        <v>192.5</v>
      </c>
      <c r="F646" t="s">
        <v>514</v>
      </c>
      <c r="G646">
        <v>1.55</v>
      </c>
    </row>
    <row r="647" spans="2:7" hidden="1">
      <c r="B647" s="43">
        <v>44407</v>
      </c>
      <c r="C647" t="s">
        <v>123</v>
      </c>
      <c r="D647" s="48">
        <v>44434</v>
      </c>
      <c r="E647">
        <v>192.5</v>
      </c>
      <c r="F647" t="s">
        <v>515</v>
      </c>
      <c r="G647">
        <v>47.7</v>
      </c>
    </row>
    <row r="648" spans="2:7" hidden="1">
      <c r="B648" s="43">
        <v>44410</v>
      </c>
      <c r="C648" t="s">
        <v>123</v>
      </c>
      <c r="D648" s="48">
        <v>44434</v>
      </c>
      <c r="E648">
        <v>192.5</v>
      </c>
      <c r="F648" t="s">
        <v>514</v>
      </c>
      <c r="G648">
        <v>1.55</v>
      </c>
    </row>
    <row r="649" spans="2:7" hidden="1">
      <c r="B649" s="43">
        <v>44410</v>
      </c>
      <c r="C649" t="s">
        <v>123</v>
      </c>
      <c r="D649" s="48">
        <v>44434</v>
      </c>
      <c r="E649">
        <v>192.5</v>
      </c>
      <c r="F649" t="s">
        <v>515</v>
      </c>
      <c r="G649">
        <v>47.7</v>
      </c>
    </row>
    <row r="650" spans="2:7" hidden="1">
      <c r="B650" s="43">
        <v>44404</v>
      </c>
      <c r="C650" t="s">
        <v>123</v>
      </c>
      <c r="D650" s="48">
        <v>44469</v>
      </c>
      <c r="E650">
        <v>0</v>
      </c>
      <c r="F650" t="s">
        <v>516</v>
      </c>
      <c r="G650">
        <v>140.25</v>
      </c>
    </row>
    <row r="651" spans="2:7" hidden="1">
      <c r="B651" s="43">
        <v>44405</v>
      </c>
      <c r="C651" t="s">
        <v>123</v>
      </c>
      <c r="D651" s="48">
        <v>44469</v>
      </c>
      <c r="E651">
        <v>0</v>
      </c>
      <c r="F651" t="s">
        <v>516</v>
      </c>
      <c r="G651">
        <v>142.25</v>
      </c>
    </row>
    <row r="652" spans="2:7" hidden="1">
      <c r="B652" s="43">
        <v>44406</v>
      </c>
      <c r="C652" t="s">
        <v>123</v>
      </c>
      <c r="D652" s="48">
        <v>44469</v>
      </c>
      <c r="E652">
        <v>0</v>
      </c>
      <c r="F652" t="s">
        <v>516</v>
      </c>
      <c r="G652">
        <v>139.85</v>
      </c>
    </row>
    <row r="653" spans="2:7" hidden="1">
      <c r="B653" s="43">
        <v>44407</v>
      </c>
      <c r="C653" t="s">
        <v>123</v>
      </c>
      <c r="D653" s="48">
        <v>44469</v>
      </c>
      <c r="E653">
        <v>0</v>
      </c>
      <c r="F653" t="s">
        <v>516</v>
      </c>
      <c r="G653">
        <v>141.75</v>
      </c>
    </row>
    <row r="654" spans="2:7" hidden="1">
      <c r="B654" s="43">
        <v>44410</v>
      </c>
      <c r="C654" t="s">
        <v>123</v>
      </c>
      <c r="D654" s="48">
        <v>44469</v>
      </c>
      <c r="E654">
        <v>0</v>
      </c>
      <c r="F654" t="s">
        <v>516</v>
      </c>
      <c r="G654">
        <v>142.1</v>
      </c>
    </row>
    <row r="655" spans="2:7" hidden="1">
      <c r="B655" s="43">
        <v>44404</v>
      </c>
      <c r="C655" t="s">
        <v>123</v>
      </c>
      <c r="D655" s="48">
        <v>44469</v>
      </c>
      <c r="E655">
        <v>95</v>
      </c>
      <c r="F655" t="s">
        <v>514</v>
      </c>
      <c r="G655">
        <v>52.55</v>
      </c>
    </row>
    <row r="656" spans="2:7" hidden="1">
      <c r="B656" s="43">
        <v>44404</v>
      </c>
      <c r="C656" t="s">
        <v>123</v>
      </c>
      <c r="D656" s="48">
        <v>44469</v>
      </c>
      <c r="E656">
        <v>95</v>
      </c>
      <c r="F656" t="s">
        <v>515</v>
      </c>
      <c r="G656">
        <v>0.2</v>
      </c>
    </row>
    <row r="657" spans="2:7" hidden="1">
      <c r="B657" s="43">
        <v>44405</v>
      </c>
      <c r="C657" t="s">
        <v>123</v>
      </c>
      <c r="D657" s="48">
        <v>44469</v>
      </c>
      <c r="E657">
        <v>95</v>
      </c>
      <c r="F657" t="s">
        <v>514</v>
      </c>
      <c r="G657">
        <v>52.55</v>
      </c>
    </row>
    <row r="658" spans="2:7" hidden="1">
      <c r="B658" s="43">
        <v>44405</v>
      </c>
      <c r="C658" t="s">
        <v>123</v>
      </c>
      <c r="D658" s="48">
        <v>44469</v>
      </c>
      <c r="E658">
        <v>95</v>
      </c>
      <c r="F658" t="s">
        <v>515</v>
      </c>
      <c r="G658">
        <v>0.2</v>
      </c>
    </row>
    <row r="659" spans="2:7" hidden="1">
      <c r="B659" s="43">
        <v>44406</v>
      </c>
      <c r="C659" t="s">
        <v>123</v>
      </c>
      <c r="D659" s="48">
        <v>44469</v>
      </c>
      <c r="E659">
        <v>95</v>
      </c>
      <c r="F659" t="s">
        <v>514</v>
      </c>
      <c r="G659">
        <v>52.55</v>
      </c>
    </row>
    <row r="660" spans="2:7" hidden="1">
      <c r="B660" s="43">
        <v>44406</v>
      </c>
      <c r="C660" t="s">
        <v>123</v>
      </c>
      <c r="D660" s="48">
        <v>44469</v>
      </c>
      <c r="E660">
        <v>95</v>
      </c>
      <c r="F660" t="s">
        <v>515</v>
      </c>
      <c r="G660">
        <v>0.2</v>
      </c>
    </row>
    <row r="661" spans="2:7" hidden="1">
      <c r="B661" s="43">
        <v>44407</v>
      </c>
      <c r="C661" t="s">
        <v>123</v>
      </c>
      <c r="D661" s="48">
        <v>44469</v>
      </c>
      <c r="E661">
        <v>95</v>
      </c>
      <c r="F661" t="s">
        <v>514</v>
      </c>
      <c r="G661">
        <v>52.55</v>
      </c>
    </row>
    <row r="662" spans="2:7" hidden="1">
      <c r="B662" s="43">
        <v>44407</v>
      </c>
      <c r="C662" t="s">
        <v>123</v>
      </c>
      <c r="D662" s="48">
        <v>44469</v>
      </c>
      <c r="E662">
        <v>95</v>
      </c>
      <c r="F662" t="s">
        <v>515</v>
      </c>
      <c r="G662">
        <v>0.2</v>
      </c>
    </row>
    <row r="663" spans="2:7" hidden="1">
      <c r="B663" s="43">
        <v>44410</v>
      </c>
      <c r="C663" t="s">
        <v>123</v>
      </c>
      <c r="D663" s="48">
        <v>44469</v>
      </c>
      <c r="E663">
        <v>95</v>
      </c>
      <c r="F663" t="s">
        <v>514</v>
      </c>
      <c r="G663">
        <v>52.55</v>
      </c>
    </row>
    <row r="664" spans="2:7" hidden="1">
      <c r="B664" s="43">
        <v>44410</v>
      </c>
      <c r="C664" t="s">
        <v>123</v>
      </c>
      <c r="D664" s="48">
        <v>44469</v>
      </c>
      <c r="E664">
        <v>95</v>
      </c>
      <c r="F664" t="s">
        <v>515</v>
      </c>
      <c r="G664">
        <v>0.2</v>
      </c>
    </row>
    <row r="665" spans="2:7" hidden="1">
      <c r="B665" s="43">
        <v>44404</v>
      </c>
      <c r="C665" t="s">
        <v>123</v>
      </c>
      <c r="D665" s="48">
        <v>44469</v>
      </c>
      <c r="E665">
        <v>97.5</v>
      </c>
      <c r="F665" t="s">
        <v>514</v>
      </c>
      <c r="G665">
        <v>50.15</v>
      </c>
    </row>
    <row r="666" spans="2:7" hidden="1">
      <c r="B666" s="43">
        <v>44404</v>
      </c>
      <c r="C666" t="s">
        <v>123</v>
      </c>
      <c r="D666" s="48">
        <v>44469</v>
      </c>
      <c r="E666">
        <v>97.5</v>
      </c>
      <c r="F666" t="s">
        <v>515</v>
      </c>
      <c r="G666">
        <v>0.25</v>
      </c>
    </row>
    <row r="667" spans="2:7" hidden="1">
      <c r="B667" s="43">
        <v>44405</v>
      </c>
      <c r="C667" t="s">
        <v>123</v>
      </c>
      <c r="D667" s="48">
        <v>44469</v>
      </c>
      <c r="E667">
        <v>97.5</v>
      </c>
      <c r="F667" t="s">
        <v>514</v>
      </c>
      <c r="G667">
        <v>50.15</v>
      </c>
    </row>
    <row r="668" spans="2:7" hidden="1">
      <c r="B668" s="43">
        <v>44405</v>
      </c>
      <c r="C668" t="s">
        <v>123</v>
      </c>
      <c r="D668" s="48">
        <v>44469</v>
      </c>
      <c r="E668">
        <v>97.5</v>
      </c>
      <c r="F668" t="s">
        <v>515</v>
      </c>
      <c r="G668">
        <v>0.25</v>
      </c>
    </row>
    <row r="669" spans="2:7" hidden="1">
      <c r="B669" s="43">
        <v>44406</v>
      </c>
      <c r="C669" t="s">
        <v>123</v>
      </c>
      <c r="D669" s="48">
        <v>44469</v>
      </c>
      <c r="E669">
        <v>97.5</v>
      </c>
      <c r="F669" t="s">
        <v>514</v>
      </c>
      <c r="G669">
        <v>50.15</v>
      </c>
    </row>
    <row r="670" spans="2:7" hidden="1">
      <c r="B670" s="43">
        <v>44406</v>
      </c>
      <c r="C670" t="s">
        <v>123</v>
      </c>
      <c r="D670" s="48">
        <v>44469</v>
      </c>
      <c r="E670">
        <v>97.5</v>
      </c>
      <c r="F670" t="s">
        <v>515</v>
      </c>
      <c r="G670">
        <v>0.25</v>
      </c>
    </row>
    <row r="671" spans="2:7" hidden="1">
      <c r="B671" s="43">
        <v>44407</v>
      </c>
      <c r="C671" t="s">
        <v>123</v>
      </c>
      <c r="D671" s="48">
        <v>44469</v>
      </c>
      <c r="E671">
        <v>97.5</v>
      </c>
      <c r="F671" t="s">
        <v>514</v>
      </c>
      <c r="G671">
        <v>50.15</v>
      </c>
    </row>
    <row r="672" spans="2:7" hidden="1">
      <c r="B672" s="43">
        <v>44407</v>
      </c>
      <c r="C672" t="s">
        <v>123</v>
      </c>
      <c r="D672" s="48">
        <v>44469</v>
      </c>
      <c r="E672">
        <v>97.5</v>
      </c>
      <c r="F672" t="s">
        <v>515</v>
      </c>
      <c r="G672">
        <v>0.25</v>
      </c>
    </row>
    <row r="673" spans="2:7" hidden="1">
      <c r="B673" s="43">
        <v>44410</v>
      </c>
      <c r="C673" t="s">
        <v>123</v>
      </c>
      <c r="D673" s="48">
        <v>44469</v>
      </c>
      <c r="E673">
        <v>97.5</v>
      </c>
      <c r="F673" t="s">
        <v>514</v>
      </c>
      <c r="G673">
        <v>50.15</v>
      </c>
    </row>
    <row r="674" spans="2:7" hidden="1">
      <c r="B674" s="43">
        <v>44410</v>
      </c>
      <c r="C674" t="s">
        <v>123</v>
      </c>
      <c r="D674" s="48">
        <v>44469</v>
      </c>
      <c r="E674">
        <v>97.5</v>
      </c>
      <c r="F674" t="s">
        <v>515</v>
      </c>
      <c r="G674">
        <v>0.25</v>
      </c>
    </row>
    <row r="675" spans="2:7" hidden="1">
      <c r="B675" s="43">
        <v>44404</v>
      </c>
      <c r="C675" t="s">
        <v>123</v>
      </c>
      <c r="D675" s="48">
        <v>44469</v>
      </c>
      <c r="E675">
        <v>100</v>
      </c>
      <c r="F675" t="s">
        <v>514</v>
      </c>
      <c r="G675">
        <v>47.75</v>
      </c>
    </row>
    <row r="676" spans="2:7" hidden="1">
      <c r="B676" s="43">
        <v>44404</v>
      </c>
      <c r="C676" t="s">
        <v>123</v>
      </c>
      <c r="D676" s="48">
        <v>44469</v>
      </c>
      <c r="E676">
        <v>100</v>
      </c>
      <c r="F676" t="s">
        <v>515</v>
      </c>
      <c r="G676">
        <v>0.35</v>
      </c>
    </row>
    <row r="677" spans="2:7" hidden="1">
      <c r="B677" s="43">
        <v>44405</v>
      </c>
      <c r="C677" t="s">
        <v>123</v>
      </c>
      <c r="D677" s="48">
        <v>44469</v>
      </c>
      <c r="E677">
        <v>100</v>
      </c>
      <c r="F677" t="s">
        <v>514</v>
      </c>
      <c r="G677">
        <v>47.75</v>
      </c>
    </row>
    <row r="678" spans="2:7" hidden="1">
      <c r="B678" s="43">
        <v>44405</v>
      </c>
      <c r="C678" t="s">
        <v>123</v>
      </c>
      <c r="D678" s="48">
        <v>44469</v>
      </c>
      <c r="E678">
        <v>100</v>
      </c>
      <c r="F678" t="s">
        <v>515</v>
      </c>
      <c r="G678">
        <v>0.35</v>
      </c>
    </row>
    <row r="679" spans="2:7" hidden="1">
      <c r="B679" s="43">
        <v>44406</v>
      </c>
      <c r="C679" t="s">
        <v>123</v>
      </c>
      <c r="D679" s="48">
        <v>44469</v>
      </c>
      <c r="E679">
        <v>100</v>
      </c>
      <c r="F679" t="s">
        <v>514</v>
      </c>
      <c r="G679">
        <v>47.75</v>
      </c>
    </row>
    <row r="680" spans="2:7" hidden="1">
      <c r="B680" s="43">
        <v>44406</v>
      </c>
      <c r="C680" t="s">
        <v>123</v>
      </c>
      <c r="D680" s="48">
        <v>44469</v>
      </c>
      <c r="E680">
        <v>100</v>
      </c>
      <c r="F680" t="s">
        <v>515</v>
      </c>
      <c r="G680">
        <v>0.35</v>
      </c>
    </row>
    <row r="681" spans="2:7" hidden="1">
      <c r="B681" s="43">
        <v>44407</v>
      </c>
      <c r="C681" t="s">
        <v>123</v>
      </c>
      <c r="D681" s="48">
        <v>44469</v>
      </c>
      <c r="E681">
        <v>100</v>
      </c>
      <c r="F681" t="s">
        <v>514</v>
      </c>
      <c r="G681">
        <v>47.75</v>
      </c>
    </row>
    <row r="682" spans="2:7" hidden="1">
      <c r="B682" s="43">
        <v>44407</v>
      </c>
      <c r="C682" t="s">
        <v>123</v>
      </c>
      <c r="D682" s="48">
        <v>44469</v>
      </c>
      <c r="E682">
        <v>100</v>
      </c>
      <c r="F682" t="s">
        <v>515</v>
      </c>
      <c r="G682">
        <v>0.35</v>
      </c>
    </row>
    <row r="683" spans="2:7" hidden="1">
      <c r="B683" s="43">
        <v>44410</v>
      </c>
      <c r="C683" t="s">
        <v>123</v>
      </c>
      <c r="D683" s="48">
        <v>44469</v>
      </c>
      <c r="E683">
        <v>100</v>
      </c>
      <c r="F683" t="s">
        <v>514</v>
      </c>
      <c r="G683">
        <v>47.75</v>
      </c>
    </row>
    <row r="684" spans="2:7" hidden="1">
      <c r="B684" s="43">
        <v>44410</v>
      </c>
      <c r="C684" t="s">
        <v>123</v>
      </c>
      <c r="D684" s="48">
        <v>44469</v>
      </c>
      <c r="E684">
        <v>100</v>
      </c>
      <c r="F684" t="s">
        <v>515</v>
      </c>
      <c r="G684">
        <v>0.35</v>
      </c>
    </row>
    <row r="685" spans="2:7" hidden="1">
      <c r="B685" s="43">
        <v>44404</v>
      </c>
      <c r="C685" t="s">
        <v>123</v>
      </c>
      <c r="D685" s="48">
        <v>44469</v>
      </c>
      <c r="E685">
        <v>102.5</v>
      </c>
      <c r="F685" t="s">
        <v>514</v>
      </c>
      <c r="G685">
        <v>45.4</v>
      </c>
    </row>
    <row r="686" spans="2:7" hidden="1">
      <c r="B686" s="43">
        <v>44404</v>
      </c>
      <c r="C686" t="s">
        <v>123</v>
      </c>
      <c r="D686" s="48">
        <v>44469</v>
      </c>
      <c r="E686">
        <v>102.5</v>
      </c>
      <c r="F686" t="s">
        <v>515</v>
      </c>
      <c r="G686">
        <v>0.5</v>
      </c>
    </row>
    <row r="687" spans="2:7" hidden="1">
      <c r="B687" s="43">
        <v>44405</v>
      </c>
      <c r="C687" t="s">
        <v>123</v>
      </c>
      <c r="D687" s="48">
        <v>44469</v>
      </c>
      <c r="E687">
        <v>102.5</v>
      </c>
      <c r="F687" t="s">
        <v>514</v>
      </c>
      <c r="G687">
        <v>45.4</v>
      </c>
    </row>
    <row r="688" spans="2:7" hidden="1">
      <c r="B688" s="43">
        <v>44405</v>
      </c>
      <c r="C688" t="s">
        <v>123</v>
      </c>
      <c r="D688" s="48">
        <v>44469</v>
      </c>
      <c r="E688">
        <v>102.5</v>
      </c>
      <c r="F688" t="s">
        <v>515</v>
      </c>
      <c r="G688">
        <v>0.5</v>
      </c>
    </row>
    <row r="689" spans="2:7" hidden="1">
      <c r="B689" s="43">
        <v>44406</v>
      </c>
      <c r="C689" t="s">
        <v>123</v>
      </c>
      <c r="D689" s="48">
        <v>44469</v>
      </c>
      <c r="E689">
        <v>102.5</v>
      </c>
      <c r="F689" t="s">
        <v>514</v>
      </c>
      <c r="G689">
        <v>45.4</v>
      </c>
    </row>
    <row r="690" spans="2:7" hidden="1">
      <c r="B690" s="43">
        <v>44406</v>
      </c>
      <c r="C690" t="s">
        <v>123</v>
      </c>
      <c r="D690" s="48">
        <v>44469</v>
      </c>
      <c r="E690">
        <v>102.5</v>
      </c>
      <c r="F690" t="s">
        <v>515</v>
      </c>
      <c r="G690">
        <v>0.5</v>
      </c>
    </row>
    <row r="691" spans="2:7" hidden="1">
      <c r="B691" s="43">
        <v>44407</v>
      </c>
      <c r="C691" t="s">
        <v>123</v>
      </c>
      <c r="D691" s="48">
        <v>44469</v>
      </c>
      <c r="E691">
        <v>102.5</v>
      </c>
      <c r="F691" t="s">
        <v>514</v>
      </c>
      <c r="G691">
        <v>45.4</v>
      </c>
    </row>
    <row r="692" spans="2:7" hidden="1">
      <c r="B692" s="43">
        <v>44407</v>
      </c>
      <c r="C692" t="s">
        <v>123</v>
      </c>
      <c r="D692" s="48">
        <v>44469</v>
      </c>
      <c r="E692">
        <v>102.5</v>
      </c>
      <c r="F692" t="s">
        <v>515</v>
      </c>
      <c r="G692">
        <v>0.5</v>
      </c>
    </row>
    <row r="693" spans="2:7" hidden="1">
      <c r="B693" s="43">
        <v>44410</v>
      </c>
      <c r="C693" t="s">
        <v>123</v>
      </c>
      <c r="D693" s="48">
        <v>44469</v>
      </c>
      <c r="E693">
        <v>102.5</v>
      </c>
      <c r="F693" t="s">
        <v>514</v>
      </c>
      <c r="G693">
        <v>45.4</v>
      </c>
    </row>
    <row r="694" spans="2:7" hidden="1">
      <c r="B694" s="43">
        <v>44410</v>
      </c>
      <c r="C694" t="s">
        <v>123</v>
      </c>
      <c r="D694" s="48">
        <v>44469</v>
      </c>
      <c r="E694">
        <v>102.5</v>
      </c>
      <c r="F694" t="s">
        <v>515</v>
      </c>
      <c r="G694">
        <v>0.5</v>
      </c>
    </row>
    <row r="695" spans="2:7" hidden="1">
      <c r="B695" s="43">
        <v>44404</v>
      </c>
      <c r="C695" t="s">
        <v>123</v>
      </c>
      <c r="D695" s="48">
        <v>44469</v>
      </c>
      <c r="E695">
        <v>105</v>
      </c>
      <c r="F695" t="s">
        <v>514</v>
      </c>
      <c r="G695">
        <v>43.1</v>
      </c>
    </row>
    <row r="696" spans="2:7" hidden="1">
      <c r="B696" s="43">
        <v>44404</v>
      </c>
      <c r="C696" t="s">
        <v>123</v>
      </c>
      <c r="D696" s="48">
        <v>44469</v>
      </c>
      <c r="E696">
        <v>105</v>
      </c>
      <c r="F696" t="s">
        <v>515</v>
      </c>
      <c r="G696">
        <v>0.65</v>
      </c>
    </row>
    <row r="697" spans="2:7" hidden="1">
      <c r="B697" s="43">
        <v>44405</v>
      </c>
      <c r="C697" t="s">
        <v>123</v>
      </c>
      <c r="D697" s="48">
        <v>44469</v>
      </c>
      <c r="E697">
        <v>105</v>
      </c>
      <c r="F697" t="s">
        <v>514</v>
      </c>
      <c r="G697">
        <v>43.1</v>
      </c>
    </row>
    <row r="698" spans="2:7" hidden="1">
      <c r="B698" s="43">
        <v>44405</v>
      </c>
      <c r="C698" t="s">
        <v>123</v>
      </c>
      <c r="D698" s="48">
        <v>44469</v>
      </c>
      <c r="E698">
        <v>105</v>
      </c>
      <c r="F698" t="s">
        <v>515</v>
      </c>
      <c r="G698">
        <v>0.65</v>
      </c>
    </row>
    <row r="699" spans="2:7" hidden="1">
      <c r="B699" s="43">
        <v>44406</v>
      </c>
      <c r="C699" t="s">
        <v>123</v>
      </c>
      <c r="D699" s="48">
        <v>44469</v>
      </c>
      <c r="E699">
        <v>105</v>
      </c>
      <c r="F699" t="s">
        <v>514</v>
      </c>
      <c r="G699">
        <v>43.1</v>
      </c>
    </row>
    <row r="700" spans="2:7" hidden="1">
      <c r="B700" s="43">
        <v>44406</v>
      </c>
      <c r="C700" t="s">
        <v>123</v>
      </c>
      <c r="D700" s="48">
        <v>44469</v>
      </c>
      <c r="E700">
        <v>105</v>
      </c>
      <c r="F700" t="s">
        <v>515</v>
      </c>
      <c r="G700">
        <v>0.65</v>
      </c>
    </row>
    <row r="701" spans="2:7" hidden="1">
      <c r="B701" s="43">
        <v>44407</v>
      </c>
      <c r="C701" t="s">
        <v>123</v>
      </c>
      <c r="D701" s="48">
        <v>44469</v>
      </c>
      <c r="E701">
        <v>105</v>
      </c>
      <c r="F701" t="s">
        <v>514</v>
      </c>
      <c r="G701">
        <v>43.1</v>
      </c>
    </row>
    <row r="702" spans="2:7" hidden="1">
      <c r="B702" s="43">
        <v>44407</v>
      </c>
      <c r="C702" t="s">
        <v>123</v>
      </c>
      <c r="D702" s="48">
        <v>44469</v>
      </c>
      <c r="E702">
        <v>105</v>
      </c>
      <c r="F702" t="s">
        <v>515</v>
      </c>
      <c r="G702">
        <v>0.65</v>
      </c>
    </row>
    <row r="703" spans="2:7" hidden="1">
      <c r="B703" s="43">
        <v>44410</v>
      </c>
      <c r="C703" t="s">
        <v>123</v>
      </c>
      <c r="D703" s="48">
        <v>44469</v>
      </c>
      <c r="E703">
        <v>105</v>
      </c>
      <c r="F703" t="s">
        <v>514</v>
      </c>
      <c r="G703">
        <v>43.1</v>
      </c>
    </row>
    <row r="704" spans="2:7" hidden="1">
      <c r="B704" s="43">
        <v>44410</v>
      </c>
      <c r="C704" t="s">
        <v>123</v>
      </c>
      <c r="D704" s="48">
        <v>44469</v>
      </c>
      <c r="E704">
        <v>105</v>
      </c>
      <c r="F704" t="s">
        <v>515</v>
      </c>
      <c r="G704">
        <v>0.65</v>
      </c>
    </row>
    <row r="705" spans="2:7" hidden="1">
      <c r="B705" s="43">
        <v>44404</v>
      </c>
      <c r="C705" t="s">
        <v>123</v>
      </c>
      <c r="D705" s="48">
        <v>44469</v>
      </c>
      <c r="E705">
        <v>107.5</v>
      </c>
      <c r="F705" t="s">
        <v>514</v>
      </c>
      <c r="G705">
        <v>40.799999999999997</v>
      </c>
    </row>
    <row r="706" spans="2:7" hidden="1">
      <c r="B706" s="43">
        <v>44404</v>
      </c>
      <c r="C706" t="s">
        <v>123</v>
      </c>
      <c r="D706" s="48">
        <v>44469</v>
      </c>
      <c r="E706">
        <v>107.5</v>
      </c>
      <c r="F706" t="s">
        <v>515</v>
      </c>
      <c r="G706">
        <v>0.8</v>
      </c>
    </row>
    <row r="707" spans="2:7" hidden="1">
      <c r="B707" s="43">
        <v>44405</v>
      </c>
      <c r="C707" t="s">
        <v>123</v>
      </c>
      <c r="D707" s="48">
        <v>44469</v>
      </c>
      <c r="E707">
        <v>107.5</v>
      </c>
      <c r="F707" t="s">
        <v>514</v>
      </c>
      <c r="G707">
        <v>40.799999999999997</v>
      </c>
    </row>
    <row r="708" spans="2:7" hidden="1">
      <c r="B708" s="43">
        <v>44405</v>
      </c>
      <c r="C708" t="s">
        <v>123</v>
      </c>
      <c r="D708" s="48">
        <v>44469</v>
      </c>
      <c r="E708">
        <v>107.5</v>
      </c>
      <c r="F708" t="s">
        <v>515</v>
      </c>
      <c r="G708">
        <v>0.8</v>
      </c>
    </row>
    <row r="709" spans="2:7" hidden="1">
      <c r="B709" s="43">
        <v>44406</v>
      </c>
      <c r="C709" t="s">
        <v>123</v>
      </c>
      <c r="D709" s="48">
        <v>44469</v>
      </c>
      <c r="E709">
        <v>107.5</v>
      </c>
      <c r="F709" t="s">
        <v>514</v>
      </c>
      <c r="G709">
        <v>40.799999999999997</v>
      </c>
    </row>
    <row r="710" spans="2:7" hidden="1">
      <c r="B710" s="43">
        <v>44406</v>
      </c>
      <c r="C710" t="s">
        <v>123</v>
      </c>
      <c r="D710" s="48">
        <v>44469</v>
      </c>
      <c r="E710">
        <v>107.5</v>
      </c>
      <c r="F710" t="s">
        <v>515</v>
      </c>
      <c r="G710">
        <v>0.8</v>
      </c>
    </row>
    <row r="711" spans="2:7" hidden="1">
      <c r="B711" s="43">
        <v>44407</v>
      </c>
      <c r="C711" t="s">
        <v>123</v>
      </c>
      <c r="D711" s="48">
        <v>44469</v>
      </c>
      <c r="E711">
        <v>107.5</v>
      </c>
      <c r="F711" t="s">
        <v>514</v>
      </c>
      <c r="G711">
        <v>40.799999999999997</v>
      </c>
    </row>
    <row r="712" spans="2:7" hidden="1">
      <c r="B712" s="43">
        <v>44407</v>
      </c>
      <c r="C712" t="s">
        <v>123</v>
      </c>
      <c r="D712" s="48">
        <v>44469</v>
      </c>
      <c r="E712">
        <v>107.5</v>
      </c>
      <c r="F712" t="s">
        <v>515</v>
      </c>
      <c r="G712">
        <v>0.8</v>
      </c>
    </row>
    <row r="713" spans="2:7" hidden="1">
      <c r="B713" s="43">
        <v>44410</v>
      </c>
      <c r="C713" t="s">
        <v>123</v>
      </c>
      <c r="D713" s="48">
        <v>44469</v>
      </c>
      <c r="E713">
        <v>107.5</v>
      </c>
      <c r="F713" t="s">
        <v>514</v>
      </c>
      <c r="G713">
        <v>40.799999999999997</v>
      </c>
    </row>
    <row r="714" spans="2:7" hidden="1">
      <c r="B714" s="43">
        <v>44410</v>
      </c>
      <c r="C714" t="s">
        <v>123</v>
      </c>
      <c r="D714" s="48">
        <v>44469</v>
      </c>
      <c r="E714">
        <v>107.5</v>
      </c>
      <c r="F714" t="s">
        <v>515</v>
      </c>
      <c r="G714">
        <v>0.8</v>
      </c>
    </row>
    <row r="715" spans="2:7" hidden="1">
      <c r="B715" s="43">
        <v>44404</v>
      </c>
      <c r="C715" t="s">
        <v>123</v>
      </c>
      <c r="D715" s="48">
        <v>44469</v>
      </c>
      <c r="E715">
        <v>110</v>
      </c>
      <c r="F715" t="s">
        <v>514</v>
      </c>
      <c r="G715">
        <v>38.549999999999997</v>
      </c>
    </row>
    <row r="716" spans="2:7" hidden="1">
      <c r="B716" s="43">
        <v>44404</v>
      </c>
      <c r="C716" t="s">
        <v>123</v>
      </c>
      <c r="D716" s="48">
        <v>44469</v>
      </c>
      <c r="E716">
        <v>110</v>
      </c>
      <c r="F716" t="s">
        <v>515</v>
      </c>
      <c r="G716">
        <v>1.05</v>
      </c>
    </row>
    <row r="717" spans="2:7" hidden="1">
      <c r="B717" s="43">
        <v>44405</v>
      </c>
      <c r="C717" t="s">
        <v>123</v>
      </c>
      <c r="D717" s="48">
        <v>44469</v>
      </c>
      <c r="E717">
        <v>110</v>
      </c>
      <c r="F717" t="s">
        <v>514</v>
      </c>
      <c r="G717">
        <v>38.549999999999997</v>
      </c>
    </row>
    <row r="718" spans="2:7" hidden="1">
      <c r="B718" s="43">
        <v>44405</v>
      </c>
      <c r="C718" t="s">
        <v>123</v>
      </c>
      <c r="D718" s="48">
        <v>44469</v>
      </c>
      <c r="E718">
        <v>110</v>
      </c>
      <c r="F718" t="s">
        <v>515</v>
      </c>
      <c r="G718">
        <v>1.05</v>
      </c>
    </row>
    <row r="719" spans="2:7" hidden="1">
      <c r="B719" s="43">
        <v>44406</v>
      </c>
      <c r="C719" t="s">
        <v>123</v>
      </c>
      <c r="D719" s="48">
        <v>44469</v>
      </c>
      <c r="E719">
        <v>110</v>
      </c>
      <c r="F719" t="s">
        <v>514</v>
      </c>
      <c r="G719">
        <v>38.549999999999997</v>
      </c>
    </row>
    <row r="720" spans="2:7" hidden="1">
      <c r="B720" s="43">
        <v>44406</v>
      </c>
      <c r="C720" t="s">
        <v>123</v>
      </c>
      <c r="D720" s="48">
        <v>44469</v>
      </c>
      <c r="E720">
        <v>110</v>
      </c>
      <c r="F720" t="s">
        <v>515</v>
      </c>
      <c r="G720">
        <v>1.05</v>
      </c>
    </row>
    <row r="721" spans="2:7" hidden="1">
      <c r="B721" s="43">
        <v>44407</v>
      </c>
      <c r="C721" t="s">
        <v>123</v>
      </c>
      <c r="D721" s="48">
        <v>44469</v>
      </c>
      <c r="E721">
        <v>110</v>
      </c>
      <c r="F721" t="s">
        <v>514</v>
      </c>
      <c r="G721">
        <v>38.549999999999997</v>
      </c>
    </row>
    <row r="722" spans="2:7" hidden="1">
      <c r="B722" s="43">
        <v>44407</v>
      </c>
      <c r="C722" t="s">
        <v>123</v>
      </c>
      <c r="D722" s="48">
        <v>44469</v>
      </c>
      <c r="E722">
        <v>110</v>
      </c>
      <c r="F722" t="s">
        <v>515</v>
      </c>
      <c r="G722">
        <v>1.05</v>
      </c>
    </row>
    <row r="723" spans="2:7" hidden="1">
      <c r="B723" s="43">
        <v>44410</v>
      </c>
      <c r="C723" t="s">
        <v>123</v>
      </c>
      <c r="D723" s="48">
        <v>44469</v>
      </c>
      <c r="E723">
        <v>110</v>
      </c>
      <c r="F723" t="s">
        <v>514</v>
      </c>
      <c r="G723">
        <v>38.549999999999997</v>
      </c>
    </row>
    <row r="724" spans="2:7" hidden="1">
      <c r="B724" s="43">
        <v>44410</v>
      </c>
      <c r="C724" t="s">
        <v>123</v>
      </c>
      <c r="D724" s="48">
        <v>44469</v>
      </c>
      <c r="E724">
        <v>110</v>
      </c>
      <c r="F724" t="s">
        <v>515</v>
      </c>
      <c r="G724">
        <v>1.05</v>
      </c>
    </row>
    <row r="725" spans="2:7" hidden="1">
      <c r="B725" s="43">
        <v>44404</v>
      </c>
      <c r="C725" t="s">
        <v>123</v>
      </c>
      <c r="D725" s="48">
        <v>44469</v>
      </c>
      <c r="E725">
        <v>112.5</v>
      </c>
      <c r="F725" t="s">
        <v>514</v>
      </c>
      <c r="G725">
        <v>36.35</v>
      </c>
    </row>
    <row r="726" spans="2:7" hidden="1">
      <c r="B726" s="43">
        <v>44404</v>
      </c>
      <c r="C726" t="s">
        <v>123</v>
      </c>
      <c r="D726" s="48">
        <v>44469</v>
      </c>
      <c r="E726">
        <v>112.5</v>
      </c>
      <c r="F726" t="s">
        <v>515</v>
      </c>
      <c r="G726">
        <v>1.3</v>
      </c>
    </row>
    <row r="727" spans="2:7" hidden="1">
      <c r="B727" s="43">
        <v>44405</v>
      </c>
      <c r="C727" t="s">
        <v>123</v>
      </c>
      <c r="D727" s="48">
        <v>44469</v>
      </c>
      <c r="E727">
        <v>112.5</v>
      </c>
      <c r="F727" t="s">
        <v>514</v>
      </c>
      <c r="G727">
        <v>36.35</v>
      </c>
    </row>
    <row r="728" spans="2:7" hidden="1">
      <c r="B728" s="43">
        <v>44405</v>
      </c>
      <c r="C728" t="s">
        <v>123</v>
      </c>
      <c r="D728" s="48">
        <v>44469</v>
      </c>
      <c r="E728">
        <v>112.5</v>
      </c>
      <c r="F728" t="s">
        <v>515</v>
      </c>
      <c r="G728">
        <v>1.3</v>
      </c>
    </row>
    <row r="729" spans="2:7" hidden="1">
      <c r="B729" s="43">
        <v>44406</v>
      </c>
      <c r="C729" t="s">
        <v>123</v>
      </c>
      <c r="D729" s="48">
        <v>44469</v>
      </c>
      <c r="E729">
        <v>112.5</v>
      </c>
      <c r="F729" t="s">
        <v>514</v>
      </c>
      <c r="G729">
        <v>36.35</v>
      </c>
    </row>
    <row r="730" spans="2:7" hidden="1">
      <c r="B730" s="43">
        <v>44406</v>
      </c>
      <c r="C730" t="s">
        <v>123</v>
      </c>
      <c r="D730" s="48">
        <v>44469</v>
      </c>
      <c r="E730">
        <v>112.5</v>
      </c>
      <c r="F730" t="s">
        <v>515</v>
      </c>
      <c r="G730">
        <v>1.3</v>
      </c>
    </row>
    <row r="731" spans="2:7" hidden="1">
      <c r="B731" s="43">
        <v>44407</v>
      </c>
      <c r="C731" t="s">
        <v>123</v>
      </c>
      <c r="D731" s="48">
        <v>44469</v>
      </c>
      <c r="E731">
        <v>112.5</v>
      </c>
      <c r="F731" t="s">
        <v>514</v>
      </c>
      <c r="G731">
        <v>36.35</v>
      </c>
    </row>
    <row r="732" spans="2:7" hidden="1">
      <c r="B732" s="43">
        <v>44407</v>
      </c>
      <c r="C732" t="s">
        <v>123</v>
      </c>
      <c r="D732" s="48">
        <v>44469</v>
      </c>
      <c r="E732">
        <v>112.5</v>
      </c>
      <c r="F732" t="s">
        <v>515</v>
      </c>
      <c r="G732">
        <v>1.3</v>
      </c>
    </row>
    <row r="733" spans="2:7" hidden="1">
      <c r="B733" s="43">
        <v>44410</v>
      </c>
      <c r="C733" t="s">
        <v>123</v>
      </c>
      <c r="D733" s="48">
        <v>44469</v>
      </c>
      <c r="E733">
        <v>112.5</v>
      </c>
      <c r="F733" t="s">
        <v>514</v>
      </c>
      <c r="G733">
        <v>36.35</v>
      </c>
    </row>
    <row r="734" spans="2:7" hidden="1">
      <c r="B734" s="43">
        <v>44410</v>
      </c>
      <c r="C734" t="s">
        <v>123</v>
      </c>
      <c r="D734" s="48">
        <v>44469</v>
      </c>
      <c r="E734">
        <v>112.5</v>
      </c>
      <c r="F734" t="s">
        <v>515</v>
      </c>
      <c r="G734">
        <v>1.3</v>
      </c>
    </row>
    <row r="735" spans="2:7" hidden="1">
      <c r="B735" s="43">
        <v>44404</v>
      </c>
      <c r="C735" t="s">
        <v>123</v>
      </c>
      <c r="D735" s="48">
        <v>44469</v>
      </c>
      <c r="E735">
        <v>115</v>
      </c>
      <c r="F735" t="s">
        <v>514</v>
      </c>
      <c r="G735">
        <v>34.200000000000003</v>
      </c>
    </row>
    <row r="736" spans="2:7" hidden="1">
      <c r="B736" s="43">
        <v>44404</v>
      </c>
      <c r="C736" t="s">
        <v>123</v>
      </c>
      <c r="D736" s="48">
        <v>44469</v>
      </c>
      <c r="E736">
        <v>115</v>
      </c>
      <c r="F736" t="s">
        <v>515</v>
      </c>
      <c r="G736">
        <v>1.65</v>
      </c>
    </row>
    <row r="737" spans="2:7" hidden="1">
      <c r="B737" s="43">
        <v>44405</v>
      </c>
      <c r="C737" t="s">
        <v>123</v>
      </c>
      <c r="D737" s="48">
        <v>44469</v>
      </c>
      <c r="E737">
        <v>115</v>
      </c>
      <c r="F737" t="s">
        <v>514</v>
      </c>
      <c r="G737">
        <v>34.200000000000003</v>
      </c>
    </row>
    <row r="738" spans="2:7" hidden="1">
      <c r="B738" s="43">
        <v>44405</v>
      </c>
      <c r="C738" t="s">
        <v>123</v>
      </c>
      <c r="D738" s="48">
        <v>44469</v>
      </c>
      <c r="E738">
        <v>115</v>
      </c>
      <c r="F738" t="s">
        <v>515</v>
      </c>
      <c r="G738">
        <v>1.65</v>
      </c>
    </row>
    <row r="739" spans="2:7" hidden="1">
      <c r="B739" s="43">
        <v>44406</v>
      </c>
      <c r="C739" t="s">
        <v>123</v>
      </c>
      <c r="D739" s="48">
        <v>44469</v>
      </c>
      <c r="E739">
        <v>115</v>
      </c>
      <c r="F739" t="s">
        <v>514</v>
      </c>
      <c r="G739">
        <v>34.200000000000003</v>
      </c>
    </row>
    <row r="740" spans="2:7" hidden="1">
      <c r="B740" s="43">
        <v>44406</v>
      </c>
      <c r="C740" t="s">
        <v>123</v>
      </c>
      <c r="D740" s="48">
        <v>44469</v>
      </c>
      <c r="E740">
        <v>115</v>
      </c>
      <c r="F740" t="s">
        <v>515</v>
      </c>
      <c r="G740">
        <v>1.65</v>
      </c>
    </row>
    <row r="741" spans="2:7" hidden="1">
      <c r="B741" s="43">
        <v>44407</v>
      </c>
      <c r="C741" t="s">
        <v>123</v>
      </c>
      <c r="D741" s="48">
        <v>44469</v>
      </c>
      <c r="E741">
        <v>115</v>
      </c>
      <c r="F741" t="s">
        <v>514</v>
      </c>
      <c r="G741">
        <v>34.200000000000003</v>
      </c>
    </row>
    <row r="742" spans="2:7" hidden="1">
      <c r="B742" s="43">
        <v>44407</v>
      </c>
      <c r="C742" t="s">
        <v>123</v>
      </c>
      <c r="D742" s="48">
        <v>44469</v>
      </c>
      <c r="E742">
        <v>115</v>
      </c>
      <c r="F742" t="s">
        <v>515</v>
      </c>
      <c r="G742">
        <v>1.65</v>
      </c>
    </row>
    <row r="743" spans="2:7" hidden="1">
      <c r="B743" s="43">
        <v>44410</v>
      </c>
      <c r="C743" t="s">
        <v>123</v>
      </c>
      <c r="D743" s="48">
        <v>44469</v>
      </c>
      <c r="E743">
        <v>115</v>
      </c>
      <c r="F743" t="s">
        <v>514</v>
      </c>
      <c r="G743">
        <v>34.200000000000003</v>
      </c>
    </row>
    <row r="744" spans="2:7" hidden="1">
      <c r="B744" s="43">
        <v>44410</v>
      </c>
      <c r="C744" t="s">
        <v>123</v>
      </c>
      <c r="D744" s="48">
        <v>44469</v>
      </c>
      <c r="E744">
        <v>115</v>
      </c>
      <c r="F744" t="s">
        <v>515</v>
      </c>
      <c r="G744">
        <v>1.65</v>
      </c>
    </row>
    <row r="745" spans="2:7" hidden="1">
      <c r="B745" s="43">
        <v>44404</v>
      </c>
      <c r="C745" t="s">
        <v>123</v>
      </c>
      <c r="D745" s="48">
        <v>44469</v>
      </c>
      <c r="E745">
        <v>117.5</v>
      </c>
      <c r="F745" t="s">
        <v>514</v>
      </c>
      <c r="G745">
        <v>32.1</v>
      </c>
    </row>
    <row r="746" spans="2:7" hidden="1">
      <c r="B746" s="43">
        <v>44404</v>
      </c>
      <c r="C746" t="s">
        <v>123</v>
      </c>
      <c r="D746" s="48">
        <v>44469</v>
      </c>
      <c r="E746">
        <v>117.5</v>
      </c>
      <c r="F746" t="s">
        <v>515</v>
      </c>
      <c r="G746">
        <v>2.0499999999999998</v>
      </c>
    </row>
    <row r="747" spans="2:7" hidden="1">
      <c r="B747" s="43">
        <v>44405</v>
      </c>
      <c r="C747" t="s">
        <v>123</v>
      </c>
      <c r="D747" s="48">
        <v>44469</v>
      </c>
      <c r="E747">
        <v>117.5</v>
      </c>
      <c r="F747" t="s">
        <v>514</v>
      </c>
      <c r="G747">
        <v>32.1</v>
      </c>
    </row>
    <row r="748" spans="2:7" hidden="1">
      <c r="B748" s="43">
        <v>44405</v>
      </c>
      <c r="C748" t="s">
        <v>123</v>
      </c>
      <c r="D748" s="48">
        <v>44469</v>
      </c>
      <c r="E748">
        <v>117.5</v>
      </c>
      <c r="F748" t="s">
        <v>515</v>
      </c>
      <c r="G748">
        <v>2.0499999999999998</v>
      </c>
    </row>
    <row r="749" spans="2:7" hidden="1">
      <c r="B749" s="43">
        <v>44406</v>
      </c>
      <c r="C749" t="s">
        <v>123</v>
      </c>
      <c r="D749" s="48">
        <v>44469</v>
      </c>
      <c r="E749">
        <v>117.5</v>
      </c>
      <c r="F749" t="s">
        <v>514</v>
      </c>
      <c r="G749">
        <v>32.1</v>
      </c>
    </row>
    <row r="750" spans="2:7" hidden="1">
      <c r="B750" s="43">
        <v>44406</v>
      </c>
      <c r="C750" t="s">
        <v>123</v>
      </c>
      <c r="D750" s="48">
        <v>44469</v>
      </c>
      <c r="E750">
        <v>117.5</v>
      </c>
      <c r="F750" t="s">
        <v>515</v>
      </c>
      <c r="G750">
        <v>2.0499999999999998</v>
      </c>
    </row>
    <row r="751" spans="2:7" hidden="1">
      <c r="B751" s="43">
        <v>44407</v>
      </c>
      <c r="C751" t="s">
        <v>123</v>
      </c>
      <c r="D751" s="48">
        <v>44469</v>
      </c>
      <c r="E751">
        <v>117.5</v>
      </c>
      <c r="F751" t="s">
        <v>514</v>
      </c>
      <c r="G751">
        <v>32.1</v>
      </c>
    </row>
    <row r="752" spans="2:7" hidden="1">
      <c r="B752" s="43">
        <v>44407</v>
      </c>
      <c r="C752" t="s">
        <v>123</v>
      </c>
      <c r="D752" s="48">
        <v>44469</v>
      </c>
      <c r="E752">
        <v>117.5</v>
      </c>
      <c r="F752" t="s">
        <v>515</v>
      </c>
      <c r="G752">
        <v>2.0499999999999998</v>
      </c>
    </row>
    <row r="753" spans="2:7" hidden="1">
      <c r="B753" s="43">
        <v>44410</v>
      </c>
      <c r="C753" t="s">
        <v>123</v>
      </c>
      <c r="D753" s="48">
        <v>44469</v>
      </c>
      <c r="E753">
        <v>117.5</v>
      </c>
      <c r="F753" t="s">
        <v>514</v>
      </c>
      <c r="G753">
        <v>32.1</v>
      </c>
    </row>
    <row r="754" spans="2:7" hidden="1">
      <c r="B754" s="43">
        <v>44410</v>
      </c>
      <c r="C754" t="s">
        <v>123</v>
      </c>
      <c r="D754" s="48">
        <v>44469</v>
      </c>
      <c r="E754">
        <v>117.5</v>
      </c>
      <c r="F754" t="s">
        <v>515</v>
      </c>
      <c r="G754">
        <v>2.0499999999999998</v>
      </c>
    </row>
    <row r="755" spans="2:7" hidden="1">
      <c r="B755" s="43">
        <v>44404</v>
      </c>
      <c r="C755" t="s">
        <v>123</v>
      </c>
      <c r="D755" s="48">
        <v>44469</v>
      </c>
      <c r="E755">
        <v>120</v>
      </c>
      <c r="F755" t="s">
        <v>514</v>
      </c>
      <c r="G755">
        <v>30.1</v>
      </c>
    </row>
    <row r="756" spans="2:7" hidden="1">
      <c r="B756" s="43">
        <v>44404</v>
      </c>
      <c r="C756" t="s">
        <v>123</v>
      </c>
      <c r="D756" s="48">
        <v>44469</v>
      </c>
      <c r="E756">
        <v>120</v>
      </c>
      <c r="F756" t="s">
        <v>515</v>
      </c>
      <c r="G756">
        <v>2.5</v>
      </c>
    </row>
    <row r="757" spans="2:7" hidden="1">
      <c r="B757" s="43">
        <v>44405</v>
      </c>
      <c r="C757" t="s">
        <v>123</v>
      </c>
      <c r="D757" s="48">
        <v>44469</v>
      </c>
      <c r="E757">
        <v>120</v>
      </c>
      <c r="F757" t="s">
        <v>514</v>
      </c>
      <c r="G757">
        <v>30.1</v>
      </c>
    </row>
    <row r="758" spans="2:7" hidden="1">
      <c r="B758" s="43">
        <v>44405</v>
      </c>
      <c r="C758" t="s">
        <v>123</v>
      </c>
      <c r="D758" s="48">
        <v>44469</v>
      </c>
      <c r="E758">
        <v>120</v>
      </c>
      <c r="F758" t="s">
        <v>515</v>
      </c>
      <c r="G758">
        <v>2.5</v>
      </c>
    </row>
    <row r="759" spans="2:7" hidden="1">
      <c r="B759" s="43">
        <v>44406</v>
      </c>
      <c r="C759" t="s">
        <v>123</v>
      </c>
      <c r="D759" s="48">
        <v>44469</v>
      </c>
      <c r="E759">
        <v>120</v>
      </c>
      <c r="F759" t="s">
        <v>514</v>
      </c>
      <c r="G759">
        <v>30.1</v>
      </c>
    </row>
    <row r="760" spans="2:7" hidden="1">
      <c r="B760" s="43">
        <v>44406</v>
      </c>
      <c r="C760" t="s">
        <v>123</v>
      </c>
      <c r="D760" s="48">
        <v>44469</v>
      </c>
      <c r="E760">
        <v>120</v>
      </c>
      <c r="F760" t="s">
        <v>515</v>
      </c>
      <c r="G760">
        <v>2.5</v>
      </c>
    </row>
    <row r="761" spans="2:7" hidden="1">
      <c r="B761" s="43">
        <v>44407</v>
      </c>
      <c r="C761" t="s">
        <v>123</v>
      </c>
      <c r="D761" s="48">
        <v>44469</v>
      </c>
      <c r="E761">
        <v>120</v>
      </c>
      <c r="F761" t="s">
        <v>514</v>
      </c>
      <c r="G761">
        <v>30.1</v>
      </c>
    </row>
    <row r="762" spans="2:7" hidden="1">
      <c r="B762" s="43">
        <v>44407</v>
      </c>
      <c r="C762" t="s">
        <v>123</v>
      </c>
      <c r="D762" s="48">
        <v>44469</v>
      </c>
      <c r="E762">
        <v>120</v>
      </c>
      <c r="F762" t="s">
        <v>515</v>
      </c>
      <c r="G762">
        <v>2.5</v>
      </c>
    </row>
    <row r="763" spans="2:7" hidden="1">
      <c r="B763" s="43">
        <v>44410</v>
      </c>
      <c r="C763" t="s">
        <v>123</v>
      </c>
      <c r="D763" s="48">
        <v>44469</v>
      </c>
      <c r="E763">
        <v>120</v>
      </c>
      <c r="F763" t="s">
        <v>514</v>
      </c>
      <c r="G763">
        <v>30.1</v>
      </c>
    </row>
    <row r="764" spans="2:7" hidden="1">
      <c r="B764" s="43">
        <v>44410</v>
      </c>
      <c r="C764" t="s">
        <v>123</v>
      </c>
      <c r="D764" s="48">
        <v>44469</v>
      </c>
      <c r="E764">
        <v>120</v>
      </c>
      <c r="F764" t="s">
        <v>515</v>
      </c>
      <c r="G764">
        <v>2.5</v>
      </c>
    </row>
    <row r="765" spans="2:7" hidden="1">
      <c r="B765" s="43">
        <v>44404</v>
      </c>
      <c r="C765" t="s">
        <v>123</v>
      </c>
      <c r="D765" s="48">
        <v>44469</v>
      </c>
      <c r="E765">
        <v>122.5</v>
      </c>
      <c r="F765" t="s">
        <v>514</v>
      </c>
      <c r="G765">
        <v>28.1</v>
      </c>
    </row>
    <row r="766" spans="2:7" hidden="1">
      <c r="B766" s="43">
        <v>44404</v>
      </c>
      <c r="C766" t="s">
        <v>123</v>
      </c>
      <c r="D766" s="48">
        <v>44469</v>
      </c>
      <c r="E766">
        <v>122.5</v>
      </c>
      <c r="F766" t="s">
        <v>515</v>
      </c>
      <c r="G766">
        <v>3</v>
      </c>
    </row>
    <row r="767" spans="2:7" hidden="1">
      <c r="B767" s="43">
        <v>44405</v>
      </c>
      <c r="C767" t="s">
        <v>123</v>
      </c>
      <c r="D767" s="48">
        <v>44469</v>
      </c>
      <c r="E767">
        <v>122.5</v>
      </c>
      <c r="F767" t="s">
        <v>514</v>
      </c>
      <c r="G767">
        <v>28.1</v>
      </c>
    </row>
    <row r="768" spans="2:7" hidden="1">
      <c r="B768" s="43">
        <v>44405</v>
      </c>
      <c r="C768" t="s">
        <v>123</v>
      </c>
      <c r="D768" s="48">
        <v>44469</v>
      </c>
      <c r="E768">
        <v>122.5</v>
      </c>
      <c r="F768" t="s">
        <v>515</v>
      </c>
      <c r="G768">
        <v>3</v>
      </c>
    </row>
    <row r="769" spans="2:7" hidden="1">
      <c r="B769" s="43">
        <v>44406</v>
      </c>
      <c r="C769" t="s">
        <v>123</v>
      </c>
      <c r="D769" s="48">
        <v>44469</v>
      </c>
      <c r="E769">
        <v>122.5</v>
      </c>
      <c r="F769" t="s">
        <v>514</v>
      </c>
      <c r="G769">
        <v>28.1</v>
      </c>
    </row>
    <row r="770" spans="2:7" hidden="1">
      <c r="B770" s="43">
        <v>44406</v>
      </c>
      <c r="C770" t="s">
        <v>123</v>
      </c>
      <c r="D770" s="48">
        <v>44469</v>
      </c>
      <c r="E770">
        <v>122.5</v>
      </c>
      <c r="F770" t="s">
        <v>515</v>
      </c>
      <c r="G770">
        <v>3</v>
      </c>
    </row>
    <row r="771" spans="2:7" hidden="1">
      <c r="B771" s="43">
        <v>44407</v>
      </c>
      <c r="C771" t="s">
        <v>123</v>
      </c>
      <c r="D771" s="48">
        <v>44469</v>
      </c>
      <c r="E771">
        <v>122.5</v>
      </c>
      <c r="F771" t="s">
        <v>514</v>
      </c>
      <c r="G771">
        <v>28.1</v>
      </c>
    </row>
    <row r="772" spans="2:7" hidden="1">
      <c r="B772" s="43">
        <v>44407</v>
      </c>
      <c r="C772" t="s">
        <v>123</v>
      </c>
      <c r="D772" s="48">
        <v>44469</v>
      </c>
      <c r="E772">
        <v>122.5</v>
      </c>
      <c r="F772" t="s">
        <v>515</v>
      </c>
      <c r="G772">
        <v>3</v>
      </c>
    </row>
    <row r="773" spans="2:7" hidden="1">
      <c r="B773" s="43">
        <v>44410</v>
      </c>
      <c r="C773" t="s">
        <v>123</v>
      </c>
      <c r="D773" s="48">
        <v>44469</v>
      </c>
      <c r="E773">
        <v>122.5</v>
      </c>
      <c r="F773" t="s">
        <v>514</v>
      </c>
      <c r="G773">
        <v>28.1</v>
      </c>
    </row>
    <row r="774" spans="2:7" hidden="1">
      <c r="B774" s="43">
        <v>44410</v>
      </c>
      <c r="C774" t="s">
        <v>123</v>
      </c>
      <c r="D774" s="48">
        <v>44469</v>
      </c>
      <c r="E774">
        <v>122.5</v>
      </c>
      <c r="F774" t="s">
        <v>515</v>
      </c>
      <c r="G774">
        <v>3</v>
      </c>
    </row>
    <row r="775" spans="2:7" hidden="1">
      <c r="B775" s="43">
        <v>44404</v>
      </c>
      <c r="C775" t="s">
        <v>123</v>
      </c>
      <c r="D775" s="48">
        <v>44469</v>
      </c>
      <c r="E775">
        <v>125</v>
      </c>
      <c r="F775" t="s">
        <v>514</v>
      </c>
      <c r="G775">
        <v>26.25</v>
      </c>
    </row>
    <row r="776" spans="2:7" hidden="1">
      <c r="B776" s="43">
        <v>44404</v>
      </c>
      <c r="C776" t="s">
        <v>123</v>
      </c>
      <c r="D776" s="48">
        <v>44469</v>
      </c>
      <c r="E776">
        <v>125</v>
      </c>
      <c r="F776" t="s">
        <v>515</v>
      </c>
      <c r="G776">
        <v>3.55</v>
      </c>
    </row>
    <row r="777" spans="2:7" hidden="1">
      <c r="B777" s="43">
        <v>44405</v>
      </c>
      <c r="C777" t="s">
        <v>123</v>
      </c>
      <c r="D777" s="48">
        <v>44469</v>
      </c>
      <c r="E777">
        <v>125</v>
      </c>
      <c r="F777" t="s">
        <v>514</v>
      </c>
      <c r="G777">
        <v>26.25</v>
      </c>
    </row>
    <row r="778" spans="2:7" hidden="1">
      <c r="B778" s="43">
        <v>44405</v>
      </c>
      <c r="C778" t="s">
        <v>123</v>
      </c>
      <c r="D778" s="48">
        <v>44469</v>
      </c>
      <c r="E778">
        <v>125</v>
      </c>
      <c r="F778" t="s">
        <v>515</v>
      </c>
      <c r="G778">
        <v>3.55</v>
      </c>
    </row>
    <row r="779" spans="2:7" hidden="1">
      <c r="B779" s="43">
        <v>44406</v>
      </c>
      <c r="C779" t="s">
        <v>123</v>
      </c>
      <c r="D779" s="48">
        <v>44469</v>
      </c>
      <c r="E779">
        <v>125</v>
      </c>
      <c r="F779" t="s">
        <v>514</v>
      </c>
      <c r="G779">
        <v>26.25</v>
      </c>
    </row>
    <row r="780" spans="2:7" hidden="1">
      <c r="B780" s="43">
        <v>44406</v>
      </c>
      <c r="C780" t="s">
        <v>123</v>
      </c>
      <c r="D780" s="48">
        <v>44469</v>
      </c>
      <c r="E780">
        <v>125</v>
      </c>
      <c r="F780" t="s">
        <v>515</v>
      </c>
      <c r="G780">
        <v>3.55</v>
      </c>
    </row>
    <row r="781" spans="2:7" hidden="1">
      <c r="B781" s="43">
        <v>44407</v>
      </c>
      <c r="C781" t="s">
        <v>123</v>
      </c>
      <c r="D781" s="48">
        <v>44469</v>
      </c>
      <c r="E781">
        <v>125</v>
      </c>
      <c r="F781" t="s">
        <v>514</v>
      </c>
      <c r="G781">
        <v>26.25</v>
      </c>
    </row>
    <row r="782" spans="2:7" hidden="1">
      <c r="B782" s="43">
        <v>44407</v>
      </c>
      <c r="C782" t="s">
        <v>123</v>
      </c>
      <c r="D782" s="48">
        <v>44469</v>
      </c>
      <c r="E782">
        <v>125</v>
      </c>
      <c r="F782" t="s">
        <v>515</v>
      </c>
      <c r="G782">
        <v>3.55</v>
      </c>
    </row>
    <row r="783" spans="2:7" hidden="1">
      <c r="B783" s="43">
        <v>44410</v>
      </c>
      <c r="C783" t="s">
        <v>123</v>
      </c>
      <c r="D783" s="48">
        <v>44469</v>
      </c>
      <c r="E783">
        <v>125</v>
      </c>
      <c r="F783" t="s">
        <v>514</v>
      </c>
      <c r="G783">
        <v>26.25</v>
      </c>
    </row>
    <row r="784" spans="2:7" hidden="1">
      <c r="B784" s="43">
        <v>44410</v>
      </c>
      <c r="C784" t="s">
        <v>123</v>
      </c>
      <c r="D784" s="48">
        <v>44469</v>
      </c>
      <c r="E784">
        <v>125</v>
      </c>
      <c r="F784" t="s">
        <v>515</v>
      </c>
      <c r="G784">
        <v>3.55</v>
      </c>
    </row>
    <row r="785" spans="2:7" hidden="1">
      <c r="B785" s="43">
        <v>44404</v>
      </c>
      <c r="C785" t="s">
        <v>123</v>
      </c>
      <c r="D785" s="48">
        <v>44469</v>
      </c>
      <c r="E785">
        <v>127.5</v>
      </c>
      <c r="F785" t="s">
        <v>514</v>
      </c>
      <c r="G785">
        <v>24.4</v>
      </c>
    </row>
    <row r="786" spans="2:7" hidden="1">
      <c r="B786" s="43">
        <v>44404</v>
      </c>
      <c r="C786" t="s">
        <v>123</v>
      </c>
      <c r="D786" s="48">
        <v>44469</v>
      </c>
      <c r="E786">
        <v>127.5</v>
      </c>
      <c r="F786" t="s">
        <v>515</v>
      </c>
      <c r="G786">
        <v>4.2</v>
      </c>
    </row>
    <row r="787" spans="2:7" hidden="1">
      <c r="B787" s="43">
        <v>44405</v>
      </c>
      <c r="C787" t="s">
        <v>123</v>
      </c>
      <c r="D787" s="48">
        <v>44469</v>
      </c>
      <c r="E787">
        <v>127.5</v>
      </c>
      <c r="F787" t="s">
        <v>514</v>
      </c>
      <c r="G787">
        <v>24.4</v>
      </c>
    </row>
    <row r="788" spans="2:7" hidden="1">
      <c r="B788" s="43">
        <v>44405</v>
      </c>
      <c r="C788" t="s">
        <v>123</v>
      </c>
      <c r="D788" s="48">
        <v>44469</v>
      </c>
      <c r="E788">
        <v>127.5</v>
      </c>
      <c r="F788" t="s">
        <v>515</v>
      </c>
      <c r="G788">
        <v>4.2</v>
      </c>
    </row>
    <row r="789" spans="2:7" hidden="1">
      <c r="B789" s="43">
        <v>44406</v>
      </c>
      <c r="C789" t="s">
        <v>123</v>
      </c>
      <c r="D789" s="48">
        <v>44469</v>
      </c>
      <c r="E789">
        <v>127.5</v>
      </c>
      <c r="F789" t="s">
        <v>514</v>
      </c>
      <c r="G789">
        <v>24.4</v>
      </c>
    </row>
    <row r="790" spans="2:7" hidden="1">
      <c r="B790" s="43">
        <v>44406</v>
      </c>
      <c r="C790" t="s">
        <v>123</v>
      </c>
      <c r="D790" s="48">
        <v>44469</v>
      </c>
      <c r="E790">
        <v>127.5</v>
      </c>
      <c r="F790" t="s">
        <v>515</v>
      </c>
      <c r="G790">
        <v>4.2</v>
      </c>
    </row>
    <row r="791" spans="2:7" hidden="1">
      <c r="B791" s="43">
        <v>44407</v>
      </c>
      <c r="C791" t="s">
        <v>123</v>
      </c>
      <c r="D791" s="48">
        <v>44469</v>
      </c>
      <c r="E791">
        <v>127.5</v>
      </c>
      <c r="F791" t="s">
        <v>514</v>
      </c>
      <c r="G791">
        <v>24.4</v>
      </c>
    </row>
    <row r="792" spans="2:7" hidden="1">
      <c r="B792" s="43">
        <v>44407</v>
      </c>
      <c r="C792" t="s">
        <v>123</v>
      </c>
      <c r="D792" s="48">
        <v>44469</v>
      </c>
      <c r="E792">
        <v>127.5</v>
      </c>
      <c r="F792" t="s">
        <v>515</v>
      </c>
      <c r="G792">
        <v>4.2</v>
      </c>
    </row>
    <row r="793" spans="2:7" hidden="1">
      <c r="B793" s="43">
        <v>44410</v>
      </c>
      <c r="C793" t="s">
        <v>123</v>
      </c>
      <c r="D793" s="48">
        <v>44469</v>
      </c>
      <c r="E793">
        <v>127.5</v>
      </c>
      <c r="F793" t="s">
        <v>514</v>
      </c>
      <c r="G793">
        <v>24.4</v>
      </c>
    </row>
    <row r="794" spans="2:7" hidden="1">
      <c r="B794" s="43">
        <v>44410</v>
      </c>
      <c r="C794" t="s">
        <v>123</v>
      </c>
      <c r="D794" s="48">
        <v>44469</v>
      </c>
      <c r="E794">
        <v>127.5</v>
      </c>
      <c r="F794" t="s">
        <v>515</v>
      </c>
      <c r="G794">
        <v>4.2</v>
      </c>
    </row>
    <row r="795" spans="2:7" hidden="1">
      <c r="B795" s="43">
        <v>44404</v>
      </c>
      <c r="C795" t="s">
        <v>123</v>
      </c>
      <c r="D795" s="48">
        <v>44469</v>
      </c>
      <c r="E795">
        <v>130</v>
      </c>
      <c r="F795" t="s">
        <v>514</v>
      </c>
      <c r="G795">
        <v>22.65</v>
      </c>
    </row>
    <row r="796" spans="2:7" hidden="1">
      <c r="B796" s="43">
        <v>44404</v>
      </c>
      <c r="C796" t="s">
        <v>123</v>
      </c>
      <c r="D796" s="48">
        <v>44469</v>
      </c>
      <c r="E796">
        <v>130</v>
      </c>
      <c r="F796" t="s">
        <v>515</v>
      </c>
      <c r="G796">
        <v>1</v>
      </c>
    </row>
    <row r="797" spans="2:7" hidden="1">
      <c r="B797" s="43">
        <v>44405</v>
      </c>
      <c r="C797" t="s">
        <v>123</v>
      </c>
      <c r="D797" s="48">
        <v>44469</v>
      </c>
      <c r="E797">
        <v>130</v>
      </c>
      <c r="F797" t="s">
        <v>514</v>
      </c>
      <c r="G797">
        <v>22.65</v>
      </c>
    </row>
    <row r="798" spans="2:7" hidden="1">
      <c r="B798" s="43">
        <v>44405</v>
      </c>
      <c r="C798" t="s">
        <v>123</v>
      </c>
      <c r="D798" s="48">
        <v>44469</v>
      </c>
      <c r="E798">
        <v>130</v>
      </c>
      <c r="F798" t="s">
        <v>515</v>
      </c>
      <c r="G798">
        <v>1.45</v>
      </c>
    </row>
    <row r="799" spans="2:7" hidden="1">
      <c r="B799" s="43">
        <v>44406</v>
      </c>
      <c r="C799" t="s">
        <v>123</v>
      </c>
      <c r="D799" s="48">
        <v>44469</v>
      </c>
      <c r="E799">
        <v>130</v>
      </c>
      <c r="F799" t="s">
        <v>514</v>
      </c>
      <c r="G799">
        <v>22.65</v>
      </c>
    </row>
    <row r="800" spans="2:7" hidden="1">
      <c r="B800" s="43">
        <v>44406</v>
      </c>
      <c r="C800" t="s">
        <v>123</v>
      </c>
      <c r="D800" s="48">
        <v>44469</v>
      </c>
      <c r="E800">
        <v>130</v>
      </c>
      <c r="F800" t="s">
        <v>515</v>
      </c>
      <c r="G800">
        <v>2.15</v>
      </c>
    </row>
    <row r="801" spans="2:7" hidden="1">
      <c r="B801" s="43">
        <v>44407</v>
      </c>
      <c r="C801" t="s">
        <v>123</v>
      </c>
      <c r="D801" s="48">
        <v>44469</v>
      </c>
      <c r="E801">
        <v>130</v>
      </c>
      <c r="F801" t="s">
        <v>514</v>
      </c>
      <c r="G801">
        <v>22.65</v>
      </c>
    </row>
    <row r="802" spans="2:7" hidden="1">
      <c r="B802" s="43">
        <v>44407</v>
      </c>
      <c r="C802" t="s">
        <v>123</v>
      </c>
      <c r="D802" s="48">
        <v>44469</v>
      </c>
      <c r="E802">
        <v>130</v>
      </c>
      <c r="F802" t="s">
        <v>515</v>
      </c>
      <c r="G802">
        <v>1.4</v>
      </c>
    </row>
    <row r="803" spans="2:7" hidden="1">
      <c r="B803" s="43">
        <v>44410</v>
      </c>
      <c r="C803" t="s">
        <v>123</v>
      </c>
      <c r="D803" s="48">
        <v>44469</v>
      </c>
      <c r="E803">
        <v>130</v>
      </c>
      <c r="F803" t="s">
        <v>514</v>
      </c>
      <c r="G803">
        <v>22.65</v>
      </c>
    </row>
    <row r="804" spans="2:7" hidden="1">
      <c r="B804" s="43">
        <v>44410</v>
      </c>
      <c r="C804" t="s">
        <v>123</v>
      </c>
      <c r="D804" s="48">
        <v>44469</v>
      </c>
      <c r="E804">
        <v>130</v>
      </c>
      <c r="F804" t="s">
        <v>515</v>
      </c>
      <c r="G804">
        <v>1.35</v>
      </c>
    </row>
    <row r="805" spans="2:7" hidden="1">
      <c r="B805" s="43">
        <v>44404</v>
      </c>
      <c r="C805" t="s">
        <v>123</v>
      </c>
      <c r="D805" s="48">
        <v>44469</v>
      </c>
      <c r="E805">
        <v>132.5</v>
      </c>
      <c r="F805" t="s">
        <v>514</v>
      </c>
      <c r="G805">
        <v>21</v>
      </c>
    </row>
    <row r="806" spans="2:7" hidden="1">
      <c r="B806" s="43">
        <v>44404</v>
      </c>
      <c r="C806" t="s">
        <v>123</v>
      </c>
      <c r="D806" s="48">
        <v>44469</v>
      </c>
      <c r="E806">
        <v>132.5</v>
      </c>
      <c r="F806" t="s">
        <v>515</v>
      </c>
      <c r="G806">
        <v>5.75</v>
      </c>
    </row>
    <row r="807" spans="2:7" hidden="1">
      <c r="B807" s="43">
        <v>44405</v>
      </c>
      <c r="C807" t="s">
        <v>123</v>
      </c>
      <c r="D807" s="48">
        <v>44469</v>
      </c>
      <c r="E807">
        <v>132.5</v>
      </c>
      <c r="F807" t="s">
        <v>514</v>
      </c>
      <c r="G807">
        <v>21</v>
      </c>
    </row>
    <row r="808" spans="2:7" hidden="1">
      <c r="B808" s="43">
        <v>44405</v>
      </c>
      <c r="C808" t="s">
        <v>123</v>
      </c>
      <c r="D808" s="48">
        <v>44469</v>
      </c>
      <c r="E808">
        <v>132.5</v>
      </c>
      <c r="F808" t="s">
        <v>515</v>
      </c>
      <c r="G808">
        <v>5.75</v>
      </c>
    </row>
    <row r="809" spans="2:7" hidden="1">
      <c r="B809" s="43">
        <v>44406</v>
      </c>
      <c r="C809" t="s">
        <v>123</v>
      </c>
      <c r="D809" s="48">
        <v>44469</v>
      </c>
      <c r="E809">
        <v>132.5</v>
      </c>
      <c r="F809" t="s">
        <v>514</v>
      </c>
      <c r="G809">
        <v>21</v>
      </c>
    </row>
    <row r="810" spans="2:7" hidden="1">
      <c r="B810" s="43">
        <v>44406</v>
      </c>
      <c r="C810" t="s">
        <v>123</v>
      </c>
      <c r="D810" s="48">
        <v>44469</v>
      </c>
      <c r="E810">
        <v>132.5</v>
      </c>
      <c r="F810" t="s">
        <v>515</v>
      </c>
      <c r="G810">
        <v>5.75</v>
      </c>
    </row>
    <row r="811" spans="2:7" hidden="1">
      <c r="B811" s="43">
        <v>44407</v>
      </c>
      <c r="C811" t="s">
        <v>123</v>
      </c>
      <c r="D811" s="48">
        <v>44469</v>
      </c>
      <c r="E811">
        <v>132.5</v>
      </c>
      <c r="F811" t="s">
        <v>514</v>
      </c>
      <c r="G811">
        <v>21</v>
      </c>
    </row>
    <row r="812" spans="2:7" hidden="1">
      <c r="B812" s="43">
        <v>44407</v>
      </c>
      <c r="C812" t="s">
        <v>123</v>
      </c>
      <c r="D812" s="48">
        <v>44469</v>
      </c>
      <c r="E812">
        <v>132.5</v>
      </c>
      <c r="F812" t="s">
        <v>515</v>
      </c>
      <c r="G812">
        <v>5.75</v>
      </c>
    </row>
    <row r="813" spans="2:7" hidden="1">
      <c r="B813" s="43">
        <v>44410</v>
      </c>
      <c r="C813" t="s">
        <v>123</v>
      </c>
      <c r="D813" s="48">
        <v>44469</v>
      </c>
      <c r="E813">
        <v>132.5</v>
      </c>
      <c r="F813" t="s">
        <v>514</v>
      </c>
      <c r="G813">
        <v>21</v>
      </c>
    </row>
    <row r="814" spans="2:7" hidden="1">
      <c r="B814" s="43">
        <v>44410</v>
      </c>
      <c r="C814" t="s">
        <v>123</v>
      </c>
      <c r="D814" s="48">
        <v>44469</v>
      </c>
      <c r="E814">
        <v>132.5</v>
      </c>
      <c r="F814" t="s">
        <v>515</v>
      </c>
      <c r="G814">
        <v>5.75</v>
      </c>
    </row>
    <row r="815" spans="2:7" hidden="1">
      <c r="B815" s="43">
        <v>44404</v>
      </c>
      <c r="C815" t="s">
        <v>123</v>
      </c>
      <c r="D815" s="48">
        <v>44469</v>
      </c>
      <c r="E815">
        <v>135</v>
      </c>
      <c r="F815" t="s">
        <v>514</v>
      </c>
      <c r="G815">
        <v>19.399999999999999</v>
      </c>
    </row>
    <row r="816" spans="2:7" hidden="1">
      <c r="B816" s="43">
        <v>44404</v>
      </c>
      <c r="C816" t="s">
        <v>123</v>
      </c>
      <c r="D816" s="48">
        <v>44469</v>
      </c>
      <c r="E816">
        <v>135</v>
      </c>
      <c r="F816" t="s">
        <v>515</v>
      </c>
      <c r="G816">
        <v>6.65</v>
      </c>
    </row>
    <row r="817" spans="2:7" hidden="1">
      <c r="B817" s="43">
        <v>44405</v>
      </c>
      <c r="C817" t="s">
        <v>123</v>
      </c>
      <c r="D817" s="48">
        <v>44469</v>
      </c>
      <c r="E817">
        <v>135</v>
      </c>
      <c r="F817" t="s">
        <v>514</v>
      </c>
      <c r="G817">
        <v>19.399999999999999</v>
      </c>
    </row>
    <row r="818" spans="2:7" hidden="1">
      <c r="B818" s="43">
        <v>44405</v>
      </c>
      <c r="C818" t="s">
        <v>123</v>
      </c>
      <c r="D818" s="48">
        <v>44469</v>
      </c>
      <c r="E818">
        <v>135</v>
      </c>
      <c r="F818" t="s">
        <v>515</v>
      </c>
      <c r="G818">
        <v>6.65</v>
      </c>
    </row>
    <row r="819" spans="2:7" hidden="1">
      <c r="B819" s="43">
        <v>44406</v>
      </c>
      <c r="C819" t="s">
        <v>123</v>
      </c>
      <c r="D819" s="48">
        <v>44469</v>
      </c>
      <c r="E819">
        <v>135</v>
      </c>
      <c r="F819" t="s">
        <v>514</v>
      </c>
      <c r="G819">
        <v>19.399999999999999</v>
      </c>
    </row>
    <row r="820" spans="2:7" hidden="1">
      <c r="B820" s="43">
        <v>44406</v>
      </c>
      <c r="C820" t="s">
        <v>123</v>
      </c>
      <c r="D820" s="48">
        <v>44469</v>
      </c>
      <c r="E820">
        <v>135</v>
      </c>
      <c r="F820" t="s">
        <v>515</v>
      </c>
      <c r="G820">
        <v>2.2000000000000002</v>
      </c>
    </row>
    <row r="821" spans="2:7" hidden="1">
      <c r="B821" s="43">
        <v>44407</v>
      </c>
      <c r="C821" t="s">
        <v>123</v>
      </c>
      <c r="D821" s="48">
        <v>44469</v>
      </c>
      <c r="E821">
        <v>135</v>
      </c>
      <c r="F821" t="s">
        <v>514</v>
      </c>
      <c r="G821">
        <v>19.399999999999999</v>
      </c>
    </row>
    <row r="822" spans="2:7" hidden="1">
      <c r="B822" s="43">
        <v>44407</v>
      </c>
      <c r="C822" t="s">
        <v>123</v>
      </c>
      <c r="D822" s="48">
        <v>44469</v>
      </c>
      <c r="E822">
        <v>135</v>
      </c>
      <c r="F822" t="s">
        <v>515</v>
      </c>
      <c r="G822">
        <v>2.2000000000000002</v>
      </c>
    </row>
    <row r="823" spans="2:7" hidden="1">
      <c r="B823" s="43">
        <v>44410</v>
      </c>
      <c r="C823" t="s">
        <v>123</v>
      </c>
      <c r="D823" s="48">
        <v>44469</v>
      </c>
      <c r="E823">
        <v>135</v>
      </c>
      <c r="F823" t="s">
        <v>514</v>
      </c>
      <c r="G823">
        <v>19.399999999999999</v>
      </c>
    </row>
    <row r="824" spans="2:7" hidden="1">
      <c r="B824" s="43">
        <v>44410</v>
      </c>
      <c r="C824" t="s">
        <v>123</v>
      </c>
      <c r="D824" s="48">
        <v>44469</v>
      </c>
      <c r="E824">
        <v>135</v>
      </c>
      <c r="F824" t="s">
        <v>515</v>
      </c>
      <c r="G824">
        <v>2.2000000000000002</v>
      </c>
    </row>
    <row r="825" spans="2:7" hidden="1">
      <c r="B825" s="43">
        <v>44404</v>
      </c>
      <c r="C825" t="s">
        <v>123</v>
      </c>
      <c r="D825" s="48">
        <v>44469</v>
      </c>
      <c r="E825">
        <v>137.5</v>
      </c>
      <c r="F825" t="s">
        <v>514</v>
      </c>
      <c r="G825">
        <v>17.899999999999999</v>
      </c>
    </row>
    <row r="826" spans="2:7" hidden="1">
      <c r="B826" s="43">
        <v>44404</v>
      </c>
      <c r="C826" t="s">
        <v>123</v>
      </c>
      <c r="D826" s="48">
        <v>44469</v>
      </c>
      <c r="E826">
        <v>137.5</v>
      </c>
      <c r="F826" t="s">
        <v>515</v>
      </c>
      <c r="G826">
        <v>7.6</v>
      </c>
    </row>
    <row r="827" spans="2:7" hidden="1">
      <c r="B827" s="43">
        <v>44405</v>
      </c>
      <c r="C827" t="s">
        <v>123</v>
      </c>
      <c r="D827" s="48">
        <v>44469</v>
      </c>
      <c r="E827">
        <v>137.5</v>
      </c>
      <c r="F827" t="s">
        <v>514</v>
      </c>
      <c r="G827">
        <v>17.899999999999999</v>
      </c>
    </row>
    <row r="828" spans="2:7" hidden="1">
      <c r="B828" s="43">
        <v>44405</v>
      </c>
      <c r="C828" t="s">
        <v>123</v>
      </c>
      <c r="D828" s="48">
        <v>44469</v>
      </c>
      <c r="E828">
        <v>137.5</v>
      </c>
      <c r="F828" t="s">
        <v>515</v>
      </c>
      <c r="G828">
        <v>7.6</v>
      </c>
    </row>
    <row r="829" spans="2:7" hidden="1">
      <c r="B829" s="43">
        <v>44406</v>
      </c>
      <c r="C829" t="s">
        <v>123</v>
      </c>
      <c r="D829" s="48">
        <v>44469</v>
      </c>
      <c r="E829">
        <v>137.5</v>
      </c>
      <c r="F829" t="s">
        <v>514</v>
      </c>
      <c r="G829">
        <v>17.899999999999999</v>
      </c>
    </row>
    <row r="830" spans="2:7" hidden="1">
      <c r="B830" s="43">
        <v>44406</v>
      </c>
      <c r="C830" t="s">
        <v>123</v>
      </c>
      <c r="D830" s="48">
        <v>44469</v>
      </c>
      <c r="E830">
        <v>137.5</v>
      </c>
      <c r="F830" t="s">
        <v>515</v>
      </c>
      <c r="G830">
        <v>7.6</v>
      </c>
    </row>
    <row r="831" spans="2:7" hidden="1">
      <c r="B831" s="43">
        <v>44407</v>
      </c>
      <c r="C831" t="s">
        <v>123</v>
      </c>
      <c r="D831" s="48">
        <v>44469</v>
      </c>
      <c r="E831">
        <v>137.5</v>
      </c>
      <c r="F831" t="s">
        <v>514</v>
      </c>
      <c r="G831">
        <v>17.899999999999999</v>
      </c>
    </row>
    <row r="832" spans="2:7" hidden="1">
      <c r="B832" s="43">
        <v>44407</v>
      </c>
      <c r="C832" t="s">
        <v>123</v>
      </c>
      <c r="D832" s="48">
        <v>44469</v>
      </c>
      <c r="E832">
        <v>137.5</v>
      </c>
      <c r="F832" t="s">
        <v>515</v>
      </c>
      <c r="G832">
        <v>7.6</v>
      </c>
    </row>
    <row r="833" spans="2:7" hidden="1">
      <c r="B833" s="43">
        <v>44410</v>
      </c>
      <c r="C833" t="s">
        <v>123</v>
      </c>
      <c r="D833" s="48">
        <v>44469</v>
      </c>
      <c r="E833">
        <v>137.5</v>
      </c>
      <c r="F833" t="s">
        <v>514</v>
      </c>
      <c r="G833">
        <v>17.899999999999999</v>
      </c>
    </row>
    <row r="834" spans="2:7" hidden="1">
      <c r="B834" s="43">
        <v>44410</v>
      </c>
      <c r="C834" t="s">
        <v>123</v>
      </c>
      <c r="D834" s="48">
        <v>44469</v>
      </c>
      <c r="E834">
        <v>137.5</v>
      </c>
      <c r="F834" t="s">
        <v>515</v>
      </c>
      <c r="G834">
        <v>7.6</v>
      </c>
    </row>
    <row r="835" spans="2:7" hidden="1">
      <c r="B835" s="43">
        <v>44404</v>
      </c>
      <c r="C835" t="s">
        <v>123</v>
      </c>
      <c r="D835" s="48">
        <v>44469</v>
      </c>
      <c r="E835">
        <v>140</v>
      </c>
      <c r="F835" t="s">
        <v>514</v>
      </c>
      <c r="G835">
        <v>16.45</v>
      </c>
    </row>
    <row r="836" spans="2:7" hidden="1">
      <c r="B836" s="43">
        <v>44404</v>
      </c>
      <c r="C836" t="s">
        <v>123</v>
      </c>
      <c r="D836" s="48">
        <v>44469</v>
      </c>
      <c r="E836">
        <v>140</v>
      </c>
      <c r="F836" t="s">
        <v>515</v>
      </c>
      <c r="G836">
        <v>4.1500000000000004</v>
      </c>
    </row>
    <row r="837" spans="2:7" hidden="1">
      <c r="B837" s="43">
        <v>44405</v>
      </c>
      <c r="C837" t="s">
        <v>123</v>
      </c>
      <c r="D837" s="48">
        <v>44469</v>
      </c>
      <c r="E837">
        <v>140</v>
      </c>
      <c r="F837" t="s">
        <v>514</v>
      </c>
      <c r="G837">
        <v>6.8</v>
      </c>
    </row>
    <row r="838" spans="2:7" hidden="1">
      <c r="B838" s="43">
        <v>44405</v>
      </c>
      <c r="C838" t="s">
        <v>123</v>
      </c>
      <c r="D838" s="48">
        <v>44469</v>
      </c>
      <c r="E838">
        <v>140</v>
      </c>
      <c r="F838" t="s">
        <v>515</v>
      </c>
      <c r="G838">
        <v>4.2</v>
      </c>
    </row>
    <row r="839" spans="2:7" hidden="1">
      <c r="B839" s="43">
        <v>44406</v>
      </c>
      <c r="C839" t="s">
        <v>123</v>
      </c>
      <c r="D839" s="48">
        <v>44469</v>
      </c>
      <c r="E839">
        <v>140</v>
      </c>
      <c r="F839" t="s">
        <v>514</v>
      </c>
      <c r="G839">
        <v>6.25</v>
      </c>
    </row>
    <row r="840" spans="2:7" hidden="1">
      <c r="B840" s="43">
        <v>44406</v>
      </c>
      <c r="C840" t="s">
        <v>123</v>
      </c>
      <c r="D840" s="48">
        <v>44469</v>
      </c>
      <c r="E840">
        <v>140</v>
      </c>
      <c r="F840" t="s">
        <v>515</v>
      </c>
      <c r="G840">
        <v>5.55</v>
      </c>
    </row>
    <row r="841" spans="2:7" hidden="1">
      <c r="B841" s="43">
        <v>44407</v>
      </c>
      <c r="C841" t="s">
        <v>123</v>
      </c>
      <c r="D841" s="48">
        <v>44469</v>
      </c>
      <c r="E841">
        <v>140</v>
      </c>
      <c r="F841" t="s">
        <v>514</v>
      </c>
      <c r="G841">
        <v>7</v>
      </c>
    </row>
    <row r="842" spans="2:7" hidden="1">
      <c r="B842" s="43">
        <v>44407</v>
      </c>
      <c r="C842" t="s">
        <v>123</v>
      </c>
      <c r="D842" s="48">
        <v>44469</v>
      </c>
      <c r="E842">
        <v>140</v>
      </c>
      <c r="F842" t="s">
        <v>515</v>
      </c>
      <c r="G842">
        <v>4.8</v>
      </c>
    </row>
    <row r="843" spans="2:7" hidden="1">
      <c r="B843" s="43">
        <v>44410</v>
      </c>
      <c r="C843" t="s">
        <v>123</v>
      </c>
      <c r="D843" s="48">
        <v>44469</v>
      </c>
      <c r="E843">
        <v>140</v>
      </c>
      <c r="F843" t="s">
        <v>514</v>
      </c>
      <c r="G843">
        <v>7.15</v>
      </c>
    </row>
    <row r="844" spans="2:7" hidden="1">
      <c r="B844" s="43">
        <v>44410</v>
      </c>
      <c r="C844" t="s">
        <v>123</v>
      </c>
      <c r="D844" s="48">
        <v>44469</v>
      </c>
      <c r="E844">
        <v>140</v>
      </c>
      <c r="F844" t="s">
        <v>515</v>
      </c>
      <c r="G844">
        <v>4.75</v>
      </c>
    </row>
    <row r="845" spans="2:7" hidden="1">
      <c r="B845" s="43">
        <v>44404</v>
      </c>
      <c r="C845" t="s">
        <v>123</v>
      </c>
      <c r="D845" s="48">
        <v>44469</v>
      </c>
      <c r="E845">
        <v>142.5</v>
      </c>
      <c r="F845" t="s">
        <v>514</v>
      </c>
      <c r="G845">
        <v>15.1</v>
      </c>
    </row>
    <row r="846" spans="2:7" hidden="1">
      <c r="B846" s="43">
        <v>44404</v>
      </c>
      <c r="C846" t="s">
        <v>123</v>
      </c>
      <c r="D846" s="48">
        <v>44469</v>
      </c>
      <c r="E846">
        <v>142.5</v>
      </c>
      <c r="F846" t="s">
        <v>515</v>
      </c>
      <c r="G846">
        <v>9.8000000000000007</v>
      </c>
    </row>
    <row r="847" spans="2:7" hidden="1">
      <c r="B847" s="43">
        <v>44405</v>
      </c>
      <c r="C847" t="s">
        <v>123</v>
      </c>
      <c r="D847" s="48">
        <v>44469</v>
      </c>
      <c r="E847">
        <v>142.5</v>
      </c>
      <c r="F847" t="s">
        <v>514</v>
      </c>
      <c r="G847">
        <v>15.1</v>
      </c>
    </row>
    <row r="848" spans="2:7" hidden="1">
      <c r="B848" s="43">
        <v>44405</v>
      </c>
      <c r="C848" t="s">
        <v>123</v>
      </c>
      <c r="D848" s="48">
        <v>44469</v>
      </c>
      <c r="E848">
        <v>142.5</v>
      </c>
      <c r="F848" t="s">
        <v>515</v>
      </c>
      <c r="G848">
        <v>9.8000000000000007</v>
      </c>
    </row>
    <row r="849" spans="2:7" hidden="1">
      <c r="B849" s="43">
        <v>44406</v>
      </c>
      <c r="C849" t="s">
        <v>123</v>
      </c>
      <c r="D849" s="48">
        <v>44469</v>
      </c>
      <c r="E849">
        <v>142.5</v>
      </c>
      <c r="F849" t="s">
        <v>514</v>
      </c>
      <c r="G849">
        <v>15.1</v>
      </c>
    </row>
    <row r="850" spans="2:7" hidden="1">
      <c r="B850" s="43">
        <v>44406</v>
      </c>
      <c r="C850" t="s">
        <v>123</v>
      </c>
      <c r="D850" s="48">
        <v>44469</v>
      </c>
      <c r="E850">
        <v>142.5</v>
      </c>
      <c r="F850" t="s">
        <v>515</v>
      </c>
      <c r="G850">
        <v>9.8000000000000007</v>
      </c>
    </row>
    <row r="851" spans="2:7" hidden="1">
      <c r="B851" s="43">
        <v>44407</v>
      </c>
      <c r="C851" t="s">
        <v>123</v>
      </c>
      <c r="D851" s="48">
        <v>44469</v>
      </c>
      <c r="E851">
        <v>142.5</v>
      </c>
      <c r="F851" t="s">
        <v>514</v>
      </c>
      <c r="G851">
        <v>15.1</v>
      </c>
    </row>
    <row r="852" spans="2:7" hidden="1">
      <c r="B852" s="43">
        <v>44407</v>
      </c>
      <c r="C852" t="s">
        <v>123</v>
      </c>
      <c r="D852" s="48">
        <v>44469</v>
      </c>
      <c r="E852">
        <v>142.5</v>
      </c>
      <c r="F852" t="s">
        <v>515</v>
      </c>
      <c r="G852">
        <v>9.8000000000000007</v>
      </c>
    </row>
    <row r="853" spans="2:7" hidden="1">
      <c r="B853" s="43">
        <v>44410</v>
      </c>
      <c r="C853" t="s">
        <v>123</v>
      </c>
      <c r="D853" s="48">
        <v>44469</v>
      </c>
      <c r="E853">
        <v>142.5</v>
      </c>
      <c r="F853" t="s">
        <v>514</v>
      </c>
      <c r="G853">
        <v>15.1</v>
      </c>
    </row>
    <row r="854" spans="2:7" hidden="1">
      <c r="B854" s="43">
        <v>44410</v>
      </c>
      <c r="C854" t="s">
        <v>123</v>
      </c>
      <c r="D854" s="48">
        <v>44469</v>
      </c>
      <c r="E854">
        <v>142.5</v>
      </c>
      <c r="F854" t="s">
        <v>515</v>
      </c>
      <c r="G854">
        <v>9.8000000000000007</v>
      </c>
    </row>
    <row r="855" spans="2:7" hidden="1">
      <c r="B855" s="43">
        <v>44404</v>
      </c>
      <c r="C855" t="s">
        <v>123</v>
      </c>
      <c r="D855" s="48">
        <v>44469</v>
      </c>
      <c r="E855">
        <v>145</v>
      </c>
      <c r="F855" t="s">
        <v>514</v>
      </c>
      <c r="G855">
        <v>5.15</v>
      </c>
    </row>
    <row r="856" spans="2:7" hidden="1">
      <c r="B856" s="43">
        <v>44404</v>
      </c>
      <c r="C856" t="s">
        <v>123</v>
      </c>
      <c r="D856" s="48">
        <v>44469</v>
      </c>
      <c r="E856">
        <v>145</v>
      </c>
      <c r="F856" t="s">
        <v>515</v>
      </c>
      <c r="G856">
        <v>11</v>
      </c>
    </row>
    <row r="857" spans="2:7" hidden="1">
      <c r="B857" s="43">
        <v>44405</v>
      </c>
      <c r="C857" t="s">
        <v>123</v>
      </c>
      <c r="D857" s="48">
        <v>44469</v>
      </c>
      <c r="E857">
        <v>145</v>
      </c>
      <c r="F857" t="s">
        <v>514</v>
      </c>
      <c r="G857">
        <v>6.6</v>
      </c>
    </row>
    <row r="858" spans="2:7" hidden="1">
      <c r="B858" s="43">
        <v>44405</v>
      </c>
      <c r="C858" t="s">
        <v>123</v>
      </c>
      <c r="D858" s="48">
        <v>44469</v>
      </c>
      <c r="E858">
        <v>145</v>
      </c>
      <c r="F858" t="s">
        <v>515</v>
      </c>
      <c r="G858">
        <v>11</v>
      </c>
    </row>
    <row r="859" spans="2:7" hidden="1">
      <c r="B859" s="43">
        <v>44406</v>
      </c>
      <c r="C859" t="s">
        <v>123</v>
      </c>
      <c r="D859" s="48">
        <v>44469</v>
      </c>
      <c r="E859">
        <v>145</v>
      </c>
      <c r="F859" t="s">
        <v>514</v>
      </c>
      <c r="G859">
        <v>4.5</v>
      </c>
    </row>
    <row r="860" spans="2:7" hidden="1">
      <c r="B860" s="43">
        <v>44406</v>
      </c>
      <c r="C860" t="s">
        <v>123</v>
      </c>
      <c r="D860" s="48">
        <v>44469</v>
      </c>
      <c r="E860">
        <v>145</v>
      </c>
      <c r="F860" t="s">
        <v>515</v>
      </c>
      <c r="G860">
        <v>11</v>
      </c>
    </row>
    <row r="861" spans="2:7" hidden="1">
      <c r="B861" s="43">
        <v>44407</v>
      </c>
      <c r="C861" t="s">
        <v>123</v>
      </c>
      <c r="D861" s="48">
        <v>44469</v>
      </c>
      <c r="E861">
        <v>145</v>
      </c>
      <c r="F861" t="s">
        <v>514</v>
      </c>
      <c r="G861">
        <v>4.8499999999999996</v>
      </c>
    </row>
    <row r="862" spans="2:7" hidden="1">
      <c r="B862" s="43">
        <v>44407</v>
      </c>
      <c r="C862" t="s">
        <v>123</v>
      </c>
      <c r="D862" s="48">
        <v>44469</v>
      </c>
      <c r="E862">
        <v>145</v>
      </c>
      <c r="F862" t="s">
        <v>515</v>
      </c>
      <c r="G862">
        <v>11</v>
      </c>
    </row>
    <row r="863" spans="2:7" hidden="1">
      <c r="B863" s="43">
        <v>44410</v>
      </c>
      <c r="C863" t="s">
        <v>123</v>
      </c>
      <c r="D863" s="48">
        <v>44469</v>
      </c>
      <c r="E863">
        <v>145</v>
      </c>
      <c r="F863" t="s">
        <v>514</v>
      </c>
      <c r="G863">
        <v>5.0999999999999996</v>
      </c>
    </row>
    <row r="864" spans="2:7" hidden="1">
      <c r="B864" s="43">
        <v>44410</v>
      </c>
      <c r="C864" t="s">
        <v>123</v>
      </c>
      <c r="D864" s="48">
        <v>44469</v>
      </c>
      <c r="E864">
        <v>145</v>
      </c>
      <c r="F864" t="s">
        <v>515</v>
      </c>
      <c r="G864">
        <v>11</v>
      </c>
    </row>
    <row r="865" spans="2:7" hidden="1">
      <c r="B865" s="43">
        <v>44404</v>
      </c>
      <c r="C865" t="s">
        <v>123</v>
      </c>
      <c r="D865" s="48">
        <v>44469</v>
      </c>
      <c r="E865">
        <v>147.5</v>
      </c>
      <c r="F865" t="s">
        <v>514</v>
      </c>
      <c r="G865">
        <v>12.65</v>
      </c>
    </row>
    <row r="866" spans="2:7" hidden="1">
      <c r="B866" s="43">
        <v>44404</v>
      </c>
      <c r="C866" t="s">
        <v>123</v>
      </c>
      <c r="D866" s="48">
        <v>44469</v>
      </c>
      <c r="E866">
        <v>147.5</v>
      </c>
      <c r="F866" t="s">
        <v>515</v>
      </c>
      <c r="G866">
        <v>12.3</v>
      </c>
    </row>
    <row r="867" spans="2:7" hidden="1">
      <c r="B867" s="43">
        <v>44405</v>
      </c>
      <c r="C867" t="s">
        <v>123</v>
      </c>
      <c r="D867" s="48">
        <v>44469</v>
      </c>
      <c r="E867">
        <v>147.5</v>
      </c>
      <c r="F867" t="s">
        <v>514</v>
      </c>
      <c r="G867">
        <v>12.65</v>
      </c>
    </row>
    <row r="868" spans="2:7" hidden="1">
      <c r="B868" s="43">
        <v>44405</v>
      </c>
      <c r="C868" t="s">
        <v>123</v>
      </c>
      <c r="D868" s="48">
        <v>44469</v>
      </c>
      <c r="E868">
        <v>147.5</v>
      </c>
      <c r="F868" t="s">
        <v>515</v>
      </c>
      <c r="G868">
        <v>12.3</v>
      </c>
    </row>
    <row r="869" spans="2:7" hidden="1">
      <c r="B869" s="43">
        <v>44406</v>
      </c>
      <c r="C869" t="s">
        <v>123</v>
      </c>
      <c r="D869" s="48">
        <v>44469</v>
      </c>
      <c r="E869">
        <v>147.5</v>
      </c>
      <c r="F869" t="s">
        <v>514</v>
      </c>
      <c r="G869">
        <v>12.65</v>
      </c>
    </row>
    <row r="870" spans="2:7" hidden="1">
      <c r="B870" s="43">
        <v>44406</v>
      </c>
      <c r="C870" t="s">
        <v>123</v>
      </c>
      <c r="D870" s="48">
        <v>44469</v>
      </c>
      <c r="E870">
        <v>147.5</v>
      </c>
      <c r="F870" t="s">
        <v>515</v>
      </c>
      <c r="G870">
        <v>12.3</v>
      </c>
    </row>
    <row r="871" spans="2:7" hidden="1">
      <c r="B871" s="43">
        <v>44407</v>
      </c>
      <c r="C871" t="s">
        <v>123</v>
      </c>
      <c r="D871" s="48">
        <v>44469</v>
      </c>
      <c r="E871">
        <v>147.5</v>
      </c>
      <c r="F871" t="s">
        <v>514</v>
      </c>
      <c r="G871">
        <v>12.65</v>
      </c>
    </row>
    <row r="872" spans="2:7" hidden="1">
      <c r="B872" s="43">
        <v>44407</v>
      </c>
      <c r="C872" t="s">
        <v>123</v>
      </c>
      <c r="D872" s="48">
        <v>44469</v>
      </c>
      <c r="E872">
        <v>147.5</v>
      </c>
      <c r="F872" t="s">
        <v>515</v>
      </c>
      <c r="G872">
        <v>12.3</v>
      </c>
    </row>
    <row r="873" spans="2:7" hidden="1">
      <c r="B873" s="43">
        <v>44410</v>
      </c>
      <c r="C873" t="s">
        <v>123</v>
      </c>
      <c r="D873" s="48">
        <v>44469</v>
      </c>
      <c r="E873">
        <v>147.5</v>
      </c>
      <c r="F873" t="s">
        <v>514</v>
      </c>
      <c r="G873">
        <v>12.65</v>
      </c>
    </row>
    <row r="874" spans="2:7" hidden="1">
      <c r="B874" s="43">
        <v>44410</v>
      </c>
      <c r="C874" t="s">
        <v>123</v>
      </c>
      <c r="D874" s="48">
        <v>44469</v>
      </c>
      <c r="E874">
        <v>147.5</v>
      </c>
      <c r="F874" t="s">
        <v>515</v>
      </c>
      <c r="G874">
        <v>12.3</v>
      </c>
    </row>
    <row r="875" spans="2:7" hidden="1">
      <c r="B875" s="43">
        <v>44404</v>
      </c>
      <c r="C875" t="s">
        <v>123</v>
      </c>
      <c r="D875" s="48">
        <v>44469</v>
      </c>
      <c r="E875">
        <v>150</v>
      </c>
      <c r="F875" t="s">
        <v>514</v>
      </c>
      <c r="G875">
        <v>4</v>
      </c>
    </row>
    <row r="876" spans="2:7" hidden="1">
      <c r="B876" s="43">
        <v>44404</v>
      </c>
      <c r="C876" t="s">
        <v>123</v>
      </c>
      <c r="D876" s="48">
        <v>44469</v>
      </c>
      <c r="E876">
        <v>150</v>
      </c>
      <c r="F876" t="s">
        <v>515</v>
      </c>
      <c r="G876">
        <v>11.95</v>
      </c>
    </row>
    <row r="877" spans="2:7" hidden="1">
      <c r="B877" s="43">
        <v>44405</v>
      </c>
      <c r="C877" t="s">
        <v>123</v>
      </c>
      <c r="D877" s="48">
        <v>44469</v>
      </c>
      <c r="E877">
        <v>150</v>
      </c>
      <c r="F877" t="s">
        <v>514</v>
      </c>
      <c r="G877">
        <v>3.5</v>
      </c>
    </row>
    <row r="878" spans="2:7" hidden="1">
      <c r="B878" s="43">
        <v>44405</v>
      </c>
      <c r="C878" t="s">
        <v>123</v>
      </c>
      <c r="D878" s="48">
        <v>44469</v>
      </c>
      <c r="E878">
        <v>150</v>
      </c>
      <c r="F878" t="s">
        <v>515</v>
      </c>
      <c r="G878">
        <v>13</v>
      </c>
    </row>
    <row r="879" spans="2:7" hidden="1">
      <c r="B879" s="43">
        <v>44406</v>
      </c>
      <c r="C879" t="s">
        <v>123</v>
      </c>
      <c r="D879" s="48">
        <v>44469</v>
      </c>
      <c r="E879">
        <v>150</v>
      </c>
      <c r="F879" t="s">
        <v>514</v>
      </c>
      <c r="G879">
        <v>3.65</v>
      </c>
    </row>
    <row r="880" spans="2:7" hidden="1">
      <c r="B880" s="43">
        <v>44406</v>
      </c>
      <c r="C880" t="s">
        <v>123</v>
      </c>
      <c r="D880" s="48">
        <v>44469</v>
      </c>
      <c r="E880">
        <v>150</v>
      </c>
      <c r="F880" t="s">
        <v>515</v>
      </c>
      <c r="G880">
        <v>13</v>
      </c>
    </row>
    <row r="881" spans="2:7" hidden="1">
      <c r="B881" s="43">
        <v>44407</v>
      </c>
      <c r="C881" t="s">
        <v>123</v>
      </c>
      <c r="D881" s="48">
        <v>44469</v>
      </c>
      <c r="E881">
        <v>150</v>
      </c>
      <c r="F881" t="s">
        <v>514</v>
      </c>
      <c r="G881">
        <v>3.65</v>
      </c>
    </row>
    <row r="882" spans="2:7" hidden="1">
      <c r="B882" s="43">
        <v>44407</v>
      </c>
      <c r="C882" t="s">
        <v>123</v>
      </c>
      <c r="D882" s="48">
        <v>44469</v>
      </c>
      <c r="E882">
        <v>150</v>
      </c>
      <c r="F882" t="s">
        <v>515</v>
      </c>
      <c r="G882">
        <v>10.75</v>
      </c>
    </row>
    <row r="883" spans="2:7" hidden="1">
      <c r="B883" s="43">
        <v>44410</v>
      </c>
      <c r="C883" t="s">
        <v>123</v>
      </c>
      <c r="D883" s="48">
        <v>44469</v>
      </c>
      <c r="E883">
        <v>150</v>
      </c>
      <c r="F883" t="s">
        <v>514</v>
      </c>
      <c r="G883">
        <v>3.6</v>
      </c>
    </row>
    <row r="884" spans="2:7" hidden="1">
      <c r="B884" s="43">
        <v>44410</v>
      </c>
      <c r="C884" t="s">
        <v>123</v>
      </c>
      <c r="D884" s="48">
        <v>44469</v>
      </c>
      <c r="E884">
        <v>150</v>
      </c>
      <c r="F884" t="s">
        <v>515</v>
      </c>
      <c r="G884">
        <v>11</v>
      </c>
    </row>
    <row r="885" spans="2:7" hidden="1">
      <c r="B885" s="43">
        <v>44404</v>
      </c>
      <c r="C885" t="s">
        <v>123</v>
      </c>
      <c r="D885" s="48">
        <v>44469</v>
      </c>
      <c r="E885">
        <v>152.5</v>
      </c>
      <c r="F885" t="s">
        <v>514</v>
      </c>
      <c r="G885">
        <v>10.55</v>
      </c>
    </row>
    <row r="886" spans="2:7" hidden="1">
      <c r="B886" s="43">
        <v>44404</v>
      </c>
      <c r="C886" t="s">
        <v>123</v>
      </c>
      <c r="D886" s="48">
        <v>44469</v>
      </c>
      <c r="E886">
        <v>152.5</v>
      </c>
      <c r="F886" t="s">
        <v>515</v>
      </c>
      <c r="G886">
        <v>15.1</v>
      </c>
    </row>
    <row r="887" spans="2:7" hidden="1">
      <c r="B887" s="43">
        <v>44405</v>
      </c>
      <c r="C887" t="s">
        <v>123</v>
      </c>
      <c r="D887" s="48">
        <v>44469</v>
      </c>
      <c r="E887">
        <v>152.5</v>
      </c>
      <c r="F887" t="s">
        <v>514</v>
      </c>
      <c r="G887">
        <v>10.55</v>
      </c>
    </row>
    <row r="888" spans="2:7" hidden="1">
      <c r="B888" s="43">
        <v>44405</v>
      </c>
      <c r="C888" t="s">
        <v>123</v>
      </c>
      <c r="D888" s="48">
        <v>44469</v>
      </c>
      <c r="E888">
        <v>152.5</v>
      </c>
      <c r="F888" t="s">
        <v>515</v>
      </c>
      <c r="G888">
        <v>15.1</v>
      </c>
    </row>
    <row r="889" spans="2:7" hidden="1">
      <c r="B889" s="43">
        <v>44406</v>
      </c>
      <c r="C889" t="s">
        <v>123</v>
      </c>
      <c r="D889" s="48">
        <v>44469</v>
      </c>
      <c r="E889">
        <v>152.5</v>
      </c>
      <c r="F889" t="s">
        <v>514</v>
      </c>
      <c r="G889">
        <v>10.55</v>
      </c>
    </row>
    <row r="890" spans="2:7" hidden="1">
      <c r="B890" s="43">
        <v>44406</v>
      </c>
      <c r="C890" t="s">
        <v>123</v>
      </c>
      <c r="D890" s="48">
        <v>44469</v>
      </c>
      <c r="E890">
        <v>152.5</v>
      </c>
      <c r="F890" t="s">
        <v>515</v>
      </c>
      <c r="G890">
        <v>15.1</v>
      </c>
    </row>
    <row r="891" spans="2:7" hidden="1">
      <c r="B891" s="43">
        <v>44407</v>
      </c>
      <c r="C891" t="s">
        <v>123</v>
      </c>
      <c r="D891" s="48">
        <v>44469</v>
      </c>
      <c r="E891">
        <v>152.5</v>
      </c>
      <c r="F891" t="s">
        <v>514</v>
      </c>
      <c r="G891">
        <v>10.55</v>
      </c>
    </row>
    <row r="892" spans="2:7" hidden="1">
      <c r="B892" s="43">
        <v>44407</v>
      </c>
      <c r="C892" t="s">
        <v>123</v>
      </c>
      <c r="D892" s="48">
        <v>44469</v>
      </c>
      <c r="E892">
        <v>152.5</v>
      </c>
      <c r="F892" t="s">
        <v>515</v>
      </c>
      <c r="G892">
        <v>15.1</v>
      </c>
    </row>
    <row r="893" spans="2:7" hidden="1">
      <c r="B893" s="43">
        <v>44410</v>
      </c>
      <c r="C893" t="s">
        <v>123</v>
      </c>
      <c r="D893" s="48">
        <v>44469</v>
      </c>
      <c r="E893">
        <v>152.5</v>
      </c>
      <c r="F893" t="s">
        <v>514</v>
      </c>
      <c r="G893">
        <v>10.55</v>
      </c>
    </row>
    <row r="894" spans="2:7" hidden="1">
      <c r="B894" s="43">
        <v>44410</v>
      </c>
      <c r="C894" t="s">
        <v>123</v>
      </c>
      <c r="D894" s="48">
        <v>44469</v>
      </c>
      <c r="E894">
        <v>152.5</v>
      </c>
      <c r="F894" t="s">
        <v>515</v>
      </c>
      <c r="G894">
        <v>15.1</v>
      </c>
    </row>
    <row r="895" spans="2:7" hidden="1">
      <c r="B895" s="43">
        <v>44404</v>
      </c>
      <c r="C895" t="s">
        <v>123</v>
      </c>
      <c r="D895" s="48">
        <v>44469</v>
      </c>
      <c r="E895">
        <v>155</v>
      </c>
      <c r="F895" t="s">
        <v>514</v>
      </c>
      <c r="G895">
        <v>9.6</v>
      </c>
    </row>
    <row r="896" spans="2:7" hidden="1">
      <c r="B896" s="43">
        <v>44404</v>
      </c>
      <c r="C896" t="s">
        <v>123</v>
      </c>
      <c r="D896" s="48">
        <v>44469</v>
      </c>
      <c r="E896">
        <v>155</v>
      </c>
      <c r="F896" t="s">
        <v>515</v>
      </c>
      <c r="G896">
        <v>16.600000000000001</v>
      </c>
    </row>
    <row r="897" spans="2:7" hidden="1">
      <c r="B897" s="43">
        <v>44405</v>
      </c>
      <c r="C897" t="s">
        <v>123</v>
      </c>
      <c r="D897" s="48">
        <v>44469</v>
      </c>
      <c r="E897">
        <v>155</v>
      </c>
      <c r="F897" t="s">
        <v>514</v>
      </c>
      <c r="G897">
        <v>9.6</v>
      </c>
    </row>
    <row r="898" spans="2:7" hidden="1">
      <c r="B898" s="43">
        <v>44405</v>
      </c>
      <c r="C898" t="s">
        <v>123</v>
      </c>
      <c r="D898" s="48">
        <v>44469</v>
      </c>
      <c r="E898">
        <v>155</v>
      </c>
      <c r="F898" t="s">
        <v>515</v>
      </c>
      <c r="G898">
        <v>16.600000000000001</v>
      </c>
    </row>
    <row r="899" spans="2:7" hidden="1">
      <c r="B899" s="43">
        <v>44406</v>
      </c>
      <c r="C899" t="s">
        <v>123</v>
      </c>
      <c r="D899" s="48">
        <v>44469</v>
      </c>
      <c r="E899">
        <v>155</v>
      </c>
      <c r="F899" t="s">
        <v>514</v>
      </c>
      <c r="G899">
        <v>3</v>
      </c>
    </row>
    <row r="900" spans="2:7" hidden="1">
      <c r="B900" s="43">
        <v>44406</v>
      </c>
      <c r="C900" t="s">
        <v>123</v>
      </c>
      <c r="D900" s="48">
        <v>44469</v>
      </c>
      <c r="E900">
        <v>155</v>
      </c>
      <c r="F900" t="s">
        <v>515</v>
      </c>
      <c r="G900">
        <v>16.600000000000001</v>
      </c>
    </row>
    <row r="901" spans="2:7" hidden="1">
      <c r="B901" s="43">
        <v>44407</v>
      </c>
      <c r="C901" t="s">
        <v>123</v>
      </c>
      <c r="D901" s="48">
        <v>44469</v>
      </c>
      <c r="E901">
        <v>155</v>
      </c>
      <c r="F901" t="s">
        <v>514</v>
      </c>
      <c r="G901">
        <v>3</v>
      </c>
    </row>
    <row r="902" spans="2:7" hidden="1">
      <c r="B902" s="43">
        <v>44407</v>
      </c>
      <c r="C902" t="s">
        <v>123</v>
      </c>
      <c r="D902" s="48">
        <v>44469</v>
      </c>
      <c r="E902">
        <v>155</v>
      </c>
      <c r="F902" t="s">
        <v>515</v>
      </c>
      <c r="G902">
        <v>16.600000000000001</v>
      </c>
    </row>
    <row r="903" spans="2:7" hidden="1">
      <c r="B903" s="43">
        <v>44410</v>
      </c>
      <c r="C903" t="s">
        <v>123</v>
      </c>
      <c r="D903" s="48">
        <v>44469</v>
      </c>
      <c r="E903">
        <v>155</v>
      </c>
      <c r="F903" t="s">
        <v>514</v>
      </c>
      <c r="G903">
        <v>4.4000000000000004</v>
      </c>
    </row>
    <row r="904" spans="2:7" hidden="1">
      <c r="B904" s="43">
        <v>44410</v>
      </c>
      <c r="C904" t="s">
        <v>123</v>
      </c>
      <c r="D904" s="48">
        <v>44469</v>
      </c>
      <c r="E904">
        <v>155</v>
      </c>
      <c r="F904" t="s">
        <v>515</v>
      </c>
      <c r="G904">
        <v>16.600000000000001</v>
      </c>
    </row>
    <row r="905" spans="2:7" hidden="1">
      <c r="B905" s="43">
        <v>44404</v>
      </c>
      <c r="C905" t="s">
        <v>123</v>
      </c>
      <c r="D905" s="48">
        <v>44469</v>
      </c>
      <c r="E905">
        <v>157.5</v>
      </c>
      <c r="F905" t="s">
        <v>514</v>
      </c>
      <c r="G905">
        <v>8.6999999999999993</v>
      </c>
    </row>
    <row r="906" spans="2:7" hidden="1">
      <c r="B906" s="43">
        <v>44404</v>
      </c>
      <c r="C906" t="s">
        <v>123</v>
      </c>
      <c r="D906" s="48">
        <v>44469</v>
      </c>
      <c r="E906">
        <v>157.5</v>
      </c>
      <c r="F906" t="s">
        <v>515</v>
      </c>
      <c r="G906">
        <v>18.2</v>
      </c>
    </row>
    <row r="907" spans="2:7" hidden="1">
      <c r="B907" s="43">
        <v>44405</v>
      </c>
      <c r="C907" t="s">
        <v>123</v>
      </c>
      <c r="D907" s="48">
        <v>44469</v>
      </c>
      <c r="E907">
        <v>157.5</v>
      </c>
      <c r="F907" t="s">
        <v>514</v>
      </c>
      <c r="G907">
        <v>8.6999999999999993</v>
      </c>
    </row>
    <row r="908" spans="2:7" hidden="1">
      <c r="B908" s="43">
        <v>44405</v>
      </c>
      <c r="C908" t="s">
        <v>123</v>
      </c>
      <c r="D908" s="48">
        <v>44469</v>
      </c>
      <c r="E908">
        <v>157.5</v>
      </c>
      <c r="F908" t="s">
        <v>515</v>
      </c>
      <c r="G908">
        <v>18.2</v>
      </c>
    </row>
    <row r="909" spans="2:7" hidden="1">
      <c r="B909" s="43">
        <v>44406</v>
      </c>
      <c r="C909" t="s">
        <v>123</v>
      </c>
      <c r="D909" s="48">
        <v>44469</v>
      </c>
      <c r="E909">
        <v>157.5</v>
      </c>
      <c r="F909" t="s">
        <v>514</v>
      </c>
      <c r="G909">
        <v>8.6999999999999993</v>
      </c>
    </row>
    <row r="910" spans="2:7" hidden="1">
      <c r="B910" s="43">
        <v>44406</v>
      </c>
      <c r="C910" t="s">
        <v>123</v>
      </c>
      <c r="D910" s="48">
        <v>44469</v>
      </c>
      <c r="E910">
        <v>157.5</v>
      </c>
      <c r="F910" t="s">
        <v>515</v>
      </c>
      <c r="G910">
        <v>18.2</v>
      </c>
    </row>
    <row r="911" spans="2:7" hidden="1">
      <c r="B911" s="43">
        <v>44407</v>
      </c>
      <c r="C911" t="s">
        <v>123</v>
      </c>
      <c r="D911" s="48">
        <v>44469</v>
      </c>
      <c r="E911">
        <v>157.5</v>
      </c>
      <c r="F911" t="s">
        <v>514</v>
      </c>
      <c r="G911">
        <v>8.6999999999999993</v>
      </c>
    </row>
    <row r="912" spans="2:7" hidden="1">
      <c r="B912" s="43">
        <v>44407</v>
      </c>
      <c r="C912" t="s">
        <v>123</v>
      </c>
      <c r="D912" s="48">
        <v>44469</v>
      </c>
      <c r="E912">
        <v>157.5</v>
      </c>
      <c r="F912" t="s">
        <v>515</v>
      </c>
      <c r="G912">
        <v>18.2</v>
      </c>
    </row>
    <row r="913" spans="2:7" hidden="1">
      <c r="B913" s="43">
        <v>44410</v>
      </c>
      <c r="C913" t="s">
        <v>123</v>
      </c>
      <c r="D913" s="48">
        <v>44469</v>
      </c>
      <c r="E913">
        <v>157.5</v>
      </c>
      <c r="F913" t="s">
        <v>514</v>
      </c>
      <c r="G913">
        <v>8.6999999999999993</v>
      </c>
    </row>
    <row r="914" spans="2:7" hidden="1">
      <c r="B914" s="43">
        <v>44410</v>
      </c>
      <c r="C914" t="s">
        <v>123</v>
      </c>
      <c r="D914" s="48">
        <v>44469</v>
      </c>
      <c r="E914">
        <v>157.5</v>
      </c>
      <c r="F914" t="s">
        <v>515</v>
      </c>
      <c r="G914">
        <v>18.2</v>
      </c>
    </row>
    <row r="915" spans="2:7" hidden="1">
      <c r="B915" s="43">
        <v>44404</v>
      </c>
      <c r="C915" t="s">
        <v>123</v>
      </c>
      <c r="D915" s="48">
        <v>44469</v>
      </c>
      <c r="E915">
        <v>160</v>
      </c>
      <c r="F915" t="s">
        <v>514</v>
      </c>
      <c r="G915">
        <v>2.2000000000000002</v>
      </c>
    </row>
    <row r="916" spans="2:7" hidden="1">
      <c r="B916" s="43">
        <v>44404</v>
      </c>
      <c r="C916" t="s">
        <v>123</v>
      </c>
      <c r="D916" s="48">
        <v>44469</v>
      </c>
      <c r="E916">
        <v>160</v>
      </c>
      <c r="F916" t="s">
        <v>515</v>
      </c>
      <c r="G916">
        <v>19.850000000000001</v>
      </c>
    </row>
    <row r="917" spans="2:7" hidden="1">
      <c r="B917" s="43">
        <v>44405</v>
      </c>
      <c r="C917" t="s">
        <v>123</v>
      </c>
      <c r="D917" s="48">
        <v>44469</v>
      </c>
      <c r="E917">
        <v>160</v>
      </c>
      <c r="F917" t="s">
        <v>514</v>
      </c>
      <c r="G917">
        <v>1.9</v>
      </c>
    </row>
    <row r="918" spans="2:7" hidden="1">
      <c r="B918" s="43">
        <v>44405</v>
      </c>
      <c r="C918" t="s">
        <v>123</v>
      </c>
      <c r="D918" s="48">
        <v>44469</v>
      </c>
      <c r="E918">
        <v>160</v>
      </c>
      <c r="F918" t="s">
        <v>515</v>
      </c>
      <c r="G918">
        <v>19.850000000000001</v>
      </c>
    </row>
    <row r="919" spans="2:7" hidden="1">
      <c r="B919" s="43">
        <v>44406</v>
      </c>
      <c r="C919" t="s">
        <v>123</v>
      </c>
      <c r="D919" s="48">
        <v>44469</v>
      </c>
      <c r="E919">
        <v>160</v>
      </c>
      <c r="F919" t="s">
        <v>514</v>
      </c>
      <c r="G919">
        <v>1.8</v>
      </c>
    </row>
    <row r="920" spans="2:7" hidden="1">
      <c r="B920" s="43">
        <v>44406</v>
      </c>
      <c r="C920" t="s">
        <v>123</v>
      </c>
      <c r="D920" s="48">
        <v>44469</v>
      </c>
      <c r="E920">
        <v>160</v>
      </c>
      <c r="F920" t="s">
        <v>515</v>
      </c>
      <c r="G920">
        <v>19.850000000000001</v>
      </c>
    </row>
    <row r="921" spans="2:7" hidden="1">
      <c r="B921" s="43">
        <v>44407</v>
      </c>
      <c r="C921" t="s">
        <v>123</v>
      </c>
      <c r="D921" s="48">
        <v>44469</v>
      </c>
      <c r="E921">
        <v>160</v>
      </c>
      <c r="F921" t="s">
        <v>514</v>
      </c>
      <c r="G921">
        <v>1.75</v>
      </c>
    </row>
    <row r="922" spans="2:7" hidden="1">
      <c r="B922" s="43">
        <v>44407</v>
      </c>
      <c r="C922" t="s">
        <v>123</v>
      </c>
      <c r="D922" s="48">
        <v>44469</v>
      </c>
      <c r="E922">
        <v>160</v>
      </c>
      <c r="F922" t="s">
        <v>515</v>
      </c>
      <c r="G922">
        <v>19.850000000000001</v>
      </c>
    </row>
    <row r="923" spans="2:7" hidden="1">
      <c r="B923" s="43">
        <v>44410</v>
      </c>
      <c r="C923" t="s">
        <v>123</v>
      </c>
      <c r="D923" s="48">
        <v>44469</v>
      </c>
      <c r="E923">
        <v>160</v>
      </c>
      <c r="F923" t="s">
        <v>514</v>
      </c>
      <c r="G923">
        <v>1.75</v>
      </c>
    </row>
    <row r="924" spans="2:7" hidden="1">
      <c r="B924" s="43">
        <v>44410</v>
      </c>
      <c r="C924" t="s">
        <v>123</v>
      </c>
      <c r="D924" s="48">
        <v>44469</v>
      </c>
      <c r="E924">
        <v>160</v>
      </c>
      <c r="F924" t="s">
        <v>515</v>
      </c>
      <c r="G924">
        <v>19.850000000000001</v>
      </c>
    </row>
    <row r="925" spans="2:7" hidden="1">
      <c r="B925" s="43">
        <v>44404</v>
      </c>
      <c r="C925" t="s">
        <v>123</v>
      </c>
      <c r="D925" s="48">
        <v>44469</v>
      </c>
      <c r="E925">
        <v>162.5</v>
      </c>
      <c r="F925" t="s">
        <v>514</v>
      </c>
      <c r="G925">
        <v>7.1</v>
      </c>
    </row>
    <row r="926" spans="2:7" hidden="1">
      <c r="B926" s="43">
        <v>44404</v>
      </c>
      <c r="C926" t="s">
        <v>123</v>
      </c>
      <c r="D926" s="48">
        <v>44469</v>
      </c>
      <c r="E926">
        <v>162.5</v>
      </c>
      <c r="F926" t="s">
        <v>515</v>
      </c>
      <c r="G926">
        <v>21.6</v>
      </c>
    </row>
    <row r="927" spans="2:7" hidden="1">
      <c r="B927" s="43">
        <v>44405</v>
      </c>
      <c r="C927" t="s">
        <v>123</v>
      </c>
      <c r="D927" s="48">
        <v>44469</v>
      </c>
      <c r="E927">
        <v>162.5</v>
      </c>
      <c r="F927" t="s">
        <v>514</v>
      </c>
      <c r="G927">
        <v>7.1</v>
      </c>
    </row>
    <row r="928" spans="2:7" hidden="1">
      <c r="B928" s="43">
        <v>44405</v>
      </c>
      <c r="C928" t="s">
        <v>123</v>
      </c>
      <c r="D928" s="48">
        <v>44469</v>
      </c>
      <c r="E928">
        <v>162.5</v>
      </c>
      <c r="F928" t="s">
        <v>515</v>
      </c>
      <c r="G928">
        <v>21.6</v>
      </c>
    </row>
    <row r="929" spans="2:7" hidden="1">
      <c r="B929" s="43">
        <v>44406</v>
      </c>
      <c r="C929" t="s">
        <v>123</v>
      </c>
      <c r="D929" s="48">
        <v>44469</v>
      </c>
      <c r="E929">
        <v>162.5</v>
      </c>
      <c r="F929" t="s">
        <v>514</v>
      </c>
      <c r="G929">
        <v>7.1</v>
      </c>
    </row>
    <row r="930" spans="2:7" hidden="1">
      <c r="B930" s="43">
        <v>44406</v>
      </c>
      <c r="C930" t="s">
        <v>123</v>
      </c>
      <c r="D930" s="48">
        <v>44469</v>
      </c>
      <c r="E930">
        <v>162.5</v>
      </c>
      <c r="F930" t="s">
        <v>515</v>
      </c>
      <c r="G930">
        <v>21.6</v>
      </c>
    </row>
    <row r="931" spans="2:7" hidden="1">
      <c r="B931" s="43">
        <v>44407</v>
      </c>
      <c r="C931" t="s">
        <v>123</v>
      </c>
      <c r="D931" s="48">
        <v>44469</v>
      </c>
      <c r="E931">
        <v>162.5</v>
      </c>
      <c r="F931" t="s">
        <v>514</v>
      </c>
      <c r="G931">
        <v>7.1</v>
      </c>
    </row>
    <row r="932" spans="2:7" hidden="1">
      <c r="B932" s="43">
        <v>44407</v>
      </c>
      <c r="C932" t="s">
        <v>123</v>
      </c>
      <c r="D932" s="48">
        <v>44469</v>
      </c>
      <c r="E932">
        <v>162.5</v>
      </c>
      <c r="F932" t="s">
        <v>515</v>
      </c>
      <c r="G932">
        <v>21.6</v>
      </c>
    </row>
    <row r="933" spans="2:7" hidden="1">
      <c r="B933" s="43">
        <v>44410</v>
      </c>
      <c r="C933" t="s">
        <v>123</v>
      </c>
      <c r="D933" s="48">
        <v>44469</v>
      </c>
      <c r="E933">
        <v>162.5</v>
      </c>
      <c r="F933" t="s">
        <v>514</v>
      </c>
      <c r="G933">
        <v>7.1</v>
      </c>
    </row>
    <row r="934" spans="2:7" hidden="1">
      <c r="B934" s="43">
        <v>44410</v>
      </c>
      <c r="C934" t="s">
        <v>123</v>
      </c>
      <c r="D934" s="48">
        <v>44469</v>
      </c>
      <c r="E934">
        <v>162.5</v>
      </c>
      <c r="F934" t="s">
        <v>515</v>
      </c>
      <c r="G934">
        <v>21.6</v>
      </c>
    </row>
    <row r="935" spans="2:7" hidden="1">
      <c r="B935" s="43">
        <v>44404</v>
      </c>
      <c r="C935" t="s">
        <v>123</v>
      </c>
      <c r="D935" s="48">
        <v>44469</v>
      </c>
      <c r="E935">
        <v>165</v>
      </c>
      <c r="F935" t="s">
        <v>514</v>
      </c>
      <c r="G935">
        <v>6.45</v>
      </c>
    </row>
    <row r="936" spans="2:7" hidden="1">
      <c r="B936" s="43">
        <v>44404</v>
      </c>
      <c r="C936" t="s">
        <v>123</v>
      </c>
      <c r="D936" s="48">
        <v>44469</v>
      </c>
      <c r="E936">
        <v>165</v>
      </c>
      <c r="F936" t="s">
        <v>515</v>
      </c>
      <c r="G936">
        <v>23.35</v>
      </c>
    </row>
    <row r="937" spans="2:7" hidden="1">
      <c r="B937" s="43">
        <v>44405</v>
      </c>
      <c r="C937" t="s">
        <v>123</v>
      </c>
      <c r="D937" s="48">
        <v>44469</v>
      </c>
      <c r="E937">
        <v>165</v>
      </c>
      <c r="F937" t="s">
        <v>514</v>
      </c>
      <c r="G937">
        <v>6.45</v>
      </c>
    </row>
    <row r="938" spans="2:7" hidden="1">
      <c r="B938" s="43">
        <v>44405</v>
      </c>
      <c r="C938" t="s">
        <v>123</v>
      </c>
      <c r="D938" s="48">
        <v>44469</v>
      </c>
      <c r="E938">
        <v>165</v>
      </c>
      <c r="F938" t="s">
        <v>515</v>
      </c>
      <c r="G938">
        <v>23.35</v>
      </c>
    </row>
    <row r="939" spans="2:7" hidden="1">
      <c r="B939" s="43">
        <v>44406</v>
      </c>
      <c r="C939" t="s">
        <v>123</v>
      </c>
      <c r="D939" s="48">
        <v>44469</v>
      </c>
      <c r="E939">
        <v>165</v>
      </c>
      <c r="F939" t="s">
        <v>514</v>
      </c>
      <c r="G939">
        <v>6.45</v>
      </c>
    </row>
    <row r="940" spans="2:7" hidden="1">
      <c r="B940" s="43">
        <v>44406</v>
      </c>
      <c r="C940" t="s">
        <v>123</v>
      </c>
      <c r="D940" s="48">
        <v>44469</v>
      </c>
      <c r="E940">
        <v>165</v>
      </c>
      <c r="F940" t="s">
        <v>515</v>
      </c>
      <c r="G940">
        <v>23.35</v>
      </c>
    </row>
    <row r="941" spans="2:7" hidden="1">
      <c r="B941" s="43">
        <v>44407</v>
      </c>
      <c r="C941" t="s">
        <v>123</v>
      </c>
      <c r="D941" s="48">
        <v>44469</v>
      </c>
      <c r="E941">
        <v>165</v>
      </c>
      <c r="F941" t="s">
        <v>514</v>
      </c>
      <c r="G941">
        <v>6.45</v>
      </c>
    </row>
    <row r="942" spans="2:7" hidden="1">
      <c r="B942" s="43">
        <v>44407</v>
      </c>
      <c r="C942" t="s">
        <v>123</v>
      </c>
      <c r="D942" s="48">
        <v>44469</v>
      </c>
      <c r="E942">
        <v>165</v>
      </c>
      <c r="F942" t="s">
        <v>515</v>
      </c>
      <c r="G942">
        <v>23.35</v>
      </c>
    </row>
    <row r="943" spans="2:7" hidden="1">
      <c r="B943" s="43">
        <v>44410</v>
      </c>
      <c r="C943" t="s">
        <v>123</v>
      </c>
      <c r="D943" s="48">
        <v>44469</v>
      </c>
      <c r="E943">
        <v>165</v>
      </c>
      <c r="F943" t="s">
        <v>514</v>
      </c>
      <c r="G943">
        <v>6.45</v>
      </c>
    </row>
    <row r="944" spans="2:7" hidden="1">
      <c r="B944" s="43">
        <v>44410</v>
      </c>
      <c r="C944" t="s">
        <v>123</v>
      </c>
      <c r="D944" s="48">
        <v>44469</v>
      </c>
      <c r="E944">
        <v>165</v>
      </c>
      <c r="F944" t="s">
        <v>515</v>
      </c>
      <c r="G944">
        <v>23.35</v>
      </c>
    </row>
    <row r="945" spans="2:7" hidden="1">
      <c r="B945" s="43">
        <v>44404</v>
      </c>
      <c r="C945" t="s">
        <v>123</v>
      </c>
      <c r="D945" s="48">
        <v>44469</v>
      </c>
      <c r="E945">
        <v>167.5</v>
      </c>
      <c r="F945" t="s">
        <v>514</v>
      </c>
      <c r="G945">
        <v>5.8</v>
      </c>
    </row>
    <row r="946" spans="2:7" hidden="1">
      <c r="B946" s="43">
        <v>44404</v>
      </c>
      <c r="C946" t="s">
        <v>123</v>
      </c>
      <c r="D946" s="48">
        <v>44469</v>
      </c>
      <c r="E946">
        <v>167.5</v>
      </c>
      <c r="F946" t="s">
        <v>515</v>
      </c>
      <c r="G946">
        <v>25.2</v>
      </c>
    </row>
    <row r="947" spans="2:7" hidden="1">
      <c r="B947" s="43">
        <v>44405</v>
      </c>
      <c r="C947" t="s">
        <v>123</v>
      </c>
      <c r="D947" s="48">
        <v>44469</v>
      </c>
      <c r="E947">
        <v>167.5</v>
      </c>
      <c r="F947" t="s">
        <v>514</v>
      </c>
      <c r="G947">
        <v>5.8</v>
      </c>
    </row>
    <row r="948" spans="2:7" hidden="1">
      <c r="B948" s="43">
        <v>44405</v>
      </c>
      <c r="C948" t="s">
        <v>123</v>
      </c>
      <c r="D948" s="48">
        <v>44469</v>
      </c>
      <c r="E948">
        <v>167.5</v>
      </c>
      <c r="F948" t="s">
        <v>515</v>
      </c>
      <c r="G948">
        <v>25.2</v>
      </c>
    </row>
    <row r="949" spans="2:7" hidden="1">
      <c r="B949" s="43">
        <v>44406</v>
      </c>
      <c r="C949" t="s">
        <v>123</v>
      </c>
      <c r="D949" s="48">
        <v>44469</v>
      </c>
      <c r="E949">
        <v>167.5</v>
      </c>
      <c r="F949" t="s">
        <v>514</v>
      </c>
      <c r="G949">
        <v>5.8</v>
      </c>
    </row>
    <row r="950" spans="2:7" hidden="1">
      <c r="B950" s="43">
        <v>44406</v>
      </c>
      <c r="C950" t="s">
        <v>123</v>
      </c>
      <c r="D950" s="48">
        <v>44469</v>
      </c>
      <c r="E950">
        <v>167.5</v>
      </c>
      <c r="F950" t="s">
        <v>515</v>
      </c>
      <c r="G950">
        <v>25.2</v>
      </c>
    </row>
    <row r="951" spans="2:7" hidden="1">
      <c r="B951" s="43">
        <v>44407</v>
      </c>
      <c r="C951" t="s">
        <v>123</v>
      </c>
      <c r="D951" s="48">
        <v>44469</v>
      </c>
      <c r="E951">
        <v>167.5</v>
      </c>
      <c r="F951" t="s">
        <v>514</v>
      </c>
      <c r="G951">
        <v>5.8</v>
      </c>
    </row>
    <row r="952" spans="2:7" hidden="1">
      <c r="B952" s="43">
        <v>44407</v>
      </c>
      <c r="C952" t="s">
        <v>123</v>
      </c>
      <c r="D952" s="48">
        <v>44469</v>
      </c>
      <c r="E952">
        <v>167.5</v>
      </c>
      <c r="F952" t="s">
        <v>515</v>
      </c>
      <c r="G952">
        <v>25.2</v>
      </c>
    </row>
    <row r="953" spans="2:7" hidden="1">
      <c r="B953" s="43">
        <v>44410</v>
      </c>
      <c r="C953" t="s">
        <v>123</v>
      </c>
      <c r="D953" s="48">
        <v>44469</v>
      </c>
      <c r="E953">
        <v>167.5</v>
      </c>
      <c r="F953" t="s">
        <v>514</v>
      </c>
      <c r="G953">
        <v>5.8</v>
      </c>
    </row>
    <row r="954" spans="2:7" hidden="1">
      <c r="B954" s="43">
        <v>44410</v>
      </c>
      <c r="C954" t="s">
        <v>123</v>
      </c>
      <c r="D954" s="48">
        <v>44469</v>
      </c>
      <c r="E954">
        <v>167.5</v>
      </c>
      <c r="F954" t="s">
        <v>515</v>
      </c>
      <c r="G954">
        <v>25.2</v>
      </c>
    </row>
    <row r="955" spans="2:7" hidden="1">
      <c r="B955" s="43">
        <v>44404</v>
      </c>
      <c r="C955" t="s">
        <v>123</v>
      </c>
      <c r="D955" s="48">
        <v>44469</v>
      </c>
      <c r="E955">
        <v>170</v>
      </c>
      <c r="F955" t="s">
        <v>514</v>
      </c>
      <c r="G955">
        <v>5.2</v>
      </c>
    </row>
    <row r="956" spans="2:7" hidden="1">
      <c r="B956" s="43">
        <v>44404</v>
      </c>
      <c r="C956" t="s">
        <v>123</v>
      </c>
      <c r="D956" s="48">
        <v>44469</v>
      </c>
      <c r="E956">
        <v>170</v>
      </c>
      <c r="F956" t="s">
        <v>515</v>
      </c>
      <c r="G956">
        <v>27.1</v>
      </c>
    </row>
    <row r="957" spans="2:7" hidden="1">
      <c r="B957" s="43">
        <v>44405</v>
      </c>
      <c r="C957" t="s">
        <v>123</v>
      </c>
      <c r="D957" s="48">
        <v>44469</v>
      </c>
      <c r="E957">
        <v>170</v>
      </c>
      <c r="F957" t="s">
        <v>514</v>
      </c>
      <c r="G957">
        <v>5.2</v>
      </c>
    </row>
    <row r="958" spans="2:7" hidden="1">
      <c r="B958" s="43">
        <v>44405</v>
      </c>
      <c r="C958" t="s">
        <v>123</v>
      </c>
      <c r="D958" s="48">
        <v>44469</v>
      </c>
      <c r="E958">
        <v>170</v>
      </c>
      <c r="F958" t="s">
        <v>515</v>
      </c>
      <c r="G958">
        <v>27.1</v>
      </c>
    </row>
    <row r="959" spans="2:7" hidden="1">
      <c r="B959" s="43">
        <v>44406</v>
      </c>
      <c r="C959" t="s">
        <v>123</v>
      </c>
      <c r="D959" s="48">
        <v>44469</v>
      </c>
      <c r="E959">
        <v>170</v>
      </c>
      <c r="F959" t="s">
        <v>514</v>
      </c>
      <c r="G959">
        <v>5.2</v>
      </c>
    </row>
    <row r="960" spans="2:7" hidden="1">
      <c r="B960" s="43">
        <v>44406</v>
      </c>
      <c r="C960" t="s">
        <v>123</v>
      </c>
      <c r="D960" s="48">
        <v>44469</v>
      </c>
      <c r="E960">
        <v>170</v>
      </c>
      <c r="F960" t="s">
        <v>515</v>
      </c>
      <c r="G960">
        <v>27.1</v>
      </c>
    </row>
    <row r="961" spans="2:7" hidden="1">
      <c r="B961" s="43">
        <v>44407</v>
      </c>
      <c r="C961" t="s">
        <v>123</v>
      </c>
      <c r="D961" s="48">
        <v>44469</v>
      </c>
      <c r="E961">
        <v>170</v>
      </c>
      <c r="F961" t="s">
        <v>514</v>
      </c>
      <c r="G961">
        <v>5.2</v>
      </c>
    </row>
    <row r="962" spans="2:7" hidden="1">
      <c r="B962" s="43">
        <v>44407</v>
      </c>
      <c r="C962" t="s">
        <v>123</v>
      </c>
      <c r="D962" s="48">
        <v>44469</v>
      </c>
      <c r="E962">
        <v>170</v>
      </c>
      <c r="F962" t="s">
        <v>515</v>
      </c>
      <c r="G962">
        <v>27.1</v>
      </c>
    </row>
    <row r="963" spans="2:7" hidden="1">
      <c r="B963" s="43">
        <v>44410</v>
      </c>
      <c r="C963" t="s">
        <v>123</v>
      </c>
      <c r="D963" s="48">
        <v>44469</v>
      </c>
      <c r="E963">
        <v>170</v>
      </c>
      <c r="F963" t="s">
        <v>514</v>
      </c>
      <c r="G963">
        <v>0.55000000000000004</v>
      </c>
    </row>
    <row r="964" spans="2:7" hidden="1">
      <c r="B964" s="43">
        <v>44410</v>
      </c>
      <c r="C964" t="s">
        <v>123</v>
      </c>
      <c r="D964" s="48">
        <v>44469</v>
      </c>
      <c r="E964">
        <v>170</v>
      </c>
      <c r="F964" t="s">
        <v>515</v>
      </c>
      <c r="G964">
        <v>27.1</v>
      </c>
    </row>
    <row r="965" spans="2:7" hidden="1">
      <c r="B965" s="43">
        <v>44404</v>
      </c>
      <c r="C965" t="s">
        <v>123</v>
      </c>
      <c r="D965" s="48">
        <v>44469</v>
      </c>
      <c r="E965">
        <v>172.5</v>
      </c>
      <c r="F965" t="s">
        <v>514</v>
      </c>
      <c r="G965">
        <v>4.7</v>
      </c>
    </row>
    <row r="966" spans="2:7" hidden="1">
      <c r="B966" s="43">
        <v>44404</v>
      </c>
      <c r="C966" t="s">
        <v>123</v>
      </c>
      <c r="D966" s="48">
        <v>44469</v>
      </c>
      <c r="E966">
        <v>172.5</v>
      </c>
      <c r="F966" t="s">
        <v>515</v>
      </c>
      <c r="G966">
        <v>29.05</v>
      </c>
    </row>
    <row r="967" spans="2:7" hidden="1">
      <c r="B967" s="43">
        <v>44405</v>
      </c>
      <c r="C967" t="s">
        <v>123</v>
      </c>
      <c r="D967" s="48">
        <v>44469</v>
      </c>
      <c r="E967">
        <v>172.5</v>
      </c>
      <c r="F967" t="s">
        <v>514</v>
      </c>
      <c r="G967">
        <v>4.7</v>
      </c>
    </row>
    <row r="968" spans="2:7" hidden="1">
      <c r="B968" s="43">
        <v>44405</v>
      </c>
      <c r="C968" t="s">
        <v>123</v>
      </c>
      <c r="D968" s="48">
        <v>44469</v>
      </c>
      <c r="E968">
        <v>172.5</v>
      </c>
      <c r="F968" t="s">
        <v>515</v>
      </c>
      <c r="G968">
        <v>29.05</v>
      </c>
    </row>
    <row r="969" spans="2:7" hidden="1">
      <c r="B969" s="43">
        <v>44406</v>
      </c>
      <c r="C969" t="s">
        <v>123</v>
      </c>
      <c r="D969" s="48">
        <v>44469</v>
      </c>
      <c r="E969">
        <v>172.5</v>
      </c>
      <c r="F969" t="s">
        <v>514</v>
      </c>
      <c r="G969">
        <v>4.7</v>
      </c>
    </row>
    <row r="970" spans="2:7" hidden="1">
      <c r="B970" s="43">
        <v>44406</v>
      </c>
      <c r="C970" t="s">
        <v>123</v>
      </c>
      <c r="D970" s="48">
        <v>44469</v>
      </c>
      <c r="E970">
        <v>172.5</v>
      </c>
      <c r="F970" t="s">
        <v>515</v>
      </c>
      <c r="G970">
        <v>29.05</v>
      </c>
    </row>
    <row r="971" spans="2:7" hidden="1">
      <c r="B971" s="43">
        <v>44407</v>
      </c>
      <c r="C971" t="s">
        <v>123</v>
      </c>
      <c r="D971" s="48">
        <v>44469</v>
      </c>
      <c r="E971">
        <v>172.5</v>
      </c>
      <c r="F971" t="s">
        <v>514</v>
      </c>
      <c r="G971">
        <v>4.7</v>
      </c>
    </row>
    <row r="972" spans="2:7" hidden="1">
      <c r="B972" s="43">
        <v>44407</v>
      </c>
      <c r="C972" t="s">
        <v>123</v>
      </c>
      <c r="D972" s="48">
        <v>44469</v>
      </c>
      <c r="E972">
        <v>172.5</v>
      </c>
      <c r="F972" t="s">
        <v>515</v>
      </c>
      <c r="G972">
        <v>29.05</v>
      </c>
    </row>
    <row r="973" spans="2:7" hidden="1">
      <c r="B973" s="43">
        <v>44410</v>
      </c>
      <c r="C973" t="s">
        <v>123</v>
      </c>
      <c r="D973" s="48">
        <v>44469</v>
      </c>
      <c r="E973">
        <v>172.5</v>
      </c>
      <c r="F973" t="s">
        <v>514</v>
      </c>
      <c r="G973">
        <v>4.7</v>
      </c>
    </row>
    <row r="974" spans="2:7" hidden="1">
      <c r="B974" s="43">
        <v>44410</v>
      </c>
      <c r="C974" t="s">
        <v>123</v>
      </c>
      <c r="D974" s="48">
        <v>44469</v>
      </c>
      <c r="E974">
        <v>172.5</v>
      </c>
      <c r="F974" t="s">
        <v>515</v>
      </c>
      <c r="G974">
        <v>29.05</v>
      </c>
    </row>
    <row r="975" spans="2:7" hidden="1">
      <c r="B975" s="43">
        <v>44404</v>
      </c>
      <c r="C975" t="s">
        <v>123</v>
      </c>
      <c r="D975" s="48">
        <v>44469</v>
      </c>
      <c r="E975">
        <v>175</v>
      </c>
      <c r="F975" t="s">
        <v>514</v>
      </c>
      <c r="G975">
        <v>4.2</v>
      </c>
    </row>
    <row r="976" spans="2:7" hidden="1">
      <c r="B976" s="43">
        <v>44404</v>
      </c>
      <c r="C976" t="s">
        <v>123</v>
      </c>
      <c r="D976" s="48">
        <v>44469</v>
      </c>
      <c r="E976">
        <v>175</v>
      </c>
      <c r="F976" t="s">
        <v>515</v>
      </c>
      <c r="G976">
        <v>31.05</v>
      </c>
    </row>
    <row r="977" spans="2:7" hidden="1">
      <c r="B977" s="43">
        <v>44405</v>
      </c>
      <c r="C977" t="s">
        <v>123</v>
      </c>
      <c r="D977" s="48">
        <v>44469</v>
      </c>
      <c r="E977">
        <v>175</v>
      </c>
      <c r="F977" t="s">
        <v>514</v>
      </c>
      <c r="G977">
        <v>4.2</v>
      </c>
    </row>
    <row r="978" spans="2:7" hidden="1">
      <c r="B978" s="43">
        <v>44405</v>
      </c>
      <c r="C978" t="s">
        <v>123</v>
      </c>
      <c r="D978" s="48">
        <v>44469</v>
      </c>
      <c r="E978">
        <v>175</v>
      </c>
      <c r="F978" t="s">
        <v>515</v>
      </c>
      <c r="G978">
        <v>31.05</v>
      </c>
    </row>
    <row r="979" spans="2:7" hidden="1">
      <c r="B979" s="43">
        <v>44406</v>
      </c>
      <c r="C979" t="s">
        <v>123</v>
      </c>
      <c r="D979" s="48">
        <v>44469</v>
      </c>
      <c r="E979">
        <v>175</v>
      </c>
      <c r="F979" t="s">
        <v>514</v>
      </c>
      <c r="G979">
        <v>4.2</v>
      </c>
    </row>
    <row r="980" spans="2:7" hidden="1">
      <c r="B980" s="43">
        <v>44406</v>
      </c>
      <c r="C980" t="s">
        <v>123</v>
      </c>
      <c r="D980" s="48">
        <v>44469</v>
      </c>
      <c r="E980">
        <v>175</v>
      </c>
      <c r="F980" t="s">
        <v>515</v>
      </c>
      <c r="G980">
        <v>31.05</v>
      </c>
    </row>
    <row r="981" spans="2:7" hidden="1">
      <c r="B981" s="43">
        <v>44407</v>
      </c>
      <c r="C981" t="s">
        <v>123</v>
      </c>
      <c r="D981" s="48">
        <v>44469</v>
      </c>
      <c r="E981">
        <v>175</v>
      </c>
      <c r="F981" t="s">
        <v>514</v>
      </c>
      <c r="G981">
        <v>4.2</v>
      </c>
    </row>
    <row r="982" spans="2:7" hidden="1">
      <c r="B982" s="43">
        <v>44407</v>
      </c>
      <c r="C982" t="s">
        <v>123</v>
      </c>
      <c r="D982" s="48">
        <v>44469</v>
      </c>
      <c r="E982">
        <v>175</v>
      </c>
      <c r="F982" t="s">
        <v>515</v>
      </c>
      <c r="G982">
        <v>31.05</v>
      </c>
    </row>
    <row r="983" spans="2:7" hidden="1">
      <c r="B983" s="43">
        <v>44410</v>
      </c>
      <c r="C983" t="s">
        <v>123</v>
      </c>
      <c r="D983" s="48">
        <v>44469</v>
      </c>
      <c r="E983">
        <v>175</v>
      </c>
      <c r="F983" t="s">
        <v>514</v>
      </c>
      <c r="G983">
        <v>4.2</v>
      </c>
    </row>
    <row r="984" spans="2:7" hidden="1">
      <c r="B984" s="43">
        <v>44410</v>
      </c>
      <c r="C984" t="s">
        <v>123</v>
      </c>
      <c r="D984" s="48">
        <v>44469</v>
      </c>
      <c r="E984">
        <v>175</v>
      </c>
      <c r="F984" t="s">
        <v>515</v>
      </c>
      <c r="G984">
        <v>31.05</v>
      </c>
    </row>
    <row r="985" spans="2:7" hidden="1">
      <c r="B985" s="43">
        <v>44404</v>
      </c>
      <c r="C985" t="s">
        <v>123</v>
      </c>
      <c r="D985" s="48">
        <v>44469</v>
      </c>
      <c r="E985">
        <v>177.5</v>
      </c>
      <c r="F985" t="s">
        <v>514</v>
      </c>
      <c r="G985">
        <v>3.75</v>
      </c>
    </row>
    <row r="986" spans="2:7" hidden="1">
      <c r="B986" s="43">
        <v>44404</v>
      </c>
      <c r="C986" t="s">
        <v>123</v>
      </c>
      <c r="D986" s="48">
        <v>44469</v>
      </c>
      <c r="E986">
        <v>177.5</v>
      </c>
      <c r="F986" t="s">
        <v>515</v>
      </c>
      <c r="G986">
        <v>33.1</v>
      </c>
    </row>
    <row r="987" spans="2:7" hidden="1">
      <c r="B987" s="43">
        <v>44405</v>
      </c>
      <c r="C987" t="s">
        <v>123</v>
      </c>
      <c r="D987" s="48">
        <v>44469</v>
      </c>
      <c r="E987">
        <v>177.5</v>
      </c>
      <c r="F987" t="s">
        <v>514</v>
      </c>
      <c r="G987">
        <v>3.75</v>
      </c>
    </row>
    <row r="988" spans="2:7" hidden="1">
      <c r="B988" s="43">
        <v>44405</v>
      </c>
      <c r="C988" t="s">
        <v>123</v>
      </c>
      <c r="D988" s="48">
        <v>44469</v>
      </c>
      <c r="E988">
        <v>177.5</v>
      </c>
      <c r="F988" t="s">
        <v>515</v>
      </c>
      <c r="G988">
        <v>33.1</v>
      </c>
    </row>
    <row r="989" spans="2:7" hidden="1">
      <c r="B989" s="43">
        <v>44406</v>
      </c>
      <c r="C989" t="s">
        <v>123</v>
      </c>
      <c r="D989" s="48">
        <v>44469</v>
      </c>
      <c r="E989">
        <v>177.5</v>
      </c>
      <c r="F989" t="s">
        <v>514</v>
      </c>
      <c r="G989">
        <v>3.75</v>
      </c>
    </row>
    <row r="990" spans="2:7" hidden="1">
      <c r="B990" s="43">
        <v>44406</v>
      </c>
      <c r="C990" t="s">
        <v>123</v>
      </c>
      <c r="D990" s="48">
        <v>44469</v>
      </c>
      <c r="E990">
        <v>177.5</v>
      </c>
      <c r="F990" t="s">
        <v>515</v>
      </c>
      <c r="G990">
        <v>33.1</v>
      </c>
    </row>
    <row r="991" spans="2:7" hidden="1">
      <c r="B991" s="43">
        <v>44407</v>
      </c>
      <c r="C991" t="s">
        <v>123</v>
      </c>
      <c r="D991" s="48">
        <v>44469</v>
      </c>
      <c r="E991">
        <v>177.5</v>
      </c>
      <c r="F991" t="s">
        <v>514</v>
      </c>
      <c r="G991">
        <v>3.75</v>
      </c>
    </row>
    <row r="992" spans="2:7" hidden="1">
      <c r="B992" s="43">
        <v>44407</v>
      </c>
      <c r="C992" t="s">
        <v>123</v>
      </c>
      <c r="D992" s="48">
        <v>44469</v>
      </c>
      <c r="E992">
        <v>177.5</v>
      </c>
      <c r="F992" t="s">
        <v>515</v>
      </c>
      <c r="G992">
        <v>33.1</v>
      </c>
    </row>
    <row r="993" spans="2:7" hidden="1">
      <c r="B993" s="43">
        <v>44410</v>
      </c>
      <c r="C993" t="s">
        <v>123</v>
      </c>
      <c r="D993" s="48">
        <v>44469</v>
      </c>
      <c r="E993">
        <v>177.5</v>
      </c>
      <c r="F993" t="s">
        <v>514</v>
      </c>
      <c r="G993">
        <v>3.75</v>
      </c>
    </row>
    <row r="994" spans="2:7" hidden="1">
      <c r="B994" s="43">
        <v>44410</v>
      </c>
      <c r="C994" t="s">
        <v>123</v>
      </c>
      <c r="D994" s="48">
        <v>44469</v>
      </c>
      <c r="E994">
        <v>177.5</v>
      </c>
      <c r="F994" t="s">
        <v>515</v>
      </c>
      <c r="G994">
        <v>33.1</v>
      </c>
    </row>
    <row r="995" spans="2:7" hidden="1">
      <c r="B995" s="43">
        <v>44404</v>
      </c>
      <c r="C995" t="s">
        <v>123</v>
      </c>
      <c r="D995" s="48">
        <v>44469</v>
      </c>
      <c r="E995">
        <v>180</v>
      </c>
      <c r="F995" t="s">
        <v>514</v>
      </c>
      <c r="G995">
        <v>3.35</v>
      </c>
    </row>
    <row r="996" spans="2:7" hidden="1">
      <c r="B996" s="43">
        <v>44404</v>
      </c>
      <c r="C996" t="s">
        <v>123</v>
      </c>
      <c r="D996" s="48">
        <v>44469</v>
      </c>
      <c r="E996">
        <v>180</v>
      </c>
      <c r="F996" t="s">
        <v>515</v>
      </c>
      <c r="G996">
        <v>35.15</v>
      </c>
    </row>
    <row r="997" spans="2:7" hidden="1">
      <c r="B997" s="43">
        <v>44405</v>
      </c>
      <c r="C997" t="s">
        <v>123</v>
      </c>
      <c r="D997" s="48">
        <v>44469</v>
      </c>
      <c r="E997">
        <v>180</v>
      </c>
      <c r="F997" t="s">
        <v>514</v>
      </c>
      <c r="G997">
        <v>3.35</v>
      </c>
    </row>
    <row r="998" spans="2:7" hidden="1">
      <c r="B998" s="43">
        <v>44405</v>
      </c>
      <c r="C998" t="s">
        <v>123</v>
      </c>
      <c r="D998" s="48">
        <v>44469</v>
      </c>
      <c r="E998">
        <v>180</v>
      </c>
      <c r="F998" t="s">
        <v>515</v>
      </c>
      <c r="G998">
        <v>35.15</v>
      </c>
    </row>
    <row r="999" spans="2:7" hidden="1">
      <c r="B999" s="43">
        <v>44406</v>
      </c>
      <c r="C999" t="s">
        <v>123</v>
      </c>
      <c r="D999" s="48">
        <v>44469</v>
      </c>
      <c r="E999">
        <v>180</v>
      </c>
      <c r="F999" t="s">
        <v>514</v>
      </c>
      <c r="G999">
        <v>3.35</v>
      </c>
    </row>
    <row r="1000" spans="2:7" hidden="1">
      <c r="B1000" s="43">
        <v>44406</v>
      </c>
      <c r="C1000" t="s">
        <v>123</v>
      </c>
      <c r="D1000" s="48">
        <v>44469</v>
      </c>
      <c r="E1000">
        <v>180</v>
      </c>
      <c r="F1000" t="s">
        <v>515</v>
      </c>
      <c r="G1000">
        <v>35.15</v>
      </c>
    </row>
    <row r="1001" spans="2:7" hidden="1">
      <c r="B1001" s="43">
        <v>44407</v>
      </c>
      <c r="C1001" t="s">
        <v>123</v>
      </c>
      <c r="D1001" s="48">
        <v>44469</v>
      </c>
      <c r="E1001">
        <v>180</v>
      </c>
      <c r="F1001" t="s">
        <v>514</v>
      </c>
      <c r="G1001">
        <v>3.35</v>
      </c>
    </row>
    <row r="1002" spans="2:7" hidden="1">
      <c r="B1002" s="43">
        <v>44407</v>
      </c>
      <c r="C1002" t="s">
        <v>123</v>
      </c>
      <c r="D1002" s="48">
        <v>44469</v>
      </c>
      <c r="E1002">
        <v>180</v>
      </c>
      <c r="F1002" t="s">
        <v>515</v>
      </c>
      <c r="G1002">
        <v>35.15</v>
      </c>
    </row>
    <row r="1003" spans="2:7" hidden="1">
      <c r="B1003" s="43">
        <v>44410</v>
      </c>
      <c r="C1003" t="s">
        <v>123</v>
      </c>
      <c r="D1003" s="48">
        <v>44469</v>
      </c>
      <c r="E1003">
        <v>180</v>
      </c>
      <c r="F1003" t="s">
        <v>514</v>
      </c>
      <c r="G1003">
        <v>3.35</v>
      </c>
    </row>
    <row r="1004" spans="2:7" hidden="1">
      <c r="B1004" s="43">
        <v>44410</v>
      </c>
      <c r="C1004" t="s">
        <v>123</v>
      </c>
      <c r="D1004" s="48">
        <v>44469</v>
      </c>
      <c r="E1004">
        <v>180</v>
      </c>
      <c r="F1004" t="s">
        <v>515</v>
      </c>
      <c r="G1004">
        <v>35.15</v>
      </c>
    </row>
    <row r="1005" spans="2:7" hidden="1">
      <c r="B1005" s="43">
        <v>44404</v>
      </c>
      <c r="C1005" t="s">
        <v>123</v>
      </c>
      <c r="D1005" s="48">
        <v>44469</v>
      </c>
      <c r="E1005">
        <v>182.5</v>
      </c>
      <c r="F1005" t="s">
        <v>514</v>
      </c>
      <c r="G1005">
        <v>3</v>
      </c>
    </row>
    <row r="1006" spans="2:7" hidden="1">
      <c r="B1006" s="43">
        <v>44404</v>
      </c>
      <c r="C1006" t="s">
        <v>123</v>
      </c>
      <c r="D1006" s="48">
        <v>44469</v>
      </c>
      <c r="E1006">
        <v>182.5</v>
      </c>
      <c r="F1006" t="s">
        <v>515</v>
      </c>
      <c r="G1006">
        <v>37.25</v>
      </c>
    </row>
    <row r="1007" spans="2:7" hidden="1">
      <c r="B1007" s="43">
        <v>44405</v>
      </c>
      <c r="C1007" t="s">
        <v>123</v>
      </c>
      <c r="D1007" s="48">
        <v>44469</v>
      </c>
      <c r="E1007">
        <v>182.5</v>
      </c>
      <c r="F1007" t="s">
        <v>514</v>
      </c>
      <c r="G1007">
        <v>3</v>
      </c>
    </row>
    <row r="1008" spans="2:7" hidden="1">
      <c r="B1008" s="43">
        <v>44405</v>
      </c>
      <c r="C1008" t="s">
        <v>123</v>
      </c>
      <c r="D1008" s="48">
        <v>44469</v>
      </c>
      <c r="E1008">
        <v>182.5</v>
      </c>
      <c r="F1008" t="s">
        <v>515</v>
      </c>
      <c r="G1008">
        <v>37.25</v>
      </c>
    </row>
    <row r="1009" spans="2:7" hidden="1">
      <c r="B1009" s="43">
        <v>44406</v>
      </c>
      <c r="C1009" t="s">
        <v>123</v>
      </c>
      <c r="D1009" s="48">
        <v>44469</v>
      </c>
      <c r="E1009">
        <v>182.5</v>
      </c>
      <c r="F1009" t="s">
        <v>514</v>
      </c>
      <c r="G1009">
        <v>3</v>
      </c>
    </row>
    <row r="1010" spans="2:7" hidden="1">
      <c r="B1010" s="43">
        <v>44406</v>
      </c>
      <c r="C1010" t="s">
        <v>123</v>
      </c>
      <c r="D1010" s="48">
        <v>44469</v>
      </c>
      <c r="E1010">
        <v>182.5</v>
      </c>
      <c r="F1010" t="s">
        <v>515</v>
      </c>
      <c r="G1010">
        <v>37.25</v>
      </c>
    </row>
    <row r="1011" spans="2:7" hidden="1">
      <c r="B1011" s="43">
        <v>44407</v>
      </c>
      <c r="C1011" t="s">
        <v>123</v>
      </c>
      <c r="D1011" s="48">
        <v>44469</v>
      </c>
      <c r="E1011">
        <v>182.5</v>
      </c>
      <c r="F1011" t="s">
        <v>514</v>
      </c>
      <c r="G1011">
        <v>3</v>
      </c>
    </row>
    <row r="1012" spans="2:7" hidden="1">
      <c r="B1012" s="43">
        <v>44407</v>
      </c>
      <c r="C1012" t="s">
        <v>123</v>
      </c>
      <c r="D1012" s="48">
        <v>44469</v>
      </c>
      <c r="E1012">
        <v>182.5</v>
      </c>
      <c r="F1012" t="s">
        <v>515</v>
      </c>
      <c r="G1012">
        <v>37.25</v>
      </c>
    </row>
    <row r="1013" spans="2:7" hidden="1">
      <c r="B1013" s="43">
        <v>44410</v>
      </c>
      <c r="C1013" t="s">
        <v>123</v>
      </c>
      <c r="D1013" s="48">
        <v>44469</v>
      </c>
      <c r="E1013">
        <v>182.5</v>
      </c>
      <c r="F1013" t="s">
        <v>514</v>
      </c>
      <c r="G1013">
        <v>3</v>
      </c>
    </row>
    <row r="1014" spans="2:7" hidden="1">
      <c r="B1014" s="43">
        <v>44410</v>
      </c>
      <c r="C1014" t="s">
        <v>123</v>
      </c>
      <c r="D1014" s="48">
        <v>44469</v>
      </c>
      <c r="E1014">
        <v>182.5</v>
      </c>
      <c r="F1014" t="s">
        <v>515</v>
      </c>
      <c r="G1014">
        <v>37.25</v>
      </c>
    </row>
    <row r="1015" spans="2:7" hidden="1">
      <c r="B1015" s="43">
        <v>44404</v>
      </c>
      <c r="C1015" t="s">
        <v>123</v>
      </c>
      <c r="D1015" s="48">
        <v>44469</v>
      </c>
      <c r="E1015">
        <v>185</v>
      </c>
      <c r="F1015" t="s">
        <v>514</v>
      </c>
      <c r="G1015">
        <v>2.7</v>
      </c>
    </row>
    <row r="1016" spans="2:7" hidden="1">
      <c r="B1016" s="43">
        <v>44404</v>
      </c>
      <c r="C1016" t="s">
        <v>123</v>
      </c>
      <c r="D1016" s="48">
        <v>44469</v>
      </c>
      <c r="E1016">
        <v>185</v>
      </c>
      <c r="F1016" t="s">
        <v>515</v>
      </c>
      <c r="G1016">
        <v>39.4</v>
      </c>
    </row>
    <row r="1017" spans="2:7" hidden="1">
      <c r="B1017" s="43">
        <v>44405</v>
      </c>
      <c r="C1017" t="s">
        <v>123</v>
      </c>
      <c r="D1017" s="48">
        <v>44469</v>
      </c>
      <c r="E1017">
        <v>185</v>
      </c>
      <c r="F1017" t="s">
        <v>514</v>
      </c>
      <c r="G1017">
        <v>2.7</v>
      </c>
    </row>
    <row r="1018" spans="2:7" hidden="1">
      <c r="B1018" s="43">
        <v>44405</v>
      </c>
      <c r="C1018" t="s">
        <v>123</v>
      </c>
      <c r="D1018" s="48">
        <v>44469</v>
      </c>
      <c r="E1018">
        <v>185</v>
      </c>
      <c r="F1018" t="s">
        <v>515</v>
      </c>
      <c r="G1018">
        <v>39.4</v>
      </c>
    </row>
    <row r="1019" spans="2:7" hidden="1">
      <c r="B1019" s="43">
        <v>44406</v>
      </c>
      <c r="C1019" t="s">
        <v>123</v>
      </c>
      <c r="D1019" s="48">
        <v>44469</v>
      </c>
      <c r="E1019">
        <v>185</v>
      </c>
      <c r="F1019" t="s">
        <v>514</v>
      </c>
      <c r="G1019">
        <v>2.7</v>
      </c>
    </row>
    <row r="1020" spans="2:7" hidden="1">
      <c r="B1020" s="43">
        <v>44406</v>
      </c>
      <c r="C1020" t="s">
        <v>123</v>
      </c>
      <c r="D1020" s="48">
        <v>44469</v>
      </c>
      <c r="E1020">
        <v>185</v>
      </c>
      <c r="F1020" t="s">
        <v>515</v>
      </c>
      <c r="G1020">
        <v>39.4</v>
      </c>
    </row>
    <row r="1021" spans="2:7" hidden="1">
      <c r="B1021" s="43">
        <v>44407</v>
      </c>
      <c r="C1021" t="s">
        <v>123</v>
      </c>
      <c r="D1021" s="48">
        <v>44469</v>
      </c>
      <c r="E1021">
        <v>185</v>
      </c>
      <c r="F1021" t="s">
        <v>514</v>
      </c>
      <c r="G1021">
        <v>2.7</v>
      </c>
    </row>
    <row r="1022" spans="2:7" hidden="1">
      <c r="B1022" s="43">
        <v>44407</v>
      </c>
      <c r="C1022" t="s">
        <v>123</v>
      </c>
      <c r="D1022" s="48">
        <v>44469</v>
      </c>
      <c r="E1022">
        <v>185</v>
      </c>
      <c r="F1022" t="s">
        <v>515</v>
      </c>
      <c r="G1022">
        <v>39.4</v>
      </c>
    </row>
    <row r="1023" spans="2:7" hidden="1">
      <c r="B1023" s="43">
        <v>44410</v>
      </c>
      <c r="C1023" t="s">
        <v>123</v>
      </c>
      <c r="D1023" s="48">
        <v>44469</v>
      </c>
      <c r="E1023">
        <v>185</v>
      </c>
      <c r="F1023" t="s">
        <v>514</v>
      </c>
      <c r="G1023">
        <v>2.7</v>
      </c>
    </row>
    <row r="1024" spans="2:7" hidden="1">
      <c r="B1024" s="43">
        <v>44410</v>
      </c>
      <c r="C1024" t="s">
        <v>123</v>
      </c>
      <c r="D1024" s="48">
        <v>44469</v>
      </c>
      <c r="E1024">
        <v>185</v>
      </c>
      <c r="F1024" t="s">
        <v>515</v>
      </c>
      <c r="G1024">
        <v>39.4</v>
      </c>
    </row>
    <row r="1025" spans="2:7" hidden="1">
      <c r="B1025" s="43">
        <v>44404</v>
      </c>
      <c r="C1025" t="s">
        <v>123</v>
      </c>
      <c r="D1025" s="48">
        <v>44469</v>
      </c>
      <c r="E1025">
        <v>187.5</v>
      </c>
      <c r="F1025" t="s">
        <v>514</v>
      </c>
      <c r="G1025">
        <v>2.4</v>
      </c>
    </row>
    <row r="1026" spans="2:7" hidden="1">
      <c r="B1026" s="43">
        <v>44404</v>
      </c>
      <c r="C1026" t="s">
        <v>123</v>
      </c>
      <c r="D1026" s="48">
        <v>44469</v>
      </c>
      <c r="E1026">
        <v>187.5</v>
      </c>
      <c r="F1026" t="s">
        <v>515</v>
      </c>
      <c r="G1026">
        <v>41.6</v>
      </c>
    </row>
    <row r="1027" spans="2:7" hidden="1">
      <c r="B1027" s="43">
        <v>44405</v>
      </c>
      <c r="C1027" t="s">
        <v>123</v>
      </c>
      <c r="D1027" s="48">
        <v>44469</v>
      </c>
      <c r="E1027">
        <v>187.5</v>
      </c>
      <c r="F1027" t="s">
        <v>514</v>
      </c>
      <c r="G1027">
        <v>2.4</v>
      </c>
    </row>
    <row r="1028" spans="2:7" hidden="1">
      <c r="B1028" s="43">
        <v>44405</v>
      </c>
      <c r="C1028" t="s">
        <v>123</v>
      </c>
      <c r="D1028" s="48">
        <v>44469</v>
      </c>
      <c r="E1028">
        <v>187.5</v>
      </c>
      <c r="F1028" t="s">
        <v>515</v>
      </c>
      <c r="G1028">
        <v>41.6</v>
      </c>
    </row>
    <row r="1029" spans="2:7" hidden="1">
      <c r="B1029" s="43">
        <v>44406</v>
      </c>
      <c r="C1029" t="s">
        <v>123</v>
      </c>
      <c r="D1029" s="48">
        <v>44469</v>
      </c>
      <c r="E1029">
        <v>187.5</v>
      </c>
      <c r="F1029" t="s">
        <v>514</v>
      </c>
      <c r="G1029">
        <v>2.4</v>
      </c>
    </row>
    <row r="1030" spans="2:7" hidden="1">
      <c r="B1030" s="43">
        <v>44406</v>
      </c>
      <c r="C1030" t="s">
        <v>123</v>
      </c>
      <c r="D1030" s="48">
        <v>44469</v>
      </c>
      <c r="E1030">
        <v>187.5</v>
      </c>
      <c r="F1030" t="s">
        <v>515</v>
      </c>
      <c r="G1030">
        <v>41.6</v>
      </c>
    </row>
    <row r="1031" spans="2:7" hidden="1">
      <c r="B1031" s="43">
        <v>44407</v>
      </c>
      <c r="C1031" t="s">
        <v>123</v>
      </c>
      <c r="D1031" s="48">
        <v>44469</v>
      </c>
      <c r="E1031">
        <v>187.5</v>
      </c>
      <c r="F1031" t="s">
        <v>514</v>
      </c>
      <c r="G1031">
        <v>2.4</v>
      </c>
    </row>
    <row r="1032" spans="2:7" hidden="1">
      <c r="B1032" s="43">
        <v>44407</v>
      </c>
      <c r="C1032" t="s">
        <v>123</v>
      </c>
      <c r="D1032" s="48">
        <v>44469</v>
      </c>
      <c r="E1032">
        <v>187.5</v>
      </c>
      <c r="F1032" t="s">
        <v>515</v>
      </c>
      <c r="G1032">
        <v>41.6</v>
      </c>
    </row>
    <row r="1033" spans="2:7" hidden="1">
      <c r="B1033" s="43">
        <v>44410</v>
      </c>
      <c r="C1033" t="s">
        <v>123</v>
      </c>
      <c r="D1033" s="48">
        <v>44469</v>
      </c>
      <c r="E1033">
        <v>187.5</v>
      </c>
      <c r="F1033" t="s">
        <v>514</v>
      </c>
      <c r="G1033">
        <v>2.4</v>
      </c>
    </row>
    <row r="1034" spans="2:7" hidden="1">
      <c r="B1034" s="43">
        <v>44410</v>
      </c>
      <c r="C1034" t="s">
        <v>123</v>
      </c>
      <c r="D1034" s="48">
        <v>44469</v>
      </c>
      <c r="E1034">
        <v>187.5</v>
      </c>
      <c r="F1034" t="s">
        <v>515</v>
      </c>
      <c r="G1034">
        <v>41.6</v>
      </c>
    </row>
    <row r="1035" spans="2:7" hidden="1">
      <c r="B1035" s="43">
        <v>44404</v>
      </c>
      <c r="C1035" t="s">
        <v>123</v>
      </c>
      <c r="D1035" s="48">
        <v>44469</v>
      </c>
      <c r="E1035">
        <v>190</v>
      </c>
      <c r="F1035" t="s">
        <v>514</v>
      </c>
      <c r="G1035">
        <v>2.15</v>
      </c>
    </row>
    <row r="1036" spans="2:7" hidden="1">
      <c r="B1036" s="43">
        <v>44404</v>
      </c>
      <c r="C1036" t="s">
        <v>123</v>
      </c>
      <c r="D1036" s="48">
        <v>44469</v>
      </c>
      <c r="E1036">
        <v>190</v>
      </c>
      <c r="F1036" t="s">
        <v>515</v>
      </c>
      <c r="G1036">
        <v>43.8</v>
      </c>
    </row>
    <row r="1037" spans="2:7" hidden="1">
      <c r="B1037" s="43">
        <v>44405</v>
      </c>
      <c r="C1037" t="s">
        <v>123</v>
      </c>
      <c r="D1037" s="48">
        <v>44469</v>
      </c>
      <c r="E1037">
        <v>190</v>
      </c>
      <c r="F1037" t="s">
        <v>514</v>
      </c>
      <c r="G1037">
        <v>2.15</v>
      </c>
    </row>
    <row r="1038" spans="2:7" hidden="1">
      <c r="B1038" s="43">
        <v>44405</v>
      </c>
      <c r="C1038" t="s">
        <v>123</v>
      </c>
      <c r="D1038" s="48">
        <v>44469</v>
      </c>
      <c r="E1038">
        <v>190</v>
      </c>
      <c r="F1038" t="s">
        <v>515</v>
      </c>
      <c r="G1038">
        <v>43.8</v>
      </c>
    </row>
    <row r="1039" spans="2:7" hidden="1">
      <c r="B1039" s="43">
        <v>44406</v>
      </c>
      <c r="C1039" t="s">
        <v>123</v>
      </c>
      <c r="D1039" s="48">
        <v>44469</v>
      </c>
      <c r="E1039">
        <v>190</v>
      </c>
      <c r="F1039" t="s">
        <v>514</v>
      </c>
      <c r="G1039">
        <v>2.15</v>
      </c>
    </row>
    <row r="1040" spans="2:7" hidden="1">
      <c r="B1040" s="43">
        <v>44406</v>
      </c>
      <c r="C1040" t="s">
        <v>123</v>
      </c>
      <c r="D1040" s="48">
        <v>44469</v>
      </c>
      <c r="E1040">
        <v>190</v>
      </c>
      <c r="F1040" t="s">
        <v>515</v>
      </c>
      <c r="G1040">
        <v>43.8</v>
      </c>
    </row>
    <row r="1041" spans="2:7" hidden="1">
      <c r="B1041" s="43">
        <v>44407</v>
      </c>
      <c r="C1041" t="s">
        <v>123</v>
      </c>
      <c r="D1041" s="48">
        <v>44469</v>
      </c>
      <c r="E1041">
        <v>190</v>
      </c>
      <c r="F1041" t="s">
        <v>514</v>
      </c>
      <c r="G1041">
        <v>2.15</v>
      </c>
    </row>
    <row r="1042" spans="2:7" hidden="1">
      <c r="B1042" s="43">
        <v>44407</v>
      </c>
      <c r="C1042" t="s">
        <v>123</v>
      </c>
      <c r="D1042" s="48">
        <v>44469</v>
      </c>
      <c r="E1042">
        <v>190</v>
      </c>
      <c r="F1042" t="s">
        <v>515</v>
      </c>
      <c r="G1042">
        <v>43.8</v>
      </c>
    </row>
    <row r="1043" spans="2:7" hidden="1">
      <c r="B1043" s="43">
        <v>44410</v>
      </c>
      <c r="C1043" t="s">
        <v>123</v>
      </c>
      <c r="D1043" s="48">
        <v>44469</v>
      </c>
      <c r="E1043">
        <v>190</v>
      </c>
      <c r="F1043" t="s">
        <v>514</v>
      </c>
      <c r="G1043">
        <v>2.15</v>
      </c>
    </row>
    <row r="1044" spans="2:7" hidden="1">
      <c r="B1044" s="43">
        <v>44410</v>
      </c>
      <c r="C1044" t="s">
        <v>123</v>
      </c>
      <c r="D1044" s="48">
        <v>44469</v>
      </c>
      <c r="E1044">
        <v>190</v>
      </c>
      <c r="F1044" t="s">
        <v>515</v>
      </c>
      <c r="G1044">
        <v>43.8</v>
      </c>
    </row>
    <row r="1045" spans="2:7" hidden="1">
      <c r="B1045" s="43">
        <v>44404</v>
      </c>
      <c r="C1045" t="s">
        <v>123</v>
      </c>
      <c r="D1045" s="48">
        <v>44469</v>
      </c>
      <c r="E1045">
        <v>192.5</v>
      </c>
      <c r="F1045" t="s">
        <v>514</v>
      </c>
      <c r="G1045">
        <v>1.9</v>
      </c>
    </row>
    <row r="1046" spans="2:7" hidden="1">
      <c r="B1046" s="43">
        <v>44404</v>
      </c>
      <c r="C1046" t="s">
        <v>123</v>
      </c>
      <c r="D1046" s="48">
        <v>44469</v>
      </c>
      <c r="E1046">
        <v>192.5</v>
      </c>
      <c r="F1046" t="s">
        <v>515</v>
      </c>
      <c r="G1046">
        <v>46.05</v>
      </c>
    </row>
    <row r="1047" spans="2:7" hidden="1">
      <c r="B1047" s="43">
        <v>44405</v>
      </c>
      <c r="C1047" t="s">
        <v>123</v>
      </c>
      <c r="D1047" s="48">
        <v>44469</v>
      </c>
      <c r="E1047">
        <v>192.5</v>
      </c>
      <c r="F1047" t="s">
        <v>514</v>
      </c>
      <c r="G1047">
        <v>1.9</v>
      </c>
    </row>
    <row r="1048" spans="2:7" hidden="1">
      <c r="B1048" s="43">
        <v>44405</v>
      </c>
      <c r="C1048" t="s">
        <v>123</v>
      </c>
      <c r="D1048" s="48">
        <v>44469</v>
      </c>
      <c r="E1048">
        <v>192.5</v>
      </c>
      <c r="F1048" t="s">
        <v>515</v>
      </c>
      <c r="G1048">
        <v>46.05</v>
      </c>
    </row>
    <row r="1049" spans="2:7" hidden="1">
      <c r="B1049" s="43">
        <v>44406</v>
      </c>
      <c r="C1049" t="s">
        <v>123</v>
      </c>
      <c r="D1049" s="48">
        <v>44469</v>
      </c>
      <c r="E1049">
        <v>192.5</v>
      </c>
      <c r="F1049" t="s">
        <v>514</v>
      </c>
      <c r="G1049">
        <v>1.9</v>
      </c>
    </row>
    <row r="1050" spans="2:7" hidden="1">
      <c r="B1050" s="43">
        <v>44406</v>
      </c>
      <c r="C1050" t="s">
        <v>123</v>
      </c>
      <c r="D1050" s="48">
        <v>44469</v>
      </c>
      <c r="E1050">
        <v>192.5</v>
      </c>
      <c r="F1050" t="s">
        <v>515</v>
      </c>
      <c r="G1050">
        <v>46.05</v>
      </c>
    </row>
    <row r="1051" spans="2:7" hidden="1">
      <c r="B1051" s="43">
        <v>44407</v>
      </c>
      <c r="C1051" t="s">
        <v>123</v>
      </c>
      <c r="D1051" s="48">
        <v>44469</v>
      </c>
      <c r="E1051">
        <v>192.5</v>
      </c>
      <c r="F1051" t="s">
        <v>514</v>
      </c>
      <c r="G1051">
        <v>1.9</v>
      </c>
    </row>
    <row r="1052" spans="2:7" hidden="1">
      <c r="B1052" s="43">
        <v>44407</v>
      </c>
      <c r="C1052" t="s">
        <v>123</v>
      </c>
      <c r="D1052" s="48">
        <v>44469</v>
      </c>
      <c r="E1052">
        <v>192.5</v>
      </c>
      <c r="F1052" t="s">
        <v>515</v>
      </c>
      <c r="G1052">
        <v>46.05</v>
      </c>
    </row>
    <row r="1053" spans="2:7" hidden="1">
      <c r="B1053" s="43">
        <v>44410</v>
      </c>
      <c r="C1053" t="s">
        <v>123</v>
      </c>
      <c r="D1053" s="48">
        <v>44469</v>
      </c>
      <c r="E1053">
        <v>192.5</v>
      </c>
      <c r="F1053" t="s">
        <v>514</v>
      </c>
      <c r="G1053">
        <v>1.9</v>
      </c>
    </row>
    <row r="1054" spans="2:7" hidden="1">
      <c r="B1054" s="43">
        <v>44410</v>
      </c>
      <c r="C1054" t="s">
        <v>123</v>
      </c>
      <c r="D1054" s="48">
        <v>44469</v>
      </c>
      <c r="E1054">
        <v>192.5</v>
      </c>
      <c r="F1054" t="s">
        <v>515</v>
      </c>
      <c r="G1054">
        <v>46.05</v>
      </c>
    </row>
    <row r="1055" spans="2:7" hidden="1">
      <c r="B1055" s="43">
        <v>44407</v>
      </c>
      <c r="C1055" t="s">
        <v>123</v>
      </c>
      <c r="D1055" s="48">
        <v>44497</v>
      </c>
      <c r="E1055">
        <v>0</v>
      </c>
      <c r="F1055" t="s">
        <v>516</v>
      </c>
      <c r="G1055">
        <v>142.85</v>
      </c>
    </row>
    <row r="1056" spans="2:7" hidden="1">
      <c r="B1056" s="43">
        <v>44410</v>
      </c>
      <c r="C1056" t="s">
        <v>123</v>
      </c>
      <c r="D1056" s="48">
        <v>44497</v>
      </c>
      <c r="E1056">
        <v>0</v>
      </c>
      <c r="F1056" t="s">
        <v>516</v>
      </c>
      <c r="G1056">
        <v>142.94999999999999</v>
      </c>
    </row>
    <row r="1057" spans="2:7" hidden="1">
      <c r="B1057" s="43">
        <v>44407</v>
      </c>
      <c r="C1057" t="s">
        <v>123</v>
      </c>
      <c r="D1057" s="48">
        <v>44497</v>
      </c>
      <c r="E1057">
        <v>95</v>
      </c>
      <c r="F1057" t="s">
        <v>514</v>
      </c>
      <c r="G1057">
        <v>48.2</v>
      </c>
    </row>
    <row r="1058" spans="2:7" hidden="1">
      <c r="B1058" s="43">
        <v>44407</v>
      </c>
      <c r="C1058" t="s">
        <v>123</v>
      </c>
      <c r="D1058" s="48">
        <v>44497</v>
      </c>
      <c r="E1058">
        <v>95</v>
      </c>
      <c r="F1058" t="s">
        <v>515</v>
      </c>
      <c r="G1058">
        <v>0.15</v>
      </c>
    </row>
    <row r="1059" spans="2:7" hidden="1">
      <c r="B1059" s="43">
        <v>44410</v>
      </c>
      <c r="C1059" t="s">
        <v>123</v>
      </c>
      <c r="D1059" s="48">
        <v>44497</v>
      </c>
      <c r="E1059">
        <v>95</v>
      </c>
      <c r="F1059" t="s">
        <v>514</v>
      </c>
      <c r="G1059">
        <v>48.2</v>
      </c>
    </row>
    <row r="1060" spans="2:7" hidden="1">
      <c r="B1060" s="43">
        <v>44410</v>
      </c>
      <c r="C1060" t="s">
        <v>123</v>
      </c>
      <c r="D1060" s="48">
        <v>44497</v>
      </c>
      <c r="E1060">
        <v>95</v>
      </c>
      <c r="F1060" t="s">
        <v>515</v>
      </c>
      <c r="G1060">
        <v>0.15</v>
      </c>
    </row>
    <row r="1061" spans="2:7" hidden="1">
      <c r="B1061" s="43">
        <v>44407</v>
      </c>
      <c r="C1061" t="s">
        <v>123</v>
      </c>
      <c r="D1061" s="48">
        <v>44497</v>
      </c>
      <c r="E1061">
        <v>97.5</v>
      </c>
      <c r="F1061" t="s">
        <v>514</v>
      </c>
      <c r="G1061">
        <v>45.8</v>
      </c>
    </row>
    <row r="1062" spans="2:7" hidden="1">
      <c r="B1062" s="43">
        <v>44407</v>
      </c>
      <c r="C1062" t="s">
        <v>123</v>
      </c>
      <c r="D1062" s="48">
        <v>44497</v>
      </c>
      <c r="E1062">
        <v>97.5</v>
      </c>
      <c r="F1062" t="s">
        <v>515</v>
      </c>
      <c r="G1062">
        <v>0.25</v>
      </c>
    </row>
    <row r="1063" spans="2:7" hidden="1">
      <c r="B1063" s="43">
        <v>44410</v>
      </c>
      <c r="C1063" t="s">
        <v>123</v>
      </c>
      <c r="D1063" s="48">
        <v>44497</v>
      </c>
      <c r="E1063">
        <v>97.5</v>
      </c>
      <c r="F1063" t="s">
        <v>514</v>
      </c>
      <c r="G1063">
        <v>45.8</v>
      </c>
    </row>
    <row r="1064" spans="2:7" hidden="1">
      <c r="B1064" s="43">
        <v>44410</v>
      </c>
      <c r="C1064" t="s">
        <v>123</v>
      </c>
      <c r="D1064" s="48">
        <v>44497</v>
      </c>
      <c r="E1064">
        <v>97.5</v>
      </c>
      <c r="F1064" t="s">
        <v>515</v>
      </c>
      <c r="G1064">
        <v>0.25</v>
      </c>
    </row>
    <row r="1065" spans="2:7" hidden="1">
      <c r="B1065" s="43">
        <v>44407</v>
      </c>
      <c r="C1065" t="s">
        <v>123</v>
      </c>
      <c r="D1065" s="48">
        <v>44497</v>
      </c>
      <c r="E1065">
        <v>100</v>
      </c>
      <c r="F1065" t="s">
        <v>514</v>
      </c>
      <c r="G1065">
        <v>43.4</v>
      </c>
    </row>
    <row r="1066" spans="2:7" hidden="1">
      <c r="B1066" s="43">
        <v>44407</v>
      </c>
      <c r="C1066" t="s">
        <v>123</v>
      </c>
      <c r="D1066" s="48">
        <v>44497</v>
      </c>
      <c r="E1066">
        <v>100</v>
      </c>
      <c r="F1066" t="s">
        <v>515</v>
      </c>
      <c r="G1066">
        <v>0.35</v>
      </c>
    </row>
    <row r="1067" spans="2:7" hidden="1">
      <c r="B1067" s="43">
        <v>44410</v>
      </c>
      <c r="C1067" t="s">
        <v>123</v>
      </c>
      <c r="D1067" s="48">
        <v>44497</v>
      </c>
      <c r="E1067">
        <v>100</v>
      </c>
      <c r="F1067" t="s">
        <v>514</v>
      </c>
      <c r="G1067">
        <v>43.4</v>
      </c>
    </row>
    <row r="1068" spans="2:7" hidden="1">
      <c r="B1068" s="43">
        <v>44410</v>
      </c>
      <c r="C1068" t="s">
        <v>123</v>
      </c>
      <c r="D1068" s="48">
        <v>44497</v>
      </c>
      <c r="E1068">
        <v>100</v>
      </c>
      <c r="F1068" t="s">
        <v>515</v>
      </c>
      <c r="G1068">
        <v>0.35</v>
      </c>
    </row>
    <row r="1069" spans="2:7" hidden="1">
      <c r="B1069" s="43">
        <v>44407</v>
      </c>
      <c r="C1069" t="s">
        <v>123</v>
      </c>
      <c r="D1069" s="48">
        <v>44497</v>
      </c>
      <c r="E1069">
        <v>102.5</v>
      </c>
      <c r="F1069" t="s">
        <v>514</v>
      </c>
      <c r="G1069">
        <v>41.05</v>
      </c>
    </row>
    <row r="1070" spans="2:7" hidden="1">
      <c r="B1070" s="43">
        <v>44407</v>
      </c>
      <c r="C1070" t="s">
        <v>123</v>
      </c>
      <c r="D1070" s="48">
        <v>44497</v>
      </c>
      <c r="E1070">
        <v>102.5</v>
      </c>
      <c r="F1070" t="s">
        <v>515</v>
      </c>
      <c r="G1070">
        <v>0.45</v>
      </c>
    </row>
    <row r="1071" spans="2:7" hidden="1">
      <c r="B1071" s="43">
        <v>44410</v>
      </c>
      <c r="C1071" t="s">
        <v>123</v>
      </c>
      <c r="D1071" s="48">
        <v>44497</v>
      </c>
      <c r="E1071">
        <v>102.5</v>
      </c>
      <c r="F1071" t="s">
        <v>514</v>
      </c>
      <c r="G1071">
        <v>41.05</v>
      </c>
    </row>
    <row r="1072" spans="2:7" hidden="1">
      <c r="B1072" s="43">
        <v>44410</v>
      </c>
      <c r="C1072" t="s">
        <v>123</v>
      </c>
      <c r="D1072" s="48">
        <v>44497</v>
      </c>
      <c r="E1072">
        <v>102.5</v>
      </c>
      <c r="F1072" t="s">
        <v>515</v>
      </c>
      <c r="G1072">
        <v>0.45</v>
      </c>
    </row>
    <row r="1073" spans="2:7" hidden="1">
      <c r="B1073" s="43">
        <v>44407</v>
      </c>
      <c r="C1073" t="s">
        <v>123</v>
      </c>
      <c r="D1073" s="48">
        <v>44497</v>
      </c>
      <c r="E1073">
        <v>105</v>
      </c>
      <c r="F1073" t="s">
        <v>514</v>
      </c>
      <c r="G1073">
        <v>38.75</v>
      </c>
    </row>
    <row r="1074" spans="2:7" hidden="1">
      <c r="B1074" s="43">
        <v>44407</v>
      </c>
      <c r="C1074" t="s">
        <v>123</v>
      </c>
      <c r="D1074" s="48">
        <v>44497</v>
      </c>
      <c r="E1074">
        <v>105</v>
      </c>
      <c r="F1074" t="s">
        <v>515</v>
      </c>
      <c r="G1074">
        <v>0.6</v>
      </c>
    </row>
    <row r="1075" spans="2:7" hidden="1">
      <c r="B1075" s="43">
        <v>44410</v>
      </c>
      <c r="C1075" t="s">
        <v>123</v>
      </c>
      <c r="D1075" s="48">
        <v>44497</v>
      </c>
      <c r="E1075">
        <v>105</v>
      </c>
      <c r="F1075" t="s">
        <v>514</v>
      </c>
      <c r="G1075">
        <v>38.75</v>
      </c>
    </row>
    <row r="1076" spans="2:7" hidden="1">
      <c r="B1076" s="43">
        <v>44410</v>
      </c>
      <c r="C1076" t="s">
        <v>123</v>
      </c>
      <c r="D1076" s="48">
        <v>44497</v>
      </c>
      <c r="E1076">
        <v>105</v>
      </c>
      <c r="F1076" t="s">
        <v>515</v>
      </c>
      <c r="G1076">
        <v>0.6</v>
      </c>
    </row>
    <row r="1077" spans="2:7" hidden="1">
      <c r="B1077" s="43">
        <v>44407</v>
      </c>
      <c r="C1077" t="s">
        <v>123</v>
      </c>
      <c r="D1077" s="48">
        <v>44497</v>
      </c>
      <c r="E1077">
        <v>107.5</v>
      </c>
      <c r="F1077" t="s">
        <v>514</v>
      </c>
      <c r="G1077">
        <v>36.450000000000003</v>
      </c>
    </row>
    <row r="1078" spans="2:7" hidden="1">
      <c r="B1078" s="43">
        <v>44407</v>
      </c>
      <c r="C1078" t="s">
        <v>123</v>
      </c>
      <c r="D1078" s="48">
        <v>44497</v>
      </c>
      <c r="E1078">
        <v>107.5</v>
      </c>
      <c r="F1078" t="s">
        <v>515</v>
      </c>
      <c r="G1078">
        <v>0.8</v>
      </c>
    </row>
    <row r="1079" spans="2:7" hidden="1">
      <c r="B1079" s="43">
        <v>44410</v>
      </c>
      <c r="C1079" t="s">
        <v>123</v>
      </c>
      <c r="D1079" s="48">
        <v>44497</v>
      </c>
      <c r="E1079">
        <v>107.5</v>
      </c>
      <c r="F1079" t="s">
        <v>514</v>
      </c>
      <c r="G1079">
        <v>36.450000000000003</v>
      </c>
    </row>
    <row r="1080" spans="2:7" hidden="1">
      <c r="B1080" s="43">
        <v>44410</v>
      </c>
      <c r="C1080" t="s">
        <v>123</v>
      </c>
      <c r="D1080" s="48">
        <v>44497</v>
      </c>
      <c r="E1080">
        <v>107.5</v>
      </c>
      <c r="F1080" t="s">
        <v>515</v>
      </c>
      <c r="G1080">
        <v>0.8</v>
      </c>
    </row>
    <row r="1081" spans="2:7" hidden="1">
      <c r="B1081" s="43">
        <v>44407</v>
      </c>
      <c r="C1081" t="s">
        <v>123</v>
      </c>
      <c r="D1081" s="48">
        <v>44497</v>
      </c>
      <c r="E1081">
        <v>110</v>
      </c>
      <c r="F1081" t="s">
        <v>514</v>
      </c>
      <c r="G1081">
        <v>34.200000000000003</v>
      </c>
    </row>
    <row r="1082" spans="2:7" hidden="1">
      <c r="B1082" s="43">
        <v>44407</v>
      </c>
      <c r="C1082" t="s">
        <v>123</v>
      </c>
      <c r="D1082" s="48">
        <v>44497</v>
      </c>
      <c r="E1082">
        <v>110</v>
      </c>
      <c r="F1082" t="s">
        <v>515</v>
      </c>
      <c r="G1082">
        <v>1.05</v>
      </c>
    </row>
    <row r="1083" spans="2:7" hidden="1">
      <c r="B1083" s="43">
        <v>44410</v>
      </c>
      <c r="C1083" t="s">
        <v>123</v>
      </c>
      <c r="D1083" s="48">
        <v>44497</v>
      </c>
      <c r="E1083">
        <v>110</v>
      </c>
      <c r="F1083" t="s">
        <v>514</v>
      </c>
      <c r="G1083">
        <v>34.200000000000003</v>
      </c>
    </row>
    <row r="1084" spans="2:7" hidden="1">
      <c r="B1084" s="43">
        <v>44410</v>
      </c>
      <c r="C1084" t="s">
        <v>123</v>
      </c>
      <c r="D1084" s="48">
        <v>44497</v>
      </c>
      <c r="E1084">
        <v>110</v>
      </c>
      <c r="F1084" t="s">
        <v>515</v>
      </c>
      <c r="G1084">
        <v>1.05</v>
      </c>
    </row>
    <row r="1085" spans="2:7" hidden="1">
      <c r="B1085" s="43">
        <v>44407</v>
      </c>
      <c r="C1085" t="s">
        <v>123</v>
      </c>
      <c r="D1085" s="48">
        <v>44497</v>
      </c>
      <c r="E1085">
        <v>112.5</v>
      </c>
      <c r="F1085" t="s">
        <v>514</v>
      </c>
      <c r="G1085">
        <v>32.049999999999997</v>
      </c>
    </row>
    <row r="1086" spans="2:7" hidden="1">
      <c r="B1086" s="43">
        <v>44407</v>
      </c>
      <c r="C1086" t="s">
        <v>123</v>
      </c>
      <c r="D1086" s="48">
        <v>44497</v>
      </c>
      <c r="E1086">
        <v>112.5</v>
      </c>
      <c r="F1086" t="s">
        <v>515</v>
      </c>
      <c r="G1086">
        <v>1.3</v>
      </c>
    </row>
    <row r="1087" spans="2:7" hidden="1">
      <c r="B1087" s="43">
        <v>44410</v>
      </c>
      <c r="C1087" t="s">
        <v>123</v>
      </c>
      <c r="D1087" s="48">
        <v>44497</v>
      </c>
      <c r="E1087">
        <v>112.5</v>
      </c>
      <c r="F1087" t="s">
        <v>514</v>
      </c>
      <c r="G1087">
        <v>32.049999999999997</v>
      </c>
    </row>
    <row r="1088" spans="2:7" hidden="1">
      <c r="B1088" s="43">
        <v>44410</v>
      </c>
      <c r="C1088" t="s">
        <v>123</v>
      </c>
      <c r="D1088" s="48">
        <v>44497</v>
      </c>
      <c r="E1088">
        <v>112.5</v>
      </c>
      <c r="F1088" t="s">
        <v>515</v>
      </c>
      <c r="G1088">
        <v>1.3</v>
      </c>
    </row>
    <row r="1089" spans="2:7" hidden="1">
      <c r="B1089" s="43">
        <v>44407</v>
      </c>
      <c r="C1089" t="s">
        <v>123</v>
      </c>
      <c r="D1089" s="48">
        <v>44497</v>
      </c>
      <c r="E1089">
        <v>115</v>
      </c>
      <c r="F1089" t="s">
        <v>514</v>
      </c>
      <c r="G1089">
        <v>29.9</v>
      </c>
    </row>
    <row r="1090" spans="2:7" hidden="1">
      <c r="B1090" s="43">
        <v>44407</v>
      </c>
      <c r="C1090" t="s">
        <v>123</v>
      </c>
      <c r="D1090" s="48">
        <v>44497</v>
      </c>
      <c r="E1090">
        <v>115</v>
      </c>
      <c r="F1090" t="s">
        <v>515</v>
      </c>
      <c r="G1090">
        <v>1.65</v>
      </c>
    </row>
    <row r="1091" spans="2:7" hidden="1">
      <c r="B1091" s="43">
        <v>44410</v>
      </c>
      <c r="C1091" t="s">
        <v>123</v>
      </c>
      <c r="D1091" s="48">
        <v>44497</v>
      </c>
      <c r="E1091">
        <v>115</v>
      </c>
      <c r="F1091" t="s">
        <v>514</v>
      </c>
      <c r="G1091">
        <v>29.9</v>
      </c>
    </row>
    <row r="1092" spans="2:7" hidden="1">
      <c r="B1092" s="43">
        <v>44410</v>
      </c>
      <c r="C1092" t="s">
        <v>123</v>
      </c>
      <c r="D1092" s="48">
        <v>44497</v>
      </c>
      <c r="E1092">
        <v>115</v>
      </c>
      <c r="F1092" t="s">
        <v>515</v>
      </c>
      <c r="G1092">
        <v>1.65</v>
      </c>
    </row>
    <row r="1093" spans="2:7" hidden="1">
      <c r="B1093" s="43">
        <v>44407</v>
      </c>
      <c r="C1093" t="s">
        <v>123</v>
      </c>
      <c r="D1093" s="48">
        <v>44497</v>
      </c>
      <c r="E1093">
        <v>117.5</v>
      </c>
      <c r="F1093" t="s">
        <v>514</v>
      </c>
      <c r="G1093">
        <v>27.85</v>
      </c>
    </row>
    <row r="1094" spans="2:7" hidden="1">
      <c r="B1094" s="43">
        <v>44407</v>
      </c>
      <c r="C1094" t="s">
        <v>123</v>
      </c>
      <c r="D1094" s="48">
        <v>44497</v>
      </c>
      <c r="E1094">
        <v>117.5</v>
      </c>
      <c r="F1094" t="s">
        <v>515</v>
      </c>
      <c r="G1094">
        <v>2.1</v>
      </c>
    </row>
    <row r="1095" spans="2:7" hidden="1">
      <c r="B1095" s="43">
        <v>44410</v>
      </c>
      <c r="C1095" t="s">
        <v>123</v>
      </c>
      <c r="D1095" s="48">
        <v>44497</v>
      </c>
      <c r="E1095">
        <v>117.5</v>
      </c>
      <c r="F1095" t="s">
        <v>514</v>
      </c>
      <c r="G1095">
        <v>27.85</v>
      </c>
    </row>
    <row r="1096" spans="2:7" hidden="1">
      <c r="B1096" s="43">
        <v>44410</v>
      </c>
      <c r="C1096" t="s">
        <v>123</v>
      </c>
      <c r="D1096" s="48">
        <v>44497</v>
      </c>
      <c r="E1096">
        <v>117.5</v>
      </c>
      <c r="F1096" t="s">
        <v>515</v>
      </c>
      <c r="G1096">
        <v>2.1</v>
      </c>
    </row>
    <row r="1097" spans="2:7" hidden="1">
      <c r="B1097" s="43">
        <v>44407</v>
      </c>
      <c r="C1097" t="s">
        <v>123</v>
      </c>
      <c r="D1097" s="48">
        <v>44497</v>
      </c>
      <c r="E1097">
        <v>120</v>
      </c>
      <c r="F1097" t="s">
        <v>514</v>
      </c>
      <c r="G1097">
        <v>25.85</v>
      </c>
    </row>
    <row r="1098" spans="2:7" hidden="1">
      <c r="B1098" s="43">
        <v>44407</v>
      </c>
      <c r="C1098" t="s">
        <v>123</v>
      </c>
      <c r="D1098" s="48">
        <v>44497</v>
      </c>
      <c r="E1098">
        <v>120</v>
      </c>
      <c r="F1098" t="s">
        <v>515</v>
      </c>
      <c r="G1098">
        <v>2.5499999999999998</v>
      </c>
    </row>
    <row r="1099" spans="2:7" hidden="1">
      <c r="B1099" s="43">
        <v>44410</v>
      </c>
      <c r="C1099" t="s">
        <v>123</v>
      </c>
      <c r="D1099" s="48">
        <v>44497</v>
      </c>
      <c r="E1099">
        <v>120</v>
      </c>
      <c r="F1099" t="s">
        <v>514</v>
      </c>
      <c r="G1099">
        <v>25.85</v>
      </c>
    </row>
    <row r="1100" spans="2:7" hidden="1">
      <c r="B1100" s="43">
        <v>44410</v>
      </c>
      <c r="C1100" t="s">
        <v>123</v>
      </c>
      <c r="D1100" s="48">
        <v>44497</v>
      </c>
      <c r="E1100">
        <v>120</v>
      </c>
      <c r="F1100" t="s">
        <v>515</v>
      </c>
      <c r="G1100">
        <v>2.5499999999999998</v>
      </c>
    </row>
    <row r="1101" spans="2:7" hidden="1">
      <c r="B1101" s="43">
        <v>44407</v>
      </c>
      <c r="C1101" t="s">
        <v>123</v>
      </c>
      <c r="D1101" s="48">
        <v>44497</v>
      </c>
      <c r="E1101">
        <v>122.5</v>
      </c>
      <c r="F1101" t="s">
        <v>514</v>
      </c>
      <c r="G1101">
        <v>23.9</v>
      </c>
    </row>
    <row r="1102" spans="2:7" hidden="1">
      <c r="B1102" s="43">
        <v>44407</v>
      </c>
      <c r="C1102" t="s">
        <v>123</v>
      </c>
      <c r="D1102" s="48">
        <v>44497</v>
      </c>
      <c r="E1102">
        <v>122.5</v>
      </c>
      <c r="F1102" t="s">
        <v>515</v>
      </c>
      <c r="G1102">
        <v>3.1</v>
      </c>
    </row>
    <row r="1103" spans="2:7" hidden="1">
      <c r="B1103" s="43">
        <v>44410</v>
      </c>
      <c r="C1103" t="s">
        <v>123</v>
      </c>
      <c r="D1103" s="48">
        <v>44497</v>
      </c>
      <c r="E1103">
        <v>122.5</v>
      </c>
      <c r="F1103" t="s">
        <v>514</v>
      </c>
      <c r="G1103">
        <v>23.9</v>
      </c>
    </row>
    <row r="1104" spans="2:7" hidden="1">
      <c r="B1104" s="43">
        <v>44410</v>
      </c>
      <c r="C1104" t="s">
        <v>123</v>
      </c>
      <c r="D1104" s="48">
        <v>44497</v>
      </c>
      <c r="E1104">
        <v>122.5</v>
      </c>
      <c r="F1104" t="s">
        <v>515</v>
      </c>
      <c r="G1104">
        <v>3.1</v>
      </c>
    </row>
    <row r="1105" spans="2:7" hidden="1">
      <c r="B1105" s="43">
        <v>44407</v>
      </c>
      <c r="C1105" t="s">
        <v>123</v>
      </c>
      <c r="D1105" s="48">
        <v>44497</v>
      </c>
      <c r="E1105">
        <v>125</v>
      </c>
      <c r="F1105" t="s">
        <v>514</v>
      </c>
      <c r="G1105">
        <v>22.1</v>
      </c>
    </row>
    <row r="1106" spans="2:7" hidden="1">
      <c r="B1106" s="43">
        <v>44407</v>
      </c>
      <c r="C1106" t="s">
        <v>123</v>
      </c>
      <c r="D1106" s="48">
        <v>44497</v>
      </c>
      <c r="E1106">
        <v>125</v>
      </c>
      <c r="F1106" t="s">
        <v>515</v>
      </c>
      <c r="G1106">
        <v>3.75</v>
      </c>
    </row>
    <row r="1107" spans="2:7" hidden="1">
      <c r="B1107" s="43">
        <v>44410</v>
      </c>
      <c r="C1107" t="s">
        <v>123</v>
      </c>
      <c r="D1107" s="48">
        <v>44497</v>
      </c>
      <c r="E1107">
        <v>125</v>
      </c>
      <c r="F1107" t="s">
        <v>514</v>
      </c>
      <c r="G1107">
        <v>22.1</v>
      </c>
    </row>
    <row r="1108" spans="2:7" hidden="1">
      <c r="B1108" s="43">
        <v>44410</v>
      </c>
      <c r="C1108" t="s">
        <v>123</v>
      </c>
      <c r="D1108" s="48">
        <v>44497</v>
      </c>
      <c r="E1108">
        <v>125</v>
      </c>
      <c r="F1108" t="s">
        <v>515</v>
      </c>
      <c r="G1108">
        <v>3.75</v>
      </c>
    </row>
    <row r="1109" spans="2:7" hidden="1">
      <c r="B1109" s="43">
        <v>44407</v>
      </c>
      <c r="C1109" t="s">
        <v>123</v>
      </c>
      <c r="D1109" s="48">
        <v>44497</v>
      </c>
      <c r="E1109">
        <v>127.5</v>
      </c>
      <c r="F1109" t="s">
        <v>514</v>
      </c>
      <c r="G1109">
        <v>20.350000000000001</v>
      </c>
    </row>
    <row r="1110" spans="2:7" hidden="1">
      <c r="B1110" s="43">
        <v>44407</v>
      </c>
      <c r="C1110" t="s">
        <v>123</v>
      </c>
      <c r="D1110" s="48">
        <v>44497</v>
      </c>
      <c r="E1110">
        <v>127.5</v>
      </c>
      <c r="F1110" t="s">
        <v>515</v>
      </c>
      <c r="G1110">
        <v>4.5</v>
      </c>
    </row>
    <row r="1111" spans="2:7" hidden="1">
      <c r="B1111" s="43">
        <v>44410</v>
      </c>
      <c r="C1111" t="s">
        <v>123</v>
      </c>
      <c r="D1111" s="48">
        <v>44497</v>
      </c>
      <c r="E1111">
        <v>127.5</v>
      </c>
      <c r="F1111" t="s">
        <v>514</v>
      </c>
      <c r="G1111">
        <v>20.350000000000001</v>
      </c>
    </row>
    <row r="1112" spans="2:7" hidden="1">
      <c r="B1112" s="43">
        <v>44410</v>
      </c>
      <c r="C1112" t="s">
        <v>123</v>
      </c>
      <c r="D1112" s="48">
        <v>44497</v>
      </c>
      <c r="E1112">
        <v>127.5</v>
      </c>
      <c r="F1112" t="s">
        <v>515</v>
      </c>
      <c r="G1112">
        <v>4.5</v>
      </c>
    </row>
    <row r="1113" spans="2:7" hidden="1">
      <c r="B1113" s="43">
        <v>44407</v>
      </c>
      <c r="C1113" t="s">
        <v>123</v>
      </c>
      <c r="D1113" s="48">
        <v>44497</v>
      </c>
      <c r="E1113">
        <v>130</v>
      </c>
      <c r="F1113" t="s">
        <v>514</v>
      </c>
      <c r="G1113">
        <v>18.649999999999999</v>
      </c>
    </row>
    <row r="1114" spans="2:7" hidden="1">
      <c r="B1114" s="43">
        <v>44407</v>
      </c>
      <c r="C1114" t="s">
        <v>123</v>
      </c>
      <c r="D1114" s="48">
        <v>44497</v>
      </c>
      <c r="E1114">
        <v>130</v>
      </c>
      <c r="F1114" t="s">
        <v>515</v>
      </c>
      <c r="G1114">
        <v>5.3</v>
      </c>
    </row>
    <row r="1115" spans="2:7" hidden="1">
      <c r="B1115" s="43">
        <v>44410</v>
      </c>
      <c r="C1115" t="s">
        <v>123</v>
      </c>
      <c r="D1115" s="48">
        <v>44497</v>
      </c>
      <c r="E1115">
        <v>130</v>
      </c>
      <c r="F1115" t="s">
        <v>514</v>
      </c>
      <c r="G1115">
        <v>18.649999999999999</v>
      </c>
    </row>
    <row r="1116" spans="2:7" hidden="1">
      <c r="B1116" s="43">
        <v>44410</v>
      </c>
      <c r="C1116" t="s">
        <v>123</v>
      </c>
      <c r="D1116" s="48">
        <v>44497</v>
      </c>
      <c r="E1116">
        <v>130</v>
      </c>
      <c r="F1116" t="s">
        <v>515</v>
      </c>
      <c r="G1116">
        <v>5.3</v>
      </c>
    </row>
    <row r="1117" spans="2:7" hidden="1">
      <c r="B1117" s="43">
        <v>44407</v>
      </c>
      <c r="C1117" t="s">
        <v>123</v>
      </c>
      <c r="D1117" s="48">
        <v>44497</v>
      </c>
      <c r="E1117">
        <v>132.5</v>
      </c>
      <c r="F1117" t="s">
        <v>514</v>
      </c>
      <c r="G1117">
        <v>17.05</v>
      </c>
    </row>
    <row r="1118" spans="2:7" hidden="1">
      <c r="B1118" s="43">
        <v>44407</v>
      </c>
      <c r="C1118" t="s">
        <v>123</v>
      </c>
      <c r="D1118" s="48">
        <v>44497</v>
      </c>
      <c r="E1118">
        <v>132.5</v>
      </c>
      <c r="F1118" t="s">
        <v>515</v>
      </c>
      <c r="G1118">
        <v>6.15</v>
      </c>
    </row>
    <row r="1119" spans="2:7" hidden="1">
      <c r="B1119" s="43">
        <v>44410</v>
      </c>
      <c r="C1119" t="s">
        <v>123</v>
      </c>
      <c r="D1119" s="48">
        <v>44497</v>
      </c>
      <c r="E1119">
        <v>132.5</v>
      </c>
      <c r="F1119" t="s">
        <v>514</v>
      </c>
      <c r="G1119">
        <v>17.05</v>
      </c>
    </row>
    <row r="1120" spans="2:7" hidden="1">
      <c r="B1120" s="43">
        <v>44410</v>
      </c>
      <c r="C1120" t="s">
        <v>123</v>
      </c>
      <c r="D1120" s="48">
        <v>44497</v>
      </c>
      <c r="E1120">
        <v>132.5</v>
      </c>
      <c r="F1120" t="s">
        <v>515</v>
      </c>
      <c r="G1120">
        <v>6.15</v>
      </c>
    </row>
    <row r="1121" spans="2:7" hidden="1">
      <c r="B1121" s="43">
        <v>44407</v>
      </c>
      <c r="C1121" t="s">
        <v>123</v>
      </c>
      <c r="D1121" s="48">
        <v>44497</v>
      </c>
      <c r="E1121">
        <v>135</v>
      </c>
      <c r="F1121" t="s">
        <v>514</v>
      </c>
      <c r="G1121">
        <v>15.6</v>
      </c>
    </row>
    <row r="1122" spans="2:7" hidden="1">
      <c r="B1122" s="43">
        <v>44407</v>
      </c>
      <c r="C1122" t="s">
        <v>123</v>
      </c>
      <c r="D1122" s="48">
        <v>44497</v>
      </c>
      <c r="E1122">
        <v>135</v>
      </c>
      <c r="F1122" t="s">
        <v>515</v>
      </c>
      <c r="G1122">
        <v>7.15</v>
      </c>
    </row>
    <row r="1123" spans="2:7" hidden="1">
      <c r="B1123" s="43">
        <v>44410</v>
      </c>
      <c r="C1123" t="s">
        <v>123</v>
      </c>
      <c r="D1123" s="48">
        <v>44497</v>
      </c>
      <c r="E1123">
        <v>135</v>
      </c>
      <c r="F1123" t="s">
        <v>514</v>
      </c>
      <c r="G1123">
        <v>15.6</v>
      </c>
    </row>
    <row r="1124" spans="2:7" hidden="1">
      <c r="B1124" s="43">
        <v>44410</v>
      </c>
      <c r="C1124" t="s">
        <v>123</v>
      </c>
      <c r="D1124" s="48">
        <v>44497</v>
      </c>
      <c r="E1124">
        <v>135</v>
      </c>
      <c r="F1124" t="s">
        <v>515</v>
      </c>
      <c r="G1124">
        <v>7.15</v>
      </c>
    </row>
    <row r="1125" spans="2:7" hidden="1">
      <c r="B1125" s="43">
        <v>44407</v>
      </c>
      <c r="C1125" t="s">
        <v>123</v>
      </c>
      <c r="D1125" s="48">
        <v>44497</v>
      </c>
      <c r="E1125">
        <v>137.5</v>
      </c>
      <c r="F1125" t="s">
        <v>514</v>
      </c>
      <c r="G1125">
        <v>14.2</v>
      </c>
    </row>
    <row r="1126" spans="2:7" hidden="1">
      <c r="B1126" s="43">
        <v>44407</v>
      </c>
      <c r="C1126" t="s">
        <v>123</v>
      </c>
      <c r="D1126" s="48">
        <v>44497</v>
      </c>
      <c r="E1126">
        <v>137.5</v>
      </c>
      <c r="F1126" t="s">
        <v>515</v>
      </c>
      <c r="G1126">
        <v>8.25</v>
      </c>
    </row>
    <row r="1127" spans="2:7" hidden="1">
      <c r="B1127" s="43">
        <v>44410</v>
      </c>
      <c r="C1127" t="s">
        <v>123</v>
      </c>
      <c r="D1127" s="48">
        <v>44497</v>
      </c>
      <c r="E1127">
        <v>137.5</v>
      </c>
      <c r="F1127" t="s">
        <v>514</v>
      </c>
      <c r="G1127">
        <v>14.2</v>
      </c>
    </row>
    <row r="1128" spans="2:7" hidden="1">
      <c r="B1128" s="43">
        <v>44410</v>
      </c>
      <c r="C1128" t="s">
        <v>123</v>
      </c>
      <c r="D1128" s="48">
        <v>44497</v>
      </c>
      <c r="E1128">
        <v>137.5</v>
      </c>
      <c r="F1128" t="s">
        <v>515</v>
      </c>
      <c r="G1128">
        <v>8.25</v>
      </c>
    </row>
    <row r="1129" spans="2:7" hidden="1">
      <c r="B1129" s="43">
        <v>44407</v>
      </c>
      <c r="C1129" t="s">
        <v>123</v>
      </c>
      <c r="D1129" s="48">
        <v>44497</v>
      </c>
      <c r="E1129">
        <v>140</v>
      </c>
      <c r="F1129" t="s">
        <v>514</v>
      </c>
      <c r="G1129">
        <v>12.85</v>
      </c>
    </row>
    <row r="1130" spans="2:7" hidden="1">
      <c r="B1130" s="43">
        <v>44407</v>
      </c>
      <c r="C1130" t="s">
        <v>123</v>
      </c>
      <c r="D1130" s="48">
        <v>44497</v>
      </c>
      <c r="E1130">
        <v>140</v>
      </c>
      <c r="F1130" t="s">
        <v>515</v>
      </c>
      <c r="G1130">
        <v>9.4</v>
      </c>
    </row>
    <row r="1131" spans="2:7" hidden="1">
      <c r="B1131" s="43">
        <v>44410</v>
      </c>
      <c r="C1131" t="s">
        <v>123</v>
      </c>
      <c r="D1131" s="48">
        <v>44497</v>
      </c>
      <c r="E1131">
        <v>140</v>
      </c>
      <c r="F1131" t="s">
        <v>514</v>
      </c>
      <c r="G1131">
        <v>12.85</v>
      </c>
    </row>
    <row r="1132" spans="2:7" hidden="1">
      <c r="B1132" s="43">
        <v>44410</v>
      </c>
      <c r="C1132" t="s">
        <v>123</v>
      </c>
      <c r="D1132" s="48">
        <v>44497</v>
      </c>
      <c r="E1132">
        <v>140</v>
      </c>
      <c r="F1132" t="s">
        <v>515</v>
      </c>
      <c r="G1132">
        <v>9.4</v>
      </c>
    </row>
    <row r="1133" spans="2:7" hidden="1">
      <c r="B1133" s="43">
        <v>44407</v>
      </c>
      <c r="C1133" t="s">
        <v>123</v>
      </c>
      <c r="D1133" s="48">
        <v>44497</v>
      </c>
      <c r="E1133">
        <v>142.5</v>
      </c>
      <c r="F1133" t="s">
        <v>514</v>
      </c>
      <c r="G1133">
        <v>11.65</v>
      </c>
    </row>
    <row r="1134" spans="2:7" hidden="1">
      <c r="B1134" s="43">
        <v>44407</v>
      </c>
      <c r="C1134" t="s">
        <v>123</v>
      </c>
      <c r="D1134" s="48">
        <v>44497</v>
      </c>
      <c r="E1134">
        <v>142.5</v>
      </c>
      <c r="F1134" t="s">
        <v>515</v>
      </c>
      <c r="G1134">
        <v>10.65</v>
      </c>
    </row>
    <row r="1135" spans="2:7" hidden="1">
      <c r="B1135" s="43">
        <v>44410</v>
      </c>
      <c r="C1135" t="s">
        <v>123</v>
      </c>
      <c r="D1135" s="48">
        <v>44497</v>
      </c>
      <c r="E1135">
        <v>142.5</v>
      </c>
      <c r="F1135" t="s">
        <v>514</v>
      </c>
      <c r="G1135">
        <v>11.65</v>
      </c>
    </row>
    <row r="1136" spans="2:7" hidden="1">
      <c r="B1136" s="43">
        <v>44410</v>
      </c>
      <c r="C1136" t="s">
        <v>123</v>
      </c>
      <c r="D1136" s="48">
        <v>44497</v>
      </c>
      <c r="E1136">
        <v>142.5</v>
      </c>
      <c r="F1136" t="s">
        <v>515</v>
      </c>
      <c r="G1136">
        <v>10.65</v>
      </c>
    </row>
    <row r="1137" spans="2:7" hidden="1">
      <c r="B1137" s="43">
        <v>44407</v>
      </c>
      <c r="C1137" t="s">
        <v>123</v>
      </c>
      <c r="D1137" s="48">
        <v>44497</v>
      </c>
      <c r="E1137">
        <v>145</v>
      </c>
      <c r="F1137" t="s">
        <v>514</v>
      </c>
      <c r="G1137">
        <v>10.5</v>
      </c>
    </row>
    <row r="1138" spans="2:7" hidden="1">
      <c r="B1138" s="43">
        <v>44407</v>
      </c>
      <c r="C1138" t="s">
        <v>123</v>
      </c>
      <c r="D1138" s="48">
        <v>44497</v>
      </c>
      <c r="E1138">
        <v>145</v>
      </c>
      <c r="F1138" t="s">
        <v>515</v>
      </c>
      <c r="G1138">
        <v>12</v>
      </c>
    </row>
    <row r="1139" spans="2:7" hidden="1">
      <c r="B1139" s="43">
        <v>44410</v>
      </c>
      <c r="C1139" t="s">
        <v>123</v>
      </c>
      <c r="D1139" s="48">
        <v>44497</v>
      </c>
      <c r="E1139">
        <v>145</v>
      </c>
      <c r="F1139" t="s">
        <v>514</v>
      </c>
      <c r="G1139">
        <v>10.5</v>
      </c>
    </row>
    <row r="1140" spans="2:7" hidden="1">
      <c r="B1140" s="43">
        <v>44410</v>
      </c>
      <c r="C1140" t="s">
        <v>123</v>
      </c>
      <c r="D1140" s="48">
        <v>44497</v>
      </c>
      <c r="E1140">
        <v>145</v>
      </c>
      <c r="F1140" t="s">
        <v>515</v>
      </c>
      <c r="G1140">
        <v>12</v>
      </c>
    </row>
    <row r="1141" spans="2:7" hidden="1">
      <c r="B1141" s="43">
        <v>44407</v>
      </c>
      <c r="C1141" t="s">
        <v>123</v>
      </c>
      <c r="D1141" s="48">
        <v>44497</v>
      </c>
      <c r="E1141">
        <v>147.5</v>
      </c>
      <c r="F1141" t="s">
        <v>514</v>
      </c>
      <c r="G1141">
        <v>9.4499999999999993</v>
      </c>
    </row>
    <row r="1142" spans="2:7" hidden="1">
      <c r="B1142" s="43">
        <v>44407</v>
      </c>
      <c r="C1142" t="s">
        <v>123</v>
      </c>
      <c r="D1142" s="48">
        <v>44497</v>
      </c>
      <c r="E1142">
        <v>147.5</v>
      </c>
      <c r="F1142" t="s">
        <v>515</v>
      </c>
      <c r="G1142">
        <v>13.45</v>
      </c>
    </row>
    <row r="1143" spans="2:7" hidden="1">
      <c r="B1143" s="43">
        <v>44410</v>
      </c>
      <c r="C1143" t="s">
        <v>123</v>
      </c>
      <c r="D1143" s="48">
        <v>44497</v>
      </c>
      <c r="E1143">
        <v>147.5</v>
      </c>
      <c r="F1143" t="s">
        <v>514</v>
      </c>
      <c r="G1143">
        <v>9.4499999999999993</v>
      </c>
    </row>
    <row r="1144" spans="2:7" hidden="1">
      <c r="B1144" s="43">
        <v>44410</v>
      </c>
      <c r="C1144" t="s">
        <v>123</v>
      </c>
      <c r="D1144" s="48">
        <v>44497</v>
      </c>
      <c r="E1144">
        <v>147.5</v>
      </c>
      <c r="F1144" t="s">
        <v>515</v>
      </c>
      <c r="G1144">
        <v>13.45</v>
      </c>
    </row>
    <row r="1145" spans="2:7" hidden="1">
      <c r="B1145" s="43">
        <v>44407</v>
      </c>
      <c r="C1145" t="s">
        <v>123</v>
      </c>
      <c r="D1145" s="48">
        <v>44497</v>
      </c>
      <c r="E1145">
        <v>150</v>
      </c>
      <c r="F1145" t="s">
        <v>514</v>
      </c>
      <c r="G1145">
        <v>8.5</v>
      </c>
    </row>
    <row r="1146" spans="2:7" hidden="1">
      <c r="B1146" s="43">
        <v>44407</v>
      </c>
      <c r="C1146" t="s">
        <v>123</v>
      </c>
      <c r="D1146" s="48">
        <v>44497</v>
      </c>
      <c r="E1146">
        <v>150</v>
      </c>
      <c r="F1146" t="s">
        <v>515</v>
      </c>
      <c r="G1146">
        <v>14.95</v>
      </c>
    </row>
    <row r="1147" spans="2:7" hidden="1">
      <c r="B1147" s="43">
        <v>44410</v>
      </c>
      <c r="C1147" t="s">
        <v>123</v>
      </c>
      <c r="D1147" s="48">
        <v>44497</v>
      </c>
      <c r="E1147">
        <v>150</v>
      </c>
      <c r="F1147" t="s">
        <v>514</v>
      </c>
      <c r="G1147">
        <v>8.5</v>
      </c>
    </row>
    <row r="1148" spans="2:7" hidden="1">
      <c r="B1148" s="43">
        <v>44410</v>
      </c>
      <c r="C1148" t="s">
        <v>123</v>
      </c>
      <c r="D1148" s="48">
        <v>44497</v>
      </c>
      <c r="E1148">
        <v>150</v>
      </c>
      <c r="F1148" t="s">
        <v>515</v>
      </c>
      <c r="G1148">
        <v>14.95</v>
      </c>
    </row>
    <row r="1149" spans="2:7" hidden="1">
      <c r="B1149" s="43">
        <v>44407</v>
      </c>
      <c r="C1149" t="s">
        <v>123</v>
      </c>
      <c r="D1149" s="48">
        <v>44497</v>
      </c>
      <c r="E1149">
        <v>152.5</v>
      </c>
      <c r="F1149" t="s">
        <v>514</v>
      </c>
      <c r="G1149">
        <v>7.6</v>
      </c>
    </row>
    <row r="1150" spans="2:7" hidden="1">
      <c r="B1150" s="43">
        <v>44407</v>
      </c>
      <c r="C1150" t="s">
        <v>123</v>
      </c>
      <c r="D1150" s="48">
        <v>44497</v>
      </c>
      <c r="E1150">
        <v>152.5</v>
      </c>
      <c r="F1150" t="s">
        <v>515</v>
      </c>
      <c r="G1150">
        <v>16.55</v>
      </c>
    </row>
    <row r="1151" spans="2:7" hidden="1">
      <c r="B1151" s="43">
        <v>44410</v>
      </c>
      <c r="C1151" t="s">
        <v>123</v>
      </c>
      <c r="D1151" s="48">
        <v>44497</v>
      </c>
      <c r="E1151">
        <v>152.5</v>
      </c>
      <c r="F1151" t="s">
        <v>514</v>
      </c>
      <c r="G1151">
        <v>7.6</v>
      </c>
    </row>
    <row r="1152" spans="2:7" hidden="1">
      <c r="B1152" s="43">
        <v>44410</v>
      </c>
      <c r="C1152" t="s">
        <v>123</v>
      </c>
      <c r="D1152" s="48">
        <v>44497</v>
      </c>
      <c r="E1152">
        <v>152.5</v>
      </c>
      <c r="F1152" t="s">
        <v>515</v>
      </c>
      <c r="G1152">
        <v>16.55</v>
      </c>
    </row>
    <row r="1153" spans="2:7" hidden="1">
      <c r="B1153" s="43">
        <v>44407</v>
      </c>
      <c r="C1153" t="s">
        <v>123</v>
      </c>
      <c r="D1153" s="48">
        <v>44497</v>
      </c>
      <c r="E1153">
        <v>155</v>
      </c>
      <c r="F1153" t="s">
        <v>514</v>
      </c>
      <c r="G1153">
        <v>6.8</v>
      </c>
    </row>
    <row r="1154" spans="2:7" hidden="1">
      <c r="B1154" s="43">
        <v>44407</v>
      </c>
      <c r="C1154" t="s">
        <v>123</v>
      </c>
      <c r="D1154" s="48">
        <v>44497</v>
      </c>
      <c r="E1154">
        <v>155</v>
      </c>
      <c r="F1154" t="s">
        <v>515</v>
      </c>
      <c r="G1154">
        <v>18.2</v>
      </c>
    </row>
    <row r="1155" spans="2:7" hidden="1">
      <c r="B1155" s="43">
        <v>44410</v>
      </c>
      <c r="C1155" t="s">
        <v>123</v>
      </c>
      <c r="D1155" s="48">
        <v>44497</v>
      </c>
      <c r="E1155">
        <v>155</v>
      </c>
      <c r="F1155" t="s">
        <v>514</v>
      </c>
      <c r="G1155">
        <v>6.8</v>
      </c>
    </row>
    <row r="1156" spans="2:7" hidden="1">
      <c r="B1156" s="43">
        <v>44410</v>
      </c>
      <c r="C1156" t="s">
        <v>123</v>
      </c>
      <c r="D1156" s="48">
        <v>44497</v>
      </c>
      <c r="E1156">
        <v>155</v>
      </c>
      <c r="F1156" t="s">
        <v>515</v>
      </c>
      <c r="G1156">
        <v>18.2</v>
      </c>
    </row>
    <row r="1157" spans="2:7" hidden="1">
      <c r="B1157" s="43">
        <v>44407</v>
      </c>
      <c r="C1157" t="s">
        <v>123</v>
      </c>
      <c r="D1157" s="48">
        <v>44497</v>
      </c>
      <c r="E1157">
        <v>157.5</v>
      </c>
      <c r="F1157" t="s">
        <v>514</v>
      </c>
      <c r="G1157">
        <v>6.05</v>
      </c>
    </row>
    <row r="1158" spans="2:7" hidden="1">
      <c r="B1158" s="43">
        <v>44407</v>
      </c>
      <c r="C1158" t="s">
        <v>123</v>
      </c>
      <c r="D1158" s="48">
        <v>44497</v>
      </c>
      <c r="E1158">
        <v>157.5</v>
      </c>
      <c r="F1158" t="s">
        <v>515</v>
      </c>
      <c r="G1158">
        <v>19.95</v>
      </c>
    </row>
    <row r="1159" spans="2:7" hidden="1">
      <c r="B1159" s="43">
        <v>44410</v>
      </c>
      <c r="C1159" t="s">
        <v>123</v>
      </c>
      <c r="D1159" s="48">
        <v>44497</v>
      </c>
      <c r="E1159">
        <v>157.5</v>
      </c>
      <c r="F1159" t="s">
        <v>514</v>
      </c>
      <c r="G1159">
        <v>6.05</v>
      </c>
    </row>
    <row r="1160" spans="2:7" hidden="1">
      <c r="B1160" s="43">
        <v>44410</v>
      </c>
      <c r="C1160" t="s">
        <v>123</v>
      </c>
      <c r="D1160" s="48">
        <v>44497</v>
      </c>
      <c r="E1160">
        <v>157.5</v>
      </c>
      <c r="F1160" t="s">
        <v>515</v>
      </c>
      <c r="G1160">
        <v>19.95</v>
      </c>
    </row>
    <row r="1161" spans="2:7" hidden="1">
      <c r="B1161" s="43">
        <v>44407</v>
      </c>
      <c r="C1161" t="s">
        <v>123</v>
      </c>
      <c r="D1161" s="48">
        <v>44497</v>
      </c>
      <c r="E1161">
        <v>160</v>
      </c>
      <c r="F1161" t="s">
        <v>514</v>
      </c>
      <c r="G1161">
        <v>5.4</v>
      </c>
    </row>
    <row r="1162" spans="2:7" hidden="1">
      <c r="B1162" s="43">
        <v>44407</v>
      </c>
      <c r="C1162" t="s">
        <v>123</v>
      </c>
      <c r="D1162" s="48">
        <v>44497</v>
      </c>
      <c r="E1162">
        <v>160</v>
      </c>
      <c r="F1162" t="s">
        <v>515</v>
      </c>
      <c r="G1162">
        <v>21.75</v>
      </c>
    </row>
    <row r="1163" spans="2:7" hidden="1">
      <c r="B1163" s="43">
        <v>44410</v>
      </c>
      <c r="C1163" t="s">
        <v>123</v>
      </c>
      <c r="D1163" s="48">
        <v>44497</v>
      </c>
      <c r="E1163">
        <v>160</v>
      </c>
      <c r="F1163" t="s">
        <v>514</v>
      </c>
      <c r="G1163">
        <v>5.4</v>
      </c>
    </row>
    <row r="1164" spans="2:7" hidden="1">
      <c r="B1164" s="43">
        <v>44410</v>
      </c>
      <c r="C1164" t="s">
        <v>123</v>
      </c>
      <c r="D1164" s="48">
        <v>44497</v>
      </c>
      <c r="E1164">
        <v>160</v>
      </c>
      <c r="F1164" t="s">
        <v>515</v>
      </c>
      <c r="G1164">
        <v>21.75</v>
      </c>
    </row>
    <row r="1165" spans="2:7" hidden="1">
      <c r="B1165" s="43">
        <v>44407</v>
      </c>
      <c r="C1165" t="s">
        <v>123</v>
      </c>
      <c r="D1165" s="48">
        <v>44497</v>
      </c>
      <c r="E1165">
        <v>162.5</v>
      </c>
      <c r="F1165" t="s">
        <v>514</v>
      </c>
      <c r="G1165">
        <v>4.8</v>
      </c>
    </row>
    <row r="1166" spans="2:7" hidden="1">
      <c r="B1166" s="43">
        <v>44407</v>
      </c>
      <c r="C1166" t="s">
        <v>123</v>
      </c>
      <c r="D1166" s="48">
        <v>44497</v>
      </c>
      <c r="E1166">
        <v>162.5</v>
      </c>
      <c r="F1166" t="s">
        <v>515</v>
      </c>
      <c r="G1166">
        <v>23.6</v>
      </c>
    </row>
    <row r="1167" spans="2:7" hidden="1">
      <c r="B1167" s="43">
        <v>44410</v>
      </c>
      <c r="C1167" t="s">
        <v>123</v>
      </c>
      <c r="D1167" s="48">
        <v>44497</v>
      </c>
      <c r="E1167">
        <v>162.5</v>
      </c>
      <c r="F1167" t="s">
        <v>514</v>
      </c>
      <c r="G1167">
        <v>4.8</v>
      </c>
    </row>
    <row r="1168" spans="2:7" hidden="1">
      <c r="B1168" s="43">
        <v>44410</v>
      </c>
      <c r="C1168" t="s">
        <v>123</v>
      </c>
      <c r="D1168" s="48">
        <v>44497</v>
      </c>
      <c r="E1168">
        <v>162.5</v>
      </c>
      <c r="F1168" t="s">
        <v>515</v>
      </c>
      <c r="G1168">
        <v>23.6</v>
      </c>
    </row>
    <row r="1169" spans="2:7" hidden="1">
      <c r="B1169" s="43">
        <v>44407</v>
      </c>
      <c r="C1169" t="s">
        <v>123</v>
      </c>
      <c r="D1169" s="48">
        <v>44497</v>
      </c>
      <c r="E1169">
        <v>165</v>
      </c>
      <c r="F1169" t="s">
        <v>514</v>
      </c>
      <c r="G1169">
        <v>4.25</v>
      </c>
    </row>
    <row r="1170" spans="2:7" hidden="1">
      <c r="B1170" s="43">
        <v>44407</v>
      </c>
      <c r="C1170" t="s">
        <v>123</v>
      </c>
      <c r="D1170" s="48">
        <v>44497</v>
      </c>
      <c r="E1170">
        <v>165</v>
      </c>
      <c r="F1170" t="s">
        <v>515</v>
      </c>
      <c r="G1170">
        <v>25.55</v>
      </c>
    </row>
    <row r="1171" spans="2:7" hidden="1">
      <c r="B1171" s="43">
        <v>44410</v>
      </c>
      <c r="C1171" t="s">
        <v>123</v>
      </c>
      <c r="D1171" s="48">
        <v>44497</v>
      </c>
      <c r="E1171">
        <v>165</v>
      </c>
      <c r="F1171" t="s">
        <v>514</v>
      </c>
      <c r="G1171">
        <v>4.25</v>
      </c>
    </row>
    <row r="1172" spans="2:7" hidden="1">
      <c r="B1172" s="43">
        <v>44410</v>
      </c>
      <c r="C1172" t="s">
        <v>123</v>
      </c>
      <c r="D1172" s="48">
        <v>44497</v>
      </c>
      <c r="E1172">
        <v>165</v>
      </c>
      <c r="F1172" t="s">
        <v>515</v>
      </c>
      <c r="G1172">
        <v>25.55</v>
      </c>
    </row>
    <row r="1173" spans="2:7" hidden="1">
      <c r="B1173" s="43">
        <v>44407</v>
      </c>
      <c r="C1173" t="s">
        <v>123</v>
      </c>
      <c r="D1173" s="48">
        <v>44497</v>
      </c>
      <c r="E1173">
        <v>167.5</v>
      </c>
      <c r="F1173" t="s">
        <v>514</v>
      </c>
      <c r="G1173">
        <v>3.75</v>
      </c>
    </row>
    <row r="1174" spans="2:7" hidden="1">
      <c r="B1174" s="43">
        <v>44407</v>
      </c>
      <c r="C1174" t="s">
        <v>123</v>
      </c>
      <c r="D1174" s="48">
        <v>44497</v>
      </c>
      <c r="E1174">
        <v>167.5</v>
      </c>
      <c r="F1174" t="s">
        <v>515</v>
      </c>
      <c r="G1174">
        <v>27.55</v>
      </c>
    </row>
    <row r="1175" spans="2:7" hidden="1">
      <c r="B1175" s="43">
        <v>44410</v>
      </c>
      <c r="C1175" t="s">
        <v>123</v>
      </c>
      <c r="D1175" s="48">
        <v>44497</v>
      </c>
      <c r="E1175">
        <v>167.5</v>
      </c>
      <c r="F1175" t="s">
        <v>514</v>
      </c>
      <c r="G1175">
        <v>3.75</v>
      </c>
    </row>
    <row r="1176" spans="2:7" hidden="1">
      <c r="B1176" s="43">
        <v>44410</v>
      </c>
      <c r="C1176" t="s">
        <v>123</v>
      </c>
      <c r="D1176" s="48">
        <v>44497</v>
      </c>
      <c r="E1176">
        <v>167.5</v>
      </c>
      <c r="F1176" t="s">
        <v>515</v>
      </c>
      <c r="G1176">
        <v>27.55</v>
      </c>
    </row>
    <row r="1177" spans="2:7" hidden="1">
      <c r="B1177" s="43">
        <v>44407</v>
      </c>
      <c r="C1177" t="s">
        <v>123</v>
      </c>
      <c r="D1177" s="48">
        <v>44497</v>
      </c>
      <c r="E1177">
        <v>170</v>
      </c>
      <c r="F1177" t="s">
        <v>514</v>
      </c>
      <c r="G1177">
        <v>3.3</v>
      </c>
    </row>
    <row r="1178" spans="2:7" hidden="1">
      <c r="B1178" s="43">
        <v>44407</v>
      </c>
      <c r="C1178" t="s">
        <v>123</v>
      </c>
      <c r="D1178" s="48">
        <v>44497</v>
      </c>
      <c r="E1178">
        <v>170</v>
      </c>
      <c r="F1178" t="s">
        <v>515</v>
      </c>
      <c r="G1178">
        <v>29.55</v>
      </c>
    </row>
    <row r="1179" spans="2:7" hidden="1">
      <c r="B1179" s="43">
        <v>44410</v>
      </c>
      <c r="C1179" t="s">
        <v>123</v>
      </c>
      <c r="D1179" s="48">
        <v>44497</v>
      </c>
      <c r="E1179">
        <v>170</v>
      </c>
      <c r="F1179" t="s">
        <v>514</v>
      </c>
      <c r="G1179">
        <v>3.3</v>
      </c>
    </row>
    <row r="1180" spans="2:7" hidden="1">
      <c r="B1180" s="43">
        <v>44410</v>
      </c>
      <c r="C1180" t="s">
        <v>123</v>
      </c>
      <c r="D1180" s="48">
        <v>44497</v>
      </c>
      <c r="E1180">
        <v>170</v>
      </c>
      <c r="F1180" t="s">
        <v>515</v>
      </c>
      <c r="G1180">
        <v>29.55</v>
      </c>
    </row>
    <row r="1181" spans="2:7" hidden="1">
      <c r="B1181" s="43">
        <v>44407</v>
      </c>
      <c r="C1181" t="s">
        <v>123</v>
      </c>
      <c r="D1181" s="48">
        <v>44497</v>
      </c>
      <c r="E1181">
        <v>172.5</v>
      </c>
      <c r="F1181" t="s">
        <v>514</v>
      </c>
      <c r="G1181">
        <v>2.9</v>
      </c>
    </row>
    <row r="1182" spans="2:7" hidden="1">
      <c r="B1182" s="43">
        <v>44407</v>
      </c>
      <c r="C1182" t="s">
        <v>123</v>
      </c>
      <c r="D1182" s="48">
        <v>44497</v>
      </c>
      <c r="E1182">
        <v>172.5</v>
      </c>
      <c r="F1182" t="s">
        <v>515</v>
      </c>
      <c r="G1182">
        <v>31.65</v>
      </c>
    </row>
    <row r="1183" spans="2:7" hidden="1">
      <c r="B1183" s="43">
        <v>44410</v>
      </c>
      <c r="C1183" t="s">
        <v>123</v>
      </c>
      <c r="D1183" s="48">
        <v>44497</v>
      </c>
      <c r="E1183">
        <v>172.5</v>
      </c>
      <c r="F1183" t="s">
        <v>514</v>
      </c>
      <c r="G1183">
        <v>2.9</v>
      </c>
    </row>
    <row r="1184" spans="2:7" hidden="1">
      <c r="B1184" s="43">
        <v>44410</v>
      </c>
      <c r="C1184" t="s">
        <v>123</v>
      </c>
      <c r="D1184" s="48">
        <v>44497</v>
      </c>
      <c r="E1184">
        <v>172.5</v>
      </c>
      <c r="F1184" t="s">
        <v>515</v>
      </c>
      <c r="G1184">
        <v>31.65</v>
      </c>
    </row>
    <row r="1185" spans="2:7" hidden="1">
      <c r="B1185" s="43">
        <v>44407</v>
      </c>
      <c r="C1185" t="s">
        <v>123</v>
      </c>
      <c r="D1185" s="48">
        <v>44497</v>
      </c>
      <c r="E1185">
        <v>175</v>
      </c>
      <c r="F1185" t="s">
        <v>514</v>
      </c>
      <c r="G1185">
        <v>2.5499999999999998</v>
      </c>
    </row>
    <row r="1186" spans="2:7" hidden="1">
      <c r="B1186" s="43">
        <v>44407</v>
      </c>
      <c r="C1186" t="s">
        <v>123</v>
      </c>
      <c r="D1186" s="48">
        <v>44497</v>
      </c>
      <c r="E1186">
        <v>175</v>
      </c>
      <c r="F1186" t="s">
        <v>515</v>
      </c>
      <c r="G1186">
        <v>33.75</v>
      </c>
    </row>
    <row r="1187" spans="2:7" hidden="1">
      <c r="B1187" s="43">
        <v>44410</v>
      </c>
      <c r="C1187" t="s">
        <v>123</v>
      </c>
      <c r="D1187" s="48">
        <v>44497</v>
      </c>
      <c r="E1187">
        <v>175</v>
      </c>
      <c r="F1187" t="s">
        <v>514</v>
      </c>
      <c r="G1187">
        <v>2.5499999999999998</v>
      </c>
    </row>
    <row r="1188" spans="2:7" hidden="1">
      <c r="B1188" s="43">
        <v>44410</v>
      </c>
      <c r="C1188" t="s">
        <v>123</v>
      </c>
      <c r="D1188" s="48">
        <v>44497</v>
      </c>
      <c r="E1188">
        <v>175</v>
      </c>
      <c r="F1188" t="s">
        <v>515</v>
      </c>
      <c r="G1188">
        <v>33.75</v>
      </c>
    </row>
    <row r="1189" spans="2:7" hidden="1">
      <c r="B1189" s="43">
        <v>44407</v>
      </c>
      <c r="C1189" t="s">
        <v>123</v>
      </c>
      <c r="D1189" s="48">
        <v>44497</v>
      </c>
      <c r="E1189">
        <v>177.5</v>
      </c>
      <c r="F1189" t="s">
        <v>514</v>
      </c>
      <c r="G1189">
        <v>2.25</v>
      </c>
    </row>
    <row r="1190" spans="2:7" hidden="1">
      <c r="B1190" s="43">
        <v>44407</v>
      </c>
      <c r="C1190" t="s">
        <v>123</v>
      </c>
      <c r="D1190" s="48">
        <v>44497</v>
      </c>
      <c r="E1190">
        <v>177.5</v>
      </c>
      <c r="F1190" t="s">
        <v>515</v>
      </c>
      <c r="G1190">
        <v>35.950000000000003</v>
      </c>
    </row>
    <row r="1191" spans="2:7" hidden="1">
      <c r="B1191" s="43">
        <v>44410</v>
      </c>
      <c r="C1191" t="s">
        <v>123</v>
      </c>
      <c r="D1191" s="48">
        <v>44497</v>
      </c>
      <c r="E1191">
        <v>177.5</v>
      </c>
      <c r="F1191" t="s">
        <v>514</v>
      </c>
      <c r="G1191">
        <v>2.25</v>
      </c>
    </row>
    <row r="1192" spans="2:7" hidden="1">
      <c r="B1192" s="43">
        <v>44410</v>
      </c>
      <c r="C1192" t="s">
        <v>123</v>
      </c>
      <c r="D1192" s="48">
        <v>44497</v>
      </c>
      <c r="E1192">
        <v>177.5</v>
      </c>
      <c r="F1192" t="s">
        <v>515</v>
      </c>
      <c r="G1192">
        <v>35.950000000000003</v>
      </c>
    </row>
    <row r="1193" spans="2:7" hidden="1">
      <c r="B1193" s="43">
        <v>44407</v>
      </c>
      <c r="C1193" t="s">
        <v>123</v>
      </c>
      <c r="D1193" s="48">
        <v>44497</v>
      </c>
      <c r="E1193">
        <v>180</v>
      </c>
      <c r="F1193" t="s">
        <v>514</v>
      </c>
      <c r="G1193">
        <v>1.95</v>
      </c>
    </row>
    <row r="1194" spans="2:7" hidden="1">
      <c r="B1194" s="43">
        <v>44407</v>
      </c>
      <c r="C1194" t="s">
        <v>123</v>
      </c>
      <c r="D1194" s="48">
        <v>44497</v>
      </c>
      <c r="E1194">
        <v>180</v>
      </c>
      <c r="F1194" t="s">
        <v>515</v>
      </c>
      <c r="G1194">
        <v>38.15</v>
      </c>
    </row>
    <row r="1195" spans="2:7" hidden="1">
      <c r="B1195" s="43">
        <v>44410</v>
      </c>
      <c r="C1195" t="s">
        <v>123</v>
      </c>
      <c r="D1195" s="48">
        <v>44497</v>
      </c>
      <c r="E1195">
        <v>180</v>
      </c>
      <c r="F1195" t="s">
        <v>514</v>
      </c>
      <c r="G1195">
        <v>1.95</v>
      </c>
    </row>
    <row r="1196" spans="2:7" hidden="1">
      <c r="B1196" s="43">
        <v>44410</v>
      </c>
      <c r="C1196" t="s">
        <v>123</v>
      </c>
      <c r="D1196" s="48">
        <v>44497</v>
      </c>
      <c r="E1196">
        <v>180</v>
      </c>
      <c r="F1196" t="s">
        <v>515</v>
      </c>
      <c r="G1196">
        <v>38.15</v>
      </c>
    </row>
    <row r="1197" spans="2:7" hidden="1">
      <c r="B1197" s="43">
        <v>44407</v>
      </c>
      <c r="C1197" t="s">
        <v>123</v>
      </c>
      <c r="D1197" s="48">
        <v>44497</v>
      </c>
      <c r="E1197">
        <v>182.5</v>
      </c>
      <c r="F1197" t="s">
        <v>514</v>
      </c>
      <c r="G1197">
        <v>1.75</v>
      </c>
    </row>
    <row r="1198" spans="2:7" hidden="1">
      <c r="B1198" s="43">
        <v>44407</v>
      </c>
      <c r="C1198" t="s">
        <v>123</v>
      </c>
      <c r="D1198" s="48">
        <v>44497</v>
      </c>
      <c r="E1198">
        <v>182.5</v>
      </c>
      <c r="F1198" t="s">
        <v>515</v>
      </c>
      <c r="G1198">
        <v>40.35</v>
      </c>
    </row>
    <row r="1199" spans="2:7" hidden="1">
      <c r="B1199" s="43">
        <v>44410</v>
      </c>
      <c r="C1199" t="s">
        <v>123</v>
      </c>
      <c r="D1199" s="48">
        <v>44497</v>
      </c>
      <c r="E1199">
        <v>182.5</v>
      </c>
      <c r="F1199" t="s">
        <v>514</v>
      </c>
      <c r="G1199">
        <v>1.75</v>
      </c>
    </row>
    <row r="1200" spans="2:7" hidden="1">
      <c r="B1200" s="43">
        <v>44410</v>
      </c>
      <c r="C1200" t="s">
        <v>123</v>
      </c>
      <c r="D1200" s="48">
        <v>44497</v>
      </c>
      <c r="E1200">
        <v>182.5</v>
      </c>
      <c r="F1200" t="s">
        <v>515</v>
      </c>
      <c r="G1200">
        <v>40.35</v>
      </c>
    </row>
    <row r="1201" spans="2:7" hidden="1">
      <c r="B1201" s="43">
        <v>44407</v>
      </c>
      <c r="C1201" t="s">
        <v>123</v>
      </c>
      <c r="D1201" s="48">
        <v>44497</v>
      </c>
      <c r="E1201">
        <v>185</v>
      </c>
      <c r="F1201" t="s">
        <v>514</v>
      </c>
      <c r="G1201">
        <v>1.5</v>
      </c>
    </row>
    <row r="1202" spans="2:7" hidden="1">
      <c r="B1202" s="43">
        <v>44407</v>
      </c>
      <c r="C1202" t="s">
        <v>123</v>
      </c>
      <c r="D1202" s="48">
        <v>44497</v>
      </c>
      <c r="E1202">
        <v>185</v>
      </c>
      <c r="F1202" t="s">
        <v>515</v>
      </c>
      <c r="G1202">
        <v>42.6</v>
      </c>
    </row>
    <row r="1203" spans="2:7" hidden="1">
      <c r="B1203" s="43">
        <v>44410</v>
      </c>
      <c r="C1203" t="s">
        <v>123</v>
      </c>
      <c r="D1203" s="48">
        <v>44497</v>
      </c>
      <c r="E1203">
        <v>185</v>
      </c>
      <c r="F1203" t="s">
        <v>514</v>
      </c>
      <c r="G1203">
        <v>1.5</v>
      </c>
    </row>
    <row r="1204" spans="2:7" hidden="1">
      <c r="B1204" s="43">
        <v>44410</v>
      </c>
      <c r="C1204" t="s">
        <v>123</v>
      </c>
      <c r="D1204" s="48">
        <v>44497</v>
      </c>
      <c r="E1204">
        <v>185</v>
      </c>
      <c r="F1204" t="s">
        <v>515</v>
      </c>
      <c r="G1204">
        <v>42.6</v>
      </c>
    </row>
    <row r="1205" spans="2:7" hidden="1">
      <c r="B1205" s="43">
        <v>44407</v>
      </c>
      <c r="C1205" t="s">
        <v>123</v>
      </c>
      <c r="D1205" s="48">
        <v>44497</v>
      </c>
      <c r="E1205">
        <v>187.5</v>
      </c>
      <c r="F1205" t="s">
        <v>514</v>
      </c>
      <c r="G1205">
        <v>1.3</v>
      </c>
    </row>
    <row r="1206" spans="2:7" hidden="1">
      <c r="B1206" s="43">
        <v>44407</v>
      </c>
      <c r="C1206" t="s">
        <v>123</v>
      </c>
      <c r="D1206" s="48">
        <v>44497</v>
      </c>
      <c r="E1206">
        <v>187.5</v>
      </c>
      <c r="F1206" t="s">
        <v>515</v>
      </c>
      <c r="G1206">
        <v>44.9</v>
      </c>
    </row>
    <row r="1207" spans="2:7" hidden="1">
      <c r="B1207" s="43">
        <v>44410</v>
      </c>
      <c r="C1207" t="s">
        <v>123</v>
      </c>
      <c r="D1207" s="48">
        <v>44497</v>
      </c>
      <c r="E1207">
        <v>187.5</v>
      </c>
      <c r="F1207" t="s">
        <v>514</v>
      </c>
      <c r="G1207">
        <v>1.3</v>
      </c>
    </row>
    <row r="1208" spans="2:7" hidden="1">
      <c r="B1208" s="43">
        <v>44410</v>
      </c>
      <c r="C1208" t="s">
        <v>123</v>
      </c>
      <c r="D1208" s="48">
        <v>44497</v>
      </c>
      <c r="E1208">
        <v>187.5</v>
      </c>
      <c r="F1208" t="s">
        <v>515</v>
      </c>
      <c r="G1208">
        <v>44.9</v>
      </c>
    </row>
    <row r="1209" spans="2:7" hidden="1">
      <c r="B1209" s="43">
        <v>44407</v>
      </c>
      <c r="C1209" t="s">
        <v>123</v>
      </c>
      <c r="D1209" s="48">
        <v>44497</v>
      </c>
      <c r="E1209">
        <v>190</v>
      </c>
      <c r="F1209" t="s">
        <v>514</v>
      </c>
      <c r="G1209">
        <v>1.1499999999999999</v>
      </c>
    </row>
    <row r="1210" spans="2:7" hidden="1">
      <c r="B1210" s="43">
        <v>44407</v>
      </c>
      <c r="C1210" t="s">
        <v>123</v>
      </c>
      <c r="D1210" s="48">
        <v>44497</v>
      </c>
      <c r="E1210">
        <v>190</v>
      </c>
      <c r="F1210" t="s">
        <v>515</v>
      </c>
      <c r="G1210">
        <v>47.2</v>
      </c>
    </row>
    <row r="1211" spans="2:7" hidden="1">
      <c r="B1211" s="43">
        <v>44410</v>
      </c>
      <c r="C1211" t="s">
        <v>123</v>
      </c>
      <c r="D1211" s="48">
        <v>44497</v>
      </c>
      <c r="E1211">
        <v>190</v>
      </c>
      <c r="F1211" t="s">
        <v>514</v>
      </c>
      <c r="G1211">
        <v>1.1499999999999999</v>
      </c>
    </row>
    <row r="1212" spans="2:7" hidden="1">
      <c r="B1212" s="43">
        <v>44410</v>
      </c>
      <c r="C1212" t="s">
        <v>123</v>
      </c>
      <c r="D1212" s="48">
        <v>44497</v>
      </c>
      <c r="E1212">
        <v>190</v>
      </c>
      <c r="F1212" t="s">
        <v>515</v>
      </c>
      <c r="G1212">
        <v>47.2</v>
      </c>
    </row>
    <row r="1213" spans="2:7" hidden="1">
      <c r="B1213" s="43">
        <v>44407</v>
      </c>
      <c r="C1213" t="s">
        <v>123</v>
      </c>
      <c r="D1213" s="48">
        <v>44497</v>
      </c>
      <c r="E1213">
        <v>192.5</v>
      </c>
      <c r="F1213" t="s">
        <v>514</v>
      </c>
      <c r="G1213">
        <v>1</v>
      </c>
    </row>
    <row r="1214" spans="2:7" hidden="1">
      <c r="B1214" s="43">
        <v>44407</v>
      </c>
      <c r="C1214" t="s">
        <v>123</v>
      </c>
      <c r="D1214" s="48">
        <v>44497</v>
      </c>
      <c r="E1214">
        <v>192.5</v>
      </c>
      <c r="F1214" t="s">
        <v>515</v>
      </c>
      <c r="G1214">
        <v>49.55</v>
      </c>
    </row>
    <row r="1215" spans="2:7" hidden="1">
      <c r="B1215" s="43">
        <v>44410</v>
      </c>
      <c r="C1215" t="s">
        <v>123</v>
      </c>
      <c r="D1215" s="48">
        <v>44497</v>
      </c>
      <c r="E1215">
        <v>192.5</v>
      </c>
      <c r="F1215" t="s">
        <v>514</v>
      </c>
      <c r="G1215">
        <v>1</v>
      </c>
    </row>
    <row r="1216" spans="2:7" hidden="1">
      <c r="B1216" s="43">
        <v>44410</v>
      </c>
      <c r="C1216" t="s">
        <v>123</v>
      </c>
      <c r="D1216" s="48">
        <v>44497</v>
      </c>
      <c r="E1216">
        <v>192.5</v>
      </c>
      <c r="F1216" t="s">
        <v>515</v>
      </c>
      <c r="G1216">
        <v>49.55</v>
      </c>
    </row>
    <row r="1217" spans="2:7" hidden="1">
      <c r="B1217" s="43">
        <v>44404</v>
      </c>
      <c r="C1217" t="s">
        <v>155</v>
      </c>
      <c r="D1217" s="48">
        <v>44406</v>
      </c>
      <c r="E1217">
        <v>0</v>
      </c>
      <c r="F1217" t="s">
        <v>516</v>
      </c>
      <c r="G1217">
        <v>710.65</v>
      </c>
    </row>
    <row r="1218" spans="2:7" hidden="1">
      <c r="B1218" s="43">
        <v>44405</v>
      </c>
      <c r="C1218" t="s">
        <v>155</v>
      </c>
      <c r="D1218" s="48">
        <v>44406</v>
      </c>
      <c r="E1218">
        <v>0</v>
      </c>
      <c r="F1218" t="s">
        <v>516</v>
      </c>
      <c r="G1218">
        <v>722.65</v>
      </c>
    </row>
    <row r="1219" spans="2:7" hidden="1">
      <c r="B1219" s="43">
        <v>44406</v>
      </c>
      <c r="C1219" t="s">
        <v>155</v>
      </c>
      <c r="D1219" s="48">
        <v>44406</v>
      </c>
      <c r="E1219">
        <v>0</v>
      </c>
      <c r="F1219" t="s">
        <v>516</v>
      </c>
      <c r="G1219">
        <v>748.15</v>
      </c>
    </row>
    <row r="1220" spans="2:7" hidden="1">
      <c r="B1220" s="43">
        <v>44404</v>
      </c>
      <c r="C1220" t="s">
        <v>155</v>
      </c>
      <c r="D1220" s="48">
        <v>44406</v>
      </c>
      <c r="E1220">
        <v>520</v>
      </c>
      <c r="F1220" t="s">
        <v>514</v>
      </c>
      <c r="G1220">
        <v>140</v>
      </c>
    </row>
    <row r="1221" spans="2:7">
      <c r="B1221" s="43">
        <v>44404</v>
      </c>
      <c r="C1221" t="s">
        <v>155</v>
      </c>
      <c r="D1221" s="48">
        <v>44406</v>
      </c>
      <c r="E1221">
        <v>520</v>
      </c>
      <c r="F1221" t="s">
        <v>515</v>
      </c>
      <c r="G1221">
        <v>0.05</v>
      </c>
    </row>
    <row r="1222" spans="2:7" hidden="1">
      <c r="B1222" s="43">
        <v>44405</v>
      </c>
      <c r="C1222" t="s">
        <v>155</v>
      </c>
      <c r="D1222" s="48">
        <v>44406</v>
      </c>
      <c r="E1222">
        <v>520</v>
      </c>
      <c r="F1222" t="s">
        <v>514</v>
      </c>
      <c r="G1222">
        <v>140</v>
      </c>
    </row>
    <row r="1223" spans="2:7">
      <c r="B1223" s="43">
        <v>44405</v>
      </c>
      <c r="C1223" t="s">
        <v>155</v>
      </c>
      <c r="D1223" s="48">
        <v>44406</v>
      </c>
      <c r="E1223">
        <v>520</v>
      </c>
      <c r="F1223" t="s">
        <v>515</v>
      </c>
      <c r="G1223">
        <v>0.05</v>
      </c>
    </row>
    <row r="1224" spans="2:7" hidden="1">
      <c r="B1224" s="43">
        <v>44406</v>
      </c>
      <c r="C1224" t="s">
        <v>155</v>
      </c>
      <c r="D1224" s="48">
        <v>44406</v>
      </c>
      <c r="E1224">
        <v>520</v>
      </c>
      <c r="F1224" t="s">
        <v>514</v>
      </c>
      <c r="G1224">
        <v>232.3</v>
      </c>
    </row>
    <row r="1225" spans="2:7">
      <c r="B1225" s="43">
        <v>44406</v>
      </c>
      <c r="C1225" t="s">
        <v>155</v>
      </c>
      <c r="D1225" s="48">
        <v>44406</v>
      </c>
      <c r="E1225">
        <v>520</v>
      </c>
      <c r="F1225" t="s">
        <v>515</v>
      </c>
      <c r="G1225">
        <v>0.05</v>
      </c>
    </row>
    <row r="1226" spans="2:7" hidden="1">
      <c r="B1226" s="43">
        <v>44404</v>
      </c>
      <c r="C1226" t="s">
        <v>155</v>
      </c>
      <c r="D1226" s="48">
        <v>44406</v>
      </c>
      <c r="E1226">
        <v>530</v>
      </c>
      <c r="F1226" t="s">
        <v>514</v>
      </c>
      <c r="G1226">
        <v>190.5</v>
      </c>
    </row>
    <row r="1227" spans="2:7">
      <c r="B1227" s="43">
        <v>44404</v>
      </c>
      <c r="C1227" t="s">
        <v>155</v>
      </c>
      <c r="D1227" s="48">
        <v>44406</v>
      </c>
      <c r="E1227">
        <v>530</v>
      </c>
      <c r="F1227" t="s">
        <v>515</v>
      </c>
      <c r="G1227">
        <v>0.1</v>
      </c>
    </row>
    <row r="1228" spans="2:7" hidden="1">
      <c r="B1228" s="43">
        <v>44405</v>
      </c>
      <c r="C1228" t="s">
        <v>155</v>
      </c>
      <c r="D1228" s="48">
        <v>44406</v>
      </c>
      <c r="E1228">
        <v>530</v>
      </c>
      <c r="F1228" t="s">
        <v>514</v>
      </c>
      <c r="G1228">
        <v>190.5</v>
      </c>
    </row>
    <row r="1229" spans="2:7">
      <c r="B1229" s="43">
        <v>44405</v>
      </c>
      <c r="C1229" t="s">
        <v>155</v>
      </c>
      <c r="D1229" s="48">
        <v>44406</v>
      </c>
      <c r="E1229">
        <v>530</v>
      </c>
      <c r="F1229" t="s">
        <v>515</v>
      </c>
      <c r="G1229">
        <v>0.1</v>
      </c>
    </row>
    <row r="1230" spans="2:7" hidden="1">
      <c r="B1230" s="43">
        <v>44406</v>
      </c>
      <c r="C1230" t="s">
        <v>155</v>
      </c>
      <c r="D1230" s="48">
        <v>44406</v>
      </c>
      <c r="E1230">
        <v>530</v>
      </c>
      <c r="F1230" t="s">
        <v>514</v>
      </c>
      <c r="G1230">
        <v>190.5</v>
      </c>
    </row>
    <row r="1231" spans="2:7">
      <c r="B1231" s="43">
        <v>44406</v>
      </c>
      <c r="C1231" t="s">
        <v>155</v>
      </c>
      <c r="D1231" s="48">
        <v>44406</v>
      </c>
      <c r="E1231">
        <v>530</v>
      </c>
      <c r="F1231" t="s">
        <v>515</v>
      </c>
      <c r="G1231">
        <v>0.1</v>
      </c>
    </row>
    <row r="1232" spans="2:7" hidden="1">
      <c r="B1232" s="43">
        <v>44404</v>
      </c>
      <c r="C1232" t="s">
        <v>155</v>
      </c>
      <c r="D1232" s="48">
        <v>44406</v>
      </c>
      <c r="E1232">
        <v>540</v>
      </c>
      <c r="F1232" t="s">
        <v>514</v>
      </c>
      <c r="G1232">
        <v>194.1</v>
      </c>
    </row>
    <row r="1233" spans="2:7">
      <c r="B1233" s="43">
        <v>44404</v>
      </c>
      <c r="C1233" t="s">
        <v>155</v>
      </c>
      <c r="D1233" s="48">
        <v>44406</v>
      </c>
      <c r="E1233">
        <v>540</v>
      </c>
      <c r="F1233" t="s">
        <v>515</v>
      </c>
      <c r="G1233">
        <v>0.1</v>
      </c>
    </row>
    <row r="1234" spans="2:7" hidden="1">
      <c r="B1234" s="43">
        <v>44405</v>
      </c>
      <c r="C1234" t="s">
        <v>155</v>
      </c>
      <c r="D1234" s="48">
        <v>44406</v>
      </c>
      <c r="E1234">
        <v>540</v>
      </c>
      <c r="F1234" t="s">
        <v>514</v>
      </c>
      <c r="G1234">
        <v>194.1</v>
      </c>
    </row>
    <row r="1235" spans="2:7">
      <c r="B1235" s="43">
        <v>44405</v>
      </c>
      <c r="C1235" t="s">
        <v>155</v>
      </c>
      <c r="D1235" s="48">
        <v>44406</v>
      </c>
      <c r="E1235">
        <v>540</v>
      </c>
      <c r="F1235" t="s">
        <v>515</v>
      </c>
      <c r="G1235">
        <v>0.05</v>
      </c>
    </row>
    <row r="1236" spans="2:7" hidden="1">
      <c r="B1236" s="43">
        <v>44406</v>
      </c>
      <c r="C1236" t="s">
        <v>155</v>
      </c>
      <c r="D1236" s="48">
        <v>44406</v>
      </c>
      <c r="E1236">
        <v>540</v>
      </c>
      <c r="F1236" t="s">
        <v>514</v>
      </c>
      <c r="G1236">
        <v>194.1</v>
      </c>
    </row>
    <row r="1237" spans="2:7">
      <c r="B1237" s="43">
        <v>44406</v>
      </c>
      <c r="C1237" t="s">
        <v>155</v>
      </c>
      <c r="D1237" s="48">
        <v>44406</v>
      </c>
      <c r="E1237">
        <v>540</v>
      </c>
      <c r="F1237" t="s">
        <v>515</v>
      </c>
      <c r="G1237">
        <v>0.05</v>
      </c>
    </row>
    <row r="1238" spans="2:7" hidden="1">
      <c r="B1238" s="43">
        <v>44404</v>
      </c>
      <c r="C1238" t="s">
        <v>155</v>
      </c>
      <c r="D1238" s="48">
        <v>44406</v>
      </c>
      <c r="E1238">
        <v>545</v>
      </c>
      <c r="F1238" t="s">
        <v>514</v>
      </c>
      <c r="G1238">
        <v>197.55</v>
      </c>
    </row>
    <row r="1239" spans="2:7">
      <c r="B1239" s="43">
        <v>44404</v>
      </c>
      <c r="C1239" t="s">
        <v>155</v>
      </c>
      <c r="D1239" s="48">
        <v>44406</v>
      </c>
      <c r="E1239">
        <v>545</v>
      </c>
      <c r="F1239" t="s">
        <v>515</v>
      </c>
      <c r="G1239">
        <v>10.95</v>
      </c>
    </row>
    <row r="1240" spans="2:7" hidden="1">
      <c r="B1240" s="43">
        <v>44405</v>
      </c>
      <c r="C1240" t="s">
        <v>155</v>
      </c>
      <c r="D1240" s="48">
        <v>44406</v>
      </c>
      <c r="E1240">
        <v>545</v>
      </c>
      <c r="F1240" t="s">
        <v>514</v>
      </c>
      <c r="G1240">
        <v>197.55</v>
      </c>
    </row>
    <row r="1241" spans="2:7">
      <c r="B1241" s="43">
        <v>44405</v>
      </c>
      <c r="C1241" t="s">
        <v>155</v>
      </c>
      <c r="D1241" s="48">
        <v>44406</v>
      </c>
      <c r="E1241">
        <v>545</v>
      </c>
      <c r="F1241" t="s">
        <v>515</v>
      </c>
      <c r="G1241">
        <v>10.95</v>
      </c>
    </row>
    <row r="1242" spans="2:7" hidden="1">
      <c r="B1242" s="43">
        <v>44406</v>
      </c>
      <c r="C1242" t="s">
        <v>155</v>
      </c>
      <c r="D1242" s="48">
        <v>44406</v>
      </c>
      <c r="E1242">
        <v>545</v>
      </c>
      <c r="F1242" t="s">
        <v>514</v>
      </c>
      <c r="G1242">
        <v>197.55</v>
      </c>
    </row>
    <row r="1243" spans="2:7">
      <c r="B1243" s="43">
        <v>44406</v>
      </c>
      <c r="C1243" t="s">
        <v>155</v>
      </c>
      <c r="D1243" s="48">
        <v>44406</v>
      </c>
      <c r="E1243">
        <v>545</v>
      </c>
      <c r="F1243" t="s">
        <v>515</v>
      </c>
      <c r="G1243">
        <v>10.95</v>
      </c>
    </row>
    <row r="1244" spans="2:7" hidden="1">
      <c r="B1244" s="43">
        <v>44404</v>
      </c>
      <c r="C1244" t="s">
        <v>155</v>
      </c>
      <c r="D1244" s="48">
        <v>44406</v>
      </c>
      <c r="E1244">
        <v>550</v>
      </c>
      <c r="F1244" t="s">
        <v>514</v>
      </c>
      <c r="G1244">
        <v>161</v>
      </c>
    </row>
    <row r="1245" spans="2:7">
      <c r="B1245" s="43">
        <v>44404</v>
      </c>
      <c r="C1245" t="s">
        <v>155</v>
      </c>
      <c r="D1245" s="48">
        <v>44406</v>
      </c>
      <c r="E1245">
        <v>550</v>
      </c>
      <c r="F1245" t="s">
        <v>515</v>
      </c>
      <c r="G1245">
        <v>0.05</v>
      </c>
    </row>
    <row r="1246" spans="2:7" hidden="1">
      <c r="B1246" s="43">
        <v>44405</v>
      </c>
      <c r="C1246" t="s">
        <v>155</v>
      </c>
      <c r="D1246" s="48">
        <v>44406</v>
      </c>
      <c r="E1246">
        <v>550</v>
      </c>
      <c r="F1246" t="s">
        <v>514</v>
      </c>
      <c r="G1246">
        <v>161</v>
      </c>
    </row>
    <row r="1247" spans="2:7">
      <c r="B1247" s="43">
        <v>44405</v>
      </c>
      <c r="C1247" t="s">
        <v>155</v>
      </c>
      <c r="D1247" s="48">
        <v>44406</v>
      </c>
      <c r="E1247">
        <v>550</v>
      </c>
      <c r="F1247" t="s">
        <v>515</v>
      </c>
      <c r="G1247">
        <v>0.05</v>
      </c>
    </row>
    <row r="1248" spans="2:7" hidden="1">
      <c r="B1248" s="43">
        <v>44406</v>
      </c>
      <c r="C1248" t="s">
        <v>155</v>
      </c>
      <c r="D1248" s="48">
        <v>44406</v>
      </c>
      <c r="E1248">
        <v>550</v>
      </c>
      <c r="F1248" t="s">
        <v>514</v>
      </c>
      <c r="G1248">
        <v>197</v>
      </c>
    </row>
    <row r="1249" spans="2:7">
      <c r="B1249" s="43">
        <v>44406</v>
      </c>
      <c r="C1249" t="s">
        <v>155</v>
      </c>
      <c r="D1249" s="48">
        <v>44406</v>
      </c>
      <c r="E1249">
        <v>550</v>
      </c>
      <c r="F1249" t="s">
        <v>515</v>
      </c>
      <c r="G1249">
        <v>0.1</v>
      </c>
    </row>
    <row r="1250" spans="2:7" hidden="1">
      <c r="B1250" s="43">
        <v>44404</v>
      </c>
      <c r="C1250" t="s">
        <v>155</v>
      </c>
      <c r="D1250" s="48">
        <v>44406</v>
      </c>
      <c r="E1250">
        <v>555</v>
      </c>
      <c r="F1250" t="s">
        <v>514</v>
      </c>
      <c r="G1250">
        <v>189.35</v>
      </c>
    </row>
    <row r="1251" spans="2:7">
      <c r="B1251" s="43">
        <v>44404</v>
      </c>
      <c r="C1251" t="s">
        <v>155</v>
      </c>
      <c r="D1251" s="48">
        <v>44406</v>
      </c>
      <c r="E1251">
        <v>555</v>
      </c>
      <c r="F1251" t="s">
        <v>515</v>
      </c>
      <c r="G1251">
        <v>12.65</v>
      </c>
    </row>
    <row r="1252" spans="2:7" hidden="1">
      <c r="B1252" s="43">
        <v>44405</v>
      </c>
      <c r="C1252" t="s">
        <v>155</v>
      </c>
      <c r="D1252" s="48">
        <v>44406</v>
      </c>
      <c r="E1252">
        <v>555</v>
      </c>
      <c r="F1252" t="s">
        <v>514</v>
      </c>
      <c r="G1252">
        <v>189.35</v>
      </c>
    </row>
    <row r="1253" spans="2:7">
      <c r="B1253" s="43">
        <v>44405</v>
      </c>
      <c r="C1253" t="s">
        <v>155</v>
      </c>
      <c r="D1253" s="48">
        <v>44406</v>
      </c>
      <c r="E1253">
        <v>555</v>
      </c>
      <c r="F1253" t="s">
        <v>515</v>
      </c>
      <c r="G1253">
        <v>12.65</v>
      </c>
    </row>
    <row r="1254" spans="2:7" hidden="1">
      <c r="B1254" s="43">
        <v>44406</v>
      </c>
      <c r="C1254" t="s">
        <v>155</v>
      </c>
      <c r="D1254" s="48">
        <v>44406</v>
      </c>
      <c r="E1254">
        <v>555</v>
      </c>
      <c r="F1254" t="s">
        <v>514</v>
      </c>
      <c r="G1254">
        <v>189.35</v>
      </c>
    </row>
    <row r="1255" spans="2:7">
      <c r="B1255" s="43">
        <v>44406</v>
      </c>
      <c r="C1255" t="s">
        <v>155</v>
      </c>
      <c r="D1255" s="48">
        <v>44406</v>
      </c>
      <c r="E1255">
        <v>555</v>
      </c>
      <c r="F1255" t="s">
        <v>515</v>
      </c>
      <c r="G1255">
        <v>12.65</v>
      </c>
    </row>
    <row r="1256" spans="2:7" hidden="1">
      <c r="B1256" s="43">
        <v>44404</v>
      </c>
      <c r="C1256" t="s">
        <v>155</v>
      </c>
      <c r="D1256" s="48">
        <v>44406</v>
      </c>
      <c r="E1256">
        <v>560</v>
      </c>
      <c r="F1256" t="s">
        <v>514</v>
      </c>
      <c r="G1256">
        <v>185.3</v>
      </c>
    </row>
    <row r="1257" spans="2:7">
      <c r="B1257" s="43">
        <v>44404</v>
      </c>
      <c r="C1257" t="s">
        <v>155</v>
      </c>
      <c r="D1257" s="48">
        <v>44406</v>
      </c>
      <c r="E1257">
        <v>560</v>
      </c>
      <c r="F1257" t="s">
        <v>515</v>
      </c>
      <c r="G1257">
        <v>0.25</v>
      </c>
    </row>
    <row r="1258" spans="2:7" hidden="1">
      <c r="B1258" s="43">
        <v>44405</v>
      </c>
      <c r="C1258" t="s">
        <v>155</v>
      </c>
      <c r="D1258" s="48">
        <v>44406</v>
      </c>
      <c r="E1258">
        <v>560</v>
      </c>
      <c r="F1258" t="s">
        <v>514</v>
      </c>
      <c r="G1258">
        <v>185.3</v>
      </c>
    </row>
    <row r="1259" spans="2:7">
      <c r="B1259" s="43">
        <v>44405</v>
      </c>
      <c r="C1259" t="s">
        <v>155</v>
      </c>
      <c r="D1259" s="48">
        <v>44406</v>
      </c>
      <c r="E1259">
        <v>560</v>
      </c>
      <c r="F1259" t="s">
        <v>515</v>
      </c>
      <c r="G1259">
        <v>0.25</v>
      </c>
    </row>
    <row r="1260" spans="2:7" hidden="1">
      <c r="B1260" s="43">
        <v>44406</v>
      </c>
      <c r="C1260" t="s">
        <v>155</v>
      </c>
      <c r="D1260" s="48">
        <v>44406</v>
      </c>
      <c r="E1260">
        <v>560</v>
      </c>
      <c r="F1260" t="s">
        <v>514</v>
      </c>
      <c r="G1260">
        <v>185.3</v>
      </c>
    </row>
    <row r="1261" spans="2:7">
      <c r="B1261" s="43">
        <v>44406</v>
      </c>
      <c r="C1261" t="s">
        <v>155</v>
      </c>
      <c r="D1261" s="48">
        <v>44406</v>
      </c>
      <c r="E1261">
        <v>560</v>
      </c>
      <c r="F1261" t="s">
        <v>515</v>
      </c>
      <c r="G1261">
        <v>0.05</v>
      </c>
    </row>
    <row r="1262" spans="2:7" hidden="1">
      <c r="B1262" s="43">
        <v>44404</v>
      </c>
      <c r="C1262" t="s">
        <v>155</v>
      </c>
      <c r="D1262" s="48">
        <v>44406</v>
      </c>
      <c r="E1262">
        <v>565</v>
      </c>
      <c r="F1262" t="s">
        <v>514</v>
      </c>
      <c r="G1262">
        <v>181.3</v>
      </c>
    </row>
    <row r="1263" spans="2:7">
      <c r="B1263" s="43">
        <v>44404</v>
      </c>
      <c r="C1263" t="s">
        <v>155</v>
      </c>
      <c r="D1263" s="48">
        <v>44406</v>
      </c>
      <c r="E1263">
        <v>565</v>
      </c>
      <c r="F1263" t="s">
        <v>515</v>
      </c>
      <c r="G1263">
        <v>14.5</v>
      </c>
    </row>
    <row r="1264" spans="2:7" hidden="1">
      <c r="B1264" s="43">
        <v>44405</v>
      </c>
      <c r="C1264" t="s">
        <v>155</v>
      </c>
      <c r="D1264" s="48">
        <v>44406</v>
      </c>
      <c r="E1264">
        <v>565</v>
      </c>
      <c r="F1264" t="s">
        <v>514</v>
      </c>
      <c r="G1264">
        <v>181.3</v>
      </c>
    </row>
    <row r="1265" spans="2:7">
      <c r="B1265" s="43">
        <v>44405</v>
      </c>
      <c r="C1265" t="s">
        <v>155</v>
      </c>
      <c r="D1265" s="48">
        <v>44406</v>
      </c>
      <c r="E1265">
        <v>565</v>
      </c>
      <c r="F1265" t="s">
        <v>515</v>
      </c>
      <c r="G1265">
        <v>14.5</v>
      </c>
    </row>
    <row r="1266" spans="2:7" hidden="1">
      <c r="B1266" s="43">
        <v>44406</v>
      </c>
      <c r="C1266" t="s">
        <v>155</v>
      </c>
      <c r="D1266" s="48">
        <v>44406</v>
      </c>
      <c r="E1266">
        <v>565</v>
      </c>
      <c r="F1266" t="s">
        <v>514</v>
      </c>
      <c r="G1266">
        <v>181.3</v>
      </c>
    </row>
    <row r="1267" spans="2:7">
      <c r="B1267" s="43">
        <v>44406</v>
      </c>
      <c r="C1267" t="s">
        <v>155</v>
      </c>
      <c r="D1267" s="48">
        <v>44406</v>
      </c>
      <c r="E1267">
        <v>565</v>
      </c>
      <c r="F1267" t="s">
        <v>515</v>
      </c>
      <c r="G1267">
        <v>14.5</v>
      </c>
    </row>
    <row r="1268" spans="2:7" hidden="1">
      <c r="B1268" s="43">
        <v>44404</v>
      </c>
      <c r="C1268" t="s">
        <v>155</v>
      </c>
      <c r="D1268" s="48">
        <v>44406</v>
      </c>
      <c r="E1268">
        <v>570</v>
      </c>
      <c r="F1268" t="s">
        <v>514</v>
      </c>
      <c r="G1268">
        <v>177.35</v>
      </c>
    </row>
    <row r="1269" spans="2:7">
      <c r="B1269" s="43">
        <v>44404</v>
      </c>
      <c r="C1269" t="s">
        <v>155</v>
      </c>
      <c r="D1269" s="48">
        <v>44406</v>
      </c>
      <c r="E1269">
        <v>570</v>
      </c>
      <c r="F1269" t="s">
        <v>515</v>
      </c>
      <c r="G1269">
        <v>15.5</v>
      </c>
    </row>
    <row r="1270" spans="2:7" hidden="1">
      <c r="B1270" s="43">
        <v>44405</v>
      </c>
      <c r="C1270" t="s">
        <v>155</v>
      </c>
      <c r="D1270" s="48">
        <v>44406</v>
      </c>
      <c r="E1270">
        <v>570</v>
      </c>
      <c r="F1270" t="s">
        <v>514</v>
      </c>
      <c r="G1270">
        <v>177.35</v>
      </c>
    </row>
    <row r="1271" spans="2:7">
      <c r="B1271" s="43">
        <v>44405</v>
      </c>
      <c r="C1271" t="s">
        <v>155</v>
      </c>
      <c r="D1271" s="48">
        <v>44406</v>
      </c>
      <c r="E1271">
        <v>570</v>
      </c>
      <c r="F1271" t="s">
        <v>515</v>
      </c>
      <c r="G1271">
        <v>15.5</v>
      </c>
    </row>
    <row r="1272" spans="2:7" hidden="1">
      <c r="B1272" s="43">
        <v>44406</v>
      </c>
      <c r="C1272" t="s">
        <v>155</v>
      </c>
      <c r="D1272" s="48">
        <v>44406</v>
      </c>
      <c r="E1272">
        <v>570</v>
      </c>
      <c r="F1272" t="s">
        <v>514</v>
      </c>
      <c r="G1272">
        <v>177.35</v>
      </c>
    </row>
    <row r="1273" spans="2:7">
      <c r="B1273" s="43">
        <v>44406</v>
      </c>
      <c r="C1273" t="s">
        <v>155</v>
      </c>
      <c r="D1273" s="48">
        <v>44406</v>
      </c>
      <c r="E1273">
        <v>570</v>
      </c>
      <c r="F1273" t="s">
        <v>515</v>
      </c>
      <c r="G1273">
        <v>15.5</v>
      </c>
    </row>
    <row r="1274" spans="2:7" hidden="1">
      <c r="B1274" s="43">
        <v>44404</v>
      </c>
      <c r="C1274" t="s">
        <v>155</v>
      </c>
      <c r="D1274" s="48">
        <v>44406</v>
      </c>
      <c r="E1274">
        <v>575</v>
      </c>
      <c r="F1274" t="s">
        <v>514</v>
      </c>
      <c r="G1274">
        <v>173.45</v>
      </c>
    </row>
    <row r="1275" spans="2:7">
      <c r="B1275" s="43">
        <v>44404</v>
      </c>
      <c r="C1275" t="s">
        <v>155</v>
      </c>
      <c r="D1275" s="48">
        <v>44406</v>
      </c>
      <c r="E1275">
        <v>575</v>
      </c>
      <c r="F1275" t="s">
        <v>515</v>
      </c>
      <c r="G1275">
        <v>16.55</v>
      </c>
    </row>
    <row r="1276" spans="2:7" hidden="1">
      <c r="B1276" s="43">
        <v>44405</v>
      </c>
      <c r="C1276" t="s">
        <v>155</v>
      </c>
      <c r="D1276" s="48">
        <v>44406</v>
      </c>
      <c r="E1276">
        <v>575</v>
      </c>
      <c r="F1276" t="s">
        <v>514</v>
      </c>
      <c r="G1276">
        <v>173.45</v>
      </c>
    </row>
    <row r="1277" spans="2:7">
      <c r="B1277" s="43">
        <v>44405</v>
      </c>
      <c r="C1277" t="s">
        <v>155</v>
      </c>
      <c r="D1277" s="48">
        <v>44406</v>
      </c>
      <c r="E1277">
        <v>575</v>
      </c>
      <c r="F1277" t="s">
        <v>515</v>
      </c>
      <c r="G1277">
        <v>16.55</v>
      </c>
    </row>
    <row r="1278" spans="2:7" hidden="1">
      <c r="B1278" s="43">
        <v>44406</v>
      </c>
      <c r="C1278" t="s">
        <v>155</v>
      </c>
      <c r="D1278" s="48">
        <v>44406</v>
      </c>
      <c r="E1278">
        <v>575</v>
      </c>
      <c r="F1278" t="s">
        <v>514</v>
      </c>
      <c r="G1278">
        <v>173.45</v>
      </c>
    </row>
    <row r="1279" spans="2:7">
      <c r="B1279" s="43">
        <v>44406</v>
      </c>
      <c r="C1279" t="s">
        <v>155</v>
      </c>
      <c r="D1279" s="48">
        <v>44406</v>
      </c>
      <c r="E1279">
        <v>575</v>
      </c>
      <c r="F1279" t="s">
        <v>515</v>
      </c>
      <c r="G1279">
        <v>16.55</v>
      </c>
    </row>
    <row r="1280" spans="2:7" hidden="1">
      <c r="B1280" s="43">
        <v>44404</v>
      </c>
      <c r="C1280" t="s">
        <v>155</v>
      </c>
      <c r="D1280" s="48">
        <v>44406</v>
      </c>
      <c r="E1280">
        <v>580</v>
      </c>
      <c r="F1280" t="s">
        <v>514</v>
      </c>
      <c r="G1280">
        <v>90</v>
      </c>
    </row>
    <row r="1281" spans="2:7">
      <c r="B1281" s="43">
        <v>44404</v>
      </c>
      <c r="C1281" t="s">
        <v>155</v>
      </c>
      <c r="D1281" s="48">
        <v>44406</v>
      </c>
      <c r="E1281">
        <v>580</v>
      </c>
      <c r="F1281" t="s">
        <v>515</v>
      </c>
      <c r="G1281">
        <v>0.1</v>
      </c>
    </row>
    <row r="1282" spans="2:7" hidden="1">
      <c r="B1282" s="43">
        <v>44405</v>
      </c>
      <c r="C1282" t="s">
        <v>155</v>
      </c>
      <c r="D1282" s="48">
        <v>44406</v>
      </c>
      <c r="E1282">
        <v>580</v>
      </c>
      <c r="F1282" t="s">
        <v>514</v>
      </c>
      <c r="G1282">
        <v>90</v>
      </c>
    </row>
    <row r="1283" spans="2:7">
      <c r="B1283" s="43">
        <v>44405</v>
      </c>
      <c r="C1283" t="s">
        <v>155</v>
      </c>
      <c r="D1283" s="48">
        <v>44406</v>
      </c>
      <c r="E1283">
        <v>580</v>
      </c>
      <c r="F1283" t="s">
        <v>515</v>
      </c>
      <c r="G1283">
        <v>0.05</v>
      </c>
    </row>
    <row r="1284" spans="2:7" hidden="1">
      <c r="B1284" s="43">
        <v>44406</v>
      </c>
      <c r="C1284" t="s">
        <v>155</v>
      </c>
      <c r="D1284" s="48">
        <v>44406</v>
      </c>
      <c r="E1284">
        <v>580</v>
      </c>
      <c r="F1284" t="s">
        <v>514</v>
      </c>
      <c r="G1284">
        <v>170</v>
      </c>
    </row>
    <row r="1285" spans="2:7">
      <c r="B1285" s="43">
        <v>44406</v>
      </c>
      <c r="C1285" t="s">
        <v>155</v>
      </c>
      <c r="D1285" s="48">
        <v>44406</v>
      </c>
      <c r="E1285">
        <v>580</v>
      </c>
      <c r="F1285" t="s">
        <v>515</v>
      </c>
      <c r="G1285">
        <v>0.05</v>
      </c>
    </row>
    <row r="1286" spans="2:7" hidden="1">
      <c r="B1286" s="43">
        <v>44404</v>
      </c>
      <c r="C1286" t="s">
        <v>155</v>
      </c>
      <c r="D1286" s="48">
        <v>44406</v>
      </c>
      <c r="E1286">
        <v>585</v>
      </c>
      <c r="F1286" t="s">
        <v>514</v>
      </c>
      <c r="G1286">
        <v>165.8</v>
      </c>
    </row>
    <row r="1287" spans="2:7">
      <c r="B1287" s="43">
        <v>44404</v>
      </c>
      <c r="C1287" t="s">
        <v>155</v>
      </c>
      <c r="D1287" s="48">
        <v>44406</v>
      </c>
      <c r="E1287">
        <v>585</v>
      </c>
      <c r="F1287" t="s">
        <v>515</v>
      </c>
      <c r="G1287">
        <v>18.8</v>
      </c>
    </row>
    <row r="1288" spans="2:7" hidden="1">
      <c r="B1288" s="43">
        <v>44405</v>
      </c>
      <c r="C1288" t="s">
        <v>155</v>
      </c>
      <c r="D1288" s="48">
        <v>44406</v>
      </c>
      <c r="E1288">
        <v>585</v>
      </c>
      <c r="F1288" t="s">
        <v>514</v>
      </c>
      <c r="G1288">
        <v>165.8</v>
      </c>
    </row>
    <row r="1289" spans="2:7">
      <c r="B1289" s="43">
        <v>44405</v>
      </c>
      <c r="C1289" t="s">
        <v>155</v>
      </c>
      <c r="D1289" s="48">
        <v>44406</v>
      </c>
      <c r="E1289">
        <v>585</v>
      </c>
      <c r="F1289" t="s">
        <v>515</v>
      </c>
      <c r="G1289">
        <v>18.8</v>
      </c>
    </row>
    <row r="1290" spans="2:7" hidden="1">
      <c r="B1290" s="43">
        <v>44406</v>
      </c>
      <c r="C1290" t="s">
        <v>155</v>
      </c>
      <c r="D1290" s="48">
        <v>44406</v>
      </c>
      <c r="E1290">
        <v>585</v>
      </c>
      <c r="F1290" t="s">
        <v>514</v>
      </c>
      <c r="G1290">
        <v>165.8</v>
      </c>
    </row>
    <row r="1291" spans="2:7">
      <c r="B1291" s="43">
        <v>44406</v>
      </c>
      <c r="C1291" t="s">
        <v>155</v>
      </c>
      <c r="D1291" s="48">
        <v>44406</v>
      </c>
      <c r="E1291">
        <v>585</v>
      </c>
      <c r="F1291" t="s">
        <v>515</v>
      </c>
      <c r="G1291">
        <v>18.8</v>
      </c>
    </row>
    <row r="1292" spans="2:7" hidden="1">
      <c r="B1292" s="43">
        <v>44404</v>
      </c>
      <c r="C1292" t="s">
        <v>155</v>
      </c>
      <c r="D1292" s="48">
        <v>44406</v>
      </c>
      <c r="E1292">
        <v>590</v>
      </c>
      <c r="F1292" t="s">
        <v>514</v>
      </c>
      <c r="G1292">
        <v>162.05000000000001</v>
      </c>
    </row>
    <row r="1293" spans="2:7">
      <c r="B1293" s="43">
        <v>44404</v>
      </c>
      <c r="C1293" t="s">
        <v>155</v>
      </c>
      <c r="D1293" s="48">
        <v>44406</v>
      </c>
      <c r="E1293">
        <v>590</v>
      </c>
      <c r="F1293" t="s">
        <v>515</v>
      </c>
      <c r="G1293">
        <v>0.2</v>
      </c>
    </row>
    <row r="1294" spans="2:7" hidden="1">
      <c r="B1294" s="43">
        <v>44405</v>
      </c>
      <c r="C1294" t="s">
        <v>155</v>
      </c>
      <c r="D1294" s="48">
        <v>44406</v>
      </c>
      <c r="E1294">
        <v>590</v>
      </c>
      <c r="F1294" t="s">
        <v>514</v>
      </c>
      <c r="G1294">
        <v>162.05000000000001</v>
      </c>
    </row>
    <row r="1295" spans="2:7">
      <c r="B1295" s="43">
        <v>44405</v>
      </c>
      <c r="C1295" t="s">
        <v>155</v>
      </c>
      <c r="D1295" s="48">
        <v>44406</v>
      </c>
      <c r="E1295">
        <v>590</v>
      </c>
      <c r="F1295" t="s">
        <v>515</v>
      </c>
      <c r="G1295">
        <v>0.3</v>
      </c>
    </row>
    <row r="1296" spans="2:7" hidden="1">
      <c r="B1296" s="43">
        <v>44406</v>
      </c>
      <c r="C1296" t="s">
        <v>155</v>
      </c>
      <c r="D1296" s="48">
        <v>44406</v>
      </c>
      <c r="E1296">
        <v>590</v>
      </c>
      <c r="F1296" t="s">
        <v>514</v>
      </c>
      <c r="G1296">
        <v>162.05000000000001</v>
      </c>
    </row>
    <row r="1297" spans="2:7">
      <c r="B1297" s="43">
        <v>44406</v>
      </c>
      <c r="C1297" t="s">
        <v>155</v>
      </c>
      <c r="D1297" s="48">
        <v>44406</v>
      </c>
      <c r="E1297">
        <v>590</v>
      </c>
      <c r="F1297" t="s">
        <v>515</v>
      </c>
      <c r="G1297">
        <v>0.1</v>
      </c>
    </row>
    <row r="1298" spans="2:7" hidden="1">
      <c r="B1298" s="43">
        <v>44404</v>
      </c>
      <c r="C1298" t="s">
        <v>155</v>
      </c>
      <c r="D1298" s="48">
        <v>44406</v>
      </c>
      <c r="E1298">
        <v>595</v>
      </c>
      <c r="F1298" t="s">
        <v>514</v>
      </c>
      <c r="G1298">
        <v>158.35</v>
      </c>
    </row>
    <row r="1299" spans="2:7">
      <c r="B1299" s="43">
        <v>44404</v>
      </c>
      <c r="C1299" t="s">
        <v>155</v>
      </c>
      <c r="D1299" s="48">
        <v>44406</v>
      </c>
      <c r="E1299">
        <v>595</v>
      </c>
      <c r="F1299" t="s">
        <v>515</v>
      </c>
      <c r="G1299">
        <v>21.25</v>
      </c>
    </row>
    <row r="1300" spans="2:7" hidden="1">
      <c r="B1300" s="43">
        <v>44405</v>
      </c>
      <c r="C1300" t="s">
        <v>155</v>
      </c>
      <c r="D1300" s="48">
        <v>44406</v>
      </c>
      <c r="E1300">
        <v>595</v>
      </c>
      <c r="F1300" t="s">
        <v>514</v>
      </c>
      <c r="G1300">
        <v>158.35</v>
      </c>
    </row>
    <row r="1301" spans="2:7">
      <c r="B1301" s="43">
        <v>44405</v>
      </c>
      <c r="C1301" t="s">
        <v>155</v>
      </c>
      <c r="D1301" s="48">
        <v>44406</v>
      </c>
      <c r="E1301">
        <v>595</v>
      </c>
      <c r="F1301" t="s">
        <v>515</v>
      </c>
      <c r="G1301">
        <v>21.25</v>
      </c>
    </row>
    <row r="1302" spans="2:7" hidden="1">
      <c r="B1302" s="43">
        <v>44406</v>
      </c>
      <c r="C1302" t="s">
        <v>155</v>
      </c>
      <c r="D1302" s="48">
        <v>44406</v>
      </c>
      <c r="E1302">
        <v>595</v>
      </c>
      <c r="F1302" t="s">
        <v>514</v>
      </c>
      <c r="G1302">
        <v>158.35</v>
      </c>
    </row>
    <row r="1303" spans="2:7">
      <c r="B1303" s="43">
        <v>44406</v>
      </c>
      <c r="C1303" t="s">
        <v>155</v>
      </c>
      <c r="D1303" s="48">
        <v>44406</v>
      </c>
      <c r="E1303">
        <v>595</v>
      </c>
      <c r="F1303" t="s">
        <v>515</v>
      </c>
      <c r="G1303">
        <v>21.25</v>
      </c>
    </row>
    <row r="1304" spans="2:7" hidden="1">
      <c r="B1304" s="43">
        <v>44404</v>
      </c>
      <c r="C1304" t="s">
        <v>155</v>
      </c>
      <c r="D1304" s="48">
        <v>44406</v>
      </c>
      <c r="E1304">
        <v>600</v>
      </c>
      <c r="F1304" t="s">
        <v>514</v>
      </c>
      <c r="G1304">
        <v>117.55</v>
      </c>
    </row>
    <row r="1305" spans="2:7">
      <c r="B1305" s="43">
        <v>44404</v>
      </c>
      <c r="C1305" t="s">
        <v>155</v>
      </c>
      <c r="D1305" s="48">
        <v>44406</v>
      </c>
      <c r="E1305">
        <v>600</v>
      </c>
      <c r="F1305" t="s">
        <v>515</v>
      </c>
      <c r="G1305">
        <v>0.15</v>
      </c>
    </row>
    <row r="1306" spans="2:7" hidden="1">
      <c r="B1306" s="43">
        <v>44405</v>
      </c>
      <c r="C1306" t="s">
        <v>155</v>
      </c>
      <c r="D1306" s="48">
        <v>44406</v>
      </c>
      <c r="E1306">
        <v>600</v>
      </c>
      <c r="F1306" t="s">
        <v>514</v>
      </c>
      <c r="G1306">
        <v>117.2</v>
      </c>
    </row>
    <row r="1307" spans="2:7">
      <c r="B1307" s="43">
        <v>44405</v>
      </c>
      <c r="C1307" t="s">
        <v>155</v>
      </c>
      <c r="D1307" s="48">
        <v>44406</v>
      </c>
      <c r="E1307">
        <v>600</v>
      </c>
      <c r="F1307" t="s">
        <v>515</v>
      </c>
      <c r="G1307">
        <v>0.15</v>
      </c>
    </row>
    <row r="1308" spans="2:7" hidden="1">
      <c r="B1308" s="43">
        <v>44406</v>
      </c>
      <c r="C1308" t="s">
        <v>155</v>
      </c>
      <c r="D1308" s="48">
        <v>44406</v>
      </c>
      <c r="E1308">
        <v>600</v>
      </c>
      <c r="F1308" t="s">
        <v>514</v>
      </c>
      <c r="G1308">
        <v>145.55000000000001</v>
      </c>
    </row>
    <row r="1309" spans="2:7">
      <c r="B1309" s="43">
        <v>44406</v>
      </c>
      <c r="C1309" t="s">
        <v>155</v>
      </c>
      <c r="D1309" s="48">
        <v>44406</v>
      </c>
      <c r="E1309">
        <v>600</v>
      </c>
      <c r="F1309" t="s">
        <v>515</v>
      </c>
      <c r="G1309">
        <v>0.3</v>
      </c>
    </row>
    <row r="1310" spans="2:7" hidden="1">
      <c r="B1310" s="43">
        <v>44404</v>
      </c>
      <c r="C1310" t="s">
        <v>155</v>
      </c>
      <c r="D1310" s="48">
        <v>44406</v>
      </c>
      <c r="E1310">
        <v>605</v>
      </c>
      <c r="F1310" t="s">
        <v>514</v>
      </c>
      <c r="G1310">
        <v>151.05000000000001</v>
      </c>
    </row>
    <row r="1311" spans="2:7">
      <c r="B1311" s="43">
        <v>44404</v>
      </c>
      <c r="C1311" t="s">
        <v>155</v>
      </c>
      <c r="D1311" s="48">
        <v>44406</v>
      </c>
      <c r="E1311">
        <v>605</v>
      </c>
      <c r="F1311" t="s">
        <v>515</v>
      </c>
      <c r="G1311">
        <v>23.9</v>
      </c>
    </row>
    <row r="1312" spans="2:7" hidden="1">
      <c r="B1312" s="43">
        <v>44405</v>
      </c>
      <c r="C1312" t="s">
        <v>155</v>
      </c>
      <c r="D1312" s="48">
        <v>44406</v>
      </c>
      <c r="E1312">
        <v>605</v>
      </c>
      <c r="F1312" t="s">
        <v>514</v>
      </c>
      <c r="G1312">
        <v>151.05000000000001</v>
      </c>
    </row>
    <row r="1313" spans="2:7">
      <c r="B1313" s="43">
        <v>44405</v>
      </c>
      <c r="C1313" t="s">
        <v>155</v>
      </c>
      <c r="D1313" s="48">
        <v>44406</v>
      </c>
      <c r="E1313">
        <v>605</v>
      </c>
      <c r="F1313" t="s">
        <v>515</v>
      </c>
      <c r="G1313">
        <v>23.9</v>
      </c>
    </row>
    <row r="1314" spans="2:7" hidden="1">
      <c r="B1314" s="43">
        <v>44406</v>
      </c>
      <c r="C1314" t="s">
        <v>155</v>
      </c>
      <c r="D1314" s="48">
        <v>44406</v>
      </c>
      <c r="E1314">
        <v>605</v>
      </c>
      <c r="F1314" t="s">
        <v>514</v>
      </c>
      <c r="G1314">
        <v>151.05000000000001</v>
      </c>
    </row>
    <row r="1315" spans="2:7">
      <c r="B1315" s="43">
        <v>44406</v>
      </c>
      <c r="C1315" t="s">
        <v>155</v>
      </c>
      <c r="D1315" s="48">
        <v>44406</v>
      </c>
      <c r="E1315">
        <v>605</v>
      </c>
      <c r="F1315" t="s">
        <v>515</v>
      </c>
      <c r="G1315">
        <v>23.9</v>
      </c>
    </row>
    <row r="1316" spans="2:7" hidden="1">
      <c r="B1316" s="43">
        <v>44404</v>
      </c>
      <c r="C1316" t="s">
        <v>155</v>
      </c>
      <c r="D1316" s="48">
        <v>44406</v>
      </c>
      <c r="E1316">
        <v>610</v>
      </c>
      <c r="F1316" t="s">
        <v>514</v>
      </c>
      <c r="G1316">
        <v>91</v>
      </c>
    </row>
    <row r="1317" spans="2:7">
      <c r="B1317" s="43">
        <v>44404</v>
      </c>
      <c r="C1317" t="s">
        <v>155</v>
      </c>
      <c r="D1317" s="48">
        <v>44406</v>
      </c>
      <c r="E1317">
        <v>610</v>
      </c>
      <c r="F1317" t="s">
        <v>515</v>
      </c>
      <c r="G1317">
        <v>0.15</v>
      </c>
    </row>
    <row r="1318" spans="2:7" hidden="1">
      <c r="B1318" s="43">
        <v>44405</v>
      </c>
      <c r="C1318" t="s">
        <v>155</v>
      </c>
      <c r="D1318" s="48">
        <v>44406</v>
      </c>
      <c r="E1318">
        <v>610</v>
      </c>
      <c r="F1318" t="s">
        <v>514</v>
      </c>
      <c r="G1318">
        <v>91</v>
      </c>
    </row>
    <row r="1319" spans="2:7">
      <c r="B1319" s="43">
        <v>44405</v>
      </c>
      <c r="C1319" t="s">
        <v>155</v>
      </c>
      <c r="D1319" s="48">
        <v>44406</v>
      </c>
      <c r="E1319">
        <v>610</v>
      </c>
      <c r="F1319" t="s">
        <v>515</v>
      </c>
      <c r="G1319">
        <v>0.15</v>
      </c>
    </row>
    <row r="1320" spans="2:7" hidden="1">
      <c r="B1320" s="43">
        <v>44406</v>
      </c>
      <c r="C1320" t="s">
        <v>155</v>
      </c>
      <c r="D1320" s="48">
        <v>44406</v>
      </c>
      <c r="E1320">
        <v>610</v>
      </c>
      <c r="F1320" t="s">
        <v>514</v>
      </c>
      <c r="G1320">
        <v>91</v>
      </c>
    </row>
    <row r="1321" spans="2:7">
      <c r="B1321" s="43">
        <v>44406</v>
      </c>
      <c r="C1321" t="s">
        <v>155</v>
      </c>
      <c r="D1321" s="48">
        <v>44406</v>
      </c>
      <c r="E1321">
        <v>610</v>
      </c>
      <c r="F1321" t="s">
        <v>515</v>
      </c>
      <c r="G1321">
        <v>0.05</v>
      </c>
    </row>
    <row r="1322" spans="2:7" hidden="1">
      <c r="B1322" s="43">
        <v>44404</v>
      </c>
      <c r="C1322" t="s">
        <v>155</v>
      </c>
      <c r="D1322" s="48">
        <v>44406</v>
      </c>
      <c r="E1322">
        <v>615</v>
      </c>
      <c r="F1322" t="s">
        <v>514</v>
      </c>
      <c r="G1322">
        <v>144</v>
      </c>
    </row>
    <row r="1323" spans="2:7">
      <c r="B1323" s="43">
        <v>44404</v>
      </c>
      <c r="C1323" t="s">
        <v>155</v>
      </c>
      <c r="D1323" s="48">
        <v>44406</v>
      </c>
      <c r="E1323">
        <v>615</v>
      </c>
      <c r="F1323" t="s">
        <v>515</v>
      </c>
      <c r="G1323">
        <v>26.75</v>
      </c>
    </row>
    <row r="1324" spans="2:7" hidden="1">
      <c r="B1324" s="43">
        <v>44405</v>
      </c>
      <c r="C1324" t="s">
        <v>155</v>
      </c>
      <c r="D1324" s="48">
        <v>44406</v>
      </c>
      <c r="E1324">
        <v>615</v>
      </c>
      <c r="F1324" t="s">
        <v>514</v>
      </c>
      <c r="G1324">
        <v>144</v>
      </c>
    </row>
    <row r="1325" spans="2:7">
      <c r="B1325" s="43">
        <v>44405</v>
      </c>
      <c r="C1325" t="s">
        <v>155</v>
      </c>
      <c r="D1325" s="48">
        <v>44406</v>
      </c>
      <c r="E1325">
        <v>615</v>
      </c>
      <c r="F1325" t="s">
        <v>515</v>
      </c>
      <c r="G1325">
        <v>26.75</v>
      </c>
    </row>
    <row r="1326" spans="2:7" hidden="1">
      <c r="B1326" s="43">
        <v>44406</v>
      </c>
      <c r="C1326" t="s">
        <v>155</v>
      </c>
      <c r="D1326" s="48">
        <v>44406</v>
      </c>
      <c r="E1326">
        <v>615</v>
      </c>
      <c r="F1326" t="s">
        <v>514</v>
      </c>
      <c r="G1326">
        <v>144</v>
      </c>
    </row>
    <row r="1327" spans="2:7">
      <c r="B1327" s="43">
        <v>44406</v>
      </c>
      <c r="C1327" t="s">
        <v>155</v>
      </c>
      <c r="D1327" s="48">
        <v>44406</v>
      </c>
      <c r="E1327">
        <v>615</v>
      </c>
      <c r="F1327" t="s">
        <v>515</v>
      </c>
      <c r="G1327">
        <v>26.75</v>
      </c>
    </row>
    <row r="1328" spans="2:7" hidden="1">
      <c r="B1328" s="43">
        <v>44404</v>
      </c>
      <c r="C1328" t="s">
        <v>155</v>
      </c>
      <c r="D1328" s="48">
        <v>44406</v>
      </c>
      <c r="E1328">
        <v>620</v>
      </c>
      <c r="F1328" t="s">
        <v>514</v>
      </c>
      <c r="G1328">
        <v>87.85</v>
      </c>
    </row>
    <row r="1329" spans="2:7">
      <c r="B1329" s="43">
        <v>44404</v>
      </c>
      <c r="C1329" t="s">
        <v>155</v>
      </c>
      <c r="D1329" s="48">
        <v>44406</v>
      </c>
      <c r="E1329">
        <v>620</v>
      </c>
      <c r="F1329" t="s">
        <v>515</v>
      </c>
      <c r="G1329">
        <v>0.25</v>
      </c>
    </row>
    <row r="1330" spans="2:7" hidden="1">
      <c r="B1330" s="43">
        <v>44405</v>
      </c>
      <c r="C1330" t="s">
        <v>155</v>
      </c>
      <c r="D1330" s="48">
        <v>44406</v>
      </c>
      <c r="E1330">
        <v>620</v>
      </c>
      <c r="F1330" t="s">
        <v>514</v>
      </c>
      <c r="G1330">
        <v>87.85</v>
      </c>
    </row>
    <row r="1331" spans="2:7">
      <c r="B1331" s="43">
        <v>44405</v>
      </c>
      <c r="C1331" t="s">
        <v>155</v>
      </c>
      <c r="D1331" s="48">
        <v>44406</v>
      </c>
      <c r="E1331">
        <v>620</v>
      </c>
      <c r="F1331" t="s">
        <v>515</v>
      </c>
      <c r="G1331">
        <v>0.2</v>
      </c>
    </row>
    <row r="1332" spans="2:7" hidden="1">
      <c r="B1332" s="43">
        <v>44406</v>
      </c>
      <c r="C1332" t="s">
        <v>155</v>
      </c>
      <c r="D1332" s="48">
        <v>44406</v>
      </c>
      <c r="E1332">
        <v>620</v>
      </c>
      <c r="F1332" t="s">
        <v>514</v>
      </c>
      <c r="G1332">
        <v>127</v>
      </c>
    </row>
    <row r="1333" spans="2:7">
      <c r="B1333" s="43">
        <v>44406</v>
      </c>
      <c r="C1333" t="s">
        <v>155</v>
      </c>
      <c r="D1333" s="48">
        <v>44406</v>
      </c>
      <c r="E1333">
        <v>620</v>
      </c>
      <c r="F1333" t="s">
        <v>515</v>
      </c>
      <c r="G1333">
        <v>0.05</v>
      </c>
    </row>
    <row r="1334" spans="2:7" hidden="1">
      <c r="B1334" s="43">
        <v>44404</v>
      </c>
      <c r="C1334" t="s">
        <v>155</v>
      </c>
      <c r="D1334" s="48">
        <v>44406</v>
      </c>
      <c r="E1334">
        <v>625</v>
      </c>
      <c r="F1334" t="s">
        <v>514</v>
      </c>
      <c r="G1334">
        <v>137.15</v>
      </c>
    </row>
    <row r="1335" spans="2:7">
      <c r="B1335" s="43">
        <v>44404</v>
      </c>
      <c r="C1335" t="s">
        <v>155</v>
      </c>
      <c r="D1335" s="48">
        <v>44406</v>
      </c>
      <c r="E1335">
        <v>625</v>
      </c>
      <c r="F1335" t="s">
        <v>515</v>
      </c>
      <c r="G1335">
        <v>29.8</v>
      </c>
    </row>
    <row r="1336" spans="2:7" hidden="1">
      <c r="B1336" s="43">
        <v>44405</v>
      </c>
      <c r="C1336" t="s">
        <v>155</v>
      </c>
      <c r="D1336" s="48">
        <v>44406</v>
      </c>
      <c r="E1336">
        <v>625</v>
      </c>
      <c r="F1336" t="s">
        <v>514</v>
      </c>
      <c r="G1336">
        <v>137.15</v>
      </c>
    </row>
    <row r="1337" spans="2:7">
      <c r="B1337" s="43">
        <v>44405</v>
      </c>
      <c r="C1337" t="s">
        <v>155</v>
      </c>
      <c r="D1337" s="48">
        <v>44406</v>
      </c>
      <c r="E1337">
        <v>625</v>
      </c>
      <c r="F1337" t="s">
        <v>515</v>
      </c>
      <c r="G1337">
        <v>29.8</v>
      </c>
    </row>
    <row r="1338" spans="2:7" hidden="1">
      <c r="B1338" s="43">
        <v>44406</v>
      </c>
      <c r="C1338" t="s">
        <v>155</v>
      </c>
      <c r="D1338" s="48">
        <v>44406</v>
      </c>
      <c r="E1338">
        <v>625</v>
      </c>
      <c r="F1338" t="s">
        <v>514</v>
      </c>
      <c r="G1338">
        <v>137.15</v>
      </c>
    </row>
    <row r="1339" spans="2:7">
      <c r="B1339" s="43">
        <v>44406</v>
      </c>
      <c r="C1339" t="s">
        <v>155</v>
      </c>
      <c r="D1339" s="48">
        <v>44406</v>
      </c>
      <c r="E1339">
        <v>625</v>
      </c>
      <c r="F1339" t="s">
        <v>515</v>
      </c>
      <c r="G1339">
        <v>29.8</v>
      </c>
    </row>
    <row r="1340" spans="2:7" hidden="1">
      <c r="B1340" s="43">
        <v>44404</v>
      </c>
      <c r="C1340" t="s">
        <v>155</v>
      </c>
      <c r="D1340" s="48">
        <v>44406</v>
      </c>
      <c r="E1340">
        <v>630</v>
      </c>
      <c r="F1340" t="s">
        <v>514</v>
      </c>
      <c r="G1340">
        <v>81.099999999999994</v>
      </c>
    </row>
    <row r="1341" spans="2:7">
      <c r="B1341" s="43">
        <v>44404</v>
      </c>
      <c r="C1341" t="s">
        <v>155</v>
      </c>
      <c r="D1341" s="48">
        <v>44406</v>
      </c>
      <c r="E1341">
        <v>630</v>
      </c>
      <c r="F1341" t="s">
        <v>515</v>
      </c>
      <c r="G1341">
        <v>0.25</v>
      </c>
    </row>
    <row r="1342" spans="2:7" hidden="1">
      <c r="B1342" s="43">
        <v>44405</v>
      </c>
      <c r="C1342" t="s">
        <v>155</v>
      </c>
      <c r="D1342" s="48">
        <v>44406</v>
      </c>
      <c r="E1342">
        <v>630</v>
      </c>
      <c r="F1342" t="s">
        <v>514</v>
      </c>
      <c r="G1342">
        <v>81.099999999999994</v>
      </c>
    </row>
    <row r="1343" spans="2:7">
      <c r="B1343" s="43">
        <v>44405</v>
      </c>
      <c r="C1343" t="s">
        <v>155</v>
      </c>
      <c r="D1343" s="48">
        <v>44406</v>
      </c>
      <c r="E1343">
        <v>630</v>
      </c>
      <c r="F1343" t="s">
        <v>515</v>
      </c>
      <c r="G1343">
        <v>0.1</v>
      </c>
    </row>
    <row r="1344" spans="2:7" hidden="1">
      <c r="B1344" s="43">
        <v>44406</v>
      </c>
      <c r="C1344" t="s">
        <v>155</v>
      </c>
      <c r="D1344" s="48">
        <v>44406</v>
      </c>
      <c r="E1344">
        <v>630</v>
      </c>
      <c r="F1344" t="s">
        <v>514</v>
      </c>
      <c r="G1344">
        <v>115.75</v>
      </c>
    </row>
    <row r="1345" spans="2:7">
      <c r="B1345" s="43">
        <v>44406</v>
      </c>
      <c r="C1345" t="s">
        <v>155</v>
      </c>
      <c r="D1345" s="48">
        <v>44406</v>
      </c>
      <c r="E1345">
        <v>630</v>
      </c>
      <c r="F1345" t="s">
        <v>515</v>
      </c>
      <c r="G1345">
        <v>0.05</v>
      </c>
    </row>
    <row r="1346" spans="2:7" hidden="1">
      <c r="B1346" s="43">
        <v>44404</v>
      </c>
      <c r="C1346" t="s">
        <v>155</v>
      </c>
      <c r="D1346" s="48">
        <v>44406</v>
      </c>
      <c r="E1346">
        <v>635</v>
      </c>
      <c r="F1346" t="s">
        <v>514</v>
      </c>
      <c r="G1346">
        <v>130.5</v>
      </c>
    </row>
    <row r="1347" spans="2:7">
      <c r="B1347" s="43">
        <v>44404</v>
      </c>
      <c r="C1347" t="s">
        <v>155</v>
      </c>
      <c r="D1347" s="48">
        <v>44406</v>
      </c>
      <c r="E1347">
        <v>635</v>
      </c>
      <c r="F1347" t="s">
        <v>515</v>
      </c>
      <c r="G1347">
        <v>0.5</v>
      </c>
    </row>
    <row r="1348" spans="2:7" hidden="1">
      <c r="B1348" s="43">
        <v>44405</v>
      </c>
      <c r="C1348" t="s">
        <v>155</v>
      </c>
      <c r="D1348" s="48">
        <v>44406</v>
      </c>
      <c r="E1348">
        <v>635</v>
      </c>
      <c r="F1348" t="s">
        <v>514</v>
      </c>
      <c r="G1348">
        <v>130.5</v>
      </c>
    </row>
    <row r="1349" spans="2:7">
      <c r="B1349" s="43">
        <v>44405</v>
      </c>
      <c r="C1349" t="s">
        <v>155</v>
      </c>
      <c r="D1349" s="48">
        <v>44406</v>
      </c>
      <c r="E1349">
        <v>635</v>
      </c>
      <c r="F1349" t="s">
        <v>515</v>
      </c>
      <c r="G1349">
        <v>0.5</v>
      </c>
    </row>
    <row r="1350" spans="2:7" hidden="1">
      <c r="B1350" s="43">
        <v>44406</v>
      </c>
      <c r="C1350" t="s">
        <v>155</v>
      </c>
      <c r="D1350" s="48">
        <v>44406</v>
      </c>
      <c r="E1350">
        <v>635</v>
      </c>
      <c r="F1350" t="s">
        <v>514</v>
      </c>
      <c r="G1350">
        <v>130.5</v>
      </c>
    </row>
    <row r="1351" spans="2:7">
      <c r="B1351" s="43">
        <v>44406</v>
      </c>
      <c r="C1351" t="s">
        <v>155</v>
      </c>
      <c r="D1351" s="48">
        <v>44406</v>
      </c>
      <c r="E1351">
        <v>635</v>
      </c>
      <c r="F1351" t="s">
        <v>515</v>
      </c>
      <c r="G1351">
        <v>0.5</v>
      </c>
    </row>
    <row r="1352" spans="2:7" hidden="1">
      <c r="B1352" s="43">
        <v>44404</v>
      </c>
      <c r="C1352" t="s">
        <v>155</v>
      </c>
      <c r="D1352" s="48">
        <v>44406</v>
      </c>
      <c r="E1352">
        <v>640</v>
      </c>
      <c r="F1352" t="s">
        <v>514</v>
      </c>
      <c r="G1352">
        <v>73.8</v>
      </c>
    </row>
    <row r="1353" spans="2:7">
      <c r="B1353" s="43">
        <v>44404</v>
      </c>
      <c r="C1353" t="s">
        <v>155</v>
      </c>
      <c r="D1353" s="48">
        <v>44406</v>
      </c>
      <c r="E1353">
        <v>640</v>
      </c>
      <c r="F1353" t="s">
        <v>515</v>
      </c>
      <c r="G1353">
        <v>0.3</v>
      </c>
    </row>
    <row r="1354" spans="2:7" hidden="1">
      <c r="B1354" s="43">
        <v>44405</v>
      </c>
      <c r="C1354" t="s">
        <v>155</v>
      </c>
      <c r="D1354" s="48">
        <v>44406</v>
      </c>
      <c r="E1354">
        <v>640</v>
      </c>
      <c r="F1354" t="s">
        <v>514</v>
      </c>
      <c r="G1354">
        <v>73.8</v>
      </c>
    </row>
    <row r="1355" spans="2:7">
      <c r="B1355" s="43">
        <v>44405</v>
      </c>
      <c r="C1355" t="s">
        <v>155</v>
      </c>
      <c r="D1355" s="48">
        <v>44406</v>
      </c>
      <c r="E1355">
        <v>640</v>
      </c>
      <c r="F1355" t="s">
        <v>515</v>
      </c>
      <c r="G1355">
        <v>0.25</v>
      </c>
    </row>
    <row r="1356" spans="2:7" hidden="1">
      <c r="B1356" s="43">
        <v>44406</v>
      </c>
      <c r="C1356" t="s">
        <v>155</v>
      </c>
      <c r="D1356" s="48">
        <v>44406</v>
      </c>
      <c r="E1356">
        <v>640</v>
      </c>
      <c r="F1356" t="s">
        <v>514</v>
      </c>
      <c r="G1356">
        <v>106</v>
      </c>
    </row>
    <row r="1357" spans="2:7">
      <c r="B1357" s="43">
        <v>44406</v>
      </c>
      <c r="C1357" t="s">
        <v>155</v>
      </c>
      <c r="D1357" s="48">
        <v>44406</v>
      </c>
      <c r="E1357">
        <v>640</v>
      </c>
      <c r="F1357" t="s">
        <v>515</v>
      </c>
      <c r="G1357">
        <v>0.05</v>
      </c>
    </row>
    <row r="1358" spans="2:7" hidden="1">
      <c r="B1358" s="43">
        <v>44404</v>
      </c>
      <c r="C1358" t="s">
        <v>155</v>
      </c>
      <c r="D1358" s="48">
        <v>44406</v>
      </c>
      <c r="E1358">
        <v>645</v>
      </c>
      <c r="F1358" t="s">
        <v>514</v>
      </c>
      <c r="G1358">
        <v>64.150000000000006</v>
      </c>
    </row>
    <row r="1359" spans="2:7">
      <c r="B1359" s="43">
        <v>44404</v>
      </c>
      <c r="C1359" t="s">
        <v>155</v>
      </c>
      <c r="D1359" s="48">
        <v>44406</v>
      </c>
      <c r="E1359">
        <v>645</v>
      </c>
      <c r="F1359" t="s">
        <v>515</v>
      </c>
      <c r="G1359">
        <v>2.6</v>
      </c>
    </row>
    <row r="1360" spans="2:7" hidden="1">
      <c r="B1360" s="43">
        <v>44405</v>
      </c>
      <c r="C1360" t="s">
        <v>155</v>
      </c>
      <c r="D1360" s="48">
        <v>44406</v>
      </c>
      <c r="E1360">
        <v>645</v>
      </c>
      <c r="F1360" t="s">
        <v>514</v>
      </c>
      <c r="G1360">
        <v>64.150000000000006</v>
      </c>
    </row>
    <row r="1361" spans="2:7">
      <c r="B1361" s="43">
        <v>44405</v>
      </c>
      <c r="C1361" t="s">
        <v>155</v>
      </c>
      <c r="D1361" s="48">
        <v>44406</v>
      </c>
      <c r="E1361">
        <v>645</v>
      </c>
      <c r="F1361" t="s">
        <v>515</v>
      </c>
      <c r="G1361">
        <v>0.25</v>
      </c>
    </row>
    <row r="1362" spans="2:7" hidden="1">
      <c r="B1362" s="43">
        <v>44406</v>
      </c>
      <c r="C1362" t="s">
        <v>155</v>
      </c>
      <c r="D1362" s="48">
        <v>44406</v>
      </c>
      <c r="E1362">
        <v>645</v>
      </c>
      <c r="F1362" t="s">
        <v>514</v>
      </c>
      <c r="G1362">
        <v>64.150000000000006</v>
      </c>
    </row>
    <row r="1363" spans="2:7">
      <c r="B1363" s="43">
        <v>44406</v>
      </c>
      <c r="C1363" t="s">
        <v>155</v>
      </c>
      <c r="D1363" s="48">
        <v>44406</v>
      </c>
      <c r="E1363">
        <v>645</v>
      </c>
      <c r="F1363" t="s">
        <v>515</v>
      </c>
      <c r="G1363">
        <v>0.25</v>
      </c>
    </row>
    <row r="1364" spans="2:7" hidden="1">
      <c r="B1364" s="43">
        <v>44404</v>
      </c>
      <c r="C1364" t="s">
        <v>155</v>
      </c>
      <c r="D1364" s="48">
        <v>44406</v>
      </c>
      <c r="E1364">
        <v>650</v>
      </c>
      <c r="F1364" t="s">
        <v>514</v>
      </c>
      <c r="G1364">
        <v>58</v>
      </c>
    </row>
    <row r="1365" spans="2:7">
      <c r="B1365" s="43">
        <v>44404</v>
      </c>
      <c r="C1365" t="s">
        <v>155</v>
      </c>
      <c r="D1365" s="48">
        <v>44406</v>
      </c>
      <c r="E1365">
        <v>650</v>
      </c>
      <c r="F1365" t="s">
        <v>515</v>
      </c>
      <c r="G1365">
        <v>0.45</v>
      </c>
    </row>
    <row r="1366" spans="2:7" hidden="1">
      <c r="B1366" s="43">
        <v>44405</v>
      </c>
      <c r="C1366" t="s">
        <v>155</v>
      </c>
      <c r="D1366" s="48">
        <v>44406</v>
      </c>
      <c r="E1366">
        <v>650</v>
      </c>
      <c r="F1366" t="s">
        <v>514</v>
      </c>
      <c r="G1366">
        <v>72.3</v>
      </c>
    </row>
    <row r="1367" spans="2:7">
      <c r="B1367" s="43">
        <v>44405</v>
      </c>
      <c r="C1367" t="s">
        <v>155</v>
      </c>
      <c r="D1367" s="48">
        <v>44406</v>
      </c>
      <c r="E1367">
        <v>650</v>
      </c>
      <c r="F1367" t="s">
        <v>515</v>
      </c>
      <c r="G1367">
        <v>0.25</v>
      </c>
    </row>
    <row r="1368" spans="2:7" hidden="1">
      <c r="B1368" s="43">
        <v>44406</v>
      </c>
      <c r="C1368" t="s">
        <v>155</v>
      </c>
      <c r="D1368" s="48">
        <v>44406</v>
      </c>
      <c r="E1368">
        <v>650</v>
      </c>
      <c r="F1368" t="s">
        <v>514</v>
      </c>
      <c r="G1368">
        <v>98.7</v>
      </c>
    </row>
    <row r="1369" spans="2:7">
      <c r="B1369" s="43">
        <v>44406</v>
      </c>
      <c r="C1369" t="s">
        <v>155</v>
      </c>
      <c r="D1369" s="48">
        <v>44406</v>
      </c>
      <c r="E1369">
        <v>650</v>
      </c>
      <c r="F1369" t="s">
        <v>515</v>
      </c>
      <c r="G1369">
        <v>0.05</v>
      </c>
    </row>
    <row r="1370" spans="2:7" hidden="1">
      <c r="B1370" s="43">
        <v>44404</v>
      </c>
      <c r="C1370" t="s">
        <v>155</v>
      </c>
      <c r="D1370" s="48">
        <v>44406</v>
      </c>
      <c r="E1370">
        <v>655</v>
      </c>
      <c r="F1370" t="s">
        <v>514</v>
      </c>
      <c r="G1370">
        <v>65</v>
      </c>
    </row>
    <row r="1371" spans="2:7">
      <c r="B1371" s="43">
        <v>44404</v>
      </c>
      <c r="C1371" t="s">
        <v>155</v>
      </c>
      <c r="D1371" s="48">
        <v>44406</v>
      </c>
      <c r="E1371">
        <v>655</v>
      </c>
      <c r="F1371" t="s">
        <v>515</v>
      </c>
      <c r="G1371">
        <v>0.45</v>
      </c>
    </row>
    <row r="1372" spans="2:7" hidden="1">
      <c r="B1372" s="43">
        <v>44405</v>
      </c>
      <c r="C1372" t="s">
        <v>155</v>
      </c>
      <c r="D1372" s="48">
        <v>44406</v>
      </c>
      <c r="E1372">
        <v>655</v>
      </c>
      <c r="F1372" t="s">
        <v>514</v>
      </c>
      <c r="G1372">
        <v>65</v>
      </c>
    </row>
    <row r="1373" spans="2:7">
      <c r="B1373" s="43">
        <v>44405</v>
      </c>
      <c r="C1373" t="s">
        <v>155</v>
      </c>
      <c r="D1373" s="48">
        <v>44406</v>
      </c>
      <c r="E1373">
        <v>655</v>
      </c>
      <c r="F1373" t="s">
        <v>515</v>
      </c>
      <c r="G1373">
        <v>0.25</v>
      </c>
    </row>
    <row r="1374" spans="2:7" hidden="1">
      <c r="B1374" s="43">
        <v>44406</v>
      </c>
      <c r="C1374" t="s">
        <v>155</v>
      </c>
      <c r="D1374" s="48">
        <v>44406</v>
      </c>
      <c r="E1374">
        <v>655</v>
      </c>
      <c r="F1374" t="s">
        <v>514</v>
      </c>
      <c r="G1374">
        <v>65</v>
      </c>
    </row>
    <row r="1375" spans="2:7">
      <c r="B1375" s="43">
        <v>44406</v>
      </c>
      <c r="C1375" t="s">
        <v>155</v>
      </c>
      <c r="D1375" s="48">
        <v>44406</v>
      </c>
      <c r="E1375">
        <v>655</v>
      </c>
      <c r="F1375" t="s">
        <v>515</v>
      </c>
      <c r="G1375">
        <v>0.25</v>
      </c>
    </row>
    <row r="1376" spans="2:7" hidden="1">
      <c r="B1376" s="43">
        <v>44404</v>
      </c>
      <c r="C1376" t="s">
        <v>155</v>
      </c>
      <c r="D1376" s="48">
        <v>44406</v>
      </c>
      <c r="E1376">
        <v>660</v>
      </c>
      <c r="F1376" t="s">
        <v>514</v>
      </c>
      <c r="G1376">
        <v>49.45</v>
      </c>
    </row>
    <row r="1377" spans="2:7">
      <c r="B1377" s="43">
        <v>44404</v>
      </c>
      <c r="C1377" t="s">
        <v>155</v>
      </c>
      <c r="D1377" s="48">
        <v>44406</v>
      </c>
      <c r="E1377">
        <v>660</v>
      </c>
      <c r="F1377" t="s">
        <v>515</v>
      </c>
      <c r="G1377">
        <v>0.65</v>
      </c>
    </row>
    <row r="1378" spans="2:7" hidden="1">
      <c r="B1378" s="43">
        <v>44405</v>
      </c>
      <c r="C1378" t="s">
        <v>155</v>
      </c>
      <c r="D1378" s="48">
        <v>44406</v>
      </c>
      <c r="E1378">
        <v>660</v>
      </c>
      <c r="F1378" t="s">
        <v>514</v>
      </c>
      <c r="G1378">
        <v>62</v>
      </c>
    </row>
    <row r="1379" spans="2:7">
      <c r="B1379" s="43">
        <v>44405</v>
      </c>
      <c r="C1379" t="s">
        <v>155</v>
      </c>
      <c r="D1379" s="48">
        <v>44406</v>
      </c>
      <c r="E1379">
        <v>660</v>
      </c>
      <c r="F1379" t="s">
        <v>515</v>
      </c>
      <c r="G1379">
        <v>0.25</v>
      </c>
    </row>
    <row r="1380" spans="2:7" hidden="1">
      <c r="B1380" s="43">
        <v>44406</v>
      </c>
      <c r="C1380" t="s">
        <v>155</v>
      </c>
      <c r="D1380" s="48">
        <v>44406</v>
      </c>
      <c r="E1380">
        <v>660</v>
      </c>
      <c r="F1380" t="s">
        <v>514</v>
      </c>
      <c r="G1380">
        <v>75.650000000000006</v>
      </c>
    </row>
    <row r="1381" spans="2:7">
      <c r="B1381" s="43">
        <v>44406</v>
      </c>
      <c r="C1381" t="s">
        <v>155</v>
      </c>
      <c r="D1381" s="48">
        <v>44406</v>
      </c>
      <c r="E1381">
        <v>660</v>
      </c>
      <c r="F1381" t="s">
        <v>515</v>
      </c>
      <c r="G1381">
        <v>0.05</v>
      </c>
    </row>
    <row r="1382" spans="2:7" hidden="1">
      <c r="B1382" s="43">
        <v>44404</v>
      </c>
      <c r="C1382" t="s">
        <v>155</v>
      </c>
      <c r="D1382" s="48">
        <v>44406</v>
      </c>
      <c r="E1382">
        <v>665</v>
      </c>
      <c r="F1382" t="s">
        <v>514</v>
      </c>
      <c r="G1382">
        <v>42.05</v>
      </c>
    </row>
    <row r="1383" spans="2:7">
      <c r="B1383" s="43">
        <v>44404</v>
      </c>
      <c r="C1383" t="s">
        <v>155</v>
      </c>
      <c r="D1383" s="48">
        <v>44406</v>
      </c>
      <c r="E1383">
        <v>665</v>
      </c>
      <c r="F1383" t="s">
        <v>515</v>
      </c>
      <c r="G1383">
        <v>0.8</v>
      </c>
    </row>
    <row r="1384" spans="2:7" hidden="1">
      <c r="B1384" s="43">
        <v>44405</v>
      </c>
      <c r="C1384" t="s">
        <v>155</v>
      </c>
      <c r="D1384" s="48">
        <v>44406</v>
      </c>
      <c r="E1384">
        <v>665</v>
      </c>
      <c r="F1384" t="s">
        <v>514</v>
      </c>
      <c r="G1384">
        <v>42.05</v>
      </c>
    </row>
    <row r="1385" spans="2:7">
      <c r="B1385" s="43">
        <v>44405</v>
      </c>
      <c r="C1385" t="s">
        <v>155</v>
      </c>
      <c r="D1385" s="48">
        <v>44406</v>
      </c>
      <c r="E1385">
        <v>665</v>
      </c>
      <c r="F1385" t="s">
        <v>515</v>
      </c>
      <c r="G1385">
        <v>0.4</v>
      </c>
    </row>
    <row r="1386" spans="2:7" hidden="1">
      <c r="B1386" s="43">
        <v>44406</v>
      </c>
      <c r="C1386" t="s">
        <v>155</v>
      </c>
      <c r="D1386" s="48">
        <v>44406</v>
      </c>
      <c r="E1386">
        <v>665</v>
      </c>
      <c r="F1386" t="s">
        <v>514</v>
      </c>
      <c r="G1386">
        <v>42.05</v>
      </c>
    </row>
    <row r="1387" spans="2:7">
      <c r="B1387" s="43">
        <v>44406</v>
      </c>
      <c r="C1387" t="s">
        <v>155</v>
      </c>
      <c r="D1387" s="48">
        <v>44406</v>
      </c>
      <c r="E1387">
        <v>665</v>
      </c>
      <c r="F1387" t="s">
        <v>515</v>
      </c>
      <c r="G1387">
        <v>0.05</v>
      </c>
    </row>
    <row r="1388" spans="2:7" hidden="1">
      <c r="B1388" s="43">
        <v>44404</v>
      </c>
      <c r="C1388" t="s">
        <v>155</v>
      </c>
      <c r="D1388" s="48">
        <v>44406</v>
      </c>
      <c r="E1388">
        <v>670</v>
      </c>
      <c r="F1388" t="s">
        <v>514</v>
      </c>
      <c r="G1388">
        <v>42.75</v>
      </c>
    </row>
    <row r="1389" spans="2:7">
      <c r="B1389" s="43">
        <v>44404</v>
      </c>
      <c r="C1389" t="s">
        <v>155</v>
      </c>
      <c r="D1389" s="48">
        <v>44406</v>
      </c>
      <c r="E1389">
        <v>670</v>
      </c>
      <c r="F1389" t="s">
        <v>515</v>
      </c>
      <c r="G1389">
        <v>0.9</v>
      </c>
    </row>
    <row r="1390" spans="2:7" hidden="1">
      <c r="B1390" s="43">
        <v>44405</v>
      </c>
      <c r="C1390" t="s">
        <v>155</v>
      </c>
      <c r="D1390" s="48">
        <v>44406</v>
      </c>
      <c r="E1390">
        <v>670</v>
      </c>
      <c r="F1390" t="s">
        <v>514</v>
      </c>
      <c r="G1390">
        <v>51.95</v>
      </c>
    </row>
    <row r="1391" spans="2:7">
      <c r="B1391" s="43">
        <v>44405</v>
      </c>
      <c r="C1391" t="s">
        <v>155</v>
      </c>
      <c r="D1391" s="48">
        <v>44406</v>
      </c>
      <c r="E1391">
        <v>670</v>
      </c>
      <c r="F1391" t="s">
        <v>515</v>
      </c>
      <c r="G1391">
        <v>0.3</v>
      </c>
    </row>
    <row r="1392" spans="2:7" hidden="1">
      <c r="B1392" s="43">
        <v>44406</v>
      </c>
      <c r="C1392" t="s">
        <v>155</v>
      </c>
      <c r="D1392" s="48">
        <v>44406</v>
      </c>
      <c r="E1392">
        <v>670</v>
      </c>
      <c r="F1392" t="s">
        <v>514</v>
      </c>
      <c r="G1392">
        <v>78.2</v>
      </c>
    </row>
    <row r="1393" spans="2:7">
      <c r="B1393" s="43">
        <v>44406</v>
      </c>
      <c r="C1393" t="s">
        <v>155</v>
      </c>
      <c r="D1393" s="48">
        <v>44406</v>
      </c>
      <c r="E1393">
        <v>670</v>
      </c>
      <c r="F1393" t="s">
        <v>515</v>
      </c>
      <c r="G1393">
        <v>0.05</v>
      </c>
    </row>
    <row r="1394" spans="2:7" hidden="1">
      <c r="B1394" s="43">
        <v>44404</v>
      </c>
      <c r="C1394" t="s">
        <v>155</v>
      </c>
      <c r="D1394" s="48">
        <v>44406</v>
      </c>
      <c r="E1394">
        <v>675</v>
      </c>
      <c r="F1394" t="s">
        <v>514</v>
      </c>
      <c r="G1394">
        <v>33.5</v>
      </c>
    </row>
    <row r="1395" spans="2:7">
      <c r="B1395" s="43">
        <v>44404</v>
      </c>
      <c r="C1395" t="s">
        <v>155</v>
      </c>
      <c r="D1395" s="48">
        <v>44406</v>
      </c>
      <c r="E1395">
        <v>675</v>
      </c>
      <c r="F1395" t="s">
        <v>515</v>
      </c>
      <c r="G1395">
        <v>0.95</v>
      </c>
    </row>
    <row r="1396" spans="2:7" hidden="1">
      <c r="B1396" s="43">
        <v>44405</v>
      </c>
      <c r="C1396" t="s">
        <v>155</v>
      </c>
      <c r="D1396" s="48">
        <v>44406</v>
      </c>
      <c r="E1396">
        <v>675</v>
      </c>
      <c r="F1396" t="s">
        <v>514</v>
      </c>
      <c r="G1396">
        <v>33.5</v>
      </c>
    </row>
    <row r="1397" spans="2:7">
      <c r="B1397" s="43">
        <v>44405</v>
      </c>
      <c r="C1397" t="s">
        <v>155</v>
      </c>
      <c r="D1397" s="48">
        <v>44406</v>
      </c>
      <c r="E1397">
        <v>675</v>
      </c>
      <c r="F1397" t="s">
        <v>515</v>
      </c>
      <c r="G1397">
        <v>0.45</v>
      </c>
    </row>
    <row r="1398" spans="2:7" hidden="1">
      <c r="B1398" s="43">
        <v>44406</v>
      </c>
      <c r="C1398" t="s">
        <v>155</v>
      </c>
      <c r="D1398" s="48">
        <v>44406</v>
      </c>
      <c r="E1398">
        <v>675</v>
      </c>
      <c r="F1398" t="s">
        <v>514</v>
      </c>
      <c r="G1398">
        <v>33.5</v>
      </c>
    </row>
    <row r="1399" spans="2:7">
      <c r="B1399" s="43">
        <v>44406</v>
      </c>
      <c r="C1399" t="s">
        <v>155</v>
      </c>
      <c r="D1399" s="48">
        <v>44406</v>
      </c>
      <c r="E1399">
        <v>675</v>
      </c>
      <c r="F1399" t="s">
        <v>515</v>
      </c>
      <c r="G1399">
        <v>0.05</v>
      </c>
    </row>
    <row r="1400" spans="2:7" hidden="1">
      <c r="B1400" s="43">
        <v>44404</v>
      </c>
      <c r="C1400" t="s">
        <v>155</v>
      </c>
      <c r="D1400" s="48">
        <v>44406</v>
      </c>
      <c r="E1400">
        <v>680</v>
      </c>
      <c r="F1400" t="s">
        <v>514</v>
      </c>
      <c r="G1400">
        <v>31.8</v>
      </c>
    </row>
    <row r="1401" spans="2:7">
      <c r="B1401" s="43">
        <v>44404</v>
      </c>
      <c r="C1401" t="s">
        <v>155</v>
      </c>
      <c r="D1401" s="48">
        <v>44406</v>
      </c>
      <c r="E1401">
        <v>680</v>
      </c>
      <c r="F1401" t="s">
        <v>515</v>
      </c>
      <c r="G1401">
        <v>1.25</v>
      </c>
    </row>
    <row r="1402" spans="2:7" hidden="1">
      <c r="B1402" s="43">
        <v>44405</v>
      </c>
      <c r="C1402" t="s">
        <v>155</v>
      </c>
      <c r="D1402" s="48">
        <v>44406</v>
      </c>
      <c r="E1402">
        <v>680</v>
      </c>
      <c r="F1402" t="s">
        <v>514</v>
      </c>
      <c r="G1402">
        <v>41.7</v>
      </c>
    </row>
    <row r="1403" spans="2:7">
      <c r="B1403" s="43">
        <v>44405</v>
      </c>
      <c r="C1403" t="s">
        <v>155</v>
      </c>
      <c r="D1403" s="48">
        <v>44406</v>
      </c>
      <c r="E1403">
        <v>680</v>
      </c>
      <c r="F1403" t="s">
        <v>515</v>
      </c>
      <c r="G1403">
        <v>0.4</v>
      </c>
    </row>
    <row r="1404" spans="2:7" hidden="1">
      <c r="B1404" s="43">
        <v>44406</v>
      </c>
      <c r="C1404" t="s">
        <v>155</v>
      </c>
      <c r="D1404" s="48">
        <v>44406</v>
      </c>
      <c r="E1404">
        <v>680</v>
      </c>
      <c r="F1404" t="s">
        <v>514</v>
      </c>
      <c r="G1404">
        <v>66</v>
      </c>
    </row>
    <row r="1405" spans="2:7">
      <c r="B1405" s="43">
        <v>44406</v>
      </c>
      <c r="C1405" t="s">
        <v>155</v>
      </c>
      <c r="D1405" s="48">
        <v>44406</v>
      </c>
      <c r="E1405">
        <v>680</v>
      </c>
      <c r="F1405" t="s">
        <v>515</v>
      </c>
      <c r="G1405">
        <v>0.05</v>
      </c>
    </row>
    <row r="1406" spans="2:7" hidden="1">
      <c r="B1406" s="43">
        <v>44404</v>
      </c>
      <c r="C1406" t="s">
        <v>155</v>
      </c>
      <c r="D1406" s="48">
        <v>44406</v>
      </c>
      <c r="E1406">
        <v>685</v>
      </c>
      <c r="F1406" t="s">
        <v>514</v>
      </c>
      <c r="G1406">
        <v>26.3</v>
      </c>
    </row>
    <row r="1407" spans="2:7">
      <c r="B1407" s="43">
        <v>44404</v>
      </c>
      <c r="C1407" t="s">
        <v>155</v>
      </c>
      <c r="D1407" s="48">
        <v>44406</v>
      </c>
      <c r="E1407">
        <v>685</v>
      </c>
      <c r="F1407" t="s">
        <v>515</v>
      </c>
      <c r="G1407">
        <v>1.5</v>
      </c>
    </row>
    <row r="1408" spans="2:7" hidden="1">
      <c r="B1408" s="43">
        <v>44405</v>
      </c>
      <c r="C1408" t="s">
        <v>155</v>
      </c>
      <c r="D1408" s="48">
        <v>44406</v>
      </c>
      <c r="E1408">
        <v>685</v>
      </c>
      <c r="F1408" t="s">
        <v>514</v>
      </c>
      <c r="G1408">
        <v>28.45</v>
      </c>
    </row>
    <row r="1409" spans="2:7">
      <c r="B1409" s="43">
        <v>44405</v>
      </c>
      <c r="C1409" t="s">
        <v>155</v>
      </c>
      <c r="D1409" s="48">
        <v>44406</v>
      </c>
      <c r="E1409">
        <v>685</v>
      </c>
      <c r="F1409" t="s">
        <v>515</v>
      </c>
      <c r="G1409">
        <v>0.45</v>
      </c>
    </row>
    <row r="1410" spans="2:7" hidden="1">
      <c r="B1410" s="43">
        <v>44406</v>
      </c>
      <c r="C1410" t="s">
        <v>155</v>
      </c>
      <c r="D1410" s="48">
        <v>44406</v>
      </c>
      <c r="E1410">
        <v>685</v>
      </c>
      <c r="F1410" t="s">
        <v>514</v>
      </c>
      <c r="G1410">
        <v>59.3</v>
      </c>
    </row>
    <row r="1411" spans="2:7">
      <c r="B1411" s="43">
        <v>44406</v>
      </c>
      <c r="C1411" t="s">
        <v>155</v>
      </c>
      <c r="D1411" s="48">
        <v>44406</v>
      </c>
      <c r="E1411">
        <v>685</v>
      </c>
      <c r="F1411" t="s">
        <v>515</v>
      </c>
      <c r="G1411">
        <v>0.05</v>
      </c>
    </row>
    <row r="1412" spans="2:7" hidden="1">
      <c r="B1412" s="43">
        <v>44404</v>
      </c>
      <c r="C1412" t="s">
        <v>155</v>
      </c>
      <c r="D1412" s="48">
        <v>44406</v>
      </c>
      <c r="E1412">
        <v>690</v>
      </c>
      <c r="F1412" t="s">
        <v>514</v>
      </c>
      <c r="G1412">
        <v>23.35</v>
      </c>
    </row>
    <row r="1413" spans="2:7">
      <c r="B1413" s="43">
        <v>44404</v>
      </c>
      <c r="C1413" t="s">
        <v>155</v>
      </c>
      <c r="D1413" s="48">
        <v>44406</v>
      </c>
      <c r="E1413">
        <v>690</v>
      </c>
      <c r="F1413" t="s">
        <v>515</v>
      </c>
      <c r="G1413">
        <v>1.85</v>
      </c>
    </row>
    <row r="1414" spans="2:7" hidden="1">
      <c r="B1414" s="43">
        <v>44405</v>
      </c>
      <c r="C1414" t="s">
        <v>155</v>
      </c>
      <c r="D1414" s="48">
        <v>44406</v>
      </c>
      <c r="E1414">
        <v>690</v>
      </c>
      <c r="F1414" t="s">
        <v>514</v>
      </c>
      <c r="G1414">
        <v>32.65</v>
      </c>
    </row>
    <row r="1415" spans="2:7">
      <c r="B1415" s="43">
        <v>44405</v>
      </c>
      <c r="C1415" t="s">
        <v>155</v>
      </c>
      <c r="D1415" s="48">
        <v>44406</v>
      </c>
      <c r="E1415">
        <v>690</v>
      </c>
      <c r="F1415" t="s">
        <v>515</v>
      </c>
      <c r="G1415">
        <v>0.45</v>
      </c>
    </row>
    <row r="1416" spans="2:7" hidden="1">
      <c r="B1416" s="43">
        <v>44406</v>
      </c>
      <c r="C1416" t="s">
        <v>155</v>
      </c>
      <c r="D1416" s="48">
        <v>44406</v>
      </c>
      <c r="E1416">
        <v>690</v>
      </c>
      <c r="F1416" t="s">
        <v>514</v>
      </c>
      <c r="G1416">
        <v>60</v>
      </c>
    </row>
    <row r="1417" spans="2:7">
      <c r="B1417" s="43">
        <v>44406</v>
      </c>
      <c r="C1417" t="s">
        <v>155</v>
      </c>
      <c r="D1417" s="48">
        <v>44406</v>
      </c>
      <c r="E1417">
        <v>690</v>
      </c>
      <c r="F1417" t="s">
        <v>515</v>
      </c>
      <c r="G1417">
        <v>0.05</v>
      </c>
    </row>
    <row r="1418" spans="2:7" hidden="1">
      <c r="B1418" s="43">
        <v>44404</v>
      </c>
      <c r="C1418" t="s">
        <v>155</v>
      </c>
      <c r="D1418" s="48">
        <v>44406</v>
      </c>
      <c r="E1418">
        <v>695</v>
      </c>
      <c r="F1418" t="s">
        <v>514</v>
      </c>
      <c r="G1418">
        <v>17.350000000000001</v>
      </c>
    </row>
    <row r="1419" spans="2:7">
      <c r="B1419" s="43">
        <v>44404</v>
      </c>
      <c r="C1419" t="s">
        <v>155</v>
      </c>
      <c r="D1419" s="48">
        <v>44406</v>
      </c>
      <c r="E1419">
        <v>695</v>
      </c>
      <c r="F1419" t="s">
        <v>515</v>
      </c>
      <c r="G1419">
        <v>2.35</v>
      </c>
    </row>
    <row r="1420" spans="2:7" hidden="1">
      <c r="B1420" s="43">
        <v>44405</v>
      </c>
      <c r="C1420" t="s">
        <v>155</v>
      </c>
      <c r="D1420" s="48">
        <v>44406</v>
      </c>
      <c r="E1420">
        <v>695</v>
      </c>
      <c r="F1420" t="s">
        <v>514</v>
      </c>
      <c r="G1420">
        <v>25.2</v>
      </c>
    </row>
    <row r="1421" spans="2:7">
      <c r="B1421" s="43">
        <v>44405</v>
      </c>
      <c r="C1421" t="s">
        <v>155</v>
      </c>
      <c r="D1421" s="48">
        <v>44406</v>
      </c>
      <c r="E1421">
        <v>695</v>
      </c>
      <c r="F1421" t="s">
        <v>515</v>
      </c>
      <c r="G1421">
        <v>0.6</v>
      </c>
    </row>
    <row r="1422" spans="2:7" hidden="1">
      <c r="B1422" s="43">
        <v>44406</v>
      </c>
      <c r="C1422" t="s">
        <v>155</v>
      </c>
      <c r="D1422" s="48">
        <v>44406</v>
      </c>
      <c r="E1422">
        <v>695</v>
      </c>
      <c r="F1422" t="s">
        <v>514</v>
      </c>
      <c r="G1422">
        <v>50</v>
      </c>
    </row>
    <row r="1423" spans="2:7">
      <c r="B1423" s="43">
        <v>44406</v>
      </c>
      <c r="C1423" t="s">
        <v>155</v>
      </c>
      <c r="D1423" s="48">
        <v>44406</v>
      </c>
      <c r="E1423">
        <v>695</v>
      </c>
      <c r="F1423" t="s">
        <v>515</v>
      </c>
      <c r="G1423">
        <v>0.1</v>
      </c>
    </row>
    <row r="1424" spans="2:7" hidden="1">
      <c r="B1424" s="43">
        <v>44404</v>
      </c>
      <c r="C1424" t="s">
        <v>155</v>
      </c>
      <c r="D1424" s="48">
        <v>44406</v>
      </c>
      <c r="E1424">
        <v>700</v>
      </c>
      <c r="F1424" t="s">
        <v>514</v>
      </c>
      <c r="G1424">
        <v>13.95</v>
      </c>
    </row>
    <row r="1425" spans="2:7">
      <c r="B1425" s="43">
        <v>44404</v>
      </c>
      <c r="C1425" t="s">
        <v>155</v>
      </c>
      <c r="D1425" s="48">
        <v>44406</v>
      </c>
      <c r="E1425">
        <v>700</v>
      </c>
      <c r="F1425" t="s">
        <v>515</v>
      </c>
      <c r="G1425">
        <v>3.45</v>
      </c>
    </row>
    <row r="1426" spans="2:7" hidden="1">
      <c r="B1426" s="43">
        <v>44405</v>
      </c>
      <c r="C1426" t="s">
        <v>155</v>
      </c>
      <c r="D1426" s="48">
        <v>44406</v>
      </c>
      <c r="E1426">
        <v>700</v>
      </c>
      <c r="F1426" t="s">
        <v>514</v>
      </c>
      <c r="G1426">
        <v>22.8</v>
      </c>
    </row>
    <row r="1427" spans="2:7">
      <c r="B1427" s="43">
        <v>44405</v>
      </c>
      <c r="C1427" t="s">
        <v>155</v>
      </c>
      <c r="D1427" s="48">
        <v>44406</v>
      </c>
      <c r="E1427">
        <v>700</v>
      </c>
      <c r="F1427" t="s">
        <v>515</v>
      </c>
      <c r="G1427">
        <v>0.6</v>
      </c>
    </row>
    <row r="1428" spans="2:7" hidden="1">
      <c r="B1428" s="43">
        <v>44406</v>
      </c>
      <c r="C1428" t="s">
        <v>155</v>
      </c>
      <c r="D1428" s="48">
        <v>44406</v>
      </c>
      <c r="E1428">
        <v>700</v>
      </c>
      <c r="F1428" t="s">
        <v>514</v>
      </c>
      <c r="G1428">
        <v>48.05</v>
      </c>
    </row>
    <row r="1429" spans="2:7">
      <c r="B1429" s="43">
        <v>44406</v>
      </c>
      <c r="C1429" t="s">
        <v>155</v>
      </c>
      <c r="D1429" s="48">
        <v>44406</v>
      </c>
      <c r="E1429">
        <v>700</v>
      </c>
      <c r="F1429" t="s">
        <v>515</v>
      </c>
      <c r="G1429">
        <v>0.05</v>
      </c>
    </row>
    <row r="1430" spans="2:7" hidden="1">
      <c r="B1430" s="43">
        <v>44404</v>
      </c>
      <c r="C1430" t="s">
        <v>155</v>
      </c>
      <c r="D1430" s="48">
        <v>44406</v>
      </c>
      <c r="E1430">
        <v>705</v>
      </c>
      <c r="F1430" t="s">
        <v>514</v>
      </c>
      <c r="G1430">
        <v>10.75</v>
      </c>
    </row>
    <row r="1431" spans="2:7">
      <c r="B1431" s="43">
        <v>44404</v>
      </c>
      <c r="C1431" t="s">
        <v>155</v>
      </c>
      <c r="D1431" s="48">
        <v>44406</v>
      </c>
      <c r="E1431">
        <v>705</v>
      </c>
      <c r="F1431" t="s">
        <v>515</v>
      </c>
      <c r="G1431">
        <v>5.3</v>
      </c>
    </row>
    <row r="1432" spans="2:7" hidden="1">
      <c r="B1432" s="43">
        <v>44405</v>
      </c>
      <c r="C1432" t="s">
        <v>155</v>
      </c>
      <c r="D1432" s="48">
        <v>44406</v>
      </c>
      <c r="E1432">
        <v>705</v>
      </c>
      <c r="F1432" t="s">
        <v>514</v>
      </c>
      <c r="G1432">
        <v>17.7</v>
      </c>
    </row>
    <row r="1433" spans="2:7">
      <c r="B1433" s="43">
        <v>44405</v>
      </c>
      <c r="C1433" t="s">
        <v>155</v>
      </c>
      <c r="D1433" s="48">
        <v>44406</v>
      </c>
      <c r="E1433">
        <v>705</v>
      </c>
      <c r="F1433" t="s">
        <v>515</v>
      </c>
      <c r="G1433">
        <v>0.9</v>
      </c>
    </row>
    <row r="1434" spans="2:7" hidden="1">
      <c r="B1434" s="43">
        <v>44406</v>
      </c>
      <c r="C1434" t="s">
        <v>155</v>
      </c>
      <c r="D1434" s="48">
        <v>44406</v>
      </c>
      <c r="E1434">
        <v>705</v>
      </c>
      <c r="F1434" t="s">
        <v>514</v>
      </c>
      <c r="G1434">
        <v>41.25</v>
      </c>
    </row>
    <row r="1435" spans="2:7">
      <c r="B1435" s="43">
        <v>44406</v>
      </c>
      <c r="C1435" t="s">
        <v>155</v>
      </c>
      <c r="D1435" s="48">
        <v>44406</v>
      </c>
      <c r="E1435">
        <v>705</v>
      </c>
      <c r="F1435" t="s">
        <v>515</v>
      </c>
      <c r="G1435">
        <v>0.15</v>
      </c>
    </row>
    <row r="1436" spans="2:7" hidden="1">
      <c r="B1436" s="43">
        <v>44404</v>
      </c>
      <c r="C1436" t="s">
        <v>155</v>
      </c>
      <c r="D1436" s="48">
        <v>44406</v>
      </c>
      <c r="E1436">
        <v>710</v>
      </c>
      <c r="F1436" t="s">
        <v>514</v>
      </c>
      <c r="G1436">
        <v>8.5</v>
      </c>
    </row>
    <row r="1437" spans="2:7">
      <c r="B1437" s="43">
        <v>44404</v>
      </c>
      <c r="C1437" t="s">
        <v>155</v>
      </c>
      <c r="D1437" s="48">
        <v>44406</v>
      </c>
      <c r="E1437">
        <v>710</v>
      </c>
      <c r="F1437" t="s">
        <v>515</v>
      </c>
      <c r="G1437">
        <v>7.6</v>
      </c>
    </row>
    <row r="1438" spans="2:7" hidden="1">
      <c r="B1438" s="43">
        <v>44405</v>
      </c>
      <c r="C1438" t="s">
        <v>155</v>
      </c>
      <c r="D1438" s="48">
        <v>44406</v>
      </c>
      <c r="E1438">
        <v>710</v>
      </c>
      <c r="F1438" t="s">
        <v>514</v>
      </c>
      <c r="G1438">
        <v>13.4</v>
      </c>
    </row>
    <row r="1439" spans="2:7">
      <c r="B1439" s="43">
        <v>44405</v>
      </c>
      <c r="C1439" t="s">
        <v>155</v>
      </c>
      <c r="D1439" s="48">
        <v>44406</v>
      </c>
      <c r="E1439">
        <v>710</v>
      </c>
      <c r="F1439" t="s">
        <v>515</v>
      </c>
      <c r="G1439">
        <v>1.4</v>
      </c>
    </row>
    <row r="1440" spans="2:7" hidden="1">
      <c r="B1440" s="43">
        <v>44406</v>
      </c>
      <c r="C1440" t="s">
        <v>155</v>
      </c>
      <c r="D1440" s="48">
        <v>44406</v>
      </c>
      <c r="E1440">
        <v>710</v>
      </c>
      <c r="F1440" t="s">
        <v>514</v>
      </c>
      <c r="G1440">
        <v>39.299999999999997</v>
      </c>
    </row>
    <row r="1441" spans="2:7">
      <c r="B1441" s="43">
        <v>44406</v>
      </c>
      <c r="C1441" t="s">
        <v>155</v>
      </c>
      <c r="D1441" s="48">
        <v>44406</v>
      </c>
      <c r="E1441">
        <v>710</v>
      </c>
      <c r="F1441" t="s">
        <v>515</v>
      </c>
      <c r="G1441">
        <v>0.1</v>
      </c>
    </row>
    <row r="1442" spans="2:7" hidden="1">
      <c r="B1442" s="43">
        <v>44404</v>
      </c>
      <c r="C1442" t="s">
        <v>155</v>
      </c>
      <c r="D1442" s="48">
        <v>44406</v>
      </c>
      <c r="E1442">
        <v>715</v>
      </c>
      <c r="F1442" t="s">
        <v>514</v>
      </c>
      <c r="G1442">
        <v>6.8</v>
      </c>
    </row>
    <row r="1443" spans="2:7">
      <c r="B1443" s="43">
        <v>44404</v>
      </c>
      <c r="C1443" t="s">
        <v>155</v>
      </c>
      <c r="D1443" s="48">
        <v>44406</v>
      </c>
      <c r="E1443">
        <v>715</v>
      </c>
      <c r="F1443" t="s">
        <v>515</v>
      </c>
      <c r="G1443">
        <v>10.95</v>
      </c>
    </row>
    <row r="1444" spans="2:7" hidden="1">
      <c r="B1444" s="43">
        <v>44405</v>
      </c>
      <c r="C1444" t="s">
        <v>155</v>
      </c>
      <c r="D1444" s="48">
        <v>44406</v>
      </c>
      <c r="E1444">
        <v>715</v>
      </c>
      <c r="F1444" t="s">
        <v>514</v>
      </c>
      <c r="G1444">
        <v>10.050000000000001</v>
      </c>
    </row>
    <row r="1445" spans="2:7">
      <c r="B1445" s="43">
        <v>44405</v>
      </c>
      <c r="C1445" t="s">
        <v>155</v>
      </c>
      <c r="D1445" s="48">
        <v>44406</v>
      </c>
      <c r="E1445">
        <v>715</v>
      </c>
      <c r="F1445" t="s">
        <v>515</v>
      </c>
      <c r="G1445">
        <v>2.6</v>
      </c>
    </row>
    <row r="1446" spans="2:7" hidden="1">
      <c r="B1446" s="43">
        <v>44406</v>
      </c>
      <c r="C1446" t="s">
        <v>155</v>
      </c>
      <c r="D1446" s="48">
        <v>44406</v>
      </c>
      <c r="E1446">
        <v>715</v>
      </c>
      <c r="F1446" t="s">
        <v>514</v>
      </c>
      <c r="G1446">
        <v>36.25</v>
      </c>
    </row>
    <row r="1447" spans="2:7">
      <c r="B1447" s="43">
        <v>44406</v>
      </c>
      <c r="C1447" t="s">
        <v>155</v>
      </c>
      <c r="D1447" s="48">
        <v>44406</v>
      </c>
      <c r="E1447">
        <v>715</v>
      </c>
      <c r="F1447" t="s">
        <v>515</v>
      </c>
      <c r="G1447">
        <v>0.05</v>
      </c>
    </row>
    <row r="1448" spans="2:7" hidden="1">
      <c r="B1448" s="43">
        <v>44404</v>
      </c>
      <c r="C1448" t="s">
        <v>155</v>
      </c>
      <c r="D1448" s="48">
        <v>44406</v>
      </c>
      <c r="E1448">
        <v>720</v>
      </c>
      <c r="F1448" t="s">
        <v>514</v>
      </c>
      <c r="G1448">
        <v>5.05</v>
      </c>
    </row>
    <row r="1449" spans="2:7">
      <c r="B1449" s="43">
        <v>44404</v>
      </c>
      <c r="C1449" t="s">
        <v>155</v>
      </c>
      <c r="D1449" s="48">
        <v>44406</v>
      </c>
      <c r="E1449">
        <v>720</v>
      </c>
      <c r="F1449" t="s">
        <v>515</v>
      </c>
      <c r="G1449">
        <v>14.25</v>
      </c>
    </row>
    <row r="1450" spans="2:7" hidden="1">
      <c r="B1450" s="43">
        <v>44405</v>
      </c>
      <c r="C1450" t="s">
        <v>155</v>
      </c>
      <c r="D1450" s="48">
        <v>44406</v>
      </c>
      <c r="E1450">
        <v>720</v>
      </c>
      <c r="F1450" t="s">
        <v>514</v>
      </c>
      <c r="G1450">
        <v>7.2</v>
      </c>
    </row>
    <row r="1451" spans="2:7">
      <c r="B1451" s="43">
        <v>44405</v>
      </c>
      <c r="C1451" t="s">
        <v>155</v>
      </c>
      <c r="D1451" s="48">
        <v>44406</v>
      </c>
      <c r="E1451">
        <v>720</v>
      </c>
      <c r="F1451" t="s">
        <v>515</v>
      </c>
      <c r="G1451">
        <v>4.2</v>
      </c>
    </row>
    <row r="1452" spans="2:7" hidden="1">
      <c r="B1452" s="43">
        <v>44406</v>
      </c>
      <c r="C1452" t="s">
        <v>155</v>
      </c>
      <c r="D1452" s="48">
        <v>44406</v>
      </c>
      <c r="E1452">
        <v>720</v>
      </c>
      <c r="F1452" t="s">
        <v>514</v>
      </c>
      <c r="G1452">
        <v>30.45</v>
      </c>
    </row>
    <row r="1453" spans="2:7">
      <c r="B1453" s="43">
        <v>44406</v>
      </c>
      <c r="C1453" t="s">
        <v>155</v>
      </c>
      <c r="D1453" s="48">
        <v>44406</v>
      </c>
      <c r="E1453">
        <v>720</v>
      </c>
      <c r="F1453" t="s">
        <v>515</v>
      </c>
      <c r="G1453">
        <v>0.1</v>
      </c>
    </row>
    <row r="1454" spans="2:7" hidden="1">
      <c r="B1454" s="43">
        <v>44404</v>
      </c>
      <c r="C1454" t="s">
        <v>155</v>
      </c>
      <c r="D1454" s="48">
        <v>44406</v>
      </c>
      <c r="E1454">
        <v>725</v>
      </c>
      <c r="F1454" t="s">
        <v>514</v>
      </c>
      <c r="G1454">
        <v>3.9</v>
      </c>
    </row>
    <row r="1455" spans="2:7">
      <c r="B1455" s="43">
        <v>44404</v>
      </c>
      <c r="C1455" t="s">
        <v>155</v>
      </c>
      <c r="D1455" s="48">
        <v>44406</v>
      </c>
      <c r="E1455">
        <v>725</v>
      </c>
      <c r="F1455" t="s">
        <v>515</v>
      </c>
      <c r="G1455">
        <v>18.45</v>
      </c>
    </row>
    <row r="1456" spans="2:7" hidden="1">
      <c r="B1456" s="43">
        <v>44405</v>
      </c>
      <c r="C1456" t="s">
        <v>155</v>
      </c>
      <c r="D1456" s="48">
        <v>44406</v>
      </c>
      <c r="E1456">
        <v>725</v>
      </c>
      <c r="F1456" t="s">
        <v>514</v>
      </c>
      <c r="G1456">
        <v>4.8499999999999996</v>
      </c>
    </row>
    <row r="1457" spans="2:7">
      <c r="B1457" s="43">
        <v>44405</v>
      </c>
      <c r="C1457" t="s">
        <v>155</v>
      </c>
      <c r="D1457" s="48">
        <v>44406</v>
      </c>
      <c r="E1457">
        <v>725</v>
      </c>
      <c r="F1457" t="s">
        <v>515</v>
      </c>
      <c r="G1457">
        <v>8.9</v>
      </c>
    </row>
    <row r="1458" spans="2:7" hidden="1">
      <c r="B1458" s="43">
        <v>44406</v>
      </c>
      <c r="C1458" t="s">
        <v>155</v>
      </c>
      <c r="D1458" s="48">
        <v>44406</v>
      </c>
      <c r="E1458">
        <v>725</v>
      </c>
      <c r="F1458" t="s">
        <v>514</v>
      </c>
      <c r="G1458">
        <v>24.7</v>
      </c>
    </row>
    <row r="1459" spans="2:7">
      <c r="B1459" s="43">
        <v>44406</v>
      </c>
      <c r="C1459" t="s">
        <v>155</v>
      </c>
      <c r="D1459" s="48">
        <v>44406</v>
      </c>
      <c r="E1459">
        <v>725</v>
      </c>
      <c r="F1459" t="s">
        <v>515</v>
      </c>
      <c r="G1459">
        <v>0.1</v>
      </c>
    </row>
    <row r="1460" spans="2:7" hidden="1">
      <c r="B1460" s="43">
        <v>44404</v>
      </c>
      <c r="C1460" t="s">
        <v>155</v>
      </c>
      <c r="D1460" s="48">
        <v>44406</v>
      </c>
      <c r="E1460">
        <v>730</v>
      </c>
      <c r="F1460" t="s">
        <v>514</v>
      </c>
      <c r="G1460">
        <v>2.8</v>
      </c>
    </row>
    <row r="1461" spans="2:7">
      <c r="B1461" s="43">
        <v>44404</v>
      </c>
      <c r="C1461" t="s">
        <v>155</v>
      </c>
      <c r="D1461" s="48">
        <v>44406</v>
      </c>
      <c r="E1461">
        <v>730</v>
      </c>
      <c r="F1461" t="s">
        <v>515</v>
      </c>
      <c r="G1461">
        <v>21.6</v>
      </c>
    </row>
    <row r="1462" spans="2:7" hidden="1">
      <c r="B1462" s="43">
        <v>44405</v>
      </c>
      <c r="C1462" t="s">
        <v>155</v>
      </c>
      <c r="D1462" s="48">
        <v>44406</v>
      </c>
      <c r="E1462">
        <v>730</v>
      </c>
      <c r="F1462" t="s">
        <v>514</v>
      </c>
      <c r="G1462">
        <v>3.2</v>
      </c>
    </row>
    <row r="1463" spans="2:7">
      <c r="B1463" s="43">
        <v>44405</v>
      </c>
      <c r="C1463" t="s">
        <v>155</v>
      </c>
      <c r="D1463" s="48">
        <v>44406</v>
      </c>
      <c r="E1463">
        <v>730</v>
      </c>
      <c r="F1463" t="s">
        <v>515</v>
      </c>
      <c r="G1463">
        <v>11.85</v>
      </c>
    </row>
    <row r="1464" spans="2:7" hidden="1">
      <c r="B1464" s="43">
        <v>44406</v>
      </c>
      <c r="C1464" t="s">
        <v>155</v>
      </c>
      <c r="D1464" s="48">
        <v>44406</v>
      </c>
      <c r="E1464">
        <v>730</v>
      </c>
      <c r="F1464" t="s">
        <v>514</v>
      </c>
      <c r="G1464">
        <v>19.600000000000001</v>
      </c>
    </row>
    <row r="1465" spans="2:7">
      <c r="B1465" s="43">
        <v>44406</v>
      </c>
      <c r="C1465" t="s">
        <v>155</v>
      </c>
      <c r="D1465" s="48">
        <v>44406</v>
      </c>
      <c r="E1465">
        <v>730</v>
      </c>
      <c r="F1465" t="s">
        <v>515</v>
      </c>
      <c r="G1465">
        <v>0.05</v>
      </c>
    </row>
    <row r="1466" spans="2:7" hidden="1">
      <c r="B1466" s="43">
        <v>44404</v>
      </c>
      <c r="C1466" t="s">
        <v>155</v>
      </c>
      <c r="D1466" s="48">
        <v>44406</v>
      </c>
      <c r="E1466">
        <v>735</v>
      </c>
      <c r="F1466" t="s">
        <v>514</v>
      </c>
      <c r="G1466">
        <v>2</v>
      </c>
    </row>
    <row r="1467" spans="2:7">
      <c r="B1467" s="43">
        <v>44404</v>
      </c>
      <c r="C1467" t="s">
        <v>155</v>
      </c>
      <c r="D1467" s="48">
        <v>44406</v>
      </c>
      <c r="E1467">
        <v>735</v>
      </c>
      <c r="F1467" t="s">
        <v>515</v>
      </c>
      <c r="G1467">
        <v>32.299999999999997</v>
      </c>
    </row>
    <row r="1468" spans="2:7" hidden="1">
      <c r="B1468" s="43">
        <v>44405</v>
      </c>
      <c r="C1468" t="s">
        <v>155</v>
      </c>
      <c r="D1468" s="48">
        <v>44406</v>
      </c>
      <c r="E1468">
        <v>735</v>
      </c>
      <c r="F1468" t="s">
        <v>514</v>
      </c>
      <c r="G1468">
        <v>1.95</v>
      </c>
    </row>
    <row r="1469" spans="2:7">
      <c r="B1469" s="43">
        <v>44405</v>
      </c>
      <c r="C1469" t="s">
        <v>155</v>
      </c>
      <c r="D1469" s="48">
        <v>44406</v>
      </c>
      <c r="E1469">
        <v>735</v>
      </c>
      <c r="F1469" t="s">
        <v>515</v>
      </c>
      <c r="G1469">
        <v>15.6</v>
      </c>
    </row>
    <row r="1470" spans="2:7" hidden="1">
      <c r="B1470" s="43">
        <v>44406</v>
      </c>
      <c r="C1470" t="s">
        <v>155</v>
      </c>
      <c r="D1470" s="48">
        <v>44406</v>
      </c>
      <c r="E1470">
        <v>735</v>
      </c>
      <c r="F1470" t="s">
        <v>514</v>
      </c>
      <c r="G1470">
        <v>14.45</v>
      </c>
    </row>
    <row r="1471" spans="2:7">
      <c r="B1471" s="43">
        <v>44406</v>
      </c>
      <c r="C1471" t="s">
        <v>155</v>
      </c>
      <c r="D1471" s="48">
        <v>44406</v>
      </c>
      <c r="E1471">
        <v>735</v>
      </c>
      <c r="F1471" t="s">
        <v>515</v>
      </c>
      <c r="G1471">
        <v>0.15</v>
      </c>
    </row>
    <row r="1472" spans="2:7" hidden="1">
      <c r="B1472" s="43">
        <v>44404</v>
      </c>
      <c r="C1472" t="s">
        <v>155</v>
      </c>
      <c r="D1472" s="48">
        <v>44406</v>
      </c>
      <c r="E1472">
        <v>740</v>
      </c>
      <c r="F1472" t="s">
        <v>514</v>
      </c>
      <c r="G1472">
        <v>1.55</v>
      </c>
    </row>
    <row r="1473" spans="2:7">
      <c r="B1473" s="43">
        <v>44404</v>
      </c>
      <c r="C1473" t="s">
        <v>155</v>
      </c>
      <c r="D1473" s="48">
        <v>44406</v>
      </c>
      <c r="E1473">
        <v>740</v>
      </c>
      <c r="F1473" t="s">
        <v>515</v>
      </c>
      <c r="G1473">
        <v>31.65</v>
      </c>
    </row>
    <row r="1474" spans="2:7" hidden="1">
      <c r="B1474" s="43">
        <v>44405</v>
      </c>
      <c r="C1474" t="s">
        <v>155</v>
      </c>
      <c r="D1474" s="48">
        <v>44406</v>
      </c>
      <c r="E1474">
        <v>740</v>
      </c>
      <c r="F1474" t="s">
        <v>514</v>
      </c>
      <c r="G1474">
        <v>1.45</v>
      </c>
    </row>
    <row r="1475" spans="2:7">
      <c r="B1475" s="43">
        <v>44405</v>
      </c>
      <c r="C1475" t="s">
        <v>155</v>
      </c>
      <c r="D1475" s="48">
        <v>44406</v>
      </c>
      <c r="E1475">
        <v>740</v>
      </c>
      <c r="F1475" t="s">
        <v>515</v>
      </c>
      <c r="G1475">
        <v>19.899999999999999</v>
      </c>
    </row>
    <row r="1476" spans="2:7" hidden="1">
      <c r="B1476" s="43">
        <v>44406</v>
      </c>
      <c r="C1476" t="s">
        <v>155</v>
      </c>
      <c r="D1476" s="48">
        <v>44406</v>
      </c>
      <c r="E1476">
        <v>740</v>
      </c>
      <c r="F1476" t="s">
        <v>514</v>
      </c>
      <c r="G1476">
        <v>9.5500000000000007</v>
      </c>
    </row>
    <row r="1477" spans="2:7">
      <c r="B1477" s="43">
        <v>44406</v>
      </c>
      <c r="C1477" t="s">
        <v>155</v>
      </c>
      <c r="D1477" s="48">
        <v>44406</v>
      </c>
      <c r="E1477">
        <v>740</v>
      </c>
      <c r="F1477" t="s">
        <v>515</v>
      </c>
      <c r="G1477">
        <v>0.15</v>
      </c>
    </row>
    <row r="1478" spans="2:7" hidden="1">
      <c r="B1478" s="43">
        <v>44404</v>
      </c>
      <c r="C1478" t="s">
        <v>155</v>
      </c>
      <c r="D1478" s="48">
        <v>44406</v>
      </c>
      <c r="E1478">
        <v>745</v>
      </c>
      <c r="F1478" t="s">
        <v>514</v>
      </c>
      <c r="G1478">
        <v>1.1000000000000001</v>
      </c>
    </row>
    <row r="1479" spans="2:7">
      <c r="B1479" s="43">
        <v>44404</v>
      </c>
      <c r="C1479" t="s">
        <v>155</v>
      </c>
      <c r="D1479" s="48">
        <v>44406</v>
      </c>
      <c r="E1479">
        <v>745</v>
      </c>
      <c r="F1479" t="s">
        <v>515</v>
      </c>
      <c r="G1479">
        <v>38.85</v>
      </c>
    </row>
    <row r="1480" spans="2:7" hidden="1">
      <c r="B1480" s="43">
        <v>44405</v>
      </c>
      <c r="C1480" t="s">
        <v>155</v>
      </c>
      <c r="D1480" s="48">
        <v>44406</v>
      </c>
      <c r="E1480">
        <v>745</v>
      </c>
      <c r="F1480" t="s">
        <v>514</v>
      </c>
      <c r="G1480">
        <v>1</v>
      </c>
    </row>
    <row r="1481" spans="2:7">
      <c r="B1481" s="43">
        <v>44405</v>
      </c>
      <c r="C1481" t="s">
        <v>155</v>
      </c>
      <c r="D1481" s="48">
        <v>44406</v>
      </c>
      <c r="E1481">
        <v>745</v>
      </c>
      <c r="F1481" t="s">
        <v>515</v>
      </c>
      <c r="G1481">
        <v>28.3</v>
      </c>
    </row>
    <row r="1482" spans="2:7" hidden="1">
      <c r="B1482" s="43">
        <v>44406</v>
      </c>
      <c r="C1482" t="s">
        <v>155</v>
      </c>
      <c r="D1482" s="48">
        <v>44406</v>
      </c>
      <c r="E1482">
        <v>745</v>
      </c>
      <c r="F1482" t="s">
        <v>514</v>
      </c>
      <c r="G1482">
        <v>5.2</v>
      </c>
    </row>
    <row r="1483" spans="2:7">
      <c r="B1483" s="43">
        <v>44406</v>
      </c>
      <c r="C1483" t="s">
        <v>155</v>
      </c>
      <c r="D1483" s="48">
        <v>44406</v>
      </c>
      <c r="E1483">
        <v>745</v>
      </c>
      <c r="F1483" t="s">
        <v>515</v>
      </c>
      <c r="G1483">
        <v>0.65</v>
      </c>
    </row>
    <row r="1484" spans="2:7" hidden="1">
      <c r="B1484" s="43">
        <v>44404</v>
      </c>
      <c r="C1484" t="s">
        <v>155</v>
      </c>
      <c r="D1484" s="48">
        <v>44406</v>
      </c>
      <c r="E1484">
        <v>750</v>
      </c>
      <c r="F1484" t="s">
        <v>514</v>
      </c>
      <c r="G1484">
        <v>0.85</v>
      </c>
    </row>
    <row r="1485" spans="2:7">
      <c r="B1485" s="43">
        <v>44404</v>
      </c>
      <c r="C1485" t="s">
        <v>155</v>
      </c>
      <c r="D1485" s="48">
        <v>44406</v>
      </c>
      <c r="E1485">
        <v>750</v>
      </c>
      <c r="F1485" t="s">
        <v>515</v>
      </c>
      <c r="G1485">
        <v>42.4</v>
      </c>
    </row>
    <row r="1486" spans="2:7" hidden="1">
      <c r="B1486" s="43">
        <v>44405</v>
      </c>
      <c r="C1486" t="s">
        <v>155</v>
      </c>
      <c r="D1486" s="48">
        <v>44406</v>
      </c>
      <c r="E1486">
        <v>750</v>
      </c>
      <c r="F1486" t="s">
        <v>514</v>
      </c>
      <c r="G1486">
        <v>0.7</v>
      </c>
    </row>
    <row r="1487" spans="2:7">
      <c r="B1487" s="43">
        <v>44405</v>
      </c>
      <c r="C1487" t="s">
        <v>155</v>
      </c>
      <c r="D1487" s="48">
        <v>44406</v>
      </c>
      <c r="E1487">
        <v>750</v>
      </c>
      <c r="F1487" t="s">
        <v>515</v>
      </c>
      <c r="G1487">
        <v>27.45</v>
      </c>
    </row>
    <row r="1488" spans="2:7" hidden="1">
      <c r="B1488" s="43">
        <v>44406</v>
      </c>
      <c r="C1488" t="s">
        <v>155</v>
      </c>
      <c r="D1488" s="48">
        <v>44406</v>
      </c>
      <c r="E1488">
        <v>750</v>
      </c>
      <c r="F1488" t="s">
        <v>514</v>
      </c>
      <c r="G1488">
        <v>0.9</v>
      </c>
    </row>
    <row r="1489" spans="2:7">
      <c r="B1489" s="43">
        <v>44406</v>
      </c>
      <c r="C1489" t="s">
        <v>155</v>
      </c>
      <c r="D1489" s="48">
        <v>44406</v>
      </c>
      <c r="E1489">
        <v>750</v>
      </c>
      <c r="F1489" t="s">
        <v>515</v>
      </c>
      <c r="G1489">
        <v>2.0499999999999998</v>
      </c>
    </row>
    <row r="1490" spans="2:7" hidden="1">
      <c r="B1490" s="43">
        <v>44404</v>
      </c>
      <c r="C1490" t="s">
        <v>155</v>
      </c>
      <c r="D1490" s="48">
        <v>44406</v>
      </c>
      <c r="E1490">
        <v>755</v>
      </c>
      <c r="F1490" t="s">
        <v>514</v>
      </c>
      <c r="G1490">
        <v>0.65</v>
      </c>
    </row>
    <row r="1491" spans="2:7">
      <c r="B1491" s="43">
        <v>44404</v>
      </c>
      <c r="C1491" t="s">
        <v>155</v>
      </c>
      <c r="D1491" s="48">
        <v>44406</v>
      </c>
      <c r="E1491">
        <v>755</v>
      </c>
      <c r="F1491" t="s">
        <v>515</v>
      </c>
      <c r="G1491">
        <v>44.35</v>
      </c>
    </row>
    <row r="1492" spans="2:7" hidden="1">
      <c r="B1492" s="43">
        <v>44405</v>
      </c>
      <c r="C1492" t="s">
        <v>155</v>
      </c>
      <c r="D1492" s="48">
        <v>44406</v>
      </c>
      <c r="E1492">
        <v>755</v>
      </c>
      <c r="F1492" t="s">
        <v>514</v>
      </c>
      <c r="G1492">
        <v>0.25</v>
      </c>
    </row>
    <row r="1493" spans="2:7">
      <c r="B1493" s="43">
        <v>44405</v>
      </c>
      <c r="C1493" t="s">
        <v>155</v>
      </c>
      <c r="D1493" s="48">
        <v>44406</v>
      </c>
      <c r="E1493">
        <v>755</v>
      </c>
      <c r="F1493" t="s">
        <v>515</v>
      </c>
      <c r="G1493">
        <v>44.35</v>
      </c>
    </row>
    <row r="1494" spans="2:7" hidden="1">
      <c r="B1494" s="43">
        <v>44406</v>
      </c>
      <c r="C1494" t="s">
        <v>155</v>
      </c>
      <c r="D1494" s="48">
        <v>44406</v>
      </c>
      <c r="E1494">
        <v>755</v>
      </c>
      <c r="F1494" t="s">
        <v>514</v>
      </c>
      <c r="G1494">
        <v>0.3</v>
      </c>
    </row>
    <row r="1495" spans="2:7">
      <c r="B1495" s="43">
        <v>44406</v>
      </c>
      <c r="C1495" t="s">
        <v>155</v>
      </c>
      <c r="D1495" s="48">
        <v>44406</v>
      </c>
      <c r="E1495">
        <v>755</v>
      </c>
      <c r="F1495" t="s">
        <v>515</v>
      </c>
      <c r="G1495">
        <v>11.65</v>
      </c>
    </row>
    <row r="1496" spans="2:7" hidden="1">
      <c r="B1496" s="43">
        <v>44404</v>
      </c>
      <c r="C1496" t="s">
        <v>155</v>
      </c>
      <c r="D1496" s="48">
        <v>44406</v>
      </c>
      <c r="E1496">
        <v>760</v>
      </c>
      <c r="F1496" t="s">
        <v>514</v>
      </c>
      <c r="G1496">
        <v>0.5</v>
      </c>
    </row>
    <row r="1497" spans="2:7">
      <c r="B1497" s="43">
        <v>44404</v>
      </c>
      <c r="C1497" t="s">
        <v>155</v>
      </c>
      <c r="D1497" s="48">
        <v>44406</v>
      </c>
      <c r="E1497">
        <v>760</v>
      </c>
      <c r="F1497" t="s">
        <v>515</v>
      </c>
      <c r="G1497">
        <v>52.5</v>
      </c>
    </row>
    <row r="1498" spans="2:7" hidden="1">
      <c r="B1498" s="43">
        <v>44405</v>
      </c>
      <c r="C1498" t="s">
        <v>155</v>
      </c>
      <c r="D1498" s="48">
        <v>44406</v>
      </c>
      <c r="E1498">
        <v>760</v>
      </c>
      <c r="F1498" t="s">
        <v>514</v>
      </c>
      <c r="G1498">
        <v>0.25</v>
      </c>
    </row>
    <row r="1499" spans="2:7">
      <c r="B1499" s="43">
        <v>44405</v>
      </c>
      <c r="C1499" t="s">
        <v>155</v>
      </c>
      <c r="D1499" s="48">
        <v>44406</v>
      </c>
      <c r="E1499">
        <v>760</v>
      </c>
      <c r="F1499" t="s">
        <v>515</v>
      </c>
      <c r="G1499">
        <v>52.5</v>
      </c>
    </row>
    <row r="1500" spans="2:7" hidden="1">
      <c r="B1500" s="43">
        <v>44406</v>
      </c>
      <c r="C1500" t="s">
        <v>155</v>
      </c>
      <c r="D1500" s="48">
        <v>44406</v>
      </c>
      <c r="E1500">
        <v>760</v>
      </c>
      <c r="F1500" t="s">
        <v>514</v>
      </c>
      <c r="G1500">
        <v>0.15</v>
      </c>
    </row>
    <row r="1501" spans="2:7">
      <c r="B1501" s="43">
        <v>44406</v>
      </c>
      <c r="C1501" t="s">
        <v>155</v>
      </c>
      <c r="D1501" s="48">
        <v>44406</v>
      </c>
      <c r="E1501">
        <v>760</v>
      </c>
      <c r="F1501" t="s">
        <v>515</v>
      </c>
      <c r="G1501">
        <v>12.35</v>
      </c>
    </row>
    <row r="1502" spans="2:7" hidden="1">
      <c r="B1502" s="43">
        <v>44404</v>
      </c>
      <c r="C1502" t="s">
        <v>155</v>
      </c>
      <c r="D1502" s="48">
        <v>44406</v>
      </c>
      <c r="E1502">
        <v>765</v>
      </c>
      <c r="F1502" t="s">
        <v>514</v>
      </c>
      <c r="G1502">
        <v>0.45</v>
      </c>
    </row>
    <row r="1503" spans="2:7">
      <c r="B1503" s="43">
        <v>44404</v>
      </c>
      <c r="C1503" t="s">
        <v>155</v>
      </c>
      <c r="D1503" s="48">
        <v>44406</v>
      </c>
      <c r="E1503">
        <v>765</v>
      </c>
      <c r="F1503" t="s">
        <v>515</v>
      </c>
      <c r="G1503">
        <v>49.5</v>
      </c>
    </row>
    <row r="1504" spans="2:7" hidden="1">
      <c r="B1504" s="43">
        <v>44405</v>
      </c>
      <c r="C1504" t="s">
        <v>155</v>
      </c>
      <c r="D1504" s="48">
        <v>44406</v>
      </c>
      <c r="E1504">
        <v>765</v>
      </c>
      <c r="F1504" t="s">
        <v>514</v>
      </c>
      <c r="G1504">
        <v>0.15</v>
      </c>
    </row>
    <row r="1505" spans="2:7">
      <c r="B1505" s="43">
        <v>44405</v>
      </c>
      <c r="C1505" t="s">
        <v>155</v>
      </c>
      <c r="D1505" s="48">
        <v>44406</v>
      </c>
      <c r="E1505">
        <v>765</v>
      </c>
      <c r="F1505" t="s">
        <v>515</v>
      </c>
      <c r="G1505">
        <v>48.2</v>
      </c>
    </row>
    <row r="1506" spans="2:7" hidden="1">
      <c r="B1506" s="43">
        <v>44406</v>
      </c>
      <c r="C1506" t="s">
        <v>155</v>
      </c>
      <c r="D1506" s="48">
        <v>44406</v>
      </c>
      <c r="E1506">
        <v>765</v>
      </c>
      <c r="F1506" t="s">
        <v>514</v>
      </c>
      <c r="G1506">
        <v>0.05</v>
      </c>
    </row>
    <row r="1507" spans="2:7">
      <c r="B1507" s="43">
        <v>44406</v>
      </c>
      <c r="C1507" t="s">
        <v>155</v>
      </c>
      <c r="D1507" s="48">
        <v>44406</v>
      </c>
      <c r="E1507">
        <v>765</v>
      </c>
      <c r="F1507" t="s">
        <v>515</v>
      </c>
      <c r="G1507">
        <v>19.7</v>
      </c>
    </row>
    <row r="1508" spans="2:7" hidden="1">
      <c r="B1508" s="43">
        <v>44404</v>
      </c>
      <c r="C1508" t="s">
        <v>155</v>
      </c>
      <c r="D1508" s="48">
        <v>44406</v>
      </c>
      <c r="E1508">
        <v>770</v>
      </c>
      <c r="F1508" t="s">
        <v>514</v>
      </c>
      <c r="G1508">
        <v>0.2</v>
      </c>
    </row>
    <row r="1509" spans="2:7">
      <c r="B1509" s="43">
        <v>44404</v>
      </c>
      <c r="C1509" t="s">
        <v>155</v>
      </c>
      <c r="D1509" s="48">
        <v>44406</v>
      </c>
      <c r="E1509">
        <v>770</v>
      </c>
      <c r="F1509" t="s">
        <v>515</v>
      </c>
      <c r="G1509">
        <v>59.05</v>
      </c>
    </row>
    <row r="1510" spans="2:7" hidden="1">
      <c r="B1510" s="43">
        <v>44405</v>
      </c>
      <c r="C1510" t="s">
        <v>155</v>
      </c>
      <c r="D1510" s="48">
        <v>44406</v>
      </c>
      <c r="E1510">
        <v>770</v>
      </c>
      <c r="F1510" t="s">
        <v>514</v>
      </c>
      <c r="G1510">
        <v>0.05</v>
      </c>
    </row>
    <row r="1511" spans="2:7">
      <c r="B1511" s="43">
        <v>44405</v>
      </c>
      <c r="C1511" t="s">
        <v>155</v>
      </c>
      <c r="D1511" s="48">
        <v>44406</v>
      </c>
      <c r="E1511">
        <v>770</v>
      </c>
      <c r="F1511" t="s">
        <v>515</v>
      </c>
      <c r="G1511">
        <v>62.6</v>
      </c>
    </row>
    <row r="1512" spans="2:7" hidden="1">
      <c r="B1512" s="43">
        <v>44406</v>
      </c>
      <c r="C1512" t="s">
        <v>155</v>
      </c>
      <c r="D1512" s="48">
        <v>44406</v>
      </c>
      <c r="E1512">
        <v>770</v>
      </c>
      <c r="F1512" t="s">
        <v>514</v>
      </c>
      <c r="G1512">
        <v>0.05</v>
      </c>
    </row>
    <row r="1513" spans="2:7">
      <c r="B1513" s="43">
        <v>44406</v>
      </c>
      <c r="C1513" t="s">
        <v>155</v>
      </c>
      <c r="D1513" s="48">
        <v>44406</v>
      </c>
      <c r="E1513">
        <v>770</v>
      </c>
      <c r="F1513" t="s">
        <v>515</v>
      </c>
      <c r="G1513">
        <v>12.75</v>
      </c>
    </row>
    <row r="1514" spans="2:7" hidden="1">
      <c r="B1514" s="43">
        <v>44404</v>
      </c>
      <c r="C1514" t="s">
        <v>155</v>
      </c>
      <c r="D1514" s="48">
        <v>44406</v>
      </c>
      <c r="E1514">
        <v>775</v>
      </c>
      <c r="F1514" t="s">
        <v>514</v>
      </c>
      <c r="G1514">
        <v>0.2</v>
      </c>
    </row>
    <row r="1515" spans="2:7">
      <c r="B1515" s="43">
        <v>44404</v>
      </c>
      <c r="C1515" t="s">
        <v>155</v>
      </c>
      <c r="D1515" s="48">
        <v>44406</v>
      </c>
      <c r="E1515">
        <v>775</v>
      </c>
      <c r="F1515" t="s">
        <v>515</v>
      </c>
      <c r="G1515">
        <v>101.15</v>
      </c>
    </row>
    <row r="1516" spans="2:7" hidden="1">
      <c r="B1516" s="43">
        <v>44405</v>
      </c>
      <c r="C1516" t="s">
        <v>155</v>
      </c>
      <c r="D1516" s="48">
        <v>44406</v>
      </c>
      <c r="E1516">
        <v>775</v>
      </c>
      <c r="F1516" t="s">
        <v>514</v>
      </c>
      <c r="G1516">
        <v>0.1</v>
      </c>
    </row>
    <row r="1517" spans="2:7">
      <c r="B1517" s="43">
        <v>44405</v>
      </c>
      <c r="C1517" t="s">
        <v>155</v>
      </c>
      <c r="D1517" s="48">
        <v>44406</v>
      </c>
      <c r="E1517">
        <v>775</v>
      </c>
      <c r="F1517" t="s">
        <v>515</v>
      </c>
      <c r="G1517">
        <v>101.15</v>
      </c>
    </row>
    <row r="1518" spans="2:7" hidden="1">
      <c r="B1518" s="43">
        <v>44406</v>
      </c>
      <c r="C1518" t="s">
        <v>155</v>
      </c>
      <c r="D1518" s="48">
        <v>44406</v>
      </c>
      <c r="E1518">
        <v>775</v>
      </c>
      <c r="F1518" t="s">
        <v>514</v>
      </c>
      <c r="G1518">
        <v>0.05</v>
      </c>
    </row>
    <row r="1519" spans="2:7">
      <c r="B1519" s="43">
        <v>44406</v>
      </c>
      <c r="C1519" t="s">
        <v>155</v>
      </c>
      <c r="D1519" s="48">
        <v>44406</v>
      </c>
      <c r="E1519">
        <v>775</v>
      </c>
      <c r="F1519" t="s">
        <v>515</v>
      </c>
      <c r="G1519">
        <v>101.15</v>
      </c>
    </row>
    <row r="1520" spans="2:7" hidden="1">
      <c r="B1520" s="43">
        <v>44404</v>
      </c>
      <c r="C1520" t="s">
        <v>155</v>
      </c>
      <c r="D1520" s="48">
        <v>44406</v>
      </c>
      <c r="E1520">
        <v>780</v>
      </c>
      <c r="F1520" t="s">
        <v>514</v>
      </c>
      <c r="G1520">
        <v>0.25</v>
      </c>
    </row>
    <row r="1521" spans="2:7">
      <c r="B1521" s="43">
        <v>44404</v>
      </c>
      <c r="C1521" t="s">
        <v>155</v>
      </c>
      <c r="D1521" s="48">
        <v>44406</v>
      </c>
      <c r="E1521">
        <v>780</v>
      </c>
      <c r="F1521" t="s">
        <v>515</v>
      </c>
      <c r="G1521">
        <v>104.3</v>
      </c>
    </row>
    <row r="1522" spans="2:7" hidden="1">
      <c r="B1522" s="43">
        <v>44405</v>
      </c>
      <c r="C1522" t="s">
        <v>155</v>
      </c>
      <c r="D1522" s="48">
        <v>44406</v>
      </c>
      <c r="E1522">
        <v>780</v>
      </c>
      <c r="F1522" t="s">
        <v>514</v>
      </c>
      <c r="G1522">
        <v>0.1</v>
      </c>
    </row>
    <row r="1523" spans="2:7">
      <c r="B1523" s="43">
        <v>44405</v>
      </c>
      <c r="C1523" t="s">
        <v>155</v>
      </c>
      <c r="D1523" s="48">
        <v>44406</v>
      </c>
      <c r="E1523">
        <v>780</v>
      </c>
      <c r="F1523" t="s">
        <v>515</v>
      </c>
      <c r="G1523">
        <v>104.3</v>
      </c>
    </row>
    <row r="1524" spans="2:7" hidden="1">
      <c r="B1524" s="43">
        <v>44406</v>
      </c>
      <c r="C1524" t="s">
        <v>155</v>
      </c>
      <c r="D1524" s="48">
        <v>44406</v>
      </c>
      <c r="E1524">
        <v>780</v>
      </c>
      <c r="F1524" t="s">
        <v>514</v>
      </c>
      <c r="G1524">
        <v>0.05</v>
      </c>
    </row>
    <row r="1525" spans="2:7">
      <c r="B1525" s="43">
        <v>44406</v>
      </c>
      <c r="C1525" t="s">
        <v>155</v>
      </c>
      <c r="D1525" s="48">
        <v>44406</v>
      </c>
      <c r="E1525">
        <v>780</v>
      </c>
      <c r="F1525" t="s">
        <v>515</v>
      </c>
      <c r="G1525">
        <v>104.3</v>
      </c>
    </row>
    <row r="1526" spans="2:7" hidden="1">
      <c r="B1526" s="43">
        <v>44404</v>
      </c>
      <c r="C1526" t="s">
        <v>155</v>
      </c>
      <c r="D1526" s="48">
        <v>44406</v>
      </c>
      <c r="E1526">
        <v>785</v>
      </c>
      <c r="F1526" t="s">
        <v>514</v>
      </c>
      <c r="G1526">
        <v>56.4</v>
      </c>
    </row>
    <row r="1527" spans="2:7">
      <c r="B1527" s="43">
        <v>44404</v>
      </c>
      <c r="C1527" t="s">
        <v>155</v>
      </c>
      <c r="D1527" s="48">
        <v>44406</v>
      </c>
      <c r="E1527">
        <v>785</v>
      </c>
      <c r="F1527" t="s">
        <v>515</v>
      </c>
      <c r="G1527">
        <v>107.5</v>
      </c>
    </row>
    <row r="1528" spans="2:7" hidden="1">
      <c r="B1528" s="43">
        <v>44405</v>
      </c>
      <c r="C1528" t="s">
        <v>155</v>
      </c>
      <c r="D1528" s="48">
        <v>44406</v>
      </c>
      <c r="E1528">
        <v>785</v>
      </c>
      <c r="F1528" t="s">
        <v>514</v>
      </c>
      <c r="G1528">
        <v>56.4</v>
      </c>
    </row>
    <row r="1529" spans="2:7">
      <c r="B1529" s="43">
        <v>44405</v>
      </c>
      <c r="C1529" t="s">
        <v>155</v>
      </c>
      <c r="D1529" s="48">
        <v>44406</v>
      </c>
      <c r="E1529">
        <v>785</v>
      </c>
      <c r="F1529" t="s">
        <v>515</v>
      </c>
      <c r="G1529">
        <v>107.5</v>
      </c>
    </row>
    <row r="1530" spans="2:7" hidden="1">
      <c r="B1530" s="43">
        <v>44406</v>
      </c>
      <c r="C1530" t="s">
        <v>155</v>
      </c>
      <c r="D1530" s="48">
        <v>44406</v>
      </c>
      <c r="E1530">
        <v>785</v>
      </c>
      <c r="F1530" t="s">
        <v>514</v>
      </c>
      <c r="G1530">
        <v>0.1</v>
      </c>
    </row>
    <row r="1531" spans="2:7">
      <c r="B1531" s="43">
        <v>44406</v>
      </c>
      <c r="C1531" t="s">
        <v>155</v>
      </c>
      <c r="D1531" s="48">
        <v>44406</v>
      </c>
      <c r="E1531">
        <v>785</v>
      </c>
      <c r="F1531" t="s">
        <v>515</v>
      </c>
      <c r="G1531">
        <v>107.5</v>
      </c>
    </row>
    <row r="1532" spans="2:7" hidden="1">
      <c r="B1532" s="43">
        <v>44404</v>
      </c>
      <c r="C1532" t="s">
        <v>155</v>
      </c>
      <c r="D1532" s="48">
        <v>44406</v>
      </c>
      <c r="E1532">
        <v>790</v>
      </c>
      <c r="F1532" t="s">
        <v>514</v>
      </c>
      <c r="G1532">
        <v>0.1</v>
      </c>
    </row>
    <row r="1533" spans="2:7">
      <c r="B1533" s="43">
        <v>44404</v>
      </c>
      <c r="C1533" t="s">
        <v>155</v>
      </c>
      <c r="D1533" s="48">
        <v>44406</v>
      </c>
      <c r="E1533">
        <v>790</v>
      </c>
      <c r="F1533" t="s">
        <v>515</v>
      </c>
      <c r="G1533">
        <v>110.75</v>
      </c>
    </row>
    <row r="1534" spans="2:7" hidden="1">
      <c r="B1534" s="43">
        <v>44405</v>
      </c>
      <c r="C1534" t="s">
        <v>155</v>
      </c>
      <c r="D1534" s="48">
        <v>44406</v>
      </c>
      <c r="E1534">
        <v>790</v>
      </c>
      <c r="F1534" t="s">
        <v>514</v>
      </c>
      <c r="G1534">
        <v>0.15</v>
      </c>
    </row>
    <row r="1535" spans="2:7">
      <c r="B1535" s="43">
        <v>44405</v>
      </c>
      <c r="C1535" t="s">
        <v>155</v>
      </c>
      <c r="D1535" s="48">
        <v>44406</v>
      </c>
      <c r="E1535">
        <v>790</v>
      </c>
      <c r="F1535" t="s">
        <v>515</v>
      </c>
      <c r="G1535">
        <v>110.75</v>
      </c>
    </row>
    <row r="1536" spans="2:7" hidden="1">
      <c r="B1536" s="43">
        <v>44406</v>
      </c>
      <c r="C1536" t="s">
        <v>155</v>
      </c>
      <c r="D1536" s="48">
        <v>44406</v>
      </c>
      <c r="E1536">
        <v>790</v>
      </c>
      <c r="F1536" t="s">
        <v>514</v>
      </c>
      <c r="G1536">
        <v>0.05</v>
      </c>
    </row>
    <row r="1537" spans="2:7">
      <c r="B1537" s="43">
        <v>44406</v>
      </c>
      <c r="C1537" t="s">
        <v>155</v>
      </c>
      <c r="D1537" s="48">
        <v>44406</v>
      </c>
      <c r="E1537">
        <v>790</v>
      </c>
      <c r="F1537" t="s">
        <v>515</v>
      </c>
      <c r="G1537">
        <v>110.75</v>
      </c>
    </row>
    <row r="1538" spans="2:7" hidden="1">
      <c r="B1538" s="43">
        <v>44404</v>
      </c>
      <c r="C1538" t="s">
        <v>155</v>
      </c>
      <c r="D1538" s="48">
        <v>44406</v>
      </c>
      <c r="E1538">
        <v>795</v>
      </c>
      <c r="F1538" t="s">
        <v>514</v>
      </c>
      <c r="G1538">
        <v>0.1</v>
      </c>
    </row>
    <row r="1539" spans="2:7">
      <c r="B1539" s="43">
        <v>44404</v>
      </c>
      <c r="C1539" t="s">
        <v>155</v>
      </c>
      <c r="D1539" s="48">
        <v>44406</v>
      </c>
      <c r="E1539">
        <v>795</v>
      </c>
      <c r="F1539" t="s">
        <v>515</v>
      </c>
      <c r="G1539">
        <v>114.05</v>
      </c>
    </row>
    <row r="1540" spans="2:7" hidden="1">
      <c r="B1540" s="43">
        <v>44405</v>
      </c>
      <c r="C1540" t="s">
        <v>155</v>
      </c>
      <c r="D1540" s="48">
        <v>44406</v>
      </c>
      <c r="E1540">
        <v>795</v>
      </c>
      <c r="F1540" t="s">
        <v>514</v>
      </c>
      <c r="G1540">
        <v>0.1</v>
      </c>
    </row>
    <row r="1541" spans="2:7">
      <c r="B1541" s="43">
        <v>44405</v>
      </c>
      <c r="C1541" t="s">
        <v>155</v>
      </c>
      <c r="D1541" s="48">
        <v>44406</v>
      </c>
      <c r="E1541">
        <v>795</v>
      </c>
      <c r="F1541" t="s">
        <v>515</v>
      </c>
      <c r="G1541">
        <v>114.05</v>
      </c>
    </row>
    <row r="1542" spans="2:7" hidden="1">
      <c r="B1542" s="43">
        <v>44406</v>
      </c>
      <c r="C1542" t="s">
        <v>155</v>
      </c>
      <c r="D1542" s="48">
        <v>44406</v>
      </c>
      <c r="E1542">
        <v>795</v>
      </c>
      <c r="F1542" t="s">
        <v>514</v>
      </c>
      <c r="G1542">
        <v>0.1</v>
      </c>
    </row>
    <row r="1543" spans="2:7">
      <c r="B1543" s="43">
        <v>44406</v>
      </c>
      <c r="C1543" t="s">
        <v>155</v>
      </c>
      <c r="D1543" s="48">
        <v>44406</v>
      </c>
      <c r="E1543">
        <v>795</v>
      </c>
      <c r="F1543" t="s">
        <v>515</v>
      </c>
      <c r="G1543">
        <v>114.05</v>
      </c>
    </row>
    <row r="1544" spans="2:7" hidden="1">
      <c r="B1544" s="43">
        <v>44404</v>
      </c>
      <c r="C1544" t="s">
        <v>155</v>
      </c>
      <c r="D1544" s="48">
        <v>44406</v>
      </c>
      <c r="E1544">
        <v>800</v>
      </c>
      <c r="F1544" t="s">
        <v>514</v>
      </c>
      <c r="G1544">
        <v>0.1</v>
      </c>
    </row>
    <row r="1545" spans="2:7">
      <c r="B1545" s="43">
        <v>44404</v>
      </c>
      <c r="C1545" t="s">
        <v>155</v>
      </c>
      <c r="D1545" s="48">
        <v>44406</v>
      </c>
      <c r="E1545">
        <v>800</v>
      </c>
      <c r="F1545" t="s">
        <v>515</v>
      </c>
      <c r="G1545">
        <v>82.2</v>
      </c>
    </row>
    <row r="1546" spans="2:7" hidden="1">
      <c r="B1546" s="43">
        <v>44405</v>
      </c>
      <c r="C1546" t="s">
        <v>155</v>
      </c>
      <c r="D1546" s="48">
        <v>44406</v>
      </c>
      <c r="E1546">
        <v>800</v>
      </c>
      <c r="F1546" t="s">
        <v>514</v>
      </c>
      <c r="G1546">
        <v>0.05</v>
      </c>
    </row>
    <row r="1547" spans="2:7">
      <c r="B1547" s="43">
        <v>44405</v>
      </c>
      <c r="C1547" t="s">
        <v>155</v>
      </c>
      <c r="D1547" s="48">
        <v>44406</v>
      </c>
      <c r="E1547">
        <v>800</v>
      </c>
      <c r="F1547" t="s">
        <v>515</v>
      </c>
      <c r="G1547">
        <v>83.65</v>
      </c>
    </row>
    <row r="1548" spans="2:7" hidden="1">
      <c r="B1548" s="43">
        <v>44406</v>
      </c>
      <c r="C1548" t="s">
        <v>155</v>
      </c>
      <c r="D1548" s="48">
        <v>44406</v>
      </c>
      <c r="E1548">
        <v>800</v>
      </c>
      <c r="F1548" t="s">
        <v>514</v>
      </c>
      <c r="G1548">
        <v>0.05</v>
      </c>
    </row>
    <row r="1549" spans="2:7">
      <c r="B1549" s="43">
        <v>44406</v>
      </c>
      <c r="C1549" t="s">
        <v>155</v>
      </c>
      <c r="D1549" s="48">
        <v>44406</v>
      </c>
      <c r="E1549">
        <v>800</v>
      </c>
      <c r="F1549" t="s">
        <v>515</v>
      </c>
      <c r="G1549">
        <v>51.1</v>
      </c>
    </row>
    <row r="1550" spans="2:7" hidden="1">
      <c r="B1550" s="43">
        <v>44404</v>
      </c>
      <c r="C1550" t="s">
        <v>155</v>
      </c>
      <c r="D1550" s="48">
        <v>44406</v>
      </c>
      <c r="E1550">
        <v>805</v>
      </c>
      <c r="F1550" t="s">
        <v>514</v>
      </c>
      <c r="G1550">
        <v>0.1</v>
      </c>
    </row>
    <row r="1551" spans="2:7">
      <c r="B1551" s="43">
        <v>44404</v>
      </c>
      <c r="C1551" t="s">
        <v>155</v>
      </c>
      <c r="D1551" s="48">
        <v>44406</v>
      </c>
      <c r="E1551">
        <v>805</v>
      </c>
      <c r="F1551" t="s">
        <v>515</v>
      </c>
      <c r="G1551">
        <v>120.75</v>
      </c>
    </row>
    <row r="1552" spans="2:7" hidden="1">
      <c r="B1552" s="43">
        <v>44405</v>
      </c>
      <c r="C1552" t="s">
        <v>155</v>
      </c>
      <c r="D1552" s="48">
        <v>44406</v>
      </c>
      <c r="E1552">
        <v>805</v>
      </c>
      <c r="F1552" t="s">
        <v>514</v>
      </c>
      <c r="G1552">
        <v>0.1</v>
      </c>
    </row>
    <row r="1553" spans="2:7">
      <c r="B1553" s="43">
        <v>44405</v>
      </c>
      <c r="C1553" t="s">
        <v>155</v>
      </c>
      <c r="D1553" s="48">
        <v>44406</v>
      </c>
      <c r="E1553">
        <v>805</v>
      </c>
      <c r="F1553" t="s">
        <v>515</v>
      </c>
      <c r="G1553">
        <v>120.75</v>
      </c>
    </row>
    <row r="1554" spans="2:7" hidden="1">
      <c r="B1554" s="43">
        <v>44406</v>
      </c>
      <c r="C1554" t="s">
        <v>155</v>
      </c>
      <c r="D1554" s="48">
        <v>44406</v>
      </c>
      <c r="E1554">
        <v>805</v>
      </c>
      <c r="F1554" t="s">
        <v>514</v>
      </c>
      <c r="G1554">
        <v>0.1</v>
      </c>
    </row>
    <row r="1555" spans="2:7">
      <c r="B1555" s="43">
        <v>44406</v>
      </c>
      <c r="C1555" t="s">
        <v>155</v>
      </c>
      <c r="D1555" s="48">
        <v>44406</v>
      </c>
      <c r="E1555">
        <v>805</v>
      </c>
      <c r="F1555" t="s">
        <v>515</v>
      </c>
      <c r="G1555">
        <v>120.75</v>
      </c>
    </row>
    <row r="1556" spans="2:7" hidden="1">
      <c r="B1556" s="43">
        <v>44404</v>
      </c>
      <c r="C1556" t="s">
        <v>155</v>
      </c>
      <c r="D1556" s="48">
        <v>44406</v>
      </c>
      <c r="E1556">
        <v>810</v>
      </c>
      <c r="F1556" t="s">
        <v>514</v>
      </c>
      <c r="G1556">
        <v>0.15</v>
      </c>
    </row>
    <row r="1557" spans="2:7">
      <c r="B1557" s="43">
        <v>44404</v>
      </c>
      <c r="C1557" t="s">
        <v>155</v>
      </c>
      <c r="D1557" s="48">
        <v>44406</v>
      </c>
      <c r="E1557">
        <v>810</v>
      </c>
      <c r="F1557" t="s">
        <v>515</v>
      </c>
      <c r="G1557">
        <v>124.2</v>
      </c>
    </row>
    <row r="1558" spans="2:7" hidden="1">
      <c r="B1558" s="43">
        <v>44405</v>
      </c>
      <c r="C1558" t="s">
        <v>155</v>
      </c>
      <c r="D1558" s="48">
        <v>44406</v>
      </c>
      <c r="E1558">
        <v>810</v>
      </c>
      <c r="F1558" t="s">
        <v>514</v>
      </c>
      <c r="G1558">
        <v>0.1</v>
      </c>
    </row>
    <row r="1559" spans="2:7">
      <c r="B1559" s="43">
        <v>44405</v>
      </c>
      <c r="C1559" t="s">
        <v>155</v>
      </c>
      <c r="D1559" s="48">
        <v>44406</v>
      </c>
      <c r="E1559">
        <v>810</v>
      </c>
      <c r="F1559" t="s">
        <v>515</v>
      </c>
      <c r="G1559">
        <v>124.2</v>
      </c>
    </row>
    <row r="1560" spans="2:7" hidden="1">
      <c r="B1560" s="43">
        <v>44406</v>
      </c>
      <c r="C1560" t="s">
        <v>155</v>
      </c>
      <c r="D1560" s="48">
        <v>44406</v>
      </c>
      <c r="E1560">
        <v>810</v>
      </c>
      <c r="F1560" t="s">
        <v>514</v>
      </c>
      <c r="G1560">
        <v>0.05</v>
      </c>
    </row>
    <row r="1561" spans="2:7">
      <c r="B1561" s="43">
        <v>44406</v>
      </c>
      <c r="C1561" t="s">
        <v>155</v>
      </c>
      <c r="D1561" s="48">
        <v>44406</v>
      </c>
      <c r="E1561">
        <v>810</v>
      </c>
      <c r="F1561" t="s">
        <v>515</v>
      </c>
      <c r="G1561">
        <v>124.2</v>
      </c>
    </row>
    <row r="1562" spans="2:7" hidden="1">
      <c r="B1562" s="43">
        <v>44404</v>
      </c>
      <c r="C1562" t="s">
        <v>155</v>
      </c>
      <c r="D1562" s="48">
        <v>44406</v>
      </c>
      <c r="E1562">
        <v>815</v>
      </c>
      <c r="F1562" t="s">
        <v>514</v>
      </c>
      <c r="G1562">
        <v>0.25</v>
      </c>
    </row>
    <row r="1563" spans="2:7">
      <c r="B1563" s="43">
        <v>44404</v>
      </c>
      <c r="C1563" t="s">
        <v>155</v>
      </c>
      <c r="D1563" s="48">
        <v>44406</v>
      </c>
      <c r="E1563">
        <v>815</v>
      </c>
      <c r="F1563" t="s">
        <v>515</v>
      </c>
      <c r="G1563">
        <v>127.65</v>
      </c>
    </row>
    <row r="1564" spans="2:7" hidden="1">
      <c r="B1564" s="43">
        <v>44405</v>
      </c>
      <c r="C1564" t="s">
        <v>155</v>
      </c>
      <c r="D1564" s="48">
        <v>44406</v>
      </c>
      <c r="E1564">
        <v>815</v>
      </c>
      <c r="F1564" t="s">
        <v>514</v>
      </c>
      <c r="G1564">
        <v>0.05</v>
      </c>
    </row>
    <row r="1565" spans="2:7">
      <c r="B1565" s="43">
        <v>44405</v>
      </c>
      <c r="C1565" t="s">
        <v>155</v>
      </c>
      <c r="D1565" s="48">
        <v>44406</v>
      </c>
      <c r="E1565">
        <v>815</v>
      </c>
      <c r="F1565" t="s">
        <v>515</v>
      </c>
      <c r="G1565">
        <v>127.65</v>
      </c>
    </row>
    <row r="1566" spans="2:7" hidden="1">
      <c r="B1566" s="43">
        <v>44406</v>
      </c>
      <c r="C1566" t="s">
        <v>155</v>
      </c>
      <c r="D1566" s="48">
        <v>44406</v>
      </c>
      <c r="E1566">
        <v>815</v>
      </c>
      <c r="F1566" t="s">
        <v>514</v>
      </c>
      <c r="G1566">
        <v>0.05</v>
      </c>
    </row>
    <row r="1567" spans="2:7">
      <c r="B1567" s="43">
        <v>44406</v>
      </c>
      <c r="C1567" t="s">
        <v>155</v>
      </c>
      <c r="D1567" s="48">
        <v>44406</v>
      </c>
      <c r="E1567">
        <v>815</v>
      </c>
      <c r="F1567" t="s">
        <v>515</v>
      </c>
      <c r="G1567">
        <v>127.65</v>
      </c>
    </row>
    <row r="1568" spans="2:7" hidden="1">
      <c r="B1568" s="43">
        <v>44404</v>
      </c>
      <c r="C1568" t="s">
        <v>155</v>
      </c>
      <c r="D1568" s="48">
        <v>44406</v>
      </c>
      <c r="E1568">
        <v>820</v>
      </c>
      <c r="F1568" t="s">
        <v>514</v>
      </c>
      <c r="G1568">
        <v>0.05</v>
      </c>
    </row>
    <row r="1569" spans="2:7">
      <c r="B1569" s="43">
        <v>44404</v>
      </c>
      <c r="C1569" t="s">
        <v>155</v>
      </c>
      <c r="D1569" s="48">
        <v>44406</v>
      </c>
      <c r="E1569">
        <v>820</v>
      </c>
      <c r="F1569" t="s">
        <v>515</v>
      </c>
      <c r="G1569">
        <v>131.15</v>
      </c>
    </row>
    <row r="1570" spans="2:7" hidden="1">
      <c r="B1570" s="43">
        <v>44405</v>
      </c>
      <c r="C1570" t="s">
        <v>155</v>
      </c>
      <c r="D1570" s="48">
        <v>44406</v>
      </c>
      <c r="E1570">
        <v>820</v>
      </c>
      <c r="F1570" t="s">
        <v>514</v>
      </c>
      <c r="G1570">
        <v>0.1</v>
      </c>
    </row>
    <row r="1571" spans="2:7">
      <c r="B1571" s="43">
        <v>44405</v>
      </c>
      <c r="C1571" t="s">
        <v>155</v>
      </c>
      <c r="D1571" s="48">
        <v>44406</v>
      </c>
      <c r="E1571">
        <v>820</v>
      </c>
      <c r="F1571" t="s">
        <v>515</v>
      </c>
      <c r="G1571">
        <v>131.15</v>
      </c>
    </row>
    <row r="1572" spans="2:7" hidden="1">
      <c r="B1572" s="43">
        <v>44406</v>
      </c>
      <c r="C1572" t="s">
        <v>155</v>
      </c>
      <c r="D1572" s="48">
        <v>44406</v>
      </c>
      <c r="E1572">
        <v>820</v>
      </c>
      <c r="F1572" t="s">
        <v>514</v>
      </c>
      <c r="G1572">
        <v>0.1</v>
      </c>
    </row>
    <row r="1573" spans="2:7">
      <c r="B1573" s="43">
        <v>44406</v>
      </c>
      <c r="C1573" t="s">
        <v>155</v>
      </c>
      <c r="D1573" s="48">
        <v>44406</v>
      </c>
      <c r="E1573">
        <v>820</v>
      </c>
      <c r="F1573" t="s">
        <v>515</v>
      </c>
      <c r="G1573">
        <v>131.15</v>
      </c>
    </row>
    <row r="1574" spans="2:7" hidden="1">
      <c r="B1574" s="43">
        <v>44404</v>
      </c>
      <c r="C1574" t="s">
        <v>155</v>
      </c>
      <c r="D1574" s="48">
        <v>44406</v>
      </c>
      <c r="E1574">
        <v>825</v>
      </c>
      <c r="F1574" t="s">
        <v>514</v>
      </c>
      <c r="G1574">
        <v>0.15</v>
      </c>
    </row>
    <row r="1575" spans="2:7">
      <c r="B1575" s="43">
        <v>44404</v>
      </c>
      <c r="C1575" t="s">
        <v>155</v>
      </c>
      <c r="D1575" s="48">
        <v>44406</v>
      </c>
      <c r="E1575">
        <v>825</v>
      </c>
      <c r="F1575" t="s">
        <v>515</v>
      </c>
      <c r="G1575">
        <v>134.65</v>
      </c>
    </row>
    <row r="1576" spans="2:7" hidden="1">
      <c r="B1576" s="43">
        <v>44405</v>
      </c>
      <c r="C1576" t="s">
        <v>155</v>
      </c>
      <c r="D1576" s="48">
        <v>44406</v>
      </c>
      <c r="E1576">
        <v>825</v>
      </c>
      <c r="F1576" t="s">
        <v>514</v>
      </c>
      <c r="G1576">
        <v>0.15</v>
      </c>
    </row>
    <row r="1577" spans="2:7">
      <c r="B1577" s="43">
        <v>44405</v>
      </c>
      <c r="C1577" t="s">
        <v>155</v>
      </c>
      <c r="D1577" s="48">
        <v>44406</v>
      </c>
      <c r="E1577">
        <v>825</v>
      </c>
      <c r="F1577" t="s">
        <v>515</v>
      </c>
      <c r="G1577">
        <v>134.65</v>
      </c>
    </row>
    <row r="1578" spans="2:7" hidden="1">
      <c r="B1578" s="43">
        <v>44406</v>
      </c>
      <c r="C1578" t="s">
        <v>155</v>
      </c>
      <c r="D1578" s="48">
        <v>44406</v>
      </c>
      <c r="E1578">
        <v>825</v>
      </c>
      <c r="F1578" t="s">
        <v>514</v>
      </c>
      <c r="G1578">
        <v>0.15</v>
      </c>
    </row>
    <row r="1579" spans="2:7">
      <c r="B1579" s="43">
        <v>44406</v>
      </c>
      <c r="C1579" t="s">
        <v>155</v>
      </c>
      <c r="D1579" s="48">
        <v>44406</v>
      </c>
      <c r="E1579">
        <v>825</v>
      </c>
      <c r="F1579" t="s">
        <v>515</v>
      </c>
      <c r="G1579">
        <v>134.65</v>
      </c>
    </row>
    <row r="1580" spans="2:7" hidden="1">
      <c r="B1580" s="43">
        <v>44404</v>
      </c>
      <c r="C1580" t="s">
        <v>155</v>
      </c>
      <c r="D1580" s="48">
        <v>44406</v>
      </c>
      <c r="E1580">
        <v>830</v>
      </c>
      <c r="F1580" t="s">
        <v>514</v>
      </c>
      <c r="G1580">
        <v>0.05</v>
      </c>
    </row>
    <row r="1581" spans="2:7">
      <c r="B1581" s="43">
        <v>44404</v>
      </c>
      <c r="C1581" t="s">
        <v>155</v>
      </c>
      <c r="D1581" s="48">
        <v>44406</v>
      </c>
      <c r="E1581">
        <v>830</v>
      </c>
      <c r="F1581" t="s">
        <v>515</v>
      </c>
      <c r="G1581">
        <v>138.25</v>
      </c>
    </row>
    <row r="1582" spans="2:7" hidden="1">
      <c r="B1582" s="43">
        <v>44405</v>
      </c>
      <c r="C1582" t="s">
        <v>155</v>
      </c>
      <c r="D1582" s="48">
        <v>44406</v>
      </c>
      <c r="E1582">
        <v>830</v>
      </c>
      <c r="F1582" t="s">
        <v>514</v>
      </c>
      <c r="G1582">
        <v>0.05</v>
      </c>
    </row>
    <row r="1583" spans="2:7">
      <c r="B1583" s="43">
        <v>44405</v>
      </c>
      <c r="C1583" t="s">
        <v>155</v>
      </c>
      <c r="D1583" s="48">
        <v>44406</v>
      </c>
      <c r="E1583">
        <v>830</v>
      </c>
      <c r="F1583" t="s">
        <v>515</v>
      </c>
      <c r="G1583">
        <v>138.25</v>
      </c>
    </row>
    <row r="1584" spans="2:7" hidden="1">
      <c r="B1584" s="43">
        <v>44406</v>
      </c>
      <c r="C1584" t="s">
        <v>155</v>
      </c>
      <c r="D1584" s="48">
        <v>44406</v>
      </c>
      <c r="E1584">
        <v>830</v>
      </c>
      <c r="F1584" t="s">
        <v>514</v>
      </c>
      <c r="G1584">
        <v>0.05</v>
      </c>
    </row>
    <row r="1585" spans="2:7">
      <c r="B1585" s="43">
        <v>44406</v>
      </c>
      <c r="C1585" t="s">
        <v>155</v>
      </c>
      <c r="D1585" s="48">
        <v>44406</v>
      </c>
      <c r="E1585">
        <v>830</v>
      </c>
      <c r="F1585" t="s">
        <v>515</v>
      </c>
      <c r="G1585">
        <v>138.25</v>
      </c>
    </row>
    <row r="1586" spans="2:7" hidden="1">
      <c r="B1586" s="43">
        <v>44404</v>
      </c>
      <c r="C1586" t="s">
        <v>155</v>
      </c>
      <c r="D1586" s="48">
        <v>44406</v>
      </c>
      <c r="E1586">
        <v>835</v>
      </c>
      <c r="F1586" t="s">
        <v>514</v>
      </c>
      <c r="G1586">
        <v>0.15</v>
      </c>
    </row>
    <row r="1587" spans="2:7">
      <c r="B1587" s="43">
        <v>44404</v>
      </c>
      <c r="C1587" t="s">
        <v>155</v>
      </c>
      <c r="D1587" s="48">
        <v>44406</v>
      </c>
      <c r="E1587">
        <v>835</v>
      </c>
      <c r="F1587" t="s">
        <v>515</v>
      </c>
      <c r="G1587">
        <v>141.85</v>
      </c>
    </row>
    <row r="1588" spans="2:7" hidden="1">
      <c r="B1588" s="43">
        <v>44405</v>
      </c>
      <c r="C1588" t="s">
        <v>155</v>
      </c>
      <c r="D1588" s="48">
        <v>44406</v>
      </c>
      <c r="E1588">
        <v>835</v>
      </c>
      <c r="F1588" t="s">
        <v>514</v>
      </c>
      <c r="G1588">
        <v>0.15</v>
      </c>
    </row>
    <row r="1589" spans="2:7">
      <c r="B1589" s="43">
        <v>44405</v>
      </c>
      <c r="C1589" t="s">
        <v>155</v>
      </c>
      <c r="D1589" s="48">
        <v>44406</v>
      </c>
      <c r="E1589">
        <v>835</v>
      </c>
      <c r="F1589" t="s">
        <v>515</v>
      </c>
      <c r="G1589">
        <v>141.85</v>
      </c>
    </row>
    <row r="1590" spans="2:7" hidden="1">
      <c r="B1590" s="43">
        <v>44406</v>
      </c>
      <c r="C1590" t="s">
        <v>155</v>
      </c>
      <c r="D1590" s="48">
        <v>44406</v>
      </c>
      <c r="E1590">
        <v>835</v>
      </c>
      <c r="F1590" t="s">
        <v>514</v>
      </c>
      <c r="G1590">
        <v>0.15</v>
      </c>
    </row>
    <row r="1591" spans="2:7">
      <c r="B1591" s="43">
        <v>44406</v>
      </c>
      <c r="C1591" t="s">
        <v>155</v>
      </c>
      <c r="D1591" s="48">
        <v>44406</v>
      </c>
      <c r="E1591">
        <v>835</v>
      </c>
      <c r="F1591" t="s">
        <v>515</v>
      </c>
      <c r="G1591">
        <v>141.85</v>
      </c>
    </row>
    <row r="1592" spans="2:7" hidden="1">
      <c r="B1592" s="43">
        <v>44404</v>
      </c>
      <c r="C1592" t="s">
        <v>155</v>
      </c>
      <c r="D1592" s="48">
        <v>44406</v>
      </c>
      <c r="E1592">
        <v>840</v>
      </c>
      <c r="F1592" t="s">
        <v>514</v>
      </c>
      <c r="G1592">
        <v>0.05</v>
      </c>
    </row>
    <row r="1593" spans="2:7">
      <c r="B1593" s="43">
        <v>44404</v>
      </c>
      <c r="C1593" t="s">
        <v>155</v>
      </c>
      <c r="D1593" s="48">
        <v>44406</v>
      </c>
      <c r="E1593">
        <v>840</v>
      </c>
      <c r="F1593" t="s">
        <v>515</v>
      </c>
      <c r="G1593">
        <v>145.5</v>
      </c>
    </row>
    <row r="1594" spans="2:7" hidden="1">
      <c r="B1594" s="43">
        <v>44405</v>
      </c>
      <c r="C1594" t="s">
        <v>155</v>
      </c>
      <c r="D1594" s="48">
        <v>44406</v>
      </c>
      <c r="E1594">
        <v>840</v>
      </c>
      <c r="F1594" t="s">
        <v>514</v>
      </c>
      <c r="G1594">
        <v>0.05</v>
      </c>
    </row>
    <row r="1595" spans="2:7">
      <c r="B1595" s="43">
        <v>44405</v>
      </c>
      <c r="C1595" t="s">
        <v>155</v>
      </c>
      <c r="D1595" s="48">
        <v>44406</v>
      </c>
      <c r="E1595">
        <v>840</v>
      </c>
      <c r="F1595" t="s">
        <v>515</v>
      </c>
      <c r="G1595">
        <v>145.5</v>
      </c>
    </row>
    <row r="1596" spans="2:7" hidden="1">
      <c r="B1596" s="43">
        <v>44406</v>
      </c>
      <c r="C1596" t="s">
        <v>155</v>
      </c>
      <c r="D1596" s="48">
        <v>44406</v>
      </c>
      <c r="E1596">
        <v>840</v>
      </c>
      <c r="F1596" t="s">
        <v>514</v>
      </c>
      <c r="G1596">
        <v>0.05</v>
      </c>
    </row>
    <row r="1597" spans="2:7">
      <c r="B1597" s="43">
        <v>44406</v>
      </c>
      <c r="C1597" t="s">
        <v>155</v>
      </c>
      <c r="D1597" s="48">
        <v>44406</v>
      </c>
      <c r="E1597">
        <v>840</v>
      </c>
      <c r="F1597" t="s">
        <v>515</v>
      </c>
      <c r="G1597">
        <v>145.5</v>
      </c>
    </row>
    <row r="1598" spans="2:7" hidden="1">
      <c r="B1598" s="43">
        <v>44404</v>
      </c>
      <c r="C1598" t="s">
        <v>155</v>
      </c>
      <c r="D1598" s="48">
        <v>44406</v>
      </c>
      <c r="E1598">
        <v>845</v>
      </c>
      <c r="F1598" t="s">
        <v>514</v>
      </c>
      <c r="G1598">
        <v>38.65</v>
      </c>
    </row>
    <row r="1599" spans="2:7">
      <c r="B1599" s="43">
        <v>44404</v>
      </c>
      <c r="C1599" t="s">
        <v>155</v>
      </c>
      <c r="D1599" s="48">
        <v>44406</v>
      </c>
      <c r="E1599">
        <v>845</v>
      </c>
      <c r="F1599" t="s">
        <v>515</v>
      </c>
      <c r="G1599">
        <v>149.25</v>
      </c>
    </row>
    <row r="1600" spans="2:7" hidden="1">
      <c r="B1600" s="43">
        <v>44405</v>
      </c>
      <c r="C1600" t="s">
        <v>155</v>
      </c>
      <c r="D1600" s="48">
        <v>44406</v>
      </c>
      <c r="E1600">
        <v>845</v>
      </c>
      <c r="F1600" t="s">
        <v>514</v>
      </c>
      <c r="G1600">
        <v>38.65</v>
      </c>
    </row>
    <row r="1601" spans="2:7">
      <c r="B1601" s="43">
        <v>44405</v>
      </c>
      <c r="C1601" t="s">
        <v>155</v>
      </c>
      <c r="D1601" s="48">
        <v>44406</v>
      </c>
      <c r="E1601">
        <v>845</v>
      </c>
      <c r="F1601" t="s">
        <v>515</v>
      </c>
      <c r="G1601">
        <v>149.25</v>
      </c>
    </row>
    <row r="1602" spans="2:7" hidden="1">
      <c r="B1602" s="43">
        <v>44406</v>
      </c>
      <c r="C1602" t="s">
        <v>155</v>
      </c>
      <c r="D1602" s="48">
        <v>44406</v>
      </c>
      <c r="E1602">
        <v>845</v>
      </c>
      <c r="F1602" t="s">
        <v>514</v>
      </c>
      <c r="G1602">
        <v>38.65</v>
      </c>
    </row>
    <row r="1603" spans="2:7">
      <c r="B1603" s="43">
        <v>44406</v>
      </c>
      <c r="C1603" t="s">
        <v>155</v>
      </c>
      <c r="D1603" s="48">
        <v>44406</v>
      </c>
      <c r="E1603">
        <v>845</v>
      </c>
      <c r="F1603" t="s">
        <v>515</v>
      </c>
      <c r="G1603">
        <v>149.25</v>
      </c>
    </row>
    <row r="1604" spans="2:7" hidden="1">
      <c r="B1604" s="43">
        <v>44404</v>
      </c>
      <c r="C1604" t="s">
        <v>155</v>
      </c>
      <c r="D1604" s="48">
        <v>44406</v>
      </c>
      <c r="E1604">
        <v>850</v>
      </c>
      <c r="F1604" t="s">
        <v>514</v>
      </c>
      <c r="G1604">
        <v>0.1</v>
      </c>
    </row>
    <row r="1605" spans="2:7">
      <c r="B1605" s="43">
        <v>44404</v>
      </c>
      <c r="C1605" t="s">
        <v>155</v>
      </c>
      <c r="D1605" s="48">
        <v>44406</v>
      </c>
      <c r="E1605">
        <v>850</v>
      </c>
      <c r="F1605" t="s">
        <v>515</v>
      </c>
      <c r="G1605">
        <v>152.94999999999999</v>
      </c>
    </row>
    <row r="1606" spans="2:7" hidden="1">
      <c r="B1606" s="43">
        <v>44405</v>
      </c>
      <c r="C1606" t="s">
        <v>155</v>
      </c>
      <c r="D1606" s="48">
        <v>44406</v>
      </c>
      <c r="E1606">
        <v>850</v>
      </c>
      <c r="F1606" t="s">
        <v>514</v>
      </c>
      <c r="G1606">
        <v>0.05</v>
      </c>
    </row>
    <row r="1607" spans="2:7">
      <c r="B1607" s="43">
        <v>44405</v>
      </c>
      <c r="C1607" t="s">
        <v>155</v>
      </c>
      <c r="D1607" s="48">
        <v>44406</v>
      </c>
      <c r="E1607">
        <v>850</v>
      </c>
      <c r="F1607" t="s">
        <v>515</v>
      </c>
      <c r="G1607">
        <v>152.94999999999999</v>
      </c>
    </row>
    <row r="1608" spans="2:7" hidden="1">
      <c r="B1608" s="43">
        <v>44406</v>
      </c>
      <c r="C1608" t="s">
        <v>155</v>
      </c>
      <c r="D1608" s="48">
        <v>44406</v>
      </c>
      <c r="E1608">
        <v>850</v>
      </c>
      <c r="F1608" t="s">
        <v>514</v>
      </c>
      <c r="G1608">
        <v>0.05</v>
      </c>
    </row>
    <row r="1609" spans="2:7">
      <c r="B1609" s="43">
        <v>44406</v>
      </c>
      <c r="C1609" t="s">
        <v>155</v>
      </c>
      <c r="D1609" s="48">
        <v>44406</v>
      </c>
      <c r="E1609">
        <v>850</v>
      </c>
      <c r="F1609" t="s">
        <v>515</v>
      </c>
      <c r="G1609">
        <v>152.94999999999999</v>
      </c>
    </row>
    <row r="1610" spans="2:7" hidden="1">
      <c r="B1610" s="43">
        <v>44404</v>
      </c>
      <c r="C1610" t="s">
        <v>155</v>
      </c>
      <c r="D1610" s="48">
        <v>44406</v>
      </c>
      <c r="E1610">
        <v>860</v>
      </c>
      <c r="F1610" t="s">
        <v>514</v>
      </c>
      <c r="G1610">
        <v>35.049999999999997</v>
      </c>
    </row>
    <row r="1611" spans="2:7">
      <c r="B1611" s="43">
        <v>44404</v>
      </c>
      <c r="C1611" t="s">
        <v>155</v>
      </c>
      <c r="D1611" s="48">
        <v>44406</v>
      </c>
      <c r="E1611">
        <v>860</v>
      </c>
      <c r="F1611" t="s">
        <v>515</v>
      </c>
      <c r="G1611">
        <v>160.5</v>
      </c>
    </row>
    <row r="1612" spans="2:7" hidden="1">
      <c r="B1612" s="43">
        <v>44405</v>
      </c>
      <c r="C1612" t="s">
        <v>155</v>
      </c>
      <c r="D1612" s="48">
        <v>44406</v>
      </c>
      <c r="E1612">
        <v>860</v>
      </c>
      <c r="F1612" t="s">
        <v>514</v>
      </c>
      <c r="G1612">
        <v>35.049999999999997</v>
      </c>
    </row>
    <row r="1613" spans="2:7">
      <c r="B1613" s="43">
        <v>44405</v>
      </c>
      <c r="C1613" t="s">
        <v>155</v>
      </c>
      <c r="D1613" s="48">
        <v>44406</v>
      </c>
      <c r="E1613">
        <v>860</v>
      </c>
      <c r="F1613" t="s">
        <v>515</v>
      </c>
      <c r="G1613">
        <v>160.5</v>
      </c>
    </row>
    <row r="1614" spans="2:7" hidden="1">
      <c r="B1614" s="43">
        <v>44406</v>
      </c>
      <c r="C1614" t="s">
        <v>155</v>
      </c>
      <c r="D1614" s="48">
        <v>44406</v>
      </c>
      <c r="E1614">
        <v>860</v>
      </c>
      <c r="F1614" t="s">
        <v>514</v>
      </c>
      <c r="G1614">
        <v>35.049999999999997</v>
      </c>
    </row>
    <row r="1615" spans="2:7">
      <c r="B1615" s="43">
        <v>44406</v>
      </c>
      <c r="C1615" t="s">
        <v>155</v>
      </c>
      <c r="D1615" s="48">
        <v>44406</v>
      </c>
      <c r="E1615">
        <v>860</v>
      </c>
      <c r="F1615" t="s">
        <v>515</v>
      </c>
      <c r="G1615">
        <v>160.5</v>
      </c>
    </row>
    <row r="1616" spans="2:7" hidden="1">
      <c r="B1616" s="43">
        <v>44404</v>
      </c>
      <c r="C1616" t="s">
        <v>155</v>
      </c>
      <c r="D1616" s="48">
        <v>44406</v>
      </c>
      <c r="E1616">
        <v>870</v>
      </c>
      <c r="F1616" t="s">
        <v>514</v>
      </c>
      <c r="G1616">
        <v>0.2</v>
      </c>
    </row>
    <row r="1617" spans="2:7">
      <c r="B1617" s="43">
        <v>44404</v>
      </c>
      <c r="C1617" t="s">
        <v>155</v>
      </c>
      <c r="D1617" s="48">
        <v>44406</v>
      </c>
      <c r="E1617">
        <v>870</v>
      </c>
      <c r="F1617" t="s">
        <v>515</v>
      </c>
      <c r="G1617">
        <v>168.2</v>
      </c>
    </row>
    <row r="1618" spans="2:7" hidden="1">
      <c r="B1618" s="43">
        <v>44405</v>
      </c>
      <c r="C1618" t="s">
        <v>155</v>
      </c>
      <c r="D1618" s="48">
        <v>44406</v>
      </c>
      <c r="E1618">
        <v>870</v>
      </c>
      <c r="F1618" t="s">
        <v>514</v>
      </c>
      <c r="G1618">
        <v>0.05</v>
      </c>
    </row>
    <row r="1619" spans="2:7">
      <c r="B1619" s="43">
        <v>44405</v>
      </c>
      <c r="C1619" t="s">
        <v>155</v>
      </c>
      <c r="D1619" s="48">
        <v>44406</v>
      </c>
      <c r="E1619">
        <v>870</v>
      </c>
      <c r="F1619" t="s">
        <v>515</v>
      </c>
      <c r="G1619">
        <v>168.2</v>
      </c>
    </row>
    <row r="1620" spans="2:7" hidden="1">
      <c r="B1620" s="43">
        <v>44406</v>
      </c>
      <c r="C1620" t="s">
        <v>155</v>
      </c>
      <c r="D1620" s="48">
        <v>44406</v>
      </c>
      <c r="E1620">
        <v>870</v>
      </c>
      <c r="F1620" t="s">
        <v>514</v>
      </c>
      <c r="G1620">
        <v>0.05</v>
      </c>
    </row>
    <row r="1621" spans="2:7">
      <c r="B1621" s="43">
        <v>44406</v>
      </c>
      <c r="C1621" t="s">
        <v>155</v>
      </c>
      <c r="D1621" s="48">
        <v>44406</v>
      </c>
      <c r="E1621">
        <v>870</v>
      </c>
      <c r="F1621" t="s">
        <v>515</v>
      </c>
      <c r="G1621">
        <v>168.2</v>
      </c>
    </row>
    <row r="1622" spans="2:7" hidden="1">
      <c r="B1622" s="43">
        <v>44404</v>
      </c>
      <c r="C1622" t="s">
        <v>155</v>
      </c>
      <c r="D1622" s="48">
        <v>44406</v>
      </c>
      <c r="E1622">
        <v>880</v>
      </c>
      <c r="F1622" t="s">
        <v>514</v>
      </c>
      <c r="G1622">
        <v>0.15</v>
      </c>
    </row>
    <row r="1623" spans="2:7">
      <c r="B1623" s="43">
        <v>44404</v>
      </c>
      <c r="C1623" t="s">
        <v>155</v>
      </c>
      <c r="D1623" s="48">
        <v>44406</v>
      </c>
      <c r="E1623">
        <v>880</v>
      </c>
      <c r="F1623" t="s">
        <v>515</v>
      </c>
      <c r="G1623">
        <v>176</v>
      </c>
    </row>
    <row r="1624" spans="2:7" hidden="1">
      <c r="B1624" s="43">
        <v>44405</v>
      </c>
      <c r="C1624" t="s">
        <v>155</v>
      </c>
      <c r="D1624" s="48">
        <v>44406</v>
      </c>
      <c r="E1624">
        <v>880</v>
      </c>
      <c r="F1624" t="s">
        <v>514</v>
      </c>
      <c r="G1624">
        <v>0.05</v>
      </c>
    </row>
    <row r="1625" spans="2:7">
      <c r="B1625" s="43">
        <v>44405</v>
      </c>
      <c r="C1625" t="s">
        <v>155</v>
      </c>
      <c r="D1625" s="48">
        <v>44406</v>
      </c>
      <c r="E1625">
        <v>880</v>
      </c>
      <c r="F1625" t="s">
        <v>515</v>
      </c>
      <c r="G1625">
        <v>176</v>
      </c>
    </row>
    <row r="1626" spans="2:7" hidden="1">
      <c r="B1626" s="43">
        <v>44406</v>
      </c>
      <c r="C1626" t="s">
        <v>155</v>
      </c>
      <c r="D1626" s="48">
        <v>44406</v>
      </c>
      <c r="E1626">
        <v>880</v>
      </c>
      <c r="F1626" t="s">
        <v>514</v>
      </c>
      <c r="G1626">
        <v>0.05</v>
      </c>
    </row>
    <row r="1627" spans="2:7">
      <c r="B1627" s="43">
        <v>44406</v>
      </c>
      <c r="C1627" t="s">
        <v>155</v>
      </c>
      <c r="D1627" s="48">
        <v>44406</v>
      </c>
      <c r="E1627">
        <v>880</v>
      </c>
      <c r="F1627" t="s">
        <v>515</v>
      </c>
      <c r="G1627">
        <v>176</v>
      </c>
    </row>
    <row r="1628" spans="2:7" hidden="1">
      <c r="B1628" s="43">
        <v>44404</v>
      </c>
      <c r="C1628" t="s">
        <v>155</v>
      </c>
      <c r="D1628" s="48">
        <v>44434</v>
      </c>
      <c r="E1628">
        <v>0</v>
      </c>
      <c r="F1628" t="s">
        <v>516</v>
      </c>
      <c r="G1628">
        <v>713.75</v>
      </c>
    </row>
    <row r="1629" spans="2:7" hidden="1">
      <c r="B1629" s="43">
        <v>44405</v>
      </c>
      <c r="C1629" t="s">
        <v>155</v>
      </c>
      <c r="D1629" s="48">
        <v>44434</v>
      </c>
      <c r="E1629">
        <v>0</v>
      </c>
      <c r="F1629" t="s">
        <v>516</v>
      </c>
      <c r="G1629">
        <v>725.3</v>
      </c>
    </row>
    <row r="1630" spans="2:7" hidden="1">
      <c r="B1630" s="43">
        <v>44406</v>
      </c>
      <c r="C1630" t="s">
        <v>155</v>
      </c>
      <c r="D1630" s="48">
        <v>44434</v>
      </c>
      <c r="E1630">
        <v>0</v>
      </c>
      <c r="F1630" t="s">
        <v>516</v>
      </c>
      <c r="G1630">
        <v>751.05</v>
      </c>
    </row>
    <row r="1631" spans="2:7" hidden="1">
      <c r="B1631" s="43">
        <v>44407</v>
      </c>
      <c r="C1631" t="s">
        <v>155</v>
      </c>
      <c r="D1631" s="48">
        <v>44434</v>
      </c>
      <c r="E1631">
        <v>0</v>
      </c>
      <c r="F1631" t="s">
        <v>516</v>
      </c>
      <c r="G1631">
        <v>740</v>
      </c>
    </row>
    <row r="1632" spans="2:7" hidden="1">
      <c r="B1632" s="43">
        <v>44410</v>
      </c>
      <c r="C1632" t="s">
        <v>155</v>
      </c>
      <c r="D1632" s="48">
        <v>44434</v>
      </c>
      <c r="E1632">
        <v>0</v>
      </c>
      <c r="F1632" t="s">
        <v>516</v>
      </c>
      <c r="G1632">
        <v>748.15</v>
      </c>
    </row>
    <row r="1633" spans="2:7" hidden="1">
      <c r="B1633" s="43">
        <v>44404</v>
      </c>
      <c r="C1633" t="s">
        <v>155</v>
      </c>
      <c r="D1633" s="48">
        <v>44434</v>
      </c>
      <c r="E1633">
        <v>520</v>
      </c>
      <c r="F1633" t="s">
        <v>514</v>
      </c>
      <c r="G1633">
        <v>178.5</v>
      </c>
    </row>
    <row r="1634" spans="2:7">
      <c r="B1634" s="43">
        <v>44404</v>
      </c>
      <c r="C1634" t="s">
        <v>155</v>
      </c>
      <c r="D1634" s="48">
        <v>44434</v>
      </c>
      <c r="E1634">
        <v>520</v>
      </c>
      <c r="F1634" t="s">
        <v>515</v>
      </c>
      <c r="G1634">
        <v>11.8</v>
      </c>
    </row>
    <row r="1635" spans="2:7" hidden="1">
      <c r="B1635" s="43">
        <v>44405</v>
      </c>
      <c r="C1635" t="s">
        <v>155</v>
      </c>
      <c r="D1635" s="48">
        <v>44434</v>
      </c>
      <c r="E1635">
        <v>520</v>
      </c>
      <c r="F1635" t="s">
        <v>514</v>
      </c>
      <c r="G1635">
        <v>178.5</v>
      </c>
    </row>
    <row r="1636" spans="2:7">
      <c r="B1636" s="43">
        <v>44405</v>
      </c>
      <c r="C1636" t="s">
        <v>155</v>
      </c>
      <c r="D1636" s="48">
        <v>44434</v>
      </c>
      <c r="E1636">
        <v>520</v>
      </c>
      <c r="F1636" t="s">
        <v>515</v>
      </c>
      <c r="G1636">
        <v>11.8</v>
      </c>
    </row>
    <row r="1637" spans="2:7" hidden="1">
      <c r="B1637" s="43">
        <v>44406</v>
      </c>
      <c r="C1637" t="s">
        <v>155</v>
      </c>
      <c r="D1637" s="48">
        <v>44434</v>
      </c>
      <c r="E1637">
        <v>520</v>
      </c>
      <c r="F1637" t="s">
        <v>514</v>
      </c>
      <c r="G1637">
        <v>232.3</v>
      </c>
    </row>
    <row r="1638" spans="2:7">
      <c r="B1638" s="43">
        <v>44406</v>
      </c>
      <c r="C1638" t="s">
        <v>155</v>
      </c>
      <c r="D1638" s="48">
        <v>44434</v>
      </c>
      <c r="E1638">
        <v>520</v>
      </c>
      <c r="F1638" t="s">
        <v>515</v>
      </c>
      <c r="G1638">
        <v>11.8</v>
      </c>
    </row>
    <row r="1639" spans="2:7" hidden="1">
      <c r="B1639" s="43">
        <v>44407</v>
      </c>
      <c r="C1639" t="s">
        <v>155</v>
      </c>
      <c r="D1639" s="48">
        <v>44434</v>
      </c>
      <c r="E1639">
        <v>520</v>
      </c>
      <c r="F1639" t="s">
        <v>514</v>
      </c>
      <c r="G1639">
        <v>232.3</v>
      </c>
    </row>
    <row r="1640" spans="2:7">
      <c r="B1640" s="43">
        <v>44407</v>
      </c>
      <c r="C1640" t="s">
        <v>155</v>
      </c>
      <c r="D1640" s="48">
        <v>44434</v>
      </c>
      <c r="E1640">
        <v>520</v>
      </c>
      <c r="F1640" t="s">
        <v>515</v>
      </c>
      <c r="G1640">
        <v>11.8</v>
      </c>
    </row>
    <row r="1641" spans="2:7" hidden="1">
      <c r="B1641" s="43">
        <v>44410</v>
      </c>
      <c r="C1641" t="s">
        <v>155</v>
      </c>
      <c r="D1641" s="48">
        <v>44434</v>
      </c>
      <c r="E1641">
        <v>520</v>
      </c>
      <c r="F1641" t="s">
        <v>514</v>
      </c>
      <c r="G1641">
        <v>232.3</v>
      </c>
    </row>
    <row r="1642" spans="2:7" hidden="1">
      <c r="B1642" s="43">
        <v>44404</v>
      </c>
      <c r="C1642" t="s">
        <v>155</v>
      </c>
      <c r="D1642" s="48">
        <v>44434</v>
      </c>
      <c r="E1642">
        <v>530</v>
      </c>
      <c r="F1642" t="s">
        <v>514</v>
      </c>
      <c r="G1642">
        <v>170.45</v>
      </c>
    </row>
    <row r="1643" spans="2:7">
      <c r="B1643" s="43">
        <v>44404</v>
      </c>
      <c r="C1643" t="s">
        <v>155</v>
      </c>
      <c r="D1643" s="48">
        <v>44434</v>
      </c>
      <c r="E1643">
        <v>530</v>
      </c>
      <c r="F1643" t="s">
        <v>515</v>
      </c>
      <c r="G1643">
        <v>2.1</v>
      </c>
    </row>
    <row r="1644" spans="2:7" hidden="1">
      <c r="B1644" s="43">
        <v>44405</v>
      </c>
      <c r="C1644" t="s">
        <v>155</v>
      </c>
      <c r="D1644" s="48">
        <v>44434</v>
      </c>
      <c r="E1644">
        <v>530</v>
      </c>
      <c r="F1644" t="s">
        <v>514</v>
      </c>
      <c r="G1644">
        <v>170.45</v>
      </c>
    </row>
    <row r="1645" spans="2:7">
      <c r="B1645" s="43">
        <v>44405</v>
      </c>
      <c r="C1645" t="s">
        <v>155</v>
      </c>
      <c r="D1645" s="48">
        <v>44434</v>
      </c>
      <c r="E1645">
        <v>530</v>
      </c>
      <c r="F1645" t="s">
        <v>515</v>
      </c>
      <c r="G1645">
        <v>2.1</v>
      </c>
    </row>
    <row r="1646" spans="2:7" hidden="1">
      <c r="B1646" s="43">
        <v>44406</v>
      </c>
      <c r="C1646" t="s">
        <v>155</v>
      </c>
      <c r="D1646" s="48">
        <v>44434</v>
      </c>
      <c r="E1646">
        <v>530</v>
      </c>
      <c r="F1646" t="s">
        <v>514</v>
      </c>
      <c r="G1646">
        <v>170.45</v>
      </c>
    </row>
    <row r="1647" spans="2:7">
      <c r="B1647" s="43">
        <v>44406</v>
      </c>
      <c r="C1647" t="s">
        <v>155</v>
      </c>
      <c r="D1647" s="48">
        <v>44434</v>
      </c>
      <c r="E1647">
        <v>530</v>
      </c>
      <c r="F1647" t="s">
        <v>515</v>
      </c>
      <c r="G1647">
        <v>2.1</v>
      </c>
    </row>
    <row r="1648" spans="2:7" hidden="1">
      <c r="B1648" s="43">
        <v>44407</v>
      </c>
      <c r="C1648" t="s">
        <v>155</v>
      </c>
      <c r="D1648" s="48">
        <v>44434</v>
      </c>
      <c r="E1648">
        <v>530</v>
      </c>
      <c r="F1648" t="s">
        <v>514</v>
      </c>
      <c r="G1648">
        <v>170.45</v>
      </c>
    </row>
    <row r="1649" spans="2:7">
      <c r="B1649" s="43">
        <v>44407</v>
      </c>
      <c r="C1649" t="s">
        <v>155</v>
      </c>
      <c r="D1649" s="48">
        <v>44434</v>
      </c>
      <c r="E1649">
        <v>530</v>
      </c>
      <c r="F1649" t="s">
        <v>515</v>
      </c>
      <c r="G1649">
        <v>0.6</v>
      </c>
    </row>
    <row r="1650" spans="2:7" hidden="1">
      <c r="B1650" s="43">
        <v>44410</v>
      </c>
      <c r="C1650" t="s">
        <v>155</v>
      </c>
      <c r="D1650" s="48">
        <v>44434</v>
      </c>
      <c r="E1650">
        <v>530</v>
      </c>
      <c r="F1650" t="s">
        <v>514</v>
      </c>
      <c r="G1650">
        <v>170.45</v>
      </c>
    </row>
    <row r="1651" spans="2:7" hidden="1">
      <c r="B1651" s="43">
        <v>44404</v>
      </c>
      <c r="C1651" t="s">
        <v>155</v>
      </c>
      <c r="D1651" s="48">
        <v>44434</v>
      </c>
      <c r="E1651">
        <v>540</v>
      </c>
      <c r="F1651" t="s">
        <v>514</v>
      </c>
      <c r="G1651">
        <v>162.6</v>
      </c>
    </row>
    <row r="1652" spans="2:7">
      <c r="B1652" s="43">
        <v>44404</v>
      </c>
      <c r="C1652" t="s">
        <v>155</v>
      </c>
      <c r="D1652" s="48">
        <v>44434</v>
      </c>
      <c r="E1652">
        <v>540</v>
      </c>
      <c r="F1652" t="s">
        <v>515</v>
      </c>
      <c r="G1652">
        <v>15.7</v>
      </c>
    </row>
    <row r="1653" spans="2:7" hidden="1">
      <c r="B1653" s="43">
        <v>44405</v>
      </c>
      <c r="C1653" t="s">
        <v>155</v>
      </c>
      <c r="D1653" s="48">
        <v>44434</v>
      </c>
      <c r="E1653">
        <v>540</v>
      </c>
      <c r="F1653" t="s">
        <v>514</v>
      </c>
      <c r="G1653">
        <v>162.6</v>
      </c>
    </row>
    <row r="1654" spans="2:7">
      <c r="B1654" s="43">
        <v>44405</v>
      </c>
      <c r="C1654" t="s">
        <v>155</v>
      </c>
      <c r="D1654" s="48">
        <v>44434</v>
      </c>
      <c r="E1654">
        <v>540</v>
      </c>
      <c r="F1654" t="s">
        <v>515</v>
      </c>
      <c r="G1654">
        <v>15.7</v>
      </c>
    </row>
    <row r="1655" spans="2:7" hidden="1">
      <c r="B1655" s="43">
        <v>44406</v>
      </c>
      <c r="C1655" t="s">
        <v>155</v>
      </c>
      <c r="D1655" s="48">
        <v>44434</v>
      </c>
      <c r="E1655">
        <v>540</v>
      </c>
      <c r="F1655" t="s">
        <v>514</v>
      </c>
      <c r="G1655">
        <v>162.6</v>
      </c>
    </row>
    <row r="1656" spans="2:7">
      <c r="B1656" s="43">
        <v>44406</v>
      </c>
      <c r="C1656" t="s">
        <v>155</v>
      </c>
      <c r="D1656" s="48">
        <v>44434</v>
      </c>
      <c r="E1656">
        <v>540</v>
      </c>
      <c r="F1656" t="s">
        <v>515</v>
      </c>
      <c r="G1656">
        <v>15.7</v>
      </c>
    </row>
    <row r="1657" spans="2:7" hidden="1">
      <c r="B1657" s="43">
        <v>44407</v>
      </c>
      <c r="C1657" t="s">
        <v>155</v>
      </c>
      <c r="D1657" s="48">
        <v>44434</v>
      </c>
      <c r="E1657">
        <v>540</v>
      </c>
      <c r="F1657" t="s">
        <v>514</v>
      </c>
      <c r="G1657">
        <v>162.6</v>
      </c>
    </row>
    <row r="1658" spans="2:7">
      <c r="B1658" s="43">
        <v>44407</v>
      </c>
      <c r="C1658" t="s">
        <v>155</v>
      </c>
      <c r="D1658" s="48">
        <v>44434</v>
      </c>
      <c r="E1658">
        <v>540</v>
      </c>
      <c r="F1658" t="s">
        <v>515</v>
      </c>
      <c r="G1658">
        <v>15.7</v>
      </c>
    </row>
    <row r="1659" spans="2:7" hidden="1">
      <c r="B1659" s="43">
        <v>44410</v>
      </c>
      <c r="C1659" t="s">
        <v>155</v>
      </c>
      <c r="D1659" s="48">
        <v>44434</v>
      </c>
      <c r="E1659">
        <v>540</v>
      </c>
      <c r="F1659" t="s">
        <v>514</v>
      </c>
      <c r="G1659">
        <v>162.6</v>
      </c>
    </row>
    <row r="1660" spans="2:7" hidden="1">
      <c r="B1660" s="43">
        <v>44404</v>
      </c>
      <c r="C1660" t="s">
        <v>155</v>
      </c>
      <c r="D1660" s="48">
        <v>44434</v>
      </c>
      <c r="E1660">
        <v>550</v>
      </c>
      <c r="F1660" t="s">
        <v>514</v>
      </c>
      <c r="G1660">
        <v>154.94999999999999</v>
      </c>
    </row>
    <row r="1661" spans="2:7">
      <c r="B1661" s="43">
        <v>44404</v>
      </c>
      <c r="C1661" t="s">
        <v>155</v>
      </c>
      <c r="D1661" s="48">
        <v>44434</v>
      </c>
      <c r="E1661">
        <v>550</v>
      </c>
      <c r="F1661" t="s">
        <v>515</v>
      </c>
      <c r="G1661">
        <v>17.95</v>
      </c>
    </row>
    <row r="1662" spans="2:7" hidden="1">
      <c r="B1662" s="43">
        <v>44405</v>
      </c>
      <c r="C1662" t="s">
        <v>155</v>
      </c>
      <c r="D1662" s="48">
        <v>44434</v>
      </c>
      <c r="E1662">
        <v>550</v>
      </c>
      <c r="F1662" t="s">
        <v>514</v>
      </c>
      <c r="G1662">
        <v>154.94999999999999</v>
      </c>
    </row>
    <row r="1663" spans="2:7">
      <c r="B1663" s="43">
        <v>44405</v>
      </c>
      <c r="C1663" t="s">
        <v>155</v>
      </c>
      <c r="D1663" s="48">
        <v>44434</v>
      </c>
      <c r="E1663">
        <v>550</v>
      </c>
      <c r="F1663" t="s">
        <v>515</v>
      </c>
      <c r="G1663">
        <v>17.95</v>
      </c>
    </row>
    <row r="1664" spans="2:7" hidden="1">
      <c r="B1664" s="43">
        <v>44406</v>
      </c>
      <c r="C1664" t="s">
        <v>155</v>
      </c>
      <c r="D1664" s="48">
        <v>44434</v>
      </c>
      <c r="E1664">
        <v>550</v>
      </c>
      <c r="F1664" t="s">
        <v>514</v>
      </c>
      <c r="G1664">
        <v>195</v>
      </c>
    </row>
    <row r="1665" spans="2:7">
      <c r="B1665" s="43">
        <v>44406</v>
      </c>
      <c r="C1665" t="s">
        <v>155</v>
      </c>
      <c r="D1665" s="48">
        <v>44434</v>
      </c>
      <c r="E1665">
        <v>550</v>
      </c>
      <c r="F1665" t="s">
        <v>515</v>
      </c>
      <c r="G1665">
        <v>0.1</v>
      </c>
    </row>
    <row r="1666" spans="2:7" hidden="1">
      <c r="B1666" s="43">
        <v>44407</v>
      </c>
      <c r="C1666" t="s">
        <v>155</v>
      </c>
      <c r="D1666" s="48">
        <v>44434</v>
      </c>
      <c r="E1666">
        <v>550</v>
      </c>
      <c r="F1666" t="s">
        <v>514</v>
      </c>
      <c r="G1666">
        <v>195</v>
      </c>
    </row>
    <row r="1667" spans="2:7">
      <c r="B1667" s="43">
        <v>44407</v>
      </c>
      <c r="C1667" t="s">
        <v>155</v>
      </c>
      <c r="D1667" s="48">
        <v>44434</v>
      </c>
      <c r="E1667">
        <v>550</v>
      </c>
      <c r="F1667" t="s">
        <v>515</v>
      </c>
      <c r="G1667">
        <v>0.65</v>
      </c>
    </row>
    <row r="1668" spans="2:7" hidden="1">
      <c r="B1668" s="43">
        <v>44410</v>
      </c>
      <c r="C1668" t="s">
        <v>155</v>
      </c>
      <c r="D1668" s="48">
        <v>44434</v>
      </c>
      <c r="E1668">
        <v>550</v>
      </c>
      <c r="F1668" t="s">
        <v>514</v>
      </c>
      <c r="G1668">
        <v>195</v>
      </c>
    </row>
    <row r="1669" spans="2:7" hidden="1">
      <c r="B1669" s="43">
        <v>44404</v>
      </c>
      <c r="C1669" t="s">
        <v>155</v>
      </c>
      <c r="D1669" s="48">
        <v>44434</v>
      </c>
      <c r="E1669">
        <v>560</v>
      </c>
      <c r="F1669" t="s">
        <v>514</v>
      </c>
      <c r="G1669">
        <v>147.55000000000001</v>
      </c>
    </row>
    <row r="1670" spans="2:7">
      <c r="B1670" s="43">
        <v>44404</v>
      </c>
      <c r="C1670" t="s">
        <v>155</v>
      </c>
      <c r="D1670" s="48">
        <v>44434</v>
      </c>
      <c r="E1670">
        <v>560</v>
      </c>
      <c r="F1670" t="s">
        <v>515</v>
      </c>
      <c r="G1670">
        <v>20.45</v>
      </c>
    </row>
    <row r="1671" spans="2:7" hidden="1">
      <c r="B1671" s="43">
        <v>44405</v>
      </c>
      <c r="C1671" t="s">
        <v>155</v>
      </c>
      <c r="D1671" s="48">
        <v>44434</v>
      </c>
      <c r="E1671">
        <v>560</v>
      </c>
      <c r="F1671" t="s">
        <v>514</v>
      </c>
      <c r="G1671">
        <v>147.55000000000001</v>
      </c>
    </row>
    <row r="1672" spans="2:7">
      <c r="B1672" s="43">
        <v>44405</v>
      </c>
      <c r="C1672" t="s">
        <v>155</v>
      </c>
      <c r="D1672" s="48">
        <v>44434</v>
      </c>
      <c r="E1672">
        <v>560</v>
      </c>
      <c r="F1672" t="s">
        <v>515</v>
      </c>
      <c r="G1672">
        <v>20.45</v>
      </c>
    </row>
    <row r="1673" spans="2:7" hidden="1">
      <c r="B1673" s="43">
        <v>44406</v>
      </c>
      <c r="C1673" t="s">
        <v>155</v>
      </c>
      <c r="D1673" s="48">
        <v>44434</v>
      </c>
      <c r="E1673">
        <v>560</v>
      </c>
      <c r="F1673" t="s">
        <v>514</v>
      </c>
      <c r="G1673">
        <v>147.55000000000001</v>
      </c>
    </row>
    <row r="1674" spans="2:7">
      <c r="B1674" s="43">
        <v>44406</v>
      </c>
      <c r="C1674" t="s">
        <v>155</v>
      </c>
      <c r="D1674" s="48">
        <v>44434</v>
      </c>
      <c r="E1674">
        <v>560</v>
      </c>
      <c r="F1674" t="s">
        <v>515</v>
      </c>
      <c r="G1674">
        <v>20.45</v>
      </c>
    </row>
    <row r="1675" spans="2:7" hidden="1">
      <c r="B1675" s="43">
        <v>44407</v>
      </c>
      <c r="C1675" t="s">
        <v>155</v>
      </c>
      <c r="D1675" s="48">
        <v>44434</v>
      </c>
      <c r="E1675">
        <v>560</v>
      </c>
      <c r="F1675" t="s">
        <v>514</v>
      </c>
      <c r="G1675">
        <v>147.55000000000001</v>
      </c>
    </row>
    <row r="1676" spans="2:7">
      <c r="B1676" s="43">
        <v>44407</v>
      </c>
      <c r="C1676" t="s">
        <v>155</v>
      </c>
      <c r="D1676" s="48">
        <v>44434</v>
      </c>
      <c r="E1676">
        <v>560</v>
      </c>
      <c r="F1676" t="s">
        <v>515</v>
      </c>
      <c r="G1676">
        <v>20.45</v>
      </c>
    </row>
    <row r="1677" spans="2:7" hidden="1">
      <c r="B1677" s="43">
        <v>44410</v>
      </c>
      <c r="C1677" t="s">
        <v>155</v>
      </c>
      <c r="D1677" s="48">
        <v>44434</v>
      </c>
      <c r="E1677">
        <v>560</v>
      </c>
      <c r="F1677" t="s">
        <v>514</v>
      </c>
      <c r="G1677">
        <v>147.55000000000001</v>
      </c>
    </row>
    <row r="1678" spans="2:7" hidden="1">
      <c r="B1678" s="43">
        <v>44404</v>
      </c>
      <c r="C1678" t="s">
        <v>155</v>
      </c>
      <c r="D1678" s="48">
        <v>44434</v>
      </c>
      <c r="E1678">
        <v>570</v>
      </c>
      <c r="F1678" t="s">
        <v>514</v>
      </c>
      <c r="G1678">
        <v>140</v>
      </c>
    </row>
    <row r="1679" spans="2:7">
      <c r="B1679" s="43">
        <v>44404</v>
      </c>
      <c r="C1679" t="s">
        <v>155</v>
      </c>
      <c r="D1679" s="48">
        <v>44434</v>
      </c>
      <c r="E1679">
        <v>570</v>
      </c>
      <c r="F1679" t="s">
        <v>515</v>
      </c>
      <c r="G1679">
        <v>23.15</v>
      </c>
    </row>
    <row r="1680" spans="2:7" hidden="1">
      <c r="B1680" s="43">
        <v>44405</v>
      </c>
      <c r="C1680" t="s">
        <v>155</v>
      </c>
      <c r="D1680" s="48">
        <v>44434</v>
      </c>
      <c r="E1680">
        <v>570</v>
      </c>
      <c r="F1680" t="s">
        <v>514</v>
      </c>
      <c r="G1680">
        <v>140</v>
      </c>
    </row>
    <row r="1681" spans="2:7">
      <c r="B1681" s="43">
        <v>44405</v>
      </c>
      <c r="C1681" t="s">
        <v>155</v>
      </c>
      <c r="D1681" s="48">
        <v>44434</v>
      </c>
      <c r="E1681">
        <v>570</v>
      </c>
      <c r="F1681" t="s">
        <v>515</v>
      </c>
      <c r="G1681">
        <v>23.15</v>
      </c>
    </row>
    <row r="1682" spans="2:7" hidden="1">
      <c r="B1682" s="43">
        <v>44406</v>
      </c>
      <c r="C1682" t="s">
        <v>155</v>
      </c>
      <c r="D1682" s="48">
        <v>44434</v>
      </c>
      <c r="E1682">
        <v>570</v>
      </c>
      <c r="F1682" t="s">
        <v>514</v>
      </c>
      <c r="G1682">
        <v>140</v>
      </c>
    </row>
    <row r="1683" spans="2:7">
      <c r="B1683" s="43">
        <v>44406</v>
      </c>
      <c r="C1683" t="s">
        <v>155</v>
      </c>
      <c r="D1683" s="48">
        <v>44434</v>
      </c>
      <c r="E1683">
        <v>570</v>
      </c>
      <c r="F1683" t="s">
        <v>515</v>
      </c>
      <c r="G1683">
        <v>23.15</v>
      </c>
    </row>
    <row r="1684" spans="2:7" hidden="1">
      <c r="B1684" s="43">
        <v>44407</v>
      </c>
      <c r="C1684" t="s">
        <v>155</v>
      </c>
      <c r="D1684" s="48">
        <v>44434</v>
      </c>
      <c r="E1684">
        <v>570</v>
      </c>
      <c r="F1684" t="s">
        <v>514</v>
      </c>
      <c r="G1684">
        <v>140</v>
      </c>
    </row>
    <row r="1685" spans="2:7">
      <c r="B1685" s="43">
        <v>44407</v>
      </c>
      <c r="C1685" t="s">
        <v>155</v>
      </c>
      <c r="D1685" s="48">
        <v>44434</v>
      </c>
      <c r="E1685">
        <v>570</v>
      </c>
      <c r="F1685" t="s">
        <v>515</v>
      </c>
      <c r="G1685">
        <v>23.15</v>
      </c>
    </row>
    <row r="1686" spans="2:7" hidden="1">
      <c r="B1686" s="43">
        <v>44410</v>
      </c>
      <c r="C1686" t="s">
        <v>155</v>
      </c>
      <c r="D1686" s="48">
        <v>44434</v>
      </c>
      <c r="E1686">
        <v>570</v>
      </c>
      <c r="F1686" t="s">
        <v>514</v>
      </c>
      <c r="G1686">
        <v>140</v>
      </c>
    </row>
    <row r="1687" spans="2:7" hidden="1">
      <c r="B1687" s="43">
        <v>44404</v>
      </c>
      <c r="C1687" t="s">
        <v>155</v>
      </c>
      <c r="D1687" s="48">
        <v>44434</v>
      </c>
      <c r="E1687">
        <v>580</v>
      </c>
      <c r="F1687" t="s">
        <v>514</v>
      </c>
      <c r="G1687">
        <v>133.30000000000001</v>
      </c>
    </row>
    <row r="1688" spans="2:7">
      <c r="B1688" s="43">
        <v>44404</v>
      </c>
      <c r="C1688" t="s">
        <v>155</v>
      </c>
      <c r="D1688" s="48">
        <v>44434</v>
      </c>
      <c r="E1688">
        <v>580</v>
      </c>
      <c r="F1688" t="s">
        <v>515</v>
      </c>
      <c r="G1688">
        <v>26.05</v>
      </c>
    </row>
    <row r="1689" spans="2:7" hidden="1">
      <c r="B1689" s="43">
        <v>44405</v>
      </c>
      <c r="C1689" t="s">
        <v>155</v>
      </c>
      <c r="D1689" s="48">
        <v>44434</v>
      </c>
      <c r="E1689">
        <v>580</v>
      </c>
      <c r="F1689" t="s">
        <v>514</v>
      </c>
      <c r="G1689">
        <v>133.30000000000001</v>
      </c>
    </row>
    <row r="1690" spans="2:7">
      <c r="B1690" s="43">
        <v>44405</v>
      </c>
      <c r="C1690" t="s">
        <v>155</v>
      </c>
      <c r="D1690" s="48">
        <v>44434</v>
      </c>
      <c r="E1690">
        <v>580</v>
      </c>
      <c r="F1690" t="s">
        <v>515</v>
      </c>
      <c r="G1690">
        <v>26.05</v>
      </c>
    </row>
    <row r="1691" spans="2:7" hidden="1">
      <c r="B1691" s="43">
        <v>44406</v>
      </c>
      <c r="C1691" t="s">
        <v>155</v>
      </c>
      <c r="D1691" s="48">
        <v>44434</v>
      </c>
      <c r="E1691">
        <v>580</v>
      </c>
      <c r="F1691" t="s">
        <v>514</v>
      </c>
      <c r="G1691">
        <v>133.30000000000001</v>
      </c>
    </row>
    <row r="1692" spans="2:7">
      <c r="B1692" s="43">
        <v>44406</v>
      </c>
      <c r="C1692" t="s">
        <v>155</v>
      </c>
      <c r="D1692" s="48">
        <v>44434</v>
      </c>
      <c r="E1692">
        <v>580</v>
      </c>
      <c r="F1692" t="s">
        <v>515</v>
      </c>
      <c r="G1692">
        <v>26.05</v>
      </c>
    </row>
    <row r="1693" spans="2:7" hidden="1">
      <c r="B1693" s="43">
        <v>44407</v>
      </c>
      <c r="C1693" t="s">
        <v>155</v>
      </c>
      <c r="D1693" s="48">
        <v>44434</v>
      </c>
      <c r="E1693">
        <v>580</v>
      </c>
      <c r="F1693" t="s">
        <v>514</v>
      </c>
      <c r="G1693">
        <v>133.30000000000001</v>
      </c>
    </row>
    <row r="1694" spans="2:7">
      <c r="B1694" s="43">
        <v>44407</v>
      </c>
      <c r="C1694" t="s">
        <v>155</v>
      </c>
      <c r="D1694" s="48">
        <v>44434</v>
      </c>
      <c r="E1694">
        <v>580</v>
      </c>
      <c r="F1694" t="s">
        <v>515</v>
      </c>
      <c r="G1694">
        <v>26.05</v>
      </c>
    </row>
    <row r="1695" spans="2:7" hidden="1">
      <c r="B1695" s="43">
        <v>44410</v>
      </c>
      <c r="C1695" t="s">
        <v>155</v>
      </c>
      <c r="D1695" s="48">
        <v>44434</v>
      </c>
      <c r="E1695">
        <v>580</v>
      </c>
      <c r="F1695" t="s">
        <v>514</v>
      </c>
      <c r="G1695">
        <v>133.30000000000001</v>
      </c>
    </row>
    <row r="1696" spans="2:7" hidden="1">
      <c r="B1696" s="43">
        <v>44404</v>
      </c>
      <c r="C1696" t="s">
        <v>155</v>
      </c>
      <c r="D1696" s="48">
        <v>44434</v>
      </c>
      <c r="E1696">
        <v>590</v>
      </c>
      <c r="F1696" t="s">
        <v>514</v>
      </c>
      <c r="G1696">
        <v>126.5</v>
      </c>
    </row>
    <row r="1697" spans="2:7">
      <c r="B1697" s="43">
        <v>44404</v>
      </c>
      <c r="C1697" t="s">
        <v>155</v>
      </c>
      <c r="D1697" s="48">
        <v>44434</v>
      </c>
      <c r="E1697">
        <v>590</v>
      </c>
      <c r="F1697" t="s">
        <v>515</v>
      </c>
      <c r="G1697">
        <v>2</v>
      </c>
    </row>
    <row r="1698" spans="2:7" hidden="1">
      <c r="B1698" s="43">
        <v>44405</v>
      </c>
      <c r="C1698" t="s">
        <v>155</v>
      </c>
      <c r="D1698" s="48">
        <v>44434</v>
      </c>
      <c r="E1698">
        <v>590</v>
      </c>
      <c r="F1698" t="s">
        <v>514</v>
      </c>
      <c r="G1698">
        <v>126.5</v>
      </c>
    </row>
    <row r="1699" spans="2:7">
      <c r="B1699" s="43">
        <v>44405</v>
      </c>
      <c r="C1699" t="s">
        <v>155</v>
      </c>
      <c r="D1699" s="48">
        <v>44434</v>
      </c>
      <c r="E1699">
        <v>590</v>
      </c>
      <c r="F1699" t="s">
        <v>515</v>
      </c>
      <c r="G1699">
        <v>2</v>
      </c>
    </row>
    <row r="1700" spans="2:7" hidden="1">
      <c r="B1700" s="43">
        <v>44406</v>
      </c>
      <c r="C1700" t="s">
        <v>155</v>
      </c>
      <c r="D1700" s="48">
        <v>44434</v>
      </c>
      <c r="E1700">
        <v>590</v>
      </c>
      <c r="F1700" t="s">
        <v>514</v>
      </c>
      <c r="G1700">
        <v>126.5</v>
      </c>
    </row>
    <row r="1701" spans="2:7">
      <c r="B1701" s="43">
        <v>44406</v>
      </c>
      <c r="C1701" t="s">
        <v>155</v>
      </c>
      <c r="D1701" s="48">
        <v>44434</v>
      </c>
      <c r="E1701">
        <v>590</v>
      </c>
      <c r="F1701" t="s">
        <v>515</v>
      </c>
      <c r="G1701">
        <v>2</v>
      </c>
    </row>
    <row r="1702" spans="2:7" hidden="1">
      <c r="B1702" s="43">
        <v>44407</v>
      </c>
      <c r="C1702" t="s">
        <v>155</v>
      </c>
      <c r="D1702" s="48">
        <v>44434</v>
      </c>
      <c r="E1702">
        <v>590</v>
      </c>
      <c r="F1702" t="s">
        <v>514</v>
      </c>
      <c r="G1702">
        <v>126.5</v>
      </c>
    </row>
    <row r="1703" spans="2:7">
      <c r="B1703" s="43">
        <v>44407</v>
      </c>
      <c r="C1703" t="s">
        <v>155</v>
      </c>
      <c r="D1703" s="48">
        <v>44434</v>
      </c>
      <c r="E1703">
        <v>590</v>
      </c>
      <c r="F1703" t="s">
        <v>515</v>
      </c>
      <c r="G1703">
        <v>2</v>
      </c>
    </row>
    <row r="1704" spans="2:7" hidden="1">
      <c r="B1704" s="43">
        <v>44410</v>
      </c>
      <c r="C1704" t="s">
        <v>155</v>
      </c>
      <c r="D1704" s="48">
        <v>44434</v>
      </c>
      <c r="E1704">
        <v>590</v>
      </c>
      <c r="F1704" t="s">
        <v>514</v>
      </c>
      <c r="G1704">
        <v>126.5</v>
      </c>
    </row>
    <row r="1705" spans="2:7" hidden="1">
      <c r="B1705" s="43">
        <v>44404</v>
      </c>
      <c r="C1705" t="s">
        <v>155</v>
      </c>
      <c r="D1705" s="48">
        <v>44434</v>
      </c>
      <c r="E1705">
        <v>600</v>
      </c>
      <c r="F1705" t="s">
        <v>514</v>
      </c>
      <c r="G1705">
        <v>106.55</v>
      </c>
    </row>
    <row r="1706" spans="2:7">
      <c r="B1706" s="43">
        <v>44404</v>
      </c>
      <c r="C1706" t="s">
        <v>155</v>
      </c>
      <c r="D1706" s="48">
        <v>44434</v>
      </c>
      <c r="E1706">
        <v>600</v>
      </c>
      <c r="F1706" t="s">
        <v>515</v>
      </c>
      <c r="G1706">
        <v>3.15</v>
      </c>
    </row>
    <row r="1707" spans="2:7" hidden="1">
      <c r="B1707" s="43">
        <v>44405</v>
      </c>
      <c r="C1707" t="s">
        <v>155</v>
      </c>
      <c r="D1707" s="48">
        <v>44434</v>
      </c>
      <c r="E1707">
        <v>600</v>
      </c>
      <c r="F1707" t="s">
        <v>514</v>
      </c>
      <c r="G1707">
        <v>124.55</v>
      </c>
    </row>
    <row r="1708" spans="2:7">
      <c r="B1708" s="43">
        <v>44405</v>
      </c>
      <c r="C1708" t="s">
        <v>155</v>
      </c>
      <c r="D1708" s="48">
        <v>44434</v>
      </c>
      <c r="E1708">
        <v>600</v>
      </c>
      <c r="F1708" t="s">
        <v>515</v>
      </c>
      <c r="G1708">
        <v>2.1</v>
      </c>
    </row>
    <row r="1709" spans="2:7" hidden="1">
      <c r="B1709" s="43">
        <v>44406</v>
      </c>
      <c r="C1709" t="s">
        <v>155</v>
      </c>
      <c r="D1709" s="48">
        <v>44434</v>
      </c>
      <c r="E1709">
        <v>600</v>
      </c>
      <c r="F1709" t="s">
        <v>514</v>
      </c>
      <c r="G1709">
        <v>140</v>
      </c>
    </row>
    <row r="1710" spans="2:7">
      <c r="B1710" s="43">
        <v>44406</v>
      </c>
      <c r="C1710" t="s">
        <v>155</v>
      </c>
      <c r="D1710" s="48">
        <v>44434</v>
      </c>
      <c r="E1710">
        <v>600</v>
      </c>
      <c r="F1710" t="s">
        <v>515</v>
      </c>
      <c r="G1710">
        <v>1.75</v>
      </c>
    </row>
    <row r="1711" spans="2:7" hidden="1">
      <c r="B1711" s="43">
        <v>44407</v>
      </c>
      <c r="C1711" t="s">
        <v>155</v>
      </c>
      <c r="D1711" s="48">
        <v>44434</v>
      </c>
      <c r="E1711">
        <v>600</v>
      </c>
      <c r="F1711" t="s">
        <v>514</v>
      </c>
      <c r="G1711">
        <v>140</v>
      </c>
    </row>
    <row r="1712" spans="2:7">
      <c r="B1712" s="43">
        <v>44407</v>
      </c>
      <c r="C1712" t="s">
        <v>155</v>
      </c>
      <c r="D1712" s="48">
        <v>44434</v>
      </c>
      <c r="E1712">
        <v>600</v>
      </c>
      <c r="F1712" t="s">
        <v>515</v>
      </c>
      <c r="G1712">
        <v>1.6</v>
      </c>
    </row>
    <row r="1713" spans="2:7" hidden="1">
      <c r="B1713" s="43">
        <v>44410</v>
      </c>
      <c r="C1713" t="s">
        <v>155</v>
      </c>
      <c r="D1713" s="48">
        <v>44434</v>
      </c>
      <c r="E1713">
        <v>600</v>
      </c>
      <c r="F1713" t="s">
        <v>514</v>
      </c>
      <c r="G1713">
        <v>140</v>
      </c>
    </row>
    <row r="1714" spans="2:7" hidden="1">
      <c r="B1714" s="43">
        <v>44404</v>
      </c>
      <c r="C1714" t="s">
        <v>155</v>
      </c>
      <c r="D1714" s="48">
        <v>44434</v>
      </c>
      <c r="E1714">
        <v>610</v>
      </c>
      <c r="F1714" t="s">
        <v>514</v>
      </c>
      <c r="G1714">
        <v>113.6</v>
      </c>
    </row>
    <row r="1715" spans="2:7">
      <c r="B1715" s="43">
        <v>44404</v>
      </c>
      <c r="C1715" t="s">
        <v>155</v>
      </c>
      <c r="D1715" s="48">
        <v>44434</v>
      </c>
      <c r="E1715">
        <v>610</v>
      </c>
      <c r="F1715" t="s">
        <v>515</v>
      </c>
      <c r="G1715">
        <v>36.049999999999997</v>
      </c>
    </row>
    <row r="1716" spans="2:7" hidden="1">
      <c r="B1716" s="43">
        <v>44405</v>
      </c>
      <c r="C1716" t="s">
        <v>155</v>
      </c>
      <c r="D1716" s="48">
        <v>44434</v>
      </c>
      <c r="E1716">
        <v>610</v>
      </c>
      <c r="F1716" t="s">
        <v>514</v>
      </c>
      <c r="G1716">
        <v>113.6</v>
      </c>
    </row>
    <row r="1717" spans="2:7">
      <c r="B1717" s="43">
        <v>44405</v>
      </c>
      <c r="C1717" t="s">
        <v>155</v>
      </c>
      <c r="D1717" s="48">
        <v>44434</v>
      </c>
      <c r="E1717">
        <v>610</v>
      </c>
      <c r="F1717" t="s">
        <v>515</v>
      </c>
      <c r="G1717">
        <v>36.049999999999997</v>
      </c>
    </row>
    <row r="1718" spans="2:7" hidden="1">
      <c r="B1718" s="43">
        <v>44406</v>
      </c>
      <c r="C1718" t="s">
        <v>155</v>
      </c>
      <c r="D1718" s="48">
        <v>44434</v>
      </c>
      <c r="E1718">
        <v>610</v>
      </c>
      <c r="F1718" t="s">
        <v>514</v>
      </c>
      <c r="G1718">
        <v>113.6</v>
      </c>
    </row>
    <row r="1719" spans="2:7">
      <c r="B1719" s="43">
        <v>44406</v>
      </c>
      <c r="C1719" t="s">
        <v>155</v>
      </c>
      <c r="D1719" s="48">
        <v>44434</v>
      </c>
      <c r="E1719">
        <v>610</v>
      </c>
      <c r="F1719" t="s">
        <v>515</v>
      </c>
      <c r="G1719">
        <v>36.049999999999997</v>
      </c>
    </row>
    <row r="1720" spans="2:7" hidden="1">
      <c r="B1720" s="43">
        <v>44407</v>
      </c>
      <c r="C1720" t="s">
        <v>155</v>
      </c>
      <c r="D1720" s="48">
        <v>44434</v>
      </c>
      <c r="E1720">
        <v>610</v>
      </c>
      <c r="F1720" t="s">
        <v>514</v>
      </c>
      <c r="G1720">
        <v>113.6</v>
      </c>
    </row>
    <row r="1721" spans="2:7">
      <c r="B1721" s="43">
        <v>44407</v>
      </c>
      <c r="C1721" t="s">
        <v>155</v>
      </c>
      <c r="D1721" s="48">
        <v>44434</v>
      </c>
      <c r="E1721">
        <v>610</v>
      </c>
      <c r="F1721" t="s">
        <v>515</v>
      </c>
      <c r="G1721">
        <v>36.049999999999997</v>
      </c>
    </row>
    <row r="1722" spans="2:7" hidden="1">
      <c r="B1722" s="43">
        <v>44410</v>
      </c>
      <c r="C1722" t="s">
        <v>155</v>
      </c>
      <c r="D1722" s="48">
        <v>44434</v>
      </c>
      <c r="E1722">
        <v>610</v>
      </c>
      <c r="F1722" t="s">
        <v>514</v>
      </c>
      <c r="G1722">
        <v>113.6</v>
      </c>
    </row>
    <row r="1723" spans="2:7" hidden="1">
      <c r="B1723" s="43">
        <v>44404</v>
      </c>
      <c r="C1723" t="s">
        <v>155</v>
      </c>
      <c r="D1723" s="48">
        <v>44434</v>
      </c>
      <c r="E1723">
        <v>620</v>
      </c>
      <c r="F1723" t="s">
        <v>514</v>
      </c>
      <c r="G1723">
        <v>107.55</v>
      </c>
    </row>
    <row r="1724" spans="2:7">
      <c r="B1724" s="43">
        <v>44404</v>
      </c>
      <c r="C1724" t="s">
        <v>155</v>
      </c>
      <c r="D1724" s="48">
        <v>44434</v>
      </c>
      <c r="E1724">
        <v>620</v>
      </c>
      <c r="F1724" t="s">
        <v>515</v>
      </c>
      <c r="G1724">
        <v>4</v>
      </c>
    </row>
    <row r="1725" spans="2:7" hidden="1">
      <c r="B1725" s="43">
        <v>44405</v>
      </c>
      <c r="C1725" t="s">
        <v>155</v>
      </c>
      <c r="D1725" s="48">
        <v>44434</v>
      </c>
      <c r="E1725">
        <v>620</v>
      </c>
      <c r="F1725" t="s">
        <v>514</v>
      </c>
      <c r="G1725">
        <v>107.55</v>
      </c>
    </row>
    <row r="1726" spans="2:7">
      <c r="B1726" s="43">
        <v>44405</v>
      </c>
      <c r="C1726" t="s">
        <v>155</v>
      </c>
      <c r="D1726" s="48">
        <v>44434</v>
      </c>
      <c r="E1726">
        <v>620</v>
      </c>
      <c r="F1726" t="s">
        <v>515</v>
      </c>
      <c r="G1726">
        <v>3.05</v>
      </c>
    </row>
    <row r="1727" spans="2:7" hidden="1">
      <c r="B1727" s="43">
        <v>44406</v>
      </c>
      <c r="C1727" t="s">
        <v>155</v>
      </c>
      <c r="D1727" s="48">
        <v>44434</v>
      </c>
      <c r="E1727">
        <v>620</v>
      </c>
      <c r="F1727" t="s">
        <v>514</v>
      </c>
      <c r="G1727">
        <v>107.55</v>
      </c>
    </row>
    <row r="1728" spans="2:7">
      <c r="B1728" s="43">
        <v>44406</v>
      </c>
      <c r="C1728" t="s">
        <v>155</v>
      </c>
      <c r="D1728" s="48">
        <v>44434</v>
      </c>
      <c r="E1728">
        <v>620</v>
      </c>
      <c r="F1728" t="s">
        <v>515</v>
      </c>
      <c r="G1728">
        <v>2.6</v>
      </c>
    </row>
    <row r="1729" spans="2:7" hidden="1">
      <c r="B1729" s="43">
        <v>44407</v>
      </c>
      <c r="C1729" t="s">
        <v>155</v>
      </c>
      <c r="D1729" s="48">
        <v>44434</v>
      </c>
      <c r="E1729">
        <v>620</v>
      </c>
      <c r="F1729" t="s">
        <v>514</v>
      </c>
      <c r="G1729">
        <v>107.55</v>
      </c>
    </row>
    <row r="1730" spans="2:7">
      <c r="B1730" s="43">
        <v>44407</v>
      </c>
      <c r="C1730" t="s">
        <v>155</v>
      </c>
      <c r="D1730" s="48">
        <v>44434</v>
      </c>
      <c r="E1730">
        <v>620</v>
      </c>
      <c r="F1730" t="s">
        <v>515</v>
      </c>
      <c r="G1730">
        <v>2.25</v>
      </c>
    </row>
    <row r="1731" spans="2:7" hidden="1">
      <c r="B1731" s="43">
        <v>44410</v>
      </c>
      <c r="C1731" t="s">
        <v>155</v>
      </c>
      <c r="D1731" s="48">
        <v>44434</v>
      </c>
      <c r="E1731">
        <v>620</v>
      </c>
      <c r="F1731" t="s">
        <v>514</v>
      </c>
      <c r="G1731">
        <v>107.55</v>
      </c>
    </row>
    <row r="1732" spans="2:7" hidden="1">
      <c r="B1732" s="43">
        <v>44404</v>
      </c>
      <c r="C1732" t="s">
        <v>155</v>
      </c>
      <c r="D1732" s="48">
        <v>44434</v>
      </c>
      <c r="E1732">
        <v>630</v>
      </c>
      <c r="F1732" t="s">
        <v>514</v>
      </c>
      <c r="G1732">
        <v>101.65</v>
      </c>
    </row>
    <row r="1733" spans="2:7">
      <c r="B1733" s="43">
        <v>44404</v>
      </c>
      <c r="C1733" t="s">
        <v>155</v>
      </c>
      <c r="D1733" s="48">
        <v>44434</v>
      </c>
      <c r="E1733">
        <v>630</v>
      </c>
      <c r="F1733" t="s">
        <v>515</v>
      </c>
      <c r="G1733">
        <v>3.65</v>
      </c>
    </row>
    <row r="1734" spans="2:7" hidden="1">
      <c r="B1734" s="43">
        <v>44405</v>
      </c>
      <c r="C1734" t="s">
        <v>155</v>
      </c>
      <c r="D1734" s="48">
        <v>44434</v>
      </c>
      <c r="E1734">
        <v>630</v>
      </c>
      <c r="F1734" t="s">
        <v>514</v>
      </c>
      <c r="G1734">
        <v>101.65</v>
      </c>
    </row>
    <row r="1735" spans="2:7">
      <c r="B1735" s="43">
        <v>44405</v>
      </c>
      <c r="C1735" t="s">
        <v>155</v>
      </c>
      <c r="D1735" s="48">
        <v>44434</v>
      </c>
      <c r="E1735">
        <v>630</v>
      </c>
      <c r="F1735" t="s">
        <v>515</v>
      </c>
      <c r="G1735">
        <v>5</v>
      </c>
    </row>
    <row r="1736" spans="2:7" hidden="1">
      <c r="B1736" s="43">
        <v>44406</v>
      </c>
      <c r="C1736" t="s">
        <v>155</v>
      </c>
      <c r="D1736" s="48">
        <v>44434</v>
      </c>
      <c r="E1736">
        <v>630</v>
      </c>
      <c r="F1736" t="s">
        <v>514</v>
      </c>
      <c r="G1736">
        <v>101.65</v>
      </c>
    </row>
    <row r="1737" spans="2:7">
      <c r="B1737" s="43">
        <v>44406</v>
      </c>
      <c r="C1737" t="s">
        <v>155</v>
      </c>
      <c r="D1737" s="48">
        <v>44434</v>
      </c>
      <c r="E1737">
        <v>630</v>
      </c>
      <c r="F1737" t="s">
        <v>515</v>
      </c>
      <c r="G1737">
        <v>2.4</v>
      </c>
    </row>
    <row r="1738" spans="2:7" hidden="1">
      <c r="B1738" s="43">
        <v>44407</v>
      </c>
      <c r="C1738" t="s">
        <v>155</v>
      </c>
      <c r="D1738" s="48">
        <v>44434</v>
      </c>
      <c r="E1738">
        <v>630</v>
      </c>
      <c r="F1738" t="s">
        <v>514</v>
      </c>
      <c r="G1738">
        <v>101.65</v>
      </c>
    </row>
    <row r="1739" spans="2:7">
      <c r="B1739" s="43">
        <v>44407</v>
      </c>
      <c r="C1739" t="s">
        <v>155</v>
      </c>
      <c r="D1739" s="48">
        <v>44434</v>
      </c>
      <c r="E1739">
        <v>630</v>
      </c>
      <c r="F1739" t="s">
        <v>515</v>
      </c>
      <c r="G1739">
        <v>2.7</v>
      </c>
    </row>
    <row r="1740" spans="2:7" hidden="1">
      <c r="B1740" s="43">
        <v>44410</v>
      </c>
      <c r="C1740" t="s">
        <v>155</v>
      </c>
      <c r="D1740" s="48">
        <v>44434</v>
      </c>
      <c r="E1740">
        <v>630</v>
      </c>
      <c r="F1740" t="s">
        <v>514</v>
      </c>
      <c r="G1740">
        <v>101.65</v>
      </c>
    </row>
    <row r="1741" spans="2:7" hidden="1">
      <c r="B1741" s="43">
        <v>44404</v>
      </c>
      <c r="C1741" t="s">
        <v>155</v>
      </c>
      <c r="D1741" s="48">
        <v>44434</v>
      </c>
      <c r="E1741">
        <v>640</v>
      </c>
      <c r="F1741" t="s">
        <v>514</v>
      </c>
      <c r="G1741">
        <v>96.05</v>
      </c>
    </row>
    <row r="1742" spans="2:7">
      <c r="B1742" s="43">
        <v>44404</v>
      </c>
      <c r="C1742" t="s">
        <v>155</v>
      </c>
      <c r="D1742" s="48">
        <v>44434</v>
      </c>
      <c r="E1742">
        <v>640</v>
      </c>
      <c r="F1742" t="s">
        <v>515</v>
      </c>
      <c r="G1742">
        <v>5.8</v>
      </c>
    </row>
    <row r="1743" spans="2:7" hidden="1">
      <c r="B1743" s="43">
        <v>44405</v>
      </c>
      <c r="C1743" t="s">
        <v>155</v>
      </c>
      <c r="D1743" s="48">
        <v>44434</v>
      </c>
      <c r="E1743">
        <v>640</v>
      </c>
      <c r="F1743" t="s">
        <v>514</v>
      </c>
      <c r="G1743">
        <v>96.05</v>
      </c>
    </row>
    <row r="1744" spans="2:7">
      <c r="B1744" s="43">
        <v>44405</v>
      </c>
      <c r="C1744" t="s">
        <v>155</v>
      </c>
      <c r="D1744" s="48">
        <v>44434</v>
      </c>
      <c r="E1744">
        <v>640</v>
      </c>
      <c r="F1744" t="s">
        <v>515</v>
      </c>
      <c r="G1744">
        <v>4.6500000000000004</v>
      </c>
    </row>
    <row r="1745" spans="2:7" hidden="1">
      <c r="B1745" s="43">
        <v>44406</v>
      </c>
      <c r="C1745" t="s">
        <v>155</v>
      </c>
      <c r="D1745" s="48">
        <v>44434</v>
      </c>
      <c r="E1745">
        <v>640</v>
      </c>
      <c r="F1745" t="s">
        <v>514</v>
      </c>
      <c r="G1745">
        <v>96.05</v>
      </c>
    </row>
    <row r="1746" spans="2:7">
      <c r="B1746" s="43">
        <v>44406</v>
      </c>
      <c r="C1746" t="s">
        <v>155</v>
      </c>
      <c r="D1746" s="48">
        <v>44434</v>
      </c>
      <c r="E1746">
        <v>640</v>
      </c>
      <c r="F1746" t="s">
        <v>515</v>
      </c>
      <c r="G1746">
        <v>3.75</v>
      </c>
    </row>
    <row r="1747" spans="2:7" hidden="1">
      <c r="B1747" s="43">
        <v>44407</v>
      </c>
      <c r="C1747" t="s">
        <v>155</v>
      </c>
      <c r="D1747" s="48">
        <v>44434</v>
      </c>
      <c r="E1747">
        <v>640</v>
      </c>
      <c r="F1747" t="s">
        <v>514</v>
      </c>
      <c r="G1747">
        <v>96.05</v>
      </c>
    </row>
    <row r="1748" spans="2:7">
      <c r="B1748" s="43">
        <v>44407</v>
      </c>
      <c r="C1748" t="s">
        <v>155</v>
      </c>
      <c r="D1748" s="48">
        <v>44434</v>
      </c>
      <c r="E1748">
        <v>640</v>
      </c>
      <c r="F1748" t="s">
        <v>515</v>
      </c>
      <c r="G1748">
        <v>3.45</v>
      </c>
    </row>
    <row r="1749" spans="2:7" hidden="1">
      <c r="B1749" s="43">
        <v>44410</v>
      </c>
      <c r="C1749" t="s">
        <v>155</v>
      </c>
      <c r="D1749" s="48">
        <v>44434</v>
      </c>
      <c r="E1749">
        <v>640</v>
      </c>
      <c r="F1749" t="s">
        <v>514</v>
      </c>
      <c r="G1749">
        <v>96.05</v>
      </c>
    </row>
    <row r="1750" spans="2:7" hidden="1">
      <c r="B1750" s="43">
        <v>44404</v>
      </c>
      <c r="C1750" t="s">
        <v>155</v>
      </c>
      <c r="D1750" s="48">
        <v>44434</v>
      </c>
      <c r="E1750">
        <v>650</v>
      </c>
      <c r="F1750" t="s">
        <v>514</v>
      </c>
      <c r="G1750">
        <v>71.849999999999994</v>
      </c>
    </row>
    <row r="1751" spans="2:7">
      <c r="B1751" s="43">
        <v>44404</v>
      </c>
      <c r="C1751" t="s">
        <v>155</v>
      </c>
      <c r="D1751" s="48">
        <v>44434</v>
      </c>
      <c r="E1751">
        <v>650</v>
      </c>
      <c r="F1751" t="s">
        <v>515</v>
      </c>
      <c r="G1751">
        <v>7.25</v>
      </c>
    </row>
    <row r="1752" spans="2:7" hidden="1">
      <c r="B1752" s="43">
        <v>44405</v>
      </c>
      <c r="C1752" t="s">
        <v>155</v>
      </c>
      <c r="D1752" s="48">
        <v>44434</v>
      </c>
      <c r="E1752">
        <v>650</v>
      </c>
      <c r="F1752" t="s">
        <v>514</v>
      </c>
      <c r="G1752">
        <v>75.650000000000006</v>
      </c>
    </row>
    <row r="1753" spans="2:7">
      <c r="B1753" s="43">
        <v>44405</v>
      </c>
      <c r="C1753" t="s">
        <v>155</v>
      </c>
      <c r="D1753" s="48">
        <v>44434</v>
      </c>
      <c r="E1753">
        <v>650</v>
      </c>
      <c r="F1753" t="s">
        <v>515</v>
      </c>
      <c r="G1753">
        <v>6.1</v>
      </c>
    </row>
    <row r="1754" spans="2:7" hidden="1">
      <c r="B1754" s="43">
        <v>44406</v>
      </c>
      <c r="C1754" t="s">
        <v>155</v>
      </c>
      <c r="D1754" s="48">
        <v>44434</v>
      </c>
      <c r="E1754">
        <v>650</v>
      </c>
      <c r="F1754" t="s">
        <v>514</v>
      </c>
      <c r="G1754">
        <v>105.35</v>
      </c>
    </row>
    <row r="1755" spans="2:7">
      <c r="B1755" s="43">
        <v>44406</v>
      </c>
      <c r="C1755" t="s">
        <v>155</v>
      </c>
      <c r="D1755" s="48">
        <v>44434</v>
      </c>
      <c r="E1755">
        <v>650</v>
      </c>
      <c r="F1755" t="s">
        <v>515</v>
      </c>
      <c r="G1755">
        <v>4.45</v>
      </c>
    </row>
    <row r="1756" spans="2:7" hidden="1">
      <c r="B1756" s="43">
        <v>44407</v>
      </c>
      <c r="C1756" t="s">
        <v>155</v>
      </c>
      <c r="D1756" s="48">
        <v>44434</v>
      </c>
      <c r="E1756">
        <v>650</v>
      </c>
      <c r="F1756" t="s">
        <v>514</v>
      </c>
      <c r="G1756">
        <v>109.45</v>
      </c>
    </row>
    <row r="1757" spans="2:7">
      <c r="B1757" s="43">
        <v>44407</v>
      </c>
      <c r="C1757" t="s">
        <v>155</v>
      </c>
      <c r="D1757" s="48">
        <v>44434</v>
      </c>
      <c r="E1757">
        <v>650</v>
      </c>
      <c r="F1757" t="s">
        <v>515</v>
      </c>
      <c r="G1757">
        <v>4.2</v>
      </c>
    </row>
    <row r="1758" spans="2:7" hidden="1">
      <c r="B1758" s="43">
        <v>44410</v>
      </c>
      <c r="C1758" t="s">
        <v>155</v>
      </c>
      <c r="D1758" s="48">
        <v>44434</v>
      </c>
      <c r="E1758">
        <v>650</v>
      </c>
      <c r="F1758" t="s">
        <v>514</v>
      </c>
      <c r="G1758">
        <v>100</v>
      </c>
    </row>
    <row r="1759" spans="2:7" hidden="1">
      <c r="B1759" s="43">
        <v>44404</v>
      </c>
      <c r="C1759" t="s">
        <v>155</v>
      </c>
      <c r="D1759" s="48">
        <v>44434</v>
      </c>
      <c r="E1759">
        <v>660</v>
      </c>
      <c r="F1759" t="s">
        <v>514</v>
      </c>
      <c r="G1759">
        <v>67.5</v>
      </c>
    </row>
    <row r="1760" spans="2:7">
      <c r="B1760" s="43">
        <v>44404</v>
      </c>
      <c r="C1760" t="s">
        <v>155</v>
      </c>
      <c r="D1760" s="48">
        <v>44434</v>
      </c>
      <c r="E1760">
        <v>660</v>
      </c>
      <c r="F1760" t="s">
        <v>515</v>
      </c>
      <c r="G1760">
        <v>8.85</v>
      </c>
    </row>
    <row r="1761" spans="2:7" hidden="1">
      <c r="B1761" s="43">
        <v>44405</v>
      </c>
      <c r="C1761" t="s">
        <v>155</v>
      </c>
      <c r="D1761" s="48">
        <v>44434</v>
      </c>
      <c r="E1761">
        <v>660</v>
      </c>
      <c r="F1761" t="s">
        <v>514</v>
      </c>
      <c r="G1761">
        <v>67.5</v>
      </c>
    </row>
    <row r="1762" spans="2:7">
      <c r="B1762" s="43">
        <v>44405</v>
      </c>
      <c r="C1762" t="s">
        <v>155</v>
      </c>
      <c r="D1762" s="48">
        <v>44434</v>
      </c>
      <c r="E1762">
        <v>660</v>
      </c>
      <c r="F1762" t="s">
        <v>515</v>
      </c>
      <c r="G1762">
        <v>7.4</v>
      </c>
    </row>
    <row r="1763" spans="2:7" hidden="1">
      <c r="B1763" s="43">
        <v>44406</v>
      </c>
      <c r="C1763" t="s">
        <v>155</v>
      </c>
      <c r="D1763" s="48">
        <v>44434</v>
      </c>
      <c r="E1763">
        <v>660</v>
      </c>
      <c r="F1763" t="s">
        <v>514</v>
      </c>
      <c r="G1763">
        <v>101.9</v>
      </c>
    </row>
    <row r="1764" spans="2:7">
      <c r="B1764" s="43">
        <v>44406</v>
      </c>
      <c r="C1764" t="s">
        <v>155</v>
      </c>
      <c r="D1764" s="48">
        <v>44434</v>
      </c>
      <c r="E1764">
        <v>660</v>
      </c>
      <c r="F1764" t="s">
        <v>515</v>
      </c>
      <c r="G1764">
        <v>5.75</v>
      </c>
    </row>
    <row r="1765" spans="2:7" hidden="1">
      <c r="B1765" s="43">
        <v>44407</v>
      </c>
      <c r="C1765" t="s">
        <v>155</v>
      </c>
      <c r="D1765" s="48">
        <v>44434</v>
      </c>
      <c r="E1765">
        <v>660</v>
      </c>
      <c r="F1765" t="s">
        <v>514</v>
      </c>
      <c r="G1765">
        <v>101.9</v>
      </c>
    </row>
    <row r="1766" spans="2:7">
      <c r="B1766" s="43">
        <v>44407</v>
      </c>
      <c r="C1766" t="s">
        <v>155</v>
      </c>
      <c r="D1766" s="48">
        <v>44434</v>
      </c>
      <c r="E1766">
        <v>660</v>
      </c>
      <c r="F1766" t="s">
        <v>515</v>
      </c>
      <c r="G1766">
        <v>5.2</v>
      </c>
    </row>
    <row r="1767" spans="2:7" hidden="1">
      <c r="B1767" s="43">
        <v>44410</v>
      </c>
      <c r="C1767" t="s">
        <v>155</v>
      </c>
      <c r="D1767" s="48">
        <v>44434</v>
      </c>
      <c r="E1767">
        <v>660</v>
      </c>
      <c r="F1767" t="s">
        <v>514</v>
      </c>
      <c r="G1767">
        <v>101.9</v>
      </c>
    </row>
    <row r="1768" spans="2:7" hidden="1">
      <c r="B1768" s="43">
        <v>44404</v>
      </c>
      <c r="C1768" t="s">
        <v>155</v>
      </c>
      <c r="D1768" s="48">
        <v>44434</v>
      </c>
      <c r="E1768">
        <v>670</v>
      </c>
      <c r="F1768" t="s">
        <v>514</v>
      </c>
      <c r="G1768">
        <v>58.35</v>
      </c>
    </row>
    <row r="1769" spans="2:7">
      <c r="B1769" s="43">
        <v>44404</v>
      </c>
      <c r="C1769" t="s">
        <v>155</v>
      </c>
      <c r="D1769" s="48">
        <v>44434</v>
      </c>
      <c r="E1769">
        <v>670</v>
      </c>
      <c r="F1769" t="s">
        <v>515</v>
      </c>
      <c r="G1769">
        <v>10.8</v>
      </c>
    </row>
    <row r="1770" spans="2:7" hidden="1">
      <c r="B1770" s="43">
        <v>44405</v>
      </c>
      <c r="C1770" t="s">
        <v>155</v>
      </c>
      <c r="D1770" s="48">
        <v>44434</v>
      </c>
      <c r="E1770">
        <v>670</v>
      </c>
      <c r="F1770" t="s">
        <v>514</v>
      </c>
      <c r="G1770">
        <v>51.2</v>
      </c>
    </row>
    <row r="1771" spans="2:7">
      <c r="B1771" s="43">
        <v>44405</v>
      </c>
      <c r="C1771" t="s">
        <v>155</v>
      </c>
      <c r="D1771" s="48">
        <v>44434</v>
      </c>
      <c r="E1771">
        <v>670</v>
      </c>
      <c r="F1771" t="s">
        <v>515</v>
      </c>
      <c r="G1771">
        <v>9.4499999999999993</v>
      </c>
    </row>
    <row r="1772" spans="2:7" hidden="1">
      <c r="B1772" s="43">
        <v>44406</v>
      </c>
      <c r="C1772" t="s">
        <v>155</v>
      </c>
      <c r="D1772" s="48">
        <v>44434</v>
      </c>
      <c r="E1772">
        <v>670</v>
      </c>
      <c r="F1772" t="s">
        <v>514</v>
      </c>
      <c r="G1772">
        <v>81.8</v>
      </c>
    </row>
    <row r="1773" spans="2:7">
      <c r="B1773" s="43">
        <v>44406</v>
      </c>
      <c r="C1773" t="s">
        <v>155</v>
      </c>
      <c r="D1773" s="48">
        <v>44434</v>
      </c>
      <c r="E1773">
        <v>670</v>
      </c>
      <c r="F1773" t="s">
        <v>515</v>
      </c>
      <c r="G1773">
        <v>7.05</v>
      </c>
    </row>
    <row r="1774" spans="2:7" hidden="1">
      <c r="B1774" s="43">
        <v>44407</v>
      </c>
      <c r="C1774" t="s">
        <v>155</v>
      </c>
      <c r="D1774" s="48">
        <v>44434</v>
      </c>
      <c r="E1774">
        <v>670</v>
      </c>
      <c r="F1774" t="s">
        <v>514</v>
      </c>
      <c r="G1774">
        <v>93</v>
      </c>
    </row>
    <row r="1775" spans="2:7">
      <c r="B1775" s="43">
        <v>44407</v>
      </c>
      <c r="C1775" t="s">
        <v>155</v>
      </c>
      <c r="D1775" s="48">
        <v>44434</v>
      </c>
      <c r="E1775">
        <v>670</v>
      </c>
      <c r="F1775" t="s">
        <v>515</v>
      </c>
      <c r="G1775">
        <v>6.6</v>
      </c>
    </row>
    <row r="1776" spans="2:7" hidden="1">
      <c r="B1776" s="43">
        <v>44410</v>
      </c>
      <c r="C1776" t="s">
        <v>155</v>
      </c>
      <c r="D1776" s="48">
        <v>44434</v>
      </c>
      <c r="E1776">
        <v>670</v>
      </c>
      <c r="F1776" t="s">
        <v>514</v>
      </c>
      <c r="G1776">
        <v>93</v>
      </c>
    </row>
    <row r="1777" spans="2:7" hidden="1">
      <c r="B1777" s="43">
        <v>44404</v>
      </c>
      <c r="C1777" t="s">
        <v>155</v>
      </c>
      <c r="D1777" s="48">
        <v>44434</v>
      </c>
      <c r="E1777">
        <v>680</v>
      </c>
      <c r="F1777" t="s">
        <v>514</v>
      </c>
      <c r="G1777">
        <v>44.55</v>
      </c>
    </row>
    <row r="1778" spans="2:7">
      <c r="B1778" s="43">
        <v>44404</v>
      </c>
      <c r="C1778" t="s">
        <v>155</v>
      </c>
      <c r="D1778" s="48">
        <v>44434</v>
      </c>
      <c r="E1778">
        <v>680</v>
      </c>
      <c r="F1778" t="s">
        <v>515</v>
      </c>
      <c r="G1778">
        <v>13.95</v>
      </c>
    </row>
    <row r="1779" spans="2:7" hidden="1">
      <c r="B1779" s="43">
        <v>44405</v>
      </c>
      <c r="C1779" t="s">
        <v>155</v>
      </c>
      <c r="D1779" s="48">
        <v>44434</v>
      </c>
      <c r="E1779">
        <v>680</v>
      </c>
      <c r="F1779" t="s">
        <v>514</v>
      </c>
      <c r="G1779">
        <v>55.15</v>
      </c>
    </row>
    <row r="1780" spans="2:7">
      <c r="B1780" s="43">
        <v>44405</v>
      </c>
      <c r="C1780" t="s">
        <v>155</v>
      </c>
      <c r="D1780" s="48">
        <v>44434</v>
      </c>
      <c r="E1780">
        <v>680</v>
      </c>
      <c r="F1780" t="s">
        <v>515</v>
      </c>
      <c r="G1780">
        <v>11.7</v>
      </c>
    </row>
    <row r="1781" spans="2:7" hidden="1">
      <c r="B1781" s="43">
        <v>44406</v>
      </c>
      <c r="C1781" t="s">
        <v>155</v>
      </c>
      <c r="D1781" s="48">
        <v>44434</v>
      </c>
      <c r="E1781">
        <v>680</v>
      </c>
      <c r="F1781" t="s">
        <v>514</v>
      </c>
      <c r="G1781">
        <v>77.150000000000006</v>
      </c>
    </row>
    <row r="1782" spans="2:7">
      <c r="B1782" s="43">
        <v>44406</v>
      </c>
      <c r="C1782" t="s">
        <v>155</v>
      </c>
      <c r="D1782" s="48">
        <v>44434</v>
      </c>
      <c r="E1782">
        <v>680</v>
      </c>
      <c r="F1782" t="s">
        <v>515</v>
      </c>
      <c r="G1782">
        <v>8.5</v>
      </c>
    </row>
    <row r="1783" spans="2:7" hidden="1">
      <c r="B1783" s="43">
        <v>44407</v>
      </c>
      <c r="C1783" t="s">
        <v>155</v>
      </c>
      <c r="D1783" s="48">
        <v>44434</v>
      </c>
      <c r="E1783">
        <v>680</v>
      </c>
      <c r="F1783" t="s">
        <v>514</v>
      </c>
      <c r="G1783">
        <v>67.2</v>
      </c>
    </row>
    <row r="1784" spans="2:7">
      <c r="B1784" s="43">
        <v>44407</v>
      </c>
      <c r="C1784" t="s">
        <v>155</v>
      </c>
      <c r="D1784" s="48">
        <v>44434</v>
      </c>
      <c r="E1784">
        <v>680</v>
      </c>
      <c r="F1784" t="s">
        <v>515</v>
      </c>
      <c r="G1784">
        <v>8.15</v>
      </c>
    </row>
    <row r="1785" spans="2:7" hidden="1">
      <c r="B1785" s="43">
        <v>44410</v>
      </c>
      <c r="C1785" t="s">
        <v>155</v>
      </c>
      <c r="D1785" s="48">
        <v>44434</v>
      </c>
      <c r="E1785">
        <v>680</v>
      </c>
      <c r="F1785" t="s">
        <v>514</v>
      </c>
      <c r="G1785">
        <v>75</v>
      </c>
    </row>
    <row r="1786" spans="2:7" hidden="1">
      <c r="B1786" s="43">
        <v>44404</v>
      </c>
      <c r="C1786" t="s">
        <v>155</v>
      </c>
      <c r="D1786" s="48">
        <v>44434</v>
      </c>
      <c r="E1786">
        <v>690</v>
      </c>
      <c r="F1786" t="s">
        <v>514</v>
      </c>
      <c r="G1786">
        <v>42.15</v>
      </c>
    </row>
    <row r="1787" spans="2:7">
      <c r="B1787" s="43">
        <v>44404</v>
      </c>
      <c r="C1787" t="s">
        <v>155</v>
      </c>
      <c r="D1787" s="48">
        <v>44434</v>
      </c>
      <c r="E1787">
        <v>690</v>
      </c>
      <c r="F1787" t="s">
        <v>515</v>
      </c>
      <c r="G1787">
        <v>17.5</v>
      </c>
    </row>
    <row r="1788" spans="2:7" hidden="1">
      <c r="B1788" s="43">
        <v>44405</v>
      </c>
      <c r="C1788" t="s">
        <v>155</v>
      </c>
      <c r="D1788" s="48">
        <v>44434</v>
      </c>
      <c r="E1788">
        <v>690</v>
      </c>
      <c r="F1788" t="s">
        <v>514</v>
      </c>
      <c r="G1788">
        <v>46.3</v>
      </c>
    </row>
    <row r="1789" spans="2:7">
      <c r="B1789" s="43">
        <v>44405</v>
      </c>
      <c r="C1789" t="s">
        <v>155</v>
      </c>
      <c r="D1789" s="48">
        <v>44434</v>
      </c>
      <c r="E1789">
        <v>690</v>
      </c>
      <c r="F1789" t="s">
        <v>515</v>
      </c>
      <c r="G1789">
        <v>14.7</v>
      </c>
    </row>
    <row r="1790" spans="2:7" hidden="1">
      <c r="B1790" s="43">
        <v>44406</v>
      </c>
      <c r="C1790" t="s">
        <v>155</v>
      </c>
      <c r="D1790" s="48">
        <v>44434</v>
      </c>
      <c r="E1790">
        <v>690</v>
      </c>
      <c r="F1790" t="s">
        <v>514</v>
      </c>
      <c r="G1790">
        <v>68.75</v>
      </c>
    </row>
    <row r="1791" spans="2:7">
      <c r="B1791" s="43">
        <v>44406</v>
      </c>
      <c r="C1791" t="s">
        <v>155</v>
      </c>
      <c r="D1791" s="48">
        <v>44434</v>
      </c>
      <c r="E1791">
        <v>690</v>
      </c>
      <c r="F1791" t="s">
        <v>515</v>
      </c>
      <c r="G1791">
        <v>10.199999999999999</v>
      </c>
    </row>
    <row r="1792" spans="2:7" hidden="1">
      <c r="B1792" s="43">
        <v>44407</v>
      </c>
      <c r="C1792" t="s">
        <v>155</v>
      </c>
      <c r="D1792" s="48">
        <v>44434</v>
      </c>
      <c r="E1792">
        <v>690</v>
      </c>
      <c r="F1792" t="s">
        <v>514</v>
      </c>
      <c r="G1792">
        <v>60.05</v>
      </c>
    </row>
    <row r="1793" spans="2:7">
      <c r="B1793" s="43">
        <v>44407</v>
      </c>
      <c r="C1793" t="s">
        <v>155</v>
      </c>
      <c r="D1793" s="48">
        <v>44434</v>
      </c>
      <c r="E1793">
        <v>690</v>
      </c>
      <c r="F1793" t="s">
        <v>515</v>
      </c>
      <c r="G1793">
        <v>10.3</v>
      </c>
    </row>
    <row r="1794" spans="2:7" hidden="1">
      <c r="B1794" s="43">
        <v>44404</v>
      </c>
      <c r="C1794" t="s">
        <v>155</v>
      </c>
      <c r="D1794" s="48">
        <v>44434</v>
      </c>
      <c r="E1794">
        <v>700</v>
      </c>
      <c r="F1794" t="s">
        <v>514</v>
      </c>
      <c r="G1794">
        <v>36.4</v>
      </c>
    </row>
    <row r="1795" spans="2:7">
      <c r="B1795" s="43">
        <v>44404</v>
      </c>
      <c r="C1795" t="s">
        <v>155</v>
      </c>
      <c r="D1795" s="48">
        <v>44434</v>
      </c>
      <c r="E1795">
        <v>700</v>
      </c>
      <c r="F1795" t="s">
        <v>515</v>
      </c>
      <c r="G1795">
        <v>21.9</v>
      </c>
    </row>
    <row r="1796" spans="2:7" hidden="1">
      <c r="B1796" s="43">
        <v>44405</v>
      </c>
      <c r="C1796" t="s">
        <v>155</v>
      </c>
      <c r="D1796" s="48">
        <v>44434</v>
      </c>
      <c r="E1796">
        <v>700</v>
      </c>
      <c r="F1796" t="s">
        <v>514</v>
      </c>
      <c r="G1796">
        <v>43.8</v>
      </c>
    </row>
    <row r="1797" spans="2:7">
      <c r="B1797" s="43">
        <v>44405</v>
      </c>
      <c r="C1797" t="s">
        <v>155</v>
      </c>
      <c r="D1797" s="48">
        <v>44434</v>
      </c>
      <c r="E1797">
        <v>700</v>
      </c>
      <c r="F1797" t="s">
        <v>515</v>
      </c>
      <c r="G1797">
        <v>18.149999999999999</v>
      </c>
    </row>
    <row r="1798" spans="2:7" hidden="1">
      <c r="B1798" s="43">
        <v>44406</v>
      </c>
      <c r="C1798" t="s">
        <v>155</v>
      </c>
      <c r="D1798" s="48">
        <v>44434</v>
      </c>
      <c r="E1798">
        <v>700</v>
      </c>
      <c r="F1798" t="s">
        <v>514</v>
      </c>
      <c r="G1798">
        <v>63.95</v>
      </c>
    </row>
    <row r="1799" spans="2:7">
      <c r="B1799" s="43">
        <v>44406</v>
      </c>
      <c r="C1799" t="s">
        <v>155</v>
      </c>
      <c r="D1799" s="48">
        <v>44434</v>
      </c>
      <c r="E1799">
        <v>700</v>
      </c>
      <c r="F1799" t="s">
        <v>515</v>
      </c>
      <c r="G1799">
        <v>12.55</v>
      </c>
    </row>
    <row r="1800" spans="2:7" hidden="1">
      <c r="B1800" s="43">
        <v>44407</v>
      </c>
      <c r="C1800" t="s">
        <v>155</v>
      </c>
      <c r="D1800" s="48">
        <v>44434</v>
      </c>
      <c r="E1800">
        <v>700</v>
      </c>
      <c r="F1800" t="s">
        <v>514</v>
      </c>
      <c r="G1800">
        <v>53.9</v>
      </c>
    </row>
    <row r="1801" spans="2:7">
      <c r="B1801" s="43">
        <v>44407</v>
      </c>
      <c r="C1801" t="s">
        <v>155</v>
      </c>
      <c r="D1801" s="48">
        <v>44434</v>
      </c>
      <c r="E1801">
        <v>700</v>
      </c>
      <c r="F1801" t="s">
        <v>515</v>
      </c>
      <c r="G1801">
        <v>12.75</v>
      </c>
    </row>
    <row r="1802" spans="2:7" hidden="1">
      <c r="B1802" s="43">
        <v>44404</v>
      </c>
      <c r="C1802" t="s">
        <v>155</v>
      </c>
      <c r="D1802" s="48">
        <v>44434</v>
      </c>
      <c r="E1802">
        <v>710</v>
      </c>
      <c r="F1802" t="s">
        <v>514</v>
      </c>
      <c r="G1802">
        <v>30.8</v>
      </c>
    </row>
    <row r="1803" spans="2:7">
      <c r="B1803" s="43">
        <v>44404</v>
      </c>
      <c r="C1803" t="s">
        <v>155</v>
      </c>
      <c r="D1803" s="48">
        <v>44434</v>
      </c>
      <c r="E1803">
        <v>710</v>
      </c>
      <c r="F1803" t="s">
        <v>515</v>
      </c>
      <c r="G1803">
        <v>26.95</v>
      </c>
    </row>
    <row r="1804" spans="2:7" hidden="1">
      <c r="B1804" s="43">
        <v>44405</v>
      </c>
      <c r="C1804" t="s">
        <v>155</v>
      </c>
      <c r="D1804" s="48">
        <v>44434</v>
      </c>
      <c r="E1804">
        <v>710</v>
      </c>
      <c r="F1804" t="s">
        <v>514</v>
      </c>
      <c r="G1804">
        <v>37.9</v>
      </c>
    </row>
    <row r="1805" spans="2:7">
      <c r="B1805" s="43">
        <v>44405</v>
      </c>
      <c r="C1805" t="s">
        <v>155</v>
      </c>
      <c r="D1805" s="48">
        <v>44434</v>
      </c>
      <c r="E1805">
        <v>710</v>
      </c>
      <c r="F1805" t="s">
        <v>515</v>
      </c>
      <c r="G1805">
        <v>22.5</v>
      </c>
    </row>
    <row r="1806" spans="2:7" hidden="1">
      <c r="B1806" s="43">
        <v>44406</v>
      </c>
      <c r="C1806" t="s">
        <v>155</v>
      </c>
      <c r="D1806" s="48">
        <v>44434</v>
      </c>
      <c r="E1806">
        <v>710</v>
      </c>
      <c r="F1806" t="s">
        <v>514</v>
      </c>
      <c r="G1806">
        <v>55.95</v>
      </c>
    </row>
    <row r="1807" spans="2:7">
      <c r="B1807" s="43">
        <v>44406</v>
      </c>
      <c r="C1807" t="s">
        <v>155</v>
      </c>
      <c r="D1807" s="48">
        <v>44434</v>
      </c>
      <c r="E1807">
        <v>710</v>
      </c>
      <c r="F1807" t="s">
        <v>515</v>
      </c>
      <c r="G1807">
        <v>15.45</v>
      </c>
    </row>
    <row r="1808" spans="2:7" hidden="1">
      <c r="B1808" s="43">
        <v>44407</v>
      </c>
      <c r="C1808" t="s">
        <v>155</v>
      </c>
      <c r="D1808" s="48">
        <v>44434</v>
      </c>
      <c r="E1808">
        <v>710</v>
      </c>
      <c r="F1808" t="s">
        <v>514</v>
      </c>
      <c r="G1808">
        <v>46.25</v>
      </c>
    </row>
    <row r="1809" spans="2:7">
      <c r="B1809" s="43">
        <v>44407</v>
      </c>
      <c r="C1809" t="s">
        <v>155</v>
      </c>
      <c r="D1809" s="48">
        <v>44434</v>
      </c>
      <c r="E1809">
        <v>710</v>
      </c>
      <c r="F1809" t="s">
        <v>515</v>
      </c>
      <c r="G1809">
        <v>15.85</v>
      </c>
    </row>
    <row r="1810" spans="2:7" hidden="1">
      <c r="B1810" s="43">
        <v>44404</v>
      </c>
      <c r="C1810" t="s">
        <v>155</v>
      </c>
      <c r="D1810" s="48">
        <v>44434</v>
      </c>
      <c r="E1810">
        <v>720</v>
      </c>
      <c r="F1810" t="s">
        <v>514</v>
      </c>
      <c r="G1810">
        <v>26.55</v>
      </c>
    </row>
    <row r="1811" spans="2:7">
      <c r="B1811" s="43">
        <v>44404</v>
      </c>
      <c r="C1811" t="s">
        <v>155</v>
      </c>
      <c r="D1811" s="48">
        <v>44434</v>
      </c>
      <c r="E1811">
        <v>720</v>
      </c>
      <c r="F1811" t="s">
        <v>515</v>
      </c>
      <c r="G1811">
        <v>32.200000000000003</v>
      </c>
    </row>
    <row r="1812" spans="2:7" hidden="1">
      <c r="B1812" s="43">
        <v>44405</v>
      </c>
      <c r="C1812" t="s">
        <v>155</v>
      </c>
      <c r="D1812" s="48">
        <v>44434</v>
      </c>
      <c r="E1812">
        <v>720</v>
      </c>
      <c r="F1812" t="s">
        <v>514</v>
      </c>
      <c r="G1812">
        <v>32.6</v>
      </c>
    </row>
    <row r="1813" spans="2:7">
      <c r="B1813" s="43">
        <v>44405</v>
      </c>
      <c r="C1813" t="s">
        <v>155</v>
      </c>
      <c r="D1813" s="48">
        <v>44434</v>
      </c>
      <c r="E1813">
        <v>720</v>
      </c>
      <c r="F1813" t="s">
        <v>515</v>
      </c>
      <c r="G1813">
        <v>26.9</v>
      </c>
    </row>
    <row r="1814" spans="2:7" hidden="1">
      <c r="B1814" s="43">
        <v>44406</v>
      </c>
      <c r="C1814" t="s">
        <v>155</v>
      </c>
      <c r="D1814" s="48">
        <v>44434</v>
      </c>
      <c r="E1814">
        <v>720</v>
      </c>
      <c r="F1814" t="s">
        <v>514</v>
      </c>
      <c r="G1814">
        <v>50.3</v>
      </c>
    </row>
    <row r="1815" spans="2:7">
      <c r="B1815" s="43">
        <v>44406</v>
      </c>
      <c r="C1815" t="s">
        <v>155</v>
      </c>
      <c r="D1815" s="48">
        <v>44434</v>
      </c>
      <c r="E1815">
        <v>720</v>
      </c>
      <c r="F1815" t="s">
        <v>515</v>
      </c>
      <c r="G1815">
        <v>18.25</v>
      </c>
    </row>
    <row r="1816" spans="2:7" hidden="1">
      <c r="B1816" s="43">
        <v>44407</v>
      </c>
      <c r="C1816" t="s">
        <v>155</v>
      </c>
      <c r="D1816" s="48">
        <v>44434</v>
      </c>
      <c r="E1816">
        <v>720</v>
      </c>
      <c r="F1816" t="s">
        <v>514</v>
      </c>
      <c r="G1816">
        <v>39.700000000000003</v>
      </c>
    </row>
    <row r="1817" spans="2:7">
      <c r="B1817" s="43">
        <v>44407</v>
      </c>
      <c r="C1817" t="s">
        <v>155</v>
      </c>
      <c r="D1817" s="48">
        <v>44434</v>
      </c>
      <c r="E1817">
        <v>720</v>
      </c>
      <c r="F1817" t="s">
        <v>515</v>
      </c>
      <c r="G1817">
        <v>19.55</v>
      </c>
    </row>
    <row r="1818" spans="2:7" hidden="1">
      <c r="B1818" s="43">
        <v>44404</v>
      </c>
      <c r="C1818" t="s">
        <v>155</v>
      </c>
      <c r="D1818" s="48">
        <v>44434</v>
      </c>
      <c r="E1818">
        <v>730</v>
      </c>
      <c r="F1818" t="s">
        <v>514</v>
      </c>
      <c r="G1818">
        <v>22.45</v>
      </c>
    </row>
    <row r="1819" spans="2:7">
      <c r="B1819" s="43">
        <v>44404</v>
      </c>
      <c r="C1819" t="s">
        <v>155</v>
      </c>
      <c r="D1819" s="48">
        <v>44434</v>
      </c>
      <c r="E1819">
        <v>730</v>
      </c>
      <c r="F1819" t="s">
        <v>515</v>
      </c>
      <c r="G1819">
        <v>37.65</v>
      </c>
    </row>
    <row r="1820" spans="2:7" hidden="1">
      <c r="B1820" s="43">
        <v>44405</v>
      </c>
      <c r="C1820" t="s">
        <v>155</v>
      </c>
      <c r="D1820" s="48">
        <v>44434</v>
      </c>
      <c r="E1820">
        <v>730</v>
      </c>
      <c r="F1820" t="s">
        <v>514</v>
      </c>
      <c r="G1820">
        <v>27.95</v>
      </c>
    </row>
    <row r="1821" spans="2:7">
      <c r="B1821" s="43">
        <v>44405</v>
      </c>
      <c r="C1821" t="s">
        <v>155</v>
      </c>
      <c r="D1821" s="48">
        <v>44434</v>
      </c>
      <c r="E1821">
        <v>730</v>
      </c>
      <c r="F1821" t="s">
        <v>515</v>
      </c>
      <c r="G1821">
        <v>31.95</v>
      </c>
    </row>
    <row r="1822" spans="2:7" hidden="1">
      <c r="B1822" s="43">
        <v>44406</v>
      </c>
      <c r="C1822" t="s">
        <v>155</v>
      </c>
      <c r="D1822" s="48">
        <v>44434</v>
      </c>
      <c r="E1822">
        <v>730</v>
      </c>
      <c r="F1822" t="s">
        <v>514</v>
      </c>
      <c r="G1822">
        <v>44.5</v>
      </c>
    </row>
    <row r="1823" spans="2:7">
      <c r="B1823" s="43">
        <v>44406</v>
      </c>
      <c r="C1823" t="s">
        <v>155</v>
      </c>
      <c r="D1823" s="48">
        <v>44434</v>
      </c>
      <c r="E1823">
        <v>730</v>
      </c>
      <c r="F1823" t="s">
        <v>515</v>
      </c>
      <c r="G1823">
        <v>22.4</v>
      </c>
    </row>
    <row r="1824" spans="2:7" hidden="1">
      <c r="B1824" s="43">
        <v>44407</v>
      </c>
      <c r="C1824" t="s">
        <v>155</v>
      </c>
      <c r="D1824" s="48">
        <v>44434</v>
      </c>
      <c r="E1824">
        <v>730</v>
      </c>
      <c r="F1824" t="s">
        <v>514</v>
      </c>
      <c r="G1824">
        <v>34.200000000000003</v>
      </c>
    </row>
    <row r="1825" spans="2:7">
      <c r="B1825" s="43">
        <v>44407</v>
      </c>
      <c r="C1825" t="s">
        <v>155</v>
      </c>
      <c r="D1825" s="48">
        <v>44434</v>
      </c>
      <c r="E1825">
        <v>730</v>
      </c>
      <c r="F1825" t="s">
        <v>515</v>
      </c>
      <c r="G1825">
        <v>23.9</v>
      </c>
    </row>
    <row r="1826" spans="2:7" hidden="1">
      <c r="B1826" s="43">
        <v>44404</v>
      </c>
      <c r="C1826" t="s">
        <v>155</v>
      </c>
      <c r="D1826" s="48">
        <v>44434</v>
      </c>
      <c r="E1826">
        <v>740</v>
      </c>
      <c r="F1826" t="s">
        <v>514</v>
      </c>
      <c r="G1826">
        <v>18.55</v>
      </c>
    </row>
    <row r="1827" spans="2:7">
      <c r="B1827" s="43">
        <v>44404</v>
      </c>
      <c r="C1827" t="s">
        <v>155</v>
      </c>
      <c r="D1827" s="48">
        <v>44434</v>
      </c>
      <c r="E1827">
        <v>740</v>
      </c>
      <c r="F1827" t="s">
        <v>515</v>
      </c>
      <c r="G1827">
        <v>50.1</v>
      </c>
    </row>
    <row r="1828" spans="2:7" hidden="1">
      <c r="B1828" s="43">
        <v>44405</v>
      </c>
      <c r="C1828" t="s">
        <v>155</v>
      </c>
      <c r="D1828" s="48">
        <v>44434</v>
      </c>
      <c r="E1828">
        <v>740</v>
      </c>
      <c r="F1828" t="s">
        <v>514</v>
      </c>
      <c r="G1828">
        <v>23.65</v>
      </c>
    </row>
    <row r="1829" spans="2:7">
      <c r="B1829" s="43">
        <v>44405</v>
      </c>
      <c r="C1829" t="s">
        <v>155</v>
      </c>
      <c r="D1829" s="48">
        <v>44434</v>
      </c>
      <c r="E1829">
        <v>740</v>
      </c>
      <c r="F1829" t="s">
        <v>515</v>
      </c>
      <c r="G1829">
        <v>37.75</v>
      </c>
    </row>
    <row r="1830" spans="2:7" hidden="1">
      <c r="B1830" s="43">
        <v>44406</v>
      </c>
      <c r="C1830" t="s">
        <v>155</v>
      </c>
      <c r="D1830" s="48">
        <v>44434</v>
      </c>
      <c r="E1830">
        <v>740</v>
      </c>
      <c r="F1830" t="s">
        <v>514</v>
      </c>
      <c r="G1830">
        <v>38.799999999999997</v>
      </c>
    </row>
    <row r="1831" spans="2:7">
      <c r="B1831" s="43">
        <v>44406</v>
      </c>
      <c r="C1831" t="s">
        <v>155</v>
      </c>
      <c r="D1831" s="48">
        <v>44434</v>
      </c>
      <c r="E1831">
        <v>740</v>
      </c>
      <c r="F1831" t="s">
        <v>515</v>
      </c>
      <c r="G1831">
        <v>26.75</v>
      </c>
    </row>
    <row r="1832" spans="2:7" hidden="1">
      <c r="B1832" s="43">
        <v>44407</v>
      </c>
      <c r="C1832" t="s">
        <v>155</v>
      </c>
      <c r="D1832" s="48">
        <v>44434</v>
      </c>
      <c r="E1832">
        <v>740</v>
      </c>
      <c r="F1832" t="s">
        <v>514</v>
      </c>
      <c r="G1832">
        <v>29.3</v>
      </c>
    </row>
    <row r="1833" spans="2:7">
      <c r="B1833" s="43">
        <v>44407</v>
      </c>
      <c r="C1833" t="s">
        <v>155</v>
      </c>
      <c r="D1833" s="48">
        <v>44434</v>
      </c>
      <c r="E1833">
        <v>740</v>
      </c>
      <c r="F1833" t="s">
        <v>515</v>
      </c>
      <c r="G1833">
        <v>29.2</v>
      </c>
    </row>
    <row r="1834" spans="2:7" hidden="1">
      <c r="B1834" s="43">
        <v>44404</v>
      </c>
      <c r="C1834" t="s">
        <v>155</v>
      </c>
      <c r="D1834" s="48">
        <v>44434</v>
      </c>
      <c r="E1834">
        <v>750</v>
      </c>
      <c r="F1834" t="s">
        <v>514</v>
      </c>
      <c r="G1834">
        <v>15.5</v>
      </c>
    </row>
    <row r="1835" spans="2:7">
      <c r="B1835" s="43">
        <v>44404</v>
      </c>
      <c r="C1835" t="s">
        <v>155</v>
      </c>
      <c r="D1835" s="48">
        <v>44434</v>
      </c>
      <c r="E1835">
        <v>750</v>
      </c>
      <c r="F1835" t="s">
        <v>515</v>
      </c>
      <c r="G1835">
        <v>46</v>
      </c>
    </row>
    <row r="1836" spans="2:7" hidden="1">
      <c r="B1836" s="43">
        <v>44405</v>
      </c>
      <c r="C1836" t="s">
        <v>155</v>
      </c>
      <c r="D1836" s="48">
        <v>44434</v>
      </c>
      <c r="E1836">
        <v>750</v>
      </c>
      <c r="F1836" t="s">
        <v>514</v>
      </c>
      <c r="G1836">
        <v>19.649999999999999</v>
      </c>
    </row>
    <row r="1837" spans="2:7">
      <c r="B1837" s="43">
        <v>44405</v>
      </c>
      <c r="C1837" t="s">
        <v>155</v>
      </c>
      <c r="D1837" s="48">
        <v>44434</v>
      </c>
      <c r="E1837">
        <v>750</v>
      </c>
      <c r="F1837" t="s">
        <v>515</v>
      </c>
      <c r="G1837">
        <v>44.25</v>
      </c>
    </row>
    <row r="1838" spans="2:7" hidden="1">
      <c r="B1838" s="43">
        <v>44406</v>
      </c>
      <c r="C1838" t="s">
        <v>155</v>
      </c>
      <c r="D1838" s="48">
        <v>44434</v>
      </c>
      <c r="E1838">
        <v>750</v>
      </c>
      <c r="F1838" t="s">
        <v>514</v>
      </c>
      <c r="G1838">
        <v>33.9</v>
      </c>
    </row>
    <row r="1839" spans="2:7">
      <c r="B1839" s="43">
        <v>44406</v>
      </c>
      <c r="C1839" t="s">
        <v>155</v>
      </c>
      <c r="D1839" s="48">
        <v>44434</v>
      </c>
      <c r="E1839">
        <v>750</v>
      </c>
      <c r="F1839" t="s">
        <v>515</v>
      </c>
      <c r="G1839">
        <v>31.8</v>
      </c>
    </row>
    <row r="1840" spans="2:7" hidden="1">
      <c r="B1840" s="43">
        <v>44407</v>
      </c>
      <c r="C1840" t="s">
        <v>155</v>
      </c>
      <c r="D1840" s="48">
        <v>44434</v>
      </c>
      <c r="E1840">
        <v>750</v>
      </c>
      <c r="F1840" t="s">
        <v>514</v>
      </c>
      <c r="G1840">
        <v>25.15</v>
      </c>
    </row>
    <row r="1841" spans="2:7">
      <c r="B1841" s="43">
        <v>44407</v>
      </c>
      <c r="C1841" t="s">
        <v>155</v>
      </c>
      <c r="D1841" s="48">
        <v>44434</v>
      </c>
      <c r="E1841">
        <v>750</v>
      </c>
      <c r="F1841" t="s">
        <v>515</v>
      </c>
      <c r="G1841">
        <v>34.700000000000003</v>
      </c>
    </row>
    <row r="1842" spans="2:7" hidden="1">
      <c r="B1842" s="43">
        <v>44404</v>
      </c>
      <c r="C1842" t="s">
        <v>155</v>
      </c>
      <c r="D1842" s="48">
        <v>44434</v>
      </c>
      <c r="E1842">
        <v>760</v>
      </c>
      <c r="F1842" t="s">
        <v>514</v>
      </c>
      <c r="G1842">
        <v>12.95</v>
      </c>
    </row>
    <row r="1843" spans="2:7">
      <c r="B1843" s="43">
        <v>44404</v>
      </c>
      <c r="C1843" t="s">
        <v>155</v>
      </c>
      <c r="D1843" s="48">
        <v>44434</v>
      </c>
      <c r="E1843">
        <v>760</v>
      </c>
      <c r="F1843" t="s">
        <v>515</v>
      </c>
      <c r="G1843">
        <v>63</v>
      </c>
    </row>
    <row r="1844" spans="2:7" hidden="1">
      <c r="B1844" s="43">
        <v>44405</v>
      </c>
      <c r="C1844" t="s">
        <v>155</v>
      </c>
      <c r="D1844" s="48">
        <v>44434</v>
      </c>
      <c r="E1844">
        <v>760</v>
      </c>
      <c r="F1844" t="s">
        <v>514</v>
      </c>
      <c r="G1844">
        <v>16.5</v>
      </c>
    </row>
    <row r="1845" spans="2:7">
      <c r="B1845" s="43">
        <v>44405</v>
      </c>
      <c r="C1845" t="s">
        <v>155</v>
      </c>
      <c r="D1845" s="48">
        <v>44434</v>
      </c>
      <c r="E1845">
        <v>760</v>
      </c>
      <c r="F1845" t="s">
        <v>515</v>
      </c>
      <c r="G1845">
        <v>63</v>
      </c>
    </row>
    <row r="1846" spans="2:7" hidden="1">
      <c r="B1846" s="43">
        <v>44406</v>
      </c>
      <c r="C1846" t="s">
        <v>155</v>
      </c>
      <c r="D1846" s="48">
        <v>44434</v>
      </c>
      <c r="E1846">
        <v>760</v>
      </c>
      <c r="F1846" t="s">
        <v>514</v>
      </c>
      <c r="G1846">
        <v>29.7</v>
      </c>
    </row>
    <row r="1847" spans="2:7">
      <c r="B1847" s="43">
        <v>44406</v>
      </c>
      <c r="C1847" t="s">
        <v>155</v>
      </c>
      <c r="D1847" s="48">
        <v>44434</v>
      </c>
      <c r="E1847">
        <v>760</v>
      </c>
      <c r="F1847" t="s">
        <v>515</v>
      </c>
      <c r="G1847">
        <v>37.15</v>
      </c>
    </row>
    <row r="1848" spans="2:7" hidden="1">
      <c r="B1848" s="43">
        <v>44407</v>
      </c>
      <c r="C1848" t="s">
        <v>155</v>
      </c>
      <c r="D1848" s="48">
        <v>44434</v>
      </c>
      <c r="E1848">
        <v>760</v>
      </c>
      <c r="F1848" t="s">
        <v>514</v>
      </c>
      <c r="G1848">
        <v>21.5</v>
      </c>
    </row>
    <row r="1849" spans="2:7">
      <c r="B1849" s="43">
        <v>44407</v>
      </c>
      <c r="C1849" t="s">
        <v>155</v>
      </c>
      <c r="D1849" s="48">
        <v>44434</v>
      </c>
      <c r="E1849">
        <v>760</v>
      </c>
      <c r="F1849" t="s">
        <v>515</v>
      </c>
      <c r="G1849">
        <v>41</v>
      </c>
    </row>
    <row r="1850" spans="2:7" hidden="1">
      <c r="B1850" s="43">
        <v>44404</v>
      </c>
      <c r="C1850" t="s">
        <v>155</v>
      </c>
      <c r="D1850" s="48">
        <v>44434</v>
      </c>
      <c r="E1850">
        <v>770</v>
      </c>
      <c r="F1850" t="s">
        <v>514</v>
      </c>
      <c r="G1850">
        <v>10.75</v>
      </c>
    </row>
    <row r="1851" spans="2:7">
      <c r="B1851" s="43">
        <v>44404</v>
      </c>
      <c r="C1851" t="s">
        <v>155</v>
      </c>
      <c r="D1851" s="48">
        <v>44434</v>
      </c>
      <c r="E1851">
        <v>770</v>
      </c>
      <c r="F1851" t="s">
        <v>515</v>
      </c>
      <c r="G1851">
        <v>73</v>
      </c>
    </row>
    <row r="1852" spans="2:7" hidden="1">
      <c r="B1852" s="43">
        <v>44405</v>
      </c>
      <c r="C1852" t="s">
        <v>155</v>
      </c>
      <c r="D1852" s="48">
        <v>44434</v>
      </c>
      <c r="E1852">
        <v>770</v>
      </c>
      <c r="F1852" t="s">
        <v>514</v>
      </c>
      <c r="G1852">
        <v>13.75</v>
      </c>
    </row>
    <row r="1853" spans="2:7">
      <c r="B1853" s="43">
        <v>44405</v>
      </c>
      <c r="C1853" t="s">
        <v>155</v>
      </c>
      <c r="D1853" s="48">
        <v>44434</v>
      </c>
      <c r="E1853">
        <v>770</v>
      </c>
      <c r="F1853" t="s">
        <v>515</v>
      </c>
      <c r="G1853">
        <v>73.95</v>
      </c>
    </row>
    <row r="1854" spans="2:7" hidden="1">
      <c r="B1854" s="43">
        <v>44406</v>
      </c>
      <c r="C1854" t="s">
        <v>155</v>
      </c>
      <c r="D1854" s="48">
        <v>44434</v>
      </c>
      <c r="E1854">
        <v>770</v>
      </c>
      <c r="F1854" t="s">
        <v>514</v>
      </c>
      <c r="G1854">
        <v>25.75</v>
      </c>
    </row>
    <row r="1855" spans="2:7">
      <c r="B1855" s="43">
        <v>44406</v>
      </c>
      <c r="C1855" t="s">
        <v>155</v>
      </c>
      <c r="D1855" s="48">
        <v>44434</v>
      </c>
      <c r="E1855">
        <v>770</v>
      </c>
      <c r="F1855" t="s">
        <v>515</v>
      </c>
      <c r="G1855">
        <v>43</v>
      </c>
    </row>
    <row r="1856" spans="2:7" hidden="1">
      <c r="B1856" s="43">
        <v>44407</v>
      </c>
      <c r="C1856" t="s">
        <v>155</v>
      </c>
      <c r="D1856" s="48">
        <v>44434</v>
      </c>
      <c r="E1856">
        <v>770</v>
      </c>
      <c r="F1856" t="s">
        <v>514</v>
      </c>
      <c r="G1856">
        <v>17.95</v>
      </c>
    </row>
    <row r="1857" spans="2:7">
      <c r="B1857" s="43">
        <v>44407</v>
      </c>
      <c r="C1857" t="s">
        <v>155</v>
      </c>
      <c r="D1857" s="48">
        <v>44434</v>
      </c>
      <c r="E1857">
        <v>770</v>
      </c>
      <c r="F1857" t="s">
        <v>515</v>
      </c>
      <c r="G1857">
        <v>47.65</v>
      </c>
    </row>
    <row r="1858" spans="2:7" hidden="1">
      <c r="B1858" s="43">
        <v>44404</v>
      </c>
      <c r="C1858" t="s">
        <v>155</v>
      </c>
      <c r="D1858" s="48">
        <v>44434</v>
      </c>
      <c r="E1858">
        <v>780</v>
      </c>
      <c r="F1858" t="s">
        <v>514</v>
      </c>
      <c r="G1858">
        <v>9.0500000000000007</v>
      </c>
    </row>
    <row r="1859" spans="2:7">
      <c r="B1859" s="43">
        <v>44404</v>
      </c>
      <c r="C1859" t="s">
        <v>155</v>
      </c>
      <c r="D1859" s="48">
        <v>44434</v>
      </c>
      <c r="E1859">
        <v>780</v>
      </c>
      <c r="F1859" t="s">
        <v>515</v>
      </c>
      <c r="G1859">
        <v>75.75</v>
      </c>
    </row>
    <row r="1860" spans="2:7" hidden="1">
      <c r="B1860" s="43">
        <v>44405</v>
      </c>
      <c r="C1860" t="s">
        <v>155</v>
      </c>
      <c r="D1860" s="48">
        <v>44434</v>
      </c>
      <c r="E1860">
        <v>780</v>
      </c>
      <c r="F1860" t="s">
        <v>514</v>
      </c>
      <c r="G1860">
        <v>11.6</v>
      </c>
    </row>
    <row r="1861" spans="2:7">
      <c r="B1861" s="43">
        <v>44405</v>
      </c>
      <c r="C1861" t="s">
        <v>155</v>
      </c>
      <c r="D1861" s="48">
        <v>44434</v>
      </c>
      <c r="E1861">
        <v>780</v>
      </c>
      <c r="F1861" t="s">
        <v>515</v>
      </c>
      <c r="G1861">
        <v>77.7</v>
      </c>
    </row>
    <row r="1862" spans="2:7" hidden="1">
      <c r="B1862" s="43">
        <v>44406</v>
      </c>
      <c r="C1862" t="s">
        <v>155</v>
      </c>
      <c r="D1862" s="48">
        <v>44434</v>
      </c>
      <c r="E1862">
        <v>780</v>
      </c>
      <c r="F1862" t="s">
        <v>514</v>
      </c>
      <c r="G1862">
        <v>21.85</v>
      </c>
    </row>
    <row r="1863" spans="2:7">
      <c r="B1863" s="43">
        <v>44406</v>
      </c>
      <c r="C1863" t="s">
        <v>155</v>
      </c>
      <c r="D1863" s="48">
        <v>44434</v>
      </c>
      <c r="E1863">
        <v>780</v>
      </c>
      <c r="F1863" t="s">
        <v>515</v>
      </c>
      <c r="G1863">
        <v>52.6</v>
      </c>
    </row>
    <row r="1864" spans="2:7" hidden="1">
      <c r="B1864" s="43">
        <v>44407</v>
      </c>
      <c r="C1864" t="s">
        <v>155</v>
      </c>
      <c r="D1864" s="48">
        <v>44434</v>
      </c>
      <c r="E1864">
        <v>780</v>
      </c>
      <c r="F1864" t="s">
        <v>514</v>
      </c>
      <c r="G1864">
        <v>14.9</v>
      </c>
    </row>
    <row r="1865" spans="2:7">
      <c r="B1865" s="43">
        <v>44407</v>
      </c>
      <c r="C1865" t="s">
        <v>155</v>
      </c>
      <c r="D1865" s="48">
        <v>44434</v>
      </c>
      <c r="E1865">
        <v>780</v>
      </c>
      <c r="F1865" t="s">
        <v>515</v>
      </c>
      <c r="G1865">
        <v>54.9</v>
      </c>
    </row>
    <row r="1866" spans="2:7" hidden="1">
      <c r="B1866" s="43">
        <v>44404</v>
      </c>
      <c r="C1866" t="s">
        <v>155</v>
      </c>
      <c r="D1866" s="48">
        <v>44434</v>
      </c>
      <c r="E1866">
        <v>790</v>
      </c>
      <c r="F1866" t="s">
        <v>514</v>
      </c>
      <c r="G1866">
        <v>7.9</v>
      </c>
    </row>
    <row r="1867" spans="2:7">
      <c r="B1867" s="43">
        <v>44404</v>
      </c>
      <c r="C1867" t="s">
        <v>155</v>
      </c>
      <c r="D1867" s="48">
        <v>44434</v>
      </c>
      <c r="E1867">
        <v>790</v>
      </c>
      <c r="F1867" t="s">
        <v>515</v>
      </c>
      <c r="G1867">
        <v>137.9</v>
      </c>
    </row>
    <row r="1868" spans="2:7" hidden="1">
      <c r="B1868" s="43">
        <v>44405</v>
      </c>
      <c r="C1868" t="s">
        <v>155</v>
      </c>
      <c r="D1868" s="48">
        <v>44434</v>
      </c>
      <c r="E1868">
        <v>790</v>
      </c>
      <c r="F1868" t="s">
        <v>514</v>
      </c>
      <c r="G1868">
        <v>9.6999999999999993</v>
      </c>
    </row>
    <row r="1869" spans="2:7">
      <c r="B1869" s="43">
        <v>44405</v>
      </c>
      <c r="C1869" t="s">
        <v>155</v>
      </c>
      <c r="D1869" s="48">
        <v>44434</v>
      </c>
      <c r="E1869">
        <v>790</v>
      </c>
      <c r="F1869" t="s">
        <v>515</v>
      </c>
      <c r="G1869">
        <v>137.9</v>
      </c>
    </row>
    <row r="1870" spans="2:7" hidden="1">
      <c r="B1870" s="43">
        <v>44406</v>
      </c>
      <c r="C1870" t="s">
        <v>155</v>
      </c>
      <c r="D1870" s="48">
        <v>44434</v>
      </c>
      <c r="E1870">
        <v>790</v>
      </c>
      <c r="F1870" t="s">
        <v>514</v>
      </c>
      <c r="G1870">
        <v>18.600000000000001</v>
      </c>
    </row>
    <row r="1871" spans="2:7">
      <c r="B1871" s="43">
        <v>44406</v>
      </c>
      <c r="C1871" t="s">
        <v>155</v>
      </c>
      <c r="D1871" s="48">
        <v>44434</v>
      </c>
      <c r="E1871">
        <v>790</v>
      </c>
      <c r="F1871" t="s">
        <v>515</v>
      </c>
      <c r="G1871">
        <v>137.9</v>
      </c>
    </row>
    <row r="1872" spans="2:7" hidden="1">
      <c r="B1872" s="43">
        <v>44407</v>
      </c>
      <c r="C1872" t="s">
        <v>155</v>
      </c>
      <c r="D1872" s="48">
        <v>44434</v>
      </c>
      <c r="E1872">
        <v>790</v>
      </c>
      <c r="F1872" t="s">
        <v>514</v>
      </c>
      <c r="G1872">
        <v>12.55</v>
      </c>
    </row>
    <row r="1873" spans="2:7">
      <c r="B1873" s="43">
        <v>44407</v>
      </c>
      <c r="C1873" t="s">
        <v>155</v>
      </c>
      <c r="D1873" s="48">
        <v>44434</v>
      </c>
      <c r="E1873">
        <v>790</v>
      </c>
      <c r="F1873" t="s">
        <v>515</v>
      </c>
      <c r="G1873">
        <v>137.9</v>
      </c>
    </row>
    <row r="1874" spans="2:7" hidden="1">
      <c r="B1874" s="43">
        <v>44404</v>
      </c>
      <c r="C1874" t="s">
        <v>155</v>
      </c>
      <c r="D1874" s="48">
        <v>44434</v>
      </c>
      <c r="E1874">
        <v>800</v>
      </c>
      <c r="F1874" t="s">
        <v>514</v>
      </c>
      <c r="G1874">
        <v>6.55</v>
      </c>
    </row>
    <row r="1875" spans="2:7">
      <c r="B1875" s="43">
        <v>44404</v>
      </c>
      <c r="C1875" t="s">
        <v>155</v>
      </c>
      <c r="D1875" s="48">
        <v>44434</v>
      </c>
      <c r="E1875">
        <v>800</v>
      </c>
      <c r="F1875" t="s">
        <v>515</v>
      </c>
      <c r="G1875">
        <v>93.8</v>
      </c>
    </row>
    <row r="1876" spans="2:7" hidden="1">
      <c r="B1876" s="43">
        <v>44405</v>
      </c>
      <c r="C1876" t="s">
        <v>155</v>
      </c>
      <c r="D1876" s="48">
        <v>44434</v>
      </c>
      <c r="E1876">
        <v>800</v>
      </c>
      <c r="F1876" t="s">
        <v>514</v>
      </c>
      <c r="G1876">
        <v>8</v>
      </c>
    </row>
    <row r="1877" spans="2:7">
      <c r="B1877" s="43">
        <v>44405</v>
      </c>
      <c r="C1877" t="s">
        <v>155</v>
      </c>
      <c r="D1877" s="48">
        <v>44434</v>
      </c>
      <c r="E1877">
        <v>800</v>
      </c>
      <c r="F1877" t="s">
        <v>515</v>
      </c>
      <c r="G1877">
        <v>95</v>
      </c>
    </row>
    <row r="1878" spans="2:7" hidden="1">
      <c r="B1878" s="43">
        <v>44406</v>
      </c>
      <c r="C1878" t="s">
        <v>155</v>
      </c>
      <c r="D1878" s="48">
        <v>44434</v>
      </c>
      <c r="E1878">
        <v>800</v>
      </c>
      <c r="F1878" t="s">
        <v>514</v>
      </c>
      <c r="G1878">
        <v>15.7</v>
      </c>
    </row>
    <row r="1879" spans="2:7">
      <c r="B1879" s="43">
        <v>44406</v>
      </c>
      <c r="C1879" t="s">
        <v>155</v>
      </c>
      <c r="D1879" s="48">
        <v>44434</v>
      </c>
      <c r="E1879">
        <v>800</v>
      </c>
      <c r="F1879" t="s">
        <v>515</v>
      </c>
      <c r="G1879">
        <v>59.75</v>
      </c>
    </row>
    <row r="1880" spans="2:7" hidden="1">
      <c r="B1880" s="43">
        <v>44407</v>
      </c>
      <c r="C1880" t="s">
        <v>155</v>
      </c>
      <c r="D1880" s="48">
        <v>44434</v>
      </c>
      <c r="E1880">
        <v>800</v>
      </c>
      <c r="F1880" t="s">
        <v>514</v>
      </c>
      <c r="G1880">
        <v>10.6</v>
      </c>
    </row>
    <row r="1881" spans="2:7">
      <c r="B1881" s="43">
        <v>44407</v>
      </c>
      <c r="C1881" t="s">
        <v>155</v>
      </c>
      <c r="D1881" s="48">
        <v>44434</v>
      </c>
      <c r="E1881">
        <v>800</v>
      </c>
      <c r="F1881" t="s">
        <v>515</v>
      </c>
      <c r="G1881">
        <v>67.75</v>
      </c>
    </row>
    <row r="1882" spans="2:7" hidden="1">
      <c r="B1882" s="43">
        <v>44404</v>
      </c>
      <c r="C1882" t="s">
        <v>155</v>
      </c>
      <c r="D1882" s="48">
        <v>44434</v>
      </c>
      <c r="E1882">
        <v>810</v>
      </c>
      <c r="F1882" t="s">
        <v>514</v>
      </c>
      <c r="G1882">
        <v>5.5</v>
      </c>
    </row>
    <row r="1883" spans="2:7">
      <c r="B1883" s="43">
        <v>44404</v>
      </c>
      <c r="C1883" t="s">
        <v>155</v>
      </c>
      <c r="D1883" s="48">
        <v>44434</v>
      </c>
      <c r="E1883">
        <v>810</v>
      </c>
      <c r="F1883" t="s">
        <v>515</v>
      </c>
      <c r="G1883">
        <v>152.94999999999999</v>
      </c>
    </row>
    <row r="1884" spans="2:7" hidden="1">
      <c r="B1884" s="43">
        <v>44405</v>
      </c>
      <c r="C1884" t="s">
        <v>155</v>
      </c>
      <c r="D1884" s="48">
        <v>44434</v>
      </c>
      <c r="E1884">
        <v>810</v>
      </c>
      <c r="F1884" t="s">
        <v>514</v>
      </c>
      <c r="G1884">
        <v>6.75</v>
      </c>
    </row>
    <row r="1885" spans="2:7">
      <c r="B1885" s="43">
        <v>44405</v>
      </c>
      <c r="C1885" t="s">
        <v>155</v>
      </c>
      <c r="D1885" s="48">
        <v>44434</v>
      </c>
      <c r="E1885">
        <v>810</v>
      </c>
      <c r="F1885" t="s">
        <v>515</v>
      </c>
      <c r="G1885">
        <v>152.94999999999999</v>
      </c>
    </row>
    <row r="1886" spans="2:7" hidden="1">
      <c r="B1886" s="43">
        <v>44406</v>
      </c>
      <c r="C1886" t="s">
        <v>155</v>
      </c>
      <c r="D1886" s="48">
        <v>44434</v>
      </c>
      <c r="E1886">
        <v>810</v>
      </c>
      <c r="F1886" t="s">
        <v>514</v>
      </c>
      <c r="G1886">
        <v>13.6</v>
      </c>
    </row>
    <row r="1887" spans="2:7">
      <c r="B1887" s="43">
        <v>44406</v>
      </c>
      <c r="C1887" t="s">
        <v>155</v>
      </c>
      <c r="D1887" s="48">
        <v>44434</v>
      </c>
      <c r="E1887">
        <v>810</v>
      </c>
      <c r="F1887" t="s">
        <v>515</v>
      </c>
      <c r="G1887">
        <v>152.94999999999999</v>
      </c>
    </row>
    <row r="1888" spans="2:7" hidden="1">
      <c r="B1888" s="43">
        <v>44407</v>
      </c>
      <c r="C1888" t="s">
        <v>155</v>
      </c>
      <c r="D1888" s="48">
        <v>44434</v>
      </c>
      <c r="E1888">
        <v>810</v>
      </c>
      <c r="F1888" t="s">
        <v>514</v>
      </c>
      <c r="G1888">
        <v>9</v>
      </c>
    </row>
    <row r="1889" spans="2:7">
      <c r="B1889" s="43">
        <v>44407</v>
      </c>
      <c r="C1889" t="s">
        <v>155</v>
      </c>
      <c r="D1889" s="48">
        <v>44434</v>
      </c>
      <c r="E1889">
        <v>810</v>
      </c>
      <c r="F1889" t="s">
        <v>515</v>
      </c>
      <c r="G1889">
        <v>152.94999999999999</v>
      </c>
    </row>
    <row r="1890" spans="2:7" hidden="1">
      <c r="B1890" s="43">
        <v>44404</v>
      </c>
      <c r="C1890" t="s">
        <v>155</v>
      </c>
      <c r="D1890" s="48">
        <v>44434</v>
      </c>
      <c r="E1890">
        <v>820</v>
      </c>
      <c r="F1890" t="s">
        <v>514</v>
      </c>
      <c r="G1890">
        <v>4.5999999999999996</v>
      </c>
    </row>
    <row r="1891" spans="2:7">
      <c r="B1891" s="43">
        <v>44404</v>
      </c>
      <c r="C1891" t="s">
        <v>155</v>
      </c>
      <c r="D1891" s="48">
        <v>44434</v>
      </c>
      <c r="E1891">
        <v>820</v>
      </c>
      <c r="F1891" t="s">
        <v>515</v>
      </c>
      <c r="G1891">
        <v>160.69999999999999</v>
      </c>
    </row>
    <row r="1892" spans="2:7" hidden="1">
      <c r="B1892" s="43">
        <v>44405</v>
      </c>
      <c r="C1892" t="s">
        <v>155</v>
      </c>
      <c r="D1892" s="48">
        <v>44434</v>
      </c>
      <c r="E1892">
        <v>820</v>
      </c>
      <c r="F1892" t="s">
        <v>514</v>
      </c>
      <c r="G1892">
        <v>5.55</v>
      </c>
    </row>
    <row r="1893" spans="2:7">
      <c r="B1893" s="43">
        <v>44405</v>
      </c>
      <c r="C1893" t="s">
        <v>155</v>
      </c>
      <c r="D1893" s="48">
        <v>44434</v>
      </c>
      <c r="E1893">
        <v>820</v>
      </c>
      <c r="F1893" t="s">
        <v>515</v>
      </c>
      <c r="G1893">
        <v>160.69999999999999</v>
      </c>
    </row>
    <row r="1894" spans="2:7" hidden="1">
      <c r="B1894" s="43">
        <v>44406</v>
      </c>
      <c r="C1894" t="s">
        <v>155</v>
      </c>
      <c r="D1894" s="48">
        <v>44434</v>
      </c>
      <c r="E1894">
        <v>820</v>
      </c>
      <c r="F1894" t="s">
        <v>514</v>
      </c>
      <c r="G1894">
        <v>11.45</v>
      </c>
    </row>
    <row r="1895" spans="2:7">
      <c r="B1895" s="43">
        <v>44406</v>
      </c>
      <c r="C1895" t="s">
        <v>155</v>
      </c>
      <c r="D1895" s="48">
        <v>44434</v>
      </c>
      <c r="E1895">
        <v>820</v>
      </c>
      <c r="F1895" t="s">
        <v>515</v>
      </c>
      <c r="G1895">
        <v>160.69999999999999</v>
      </c>
    </row>
    <row r="1896" spans="2:7" hidden="1">
      <c r="B1896" s="43">
        <v>44407</v>
      </c>
      <c r="C1896" t="s">
        <v>155</v>
      </c>
      <c r="D1896" s="48">
        <v>44434</v>
      </c>
      <c r="E1896">
        <v>820</v>
      </c>
      <c r="F1896" t="s">
        <v>514</v>
      </c>
      <c r="G1896">
        <v>7.7</v>
      </c>
    </row>
    <row r="1897" spans="2:7">
      <c r="B1897" s="43">
        <v>44407</v>
      </c>
      <c r="C1897" t="s">
        <v>155</v>
      </c>
      <c r="D1897" s="48">
        <v>44434</v>
      </c>
      <c r="E1897">
        <v>820</v>
      </c>
      <c r="F1897" t="s">
        <v>515</v>
      </c>
      <c r="G1897">
        <v>160.69999999999999</v>
      </c>
    </row>
    <row r="1898" spans="2:7" hidden="1">
      <c r="B1898" s="43">
        <v>44404</v>
      </c>
      <c r="C1898" t="s">
        <v>155</v>
      </c>
      <c r="D1898" s="48">
        <v>44434</v>
      </c>
      <c r="E1898">
        <v>830</v>
      </c>
      <c r="F1898" t="s">
        <v>514</v>
      </c>
      <c r="G1898">
        <v>4.5</v>
      </c>
    </row>
    <row r="1899" spans="2:7">
      <c r="B1899" s="43">
        <v>44404</v>
      </c>
      <c r="C1899" t="s">
        <v>155</v>
      </c>
      <c r="D1899" s="48">
        <v>44434</v>
      </c>
      <c r="E1899">
        <v>830</v>
      </c>
      <c r="F1899" t="s">
        <v>515</v>
      </c>
      <c r="G1899">
        <v>168.55</v>
      </c>
    </row>
    <row r="1900" spans="2:7" hidden="1">
      <c r="B1900" s="43">
        <v>44405</v>
      </c>
      <c r="C1900" t="s">
        <v>155</v>
      </c>
      <c r="D1900" s="48">
        <v>44434</v>
      </c>
      <c r="E1900">
        <v>830</v>
      </c>
      <c r="F1900" t="s">
        <v>514</v>
      </c>
      <c r="G1900">
        <v>4.6500000000000004</v>
      </c>
    </row>
    <row r="1901" spans="2:7">
      <c r="B1901" s="43">
        <v>44405</v>
      </c>
      <c r="C1901" t="s">
        <v>155</v>
      </c>
      <c r="D1901" s="48">
        <v>44434</v>
      </c>
      <c r="E1901">
        <v>830</v>
      </c>
      <c r="F1901" t="s">
        <v>515</v>
      </c>
      <c r="G1901">
        <v>168.55</v>
      </c>
    </row>
    <row r="1902" spans="2:7" hidden="1">
      <c r="B1902" s="43">
        <v>44406</v>
      </c>
      <c r="C1902" t="s">
        <v>155</v>
      </c>
      <c r="D1902" s="48">
        <v>44434</v>
      </c>
      <c r="E1902">
        <v>830</v>
      </c>
      <c r="F1902" t="s">
        <v>514</v>
      </c>
      <c r="G1902">
        <v>9.9</v>
      </c>
    </row>
    <row r="1903" spans="2:7">
      <c r="B1903" s="43">
        <v>44406</v>
      </c>
      <c r="C1903" t="s">
        <v>155</v>
      </c>
      <c r="D1903" s="48">
        <v>44434</v>
      </c>
      <c r="E1903">
        <v>830</v>
      </c>
      <c r="F1903" t="s">
        <v>515</v>
      </c>
      <c r="G1903">
        <v>168.55</v>
      </c>
    </row>
    <row r="1904" spans="2:7" hidden="1">
      <c r="B1904" s="43">
        <v>44407</v>
      </c>
      <c r="C1904" t="s">
        <v>155</v>
      </c>
      <c r="D1904" s="48">
        <v>44434</v>
      </c>
      <c r="E1904">
        <v>830</v>
      </c>
      <c r="F1904" t="s">
        <v>514</v>
      </c>
      <c r="G1904">
        <v>6.5</v>
      </c>
    </row>
    <row r="1905" spans="2:7">
      <c r="B1905" s="43">
        <v>44407</v>
      </c>
      <c r="C1905" t="s">
        <v>155</v>
      </c>
      <c r="D1905" s="48">
        <v>44434</v>
      </c>
      <c r="E1905">
        <v>830</v>
      </c>
      <c r="F1905" t="s">
        <v>515</v>
      </c>
      <c r="G1905">
        <v>168.55</v>
      </c>
    </row>
    <row r="1906" spans="2:7" hidden="1">
      <c r="B1906" s="43">
        <v>44404</v>
      </c>
      <c r="C1906" t="s">
        <v>155</v>
      </c>
      <c r="D1906" s="48">
        <v>44434</v>
      </c>
      <c r="E1906">
        <v>840</v>
      </c>
      <c r="F1906" t="s">
        <v>514</v>
      </c>
      <c r="G1906">
        <v>3</v>
      </c>
    </row>
    <row r="1907" spans="2:7">
      <c r="B1907" s="43">
        <v>44404</v>
      </c>
      <c r="C1907" t="s">
        <v>155</v>
      </c>
      <c r="D1907" s="48">
        <v>44434</v>
      </c>
      <c r="E1907">
        <v>840</v>
      </c>
      <c r="F1907" t="s">
        <v>515</v>
      </c>
      <c r="G1907">
        <v>176.55</v>
      </c>
    </row>
    <row r="1908" spans="2:7" hidden="1">
      <c r="B1908" s="43">
        <v>44405</v>
      </c>
      <c r="C1908" t="s">
        <v>155</v>
      </c>
      <c r="D1908" s="48">
        <v>44434</v>
      </c>
      <c r="E1908">
        <v>840</v>
      </c>
      <c r="F1908" t="s">
        <v>514</v>
      </c>
      <c r="G1908">
        <v>2.4</v>
      </c>
    </row>
    <row r="1909" spans="2:7">
      <c r="B1909" s="43">
        <v>44405</v>
      </c>
      <c r="C1909" t="s">
        <v>155</v>
      </c>
      <c r="D1909" s="48">
        <v>44434</v>
      </c>
      <c r="E1909">
        <v>840</v>
      </c>
      <c r="F1909" t="s">
        <v>515</v>
      </c>
      <c r="G1909">
        <v>176.55</v>
      </c>
    </row>
    <row r="1910" spans="2:7" hidden="1">
      <c r="B1910" s="43">
        <v>44406</v>
      </c>
      <c r="C1910" t="s">
        <v>155</v>
      </c>
      <c r="D1910" s="48">
        <v>44434</v>
      </c>
      <c r="E1910">
        <v>840</v>
      </c>
      <c r="F1910" t="s">
        <v>514</v>
      </c>
      <c r="G1910">
        <v>8.6</v>
      </c>
    </row>
    <row r="1911" spans="2:7">
      <c r="B1911" s="43">
        <v>44406</v>
      </c>
      <c r="C1911" t="s">
        <v>155</v>
      </c>
      <c r="D1911" s="48">
        <v>44434</v>
      </c>
      <c r="E1911">
        <v>840</v>
      </c>
      <c r="F1911" t="s">
        <v>515</v>
      </c>
      <c r="G1911">
        <v>176.55</v>
      </c>
    </row>
    <row r="1912" spans="2:7" hidden="1">
      <c r="B1912" s="43">
        <v>44407</v>
      </c>
      <c r="C1912" t="s">
        <v>155</v>
      </c>
      <c r="D1912" s="48">
        <v>44434</v>
      </c>
      <c r="E1912">
        <v>840</v>
      </c>
      <c r="F1912" t="s">
        <v>514</v>
      </c>
      <c r="G1912">
        <v>5.65</v>
      </c>
    </row>
    <row r="1913" spans="2:7">
      <c r="B1913" s="43">
        <v>44407</v>
      </c>
      <c r="C1913" t="s">
        <v>155</v>
      </c>
      <c r="D1913" s="48">
        <v>44434</v>
      </c>
      <c r="E1913">
        <v>840</v>
      </c>
      <c r="F1913" t="s">
        <v>515</v>
      </c>
      <c r="G1913">
        <v>176.55</v>
      </c>
    </row>
    <row r="1914" spans="2:7" hidden="1">
      <c r="B1914" s="43">
        <v>44404</v>
      </c>
      <c r="C1914" t="s">
        <v>155</v>
      </c>
      <c r="D1914" s="48">
        <v>44434</v>
      </c>
      <c r="E1914">
        <v>850</v>
      </c>
      <c r="F1914" t="s">
        <v>514</v>
      </c>
      <c r="G1914">
        <v>2.8</v>
      </c>
    </row>
    <row r="1915" spans="2:7">
      <c r="B1915" s="43">
        <v>44404</v>
      </c>
      <c r="C1915" t="s">
        <v>155</v>
      </c>
      <c r="D1915" s="48">
        <v>44434</v>
      </c>
      <c r="E1915">
        <v>850</v>
      </c>
      <c r="F1915" t="s">
        <v>515</v>
      </c>
      <c r="G1915">
        <v>184.65</v>
      </c>
    </row>
    <row r="1916" spans="2:7" hidden="1">
      <c r="B1916" s="43">
        <v>44405</v>
      </c>
      <c r="C1916" t="s">
        <v>155</v>
      </c>
      <c r="D1916" s="48">
        <v>44434</v>
      </c>
      <c r="E1916">
        <v>850</v>
      </c>
      <c r="F1916" t="s">
        <v>514</v>
      </c>
      <c r="G1916">
        <v>3.3</v>
      </c>
    </row>
    <row r="1917" spans="2:7">
      <c r="B1917" s="43">
        <v>44405</v>
      </c>
      <c r="C1917" t="s">
        <v>155</v>
      </c>
      <c r="D1917" s="48">
        <v>44434</v>
      </c>
      <c r="E1917">
        <v>850</v>
      </c>
      <c r="F1917" t="s">
        <v>515</v>
      </c>
      <c r="G1917">
        <v>184.65</v>
      </c>
    </row>
    <row r="1918" spans="2:7" hidden="1">
      <c r="B1918" s="43">
        <v>44406</v>
      </c>
      <c r="C1918" t="s">
        <v>155</v>
      </c>
      <c r="D1918" s="48">
        <v>44434</v>
      </c>
      <c r="E1918">
        <v>850</v>
      </c>
      <c r="F1918" t="s">
        <v>514</v>
      </c>
      <c r="G1918">
        <v>7.7</v>
      </c>
    </row>
    <row r="1919" spans="2:7">
      <c r="B1919" s="43">
        <v>44406</v>
      </c>
      <c r="C1919" t="s">
        <v>155</v>
      </c>
      <c r="D1919" s="48">
        <v>44434</v>
      </c>
      <c r="E1919">
        <v>850</v>
      </c>
      <c r="F1919" t="s">
        <v>515</v>
      </c>
      <c r="G1919">
        <v>100</v>
      </c>
    </row>
    <row r="1920" spans="2:7" hidden="1">
      <c r="B1920" s="43">
        <v>44407</v>
      </c>
      <c r="C1920" t="s">
        <v>155</v>
      </c>
      <c r="D1920" s="48">
        <v>44434</v>
      </c>
      <c r="E1920">
        <v>850</v>
      </c>
      <c r="F1920" t="s">
        <v>514</v>
      </c>
      <c r="G1920">
        <v>4.9000000000000004</v>
      </c>
    </row>
    <row r="1921" spans="2:7">
      <c r="B1921" s="43">
        <v>44407</v>
      </c>
      <c r="C1921" t="s">
        <v>155</v>
      </c>
      <c r="D1921" s="48">
        <v>44434</v>
      </c>
      <c r="E1921">
        <v>850</v>
      </c>
      <c r="F1921" t="s">
        <v>515</v>
      </c>
      <c r="G1921">
        <v>100</v>
      </c>
    </row>
    <row r="1922" spans="2:7" hidden="1">
      <c r="B1922" s="43">
        <v>44404</v>
      </c>
      <c r="C1922" t="s">
        <v>155</v>
      </c>
      <c r="D1922" s="48">
        <v>44434</v>
      </c>
      <c r="E1922">
        <v>860</v>
      </c>
      <c r="F1922" t="s">
        <v>514</v>
      </c>
      <c r="G1922">
        <v>22.7</v>
      </c>
    </row>
    <row r="1923" spans="2:7">
      <c r="B1923" s="43">
        <v>44404</v>
      </c>
      <c r="C1923" t="s">
        <v>155</v>
      </c>
      <c r="D1923" s="48">
        <v>44434</v>
      </c>
      <c r="E1923">
        <v>860</v>
      </c>
      <c r="F1923" t="s">
        <v>515</v>
      </c>
      <c r="G1923">
        <v>192.8</v>
      </c>
    </row>
    <row r="1924" spans="2:7" hidden="1">
      <c r="B1924" s="43">
        <v>44405</v>
      </c>
      <c r="C1924" t="s">
        <v>155</v>
      </c>
      <c r="D1924" s="48">
        <v>44434</v>
      </c>
      <c r="E1924">
        <v>860</v>
      </c>
      <c r="F1924" t="s">
        <v>514</v>
      </c>
      <c r="G1924">
        <v>22.7</v>
      </c>
    </row>
    <row r="1925" spans="2:7">
      <c r="B1925" s="43">
        <v>44405</v>
      </c>
      <c r="C1925" t="s">
        <v>155</v>
      </c>
      <c r="D1925" s="48">
        <v>44434</v>
      </c>
      <c r="E1925">
        <v>860</v>
      </c>
      <c r="F1925" t="s">
        <v>515</v>
      </c>
      <c r="G1925">
        <v>192.8</v>
      </c>
    </row>
    <row r="1926" spans="2:7" hidden="1">
      <c r="B1926" s="43">
        <v>44406</v>
      </c>
      <c r="C1926" t="s">
        <v>155</v>
      </c>
      <c r="D1926" s="48">
        <v>44434</v>
      </c>
      <c r="E1926">
        <v>860</v>
      </c>
      <c r="F1926" t="s">
        <v>514</v>
      </c>
      <c r="G1926">
        <v>6.5</v>
      </c>
    </row>
    <row r="1927" spans="2:7">
      <c r="B1927" s="43">
        <v>44406</v>
      </c>
      <c r="C1927" t="s">
        <v>155</v>
      </c>
      <c r="D1927" s="48">
        <v>44434</v>
      </c>
      <c r="E1927">
        <v>860</v>
      </c>
      <c r="F1927" t="s">
        <v>515</v>
      </c>
      <c r="G1927">
        <v>192.8</v>
      </c>
    </row>
    <row r="1928" spans="2:7" hidden="1">
      <c r="B1928" s="43">
        <v>44407</v>
      </c>
      <c r="C1928" t="s">
        <v>155</v>
      </c>
      <c r="D1928" s="48">
        <v>44434</v>
      </c>
      <c r="E1928">
        <v>860</v>
      </c>
      <c r="F1928" t="s">
        <v>514</v>
      </c>
      <c r="G1928">
        <v>4.0999999999999996</v>
      </c>
    </row>
    <row r="1929" spans="2:7">
      <c r="B1929" s="43">
        <v>44407</v>
      </c>
      <c r="C1929" t="s">
        <v>155</v>
      </c>
      <c r="D1929" s="48">
        <v>44434</v>
      </c>
      <c r="E1929">
        <v>860</v>
      </c>
      <c r="F1929" t="s">
        <v>515</v>
      </c>
      <c r="G1929">
        <v>192.8</v>
      </c>
    </row>
    <row r="1930" spans="2:7" hidden="1">
      <c r="B1930" s="43">
        <v>44404</v>
      </c>
      <c r="C1930" t="s">
        <v>155</v>
      </c>
      <c r="D1930" s="48">
        <v>44434</v>
      </c>
      <c r="E1930">
        <v>870</v>
      </c>
      <c r="F1930" t="s">
        <v>514</v>
      </c>
      <c r="G1930">
        <v>21.1</v>
      </c>
    </row>
    <row r="1931" spans="2:7">
      <c r="B1931" s="43">
        <v>44404</v>
      </c>
      <c r="C1931" t="s">
        <v>155</v>
      </c>
      <c r="D1931" s="48">
        <v>44434</v>
      </c>
      <c r="E1931">
        <v>870</v>
      </c>
      <c r="F1931" t="s">
        <v>515</v>
      </c>
      <c r="G1931">
        <v>201.15</v>
      </c>
    </row>
    <row r="1932" spans="2:7" hidden="1">
      <c r="B1932" s="43">
        <v>44405</v>
      </c>
      <c r="C1932" t="s">
        <v>155</v>
      </c>
      <c r="D1932" s="48">
        <v>44434</v>
      </c>
      <c r="E1932">
        <v>870</v>
      </c>
      <c r="F1932" t="s">
        <v>514</v>
      </c>
      <c r="G1932">
        <v>21.1</v>
      </c>
    </row>
    <row r="1933" spans="2:7">
      <c r="B1933" s="43">
        <v>44405</v>
      </c>
      <c r="C1933" t="s">
        <v>155</v>
      </c>
      <c r="D1933" s="48">
        <v>44434</v>
      </c>
      <c r="E1933">
        <v>870</v>
      </c>
      <c r="F1933" t="s">
        <v>515</v>
      </c>
      <c r="G1933">
        <v>201.15</v>
      </c>
    </row>
    <row r="1934" spans="2:7" hidden="1">
      <c r="B1934" s="43">
        <v>44406</v>
      </c>
      <c r="C1934" t="s">
        <v>155</v>
      </c>
      <c r="D1934" s="48">
        <v>44434</v>
      </c>
      <c r="E1934">
        <v>870</v>
      </c>
      <c r="F1934" t="s">
        <v>514</v>
      </c>
      <c r="G1934">
        <v>6</v>
      </c>
    </row>
    <row r="1935" spans="2:7">
      <c r="B1935" s="43">
        <v>44406</v>
      </c>
      <c r="C1935" t="s">
        <v>155</v>
      </c>
      <c r="D1935" s="48">
        <v>44434</v>
      </c>
      <c r="E1935">
        <v>870</v>
      </c>
      <c r="F1935" t="s">
        <v>515</v>
      </c>
      <c r="G1935">
        <v>201.15</v>
      </c>
    </row>
    <row r="1936" spans="2:7" hidden="1">
      <c r="B1936" s="43">
        <v>44407</v>
      </c>
      <c r="C1936" t="s">
        <v>155</v>
      </c>
      <c r="D1936" s="48">
        <v>44434</v>
      </c>
      <c r="E1936">
        <v>870</v>
      </c>
      <c r="F1936" t="s">
        <v>514</v>
      </c>
      <c r="G1936">
        <v>3.65</v>
      </c>
    </row>
    <row r="1937" spans="2:7">
      <c r="B1937" s="43">
        <v>44407</v>
      </c>
      <c r="C1937" t="s">
        <v>155</v>
      </c>
      <c r="D1937" s="48">
        <v>44434</v>
      </c>
      <c r="E1937">
        <v>870</v>
      </c>
      <c r="F1937" t="s">
        <v>515</v>
      </c>
      <c r="G1937">
        <v>201.15</v>
      </c>
    </row>
    <row r="1938" spans="2:7" hidden="1">
      <c r="B1938" s="43">
        <v>44404</v>
      </c>
      <c r="C1938" t="s">
        <v>155</v>
      </c>
      <c r="D1938" s="48">
        <v>44434</v>
      </c>
      <c r="E1938">
        <v>880</v>
      </c>
      <c r="F1938" t="s">
        <v>514</v>
      </c>
      <c r="G1938">
        <v>19.600000000000001</v>
      </c>
    </row>
    <row r="1939" spans="2:7">
      <c r="B1939" s="43">
        <v>44404</v>
      </c>
      <c r="C1939" t="s">
        <v>155</v>
      </c>
      <c r="D1939" s="48">
        <v>44434</v>
      </c>
      <c r="E1939">
        <v>880</v>
      </c>
      <c r="F1939" t="s">
        <v>515</v>
      </c>
      <c r="G1939">
        <v>209.55</v>
      </c>
    </row>
    <row r="1940" spans="2:7" hidden="1">
      <c r="B1940" s="43">
        <v>44405</v>
      </c>
      <c r="C1940" t="s">
        <v>155</v>
      </c>
      <c r="D1940" s="48">
        <v>44434</v>
      </c>
      <c r="E1940">
        <v>880</v>
      </c>
      <c r="F1940" t="s">
        <v>514</v>
      </c>
      <c r="G1940">
        <v>19.600000000000001</v>
      </c>
    </row>
    <row r="1941" spans="2:7">
      <c r="B1941" s="43">
        <v>44405</v>
      </c>
      <c r="C1941" t="s">
        <v>155</v>
      </c>
      <c r="D1941" s="48">
        <v>44434</v>
      </c>
      <c r="E1941">
        <v>880</v>
      </c>
      <c r="F1941" t="s">
        <v>515</v>
      </c>
      <c r="G1941">
        <v>209.55</v>
      </c>
    </row>
    <row r="1942" spans="2:7" hidden="1">
      <c r="B1942" s="43">
        <v>44406</v>
      </c>
      <c r="C1942" t="s">
        <v>155</v>
      </c>
      <c r="D1942" s="48">
        <v>44434</v>
      </c>
      <c r="E1942">
        <v>880</v>
      </c>
      <c r="F1942" t="s">
        <v>514</v>
      </c>
      <c r="G1942">
        <v>4.8499999999999996</v>
      </c>
    </row>
    <row r="1943" spans="2:7">
      <c r="B1943" s="43">
        <v>44406</v>
      </c>
      <c r="C1943" t="s">
        <v>155</v>
      </c>
      <c r="D1943" s="48">
        <v>44434</v>
      </c>
      <c r="E1943">
        <v>880</v>
      </c>
      <c r="F1943" t="s">
        <v>515</v>
      </c>
      <c r="G1943">
        <v>209.55</v>
      </c>
    </row>
    <row r="1944" spans="2:7" hidden="1">
      <c r="B1944" s="43">
        <v>44407</v>
      </c>
      <c r="C1944" t="s">
        <v>155</v>
      </c>
      <c r="D1944" s="48">
        <v>44434</v>
      </c>
      <c r="E1944">
        <v>880</v>
      </c>
      <c r="F1944" t="s">
        <v>514</v>
      </c>
      <c r="G1944">
        <v>3.15</v>
      </c>
    </row>
    <row r="1945" spans="2:7">
      <c r="B1945" s="43">
        <v>44407</v>
      </c>
      <c r="C1945" t="s">
        <v>155</v>
      </c>
      <c r="D1945" s="48">
        <v>44434</v>
      </c>
      <c r="E1945">
        <v>880</v>
      </c>
      <c r="F1945" t="s">
        <v>515</v>
      </c>
      <c r="G1945">
        <v>209.55</v>
      </c>
    </row>
    <row r="1946" spans="2:7" hidden="1">
      <c r="B1946" s="43">
        <v>44407</v>
      </c>
      <c r="C1946" t="s">
        <v>155</v>
      </c>
      <c r="D1946" s="48">
        <v>44434</v>
      </c>
      <c r="E1946">
        <v>890</v>
      </c>
      <c r="F1946" t="s">
        <v>514</v>
      </c>
      <c r="G1946">
        <v>2.65</v>
      </c>
    </row>
    <row r="1947" spans="2:7">
      <c r="B1947" s="43">
        <v>44407</v>
      </c>
      <c r="C1947" t="s">
        <v>155</v>
      </c>
      <c r="D1947" s="48">
        <v>44434</v>
      </c>
      <c r="E1947">
        <v>890</v>
      </c>
      <c r="F1947" t="s">
        <v>515</v>
      </c>
      <c r="G1947">
        <v>218.05</v>
      </c>
    </row>
    <row r="1948" spans="2:7" hidden="1">
      <c r="B1948" s="43">
        <v>44407</v>
      </c>
      <c r="C1948" t="s">
        <v>155</v>
      </c>
      <c r="D1948" s="48">
        <v>44434</v>
      </c>
      <c r="E1948">
        <v>900</v>
      </c>
      <c r="F1948" t="s">
        <v>514</v>
      </c>
      <c r="G1948">
        <v>2.4500000000000002</v>
      </c>
    </row>
    <row r="1949" spans="2:7">
      <c r="B1949" s="43">
        <v>44407</v>
      </c>
      <c r="C1949" t="s">
        <v>155</v>
      </c>
      <c r="D1949" s="48">
        <v>44434</v>
      </c>
      <c r="E1949">
        <v>900</v>
      </c>
      <c r="F1949" t="s">
        <v>515</v>
      </c>
      <c r="G1949">
        <v>226.7</v>
      </c>
    </row>
    <row r="1950" spans="2:7" hidden="1">
      <c r="B1950" s="43">
        <v>44404</v>
      </c>
      <c r="C1950" t="s">
        <v>155</v>
      </c>
      <c r="D1950" s="48">
        <v>44469</v>
      </c>
      <c r="E1950">
        <v>0</v>
      </c>
      <c r="F1950" t="s">
        <v>516</v>
      </c>
      <c r="G1950">
        <v>715.25</v>
      </c>
    </row>
    <row r="1951" spans="2:7" hidden="1">
      <c r="B1951" s="43">
        <v>44405</v>
      </c>
      <c r="C1951" t="s">
        <v>155</v>
      </c>
      <c r="D1951" s="48">
        <v>44469</v>
      </c>
      <c r="E1951">
        <v>0</v>
      </c>
      <c r="F1951" t="s">
        <v>516</v>
      </c>
      <c r="G1951">
        <v>727.85</v>
      </c>
    </row>
    <row r="1952" spans="2:7" hidden="1">
      <c r="B1952" s="43">
        <v>44406</v>
      </c>
      <c r="C1952" t="s">
        <v>155</v>
      </c>
      <c r="D1952" s="48">
        <v>44469</v>
      </c>
      <c r="E1952">
        <v>0</v>
      </c>
      <c r="F1952" t="s">
        <v>516</v>
      </c>
      <c r="G1952">
        <v>753.35</v>
      </c>
    </row>
    <row r="1953" spans="2:7" hidden="1">
      <c r="B1953" s="43">
        <v>44407</v>
      </c>
      <c r="C1953" t="s">
        <v>155</v>
      </c>
      <c r="D1953" s="48">
        <v>44469</v>
      </c>
      <c r="E1953">
        <v>0</v>
      </c>
      <c r="F1953" t="s">
        <v>516</v>
      </c>
      <c r="G1953">
        <v>742.3</v>
      </c>
    </row>
    <row r="1954" spans="2:7" hidden="1">
      <c r="B1954" s="43">
        <v>44410</v>
      </c>
      <c r="C1954" t="s">
        <v>155</v>
      </c>
      <c r="D1954" s="48">
        <v>44469</v>
      </c>
      <c r="E1954">
        <v>0</v>
      </c>
      <c r="F1954" t="s">
        <v>516</v>
      </c>
      <c r="G1954">
        <v>750.95</v>
      </c>
    </row>
    <row r="1955" spans="2:7" hidden="1">
      <c r="B1955" s="43">
        <v>44404</v>
      </c>
      <c r="C1955" t="s">
        <v>155</v>
      </c>
      <c r="D1955" s="48">
        <v>44469</v>
      </c>
      <c r="E1955">
        <v>520</v>
      </c>
      <c r="F1955" t="s">
        <v>514</v>
      </c>
      <c r="G1955">
        <v>176.55</v>
      </c>
    </row>
    <row r="1956" spans="2:7">
      <c r="B1956" s="43">
        <v>44404</v>
      </c>
      <c r="C1956" t="s">
        <v>155</v>
      </c>
      <c r="D1956" s="48">
        <v>44469</v>
      </c>
      <c r="E1956">
        <v>520</v>
      </c>
      <c r="F1956" t="s">
        <v>515</v>
      </c>
      <c r="G1956">
        <v>12.3</v>
      </c>
    </row>
    <row r="1957" spans="2:7" hidden="1">
      <c r="B1957" s="43">
        <v>44405</v>
      </c>
      <c r="C1957" t="s">
        <v>155</v>
      </c>
      <c r="D1957" s="48">
        <v>44469</v>
      </c>
      <c r="E1957">
        <v>520</v>
      </c>
      <c r="F1957" t="s">
        <v>514</v>
      </c>
      <c r="G1957">
        <v>176.55</v>
      </c>
    </row>
    <row r="1958" spans="2:7">
      <c r="B1958" s="43">
        <v>44405</v>
      </c>
      <c r="C1958" t="s">
        <v>155</v>
      </c>
      <c r="D1958" s="48">
        <v>44469</v>
      </c>
      <c r="E1958">
        <v>520</v>
      </c>
      <c r="F1958" t="s">
        <v>515</v>
      </c>
      <c r="G1958">
        <v>12.3</v>
      </c>
    </row>
    <row r="1959" spans="2:7" hidden="1">
      <c r="B1959" s="43">
        <v>44406</v>
      </c>
      <c r="C1959" t="s">
        <v>155</v>
      </c>
      <c r="D1959" s="48">
        <v>44469</v>
      </c>
      <c r="E1959">
        <v>520</v>
      </c>
      <c r="F1959" t="s">
        <v>514</v>
      </c>
      <c r="G1959">
        <v>176.55</v>
      </c>
    </row>
    <row r="1960" spans="2:7">
      <c r="B1960" s="43">
        <v>44406</v>
      </c>
      <c r="C1960" t="s">
        <v>155</v>
      </c>
      <c r="D1960" s="48">
        <v>44469</v>
      </c>
      <c r="E1960">
        <v>520</v>
      </c>
      <c r="F1960" t="s">
        <v>515</v>
      </c>
      <c r="G1960">
        <v>12.3</v>
      </c>
    </row>
    <row r="1961" spans="2:7" hidden="1">
      <c r="B1961" s="43">
        <v>44407</v>
      </c>
      <c r="C1961" t="s">
        <v>155</v>
      </c>
      <c r="D1961" s="48">
        <v>44469</v>
      </c>
      <c r="E1961">
        <v>520</v>
      </c>
      <c r="F1961" t="s">
        <v>514</v>
      </c>
      <c r="G1961">
        <v>176.55</v>
      </c>
    </row>
    <row r="1962" spans="2:7">
      <c r="B1962" s="43">
        <v>44407</v>
      </c>
      <c r="C1962" t="s">
        <v>155</v>
      </c>
      <c r="D1962" s="48">
        <v>44469</v>
      </c>
      <c r="E1962">
        <v>520</v>
      </c>
      <c r="F1962" t="s">
        <v>515</v>
      </c>
      <c r="G1962">
        <v>12.3</v>
      </c>
    </row>
    <row r="1963" spans="2:7" hidden="1">
      <c r="B1963" s="43">
        <v>44404</v>
      </c>
      <c r="C1963" t="s">
        <v>155</v>
      </c>
      <c r="D1963" s="48">
        <v>44469</v>
      </c>
      <c r="E1963">
        <v>530</v>
      </c>
      <c r="F1963" t="s">
        <v>514</v>
      </c>
      <c r="G1963">
        <v>168.6</v>
      </c>
    </row>
    <row r="1964" spans="2:7">
      <c r="B1964" s="43">
        <v>44404</v>
      </c>
      <c r="C1964" t="s">
        <v>155</v>
      </c>
      <c r="D1964" s="48">
        <v>44469</v>
      </c>
      <c r="E1964">
        <v>530</v>
      </c>
      <c r="F1964" t="s">
        <v>515</v>
      </c>
      <c r="G1964">
        <v>14.25</v>
      </c>
    </row>
    <row r="1965" spans="2:7" hidden="1">
      <c r="B1965" s="43">
        <v>44405</v>
      </c>
      <c r="C1965" t="s">
        <v>155</v>
      </c>
      <c r="D1965" s="48">
        <v>44469</v>
      </c>
      <c r="E1965">
        <v>530</v>
      </c>
      <c r="F1965" t="s">
        <v>514</v>
      </c>
      <c r="G1965">
        <v>168.6</v>
      </c>
    </row>
    <row r="1966" spans="2:7">
      <c r="B1966" s="43">
        <v>44405</v>
      </c>
      <c r="C1966" t="s">
        <v>155</v>
      </c>
      <c r="D1966" s="48">
        <v>44469</v>
      </c>
      <c r="E1966">
        <v>530</v>
      </c>
      <c r="F1966" t="s">
        <v>515</v>
      </c>
      <c r="G1966">
        <v>14.25</v>
      </c>
    </row>
    <row r="1967" spans="2:7" hidden="1">
      <c r="B1967" s="43">
        <v>44406</v>
      </c>
      <c r="C1967" t="s">
        <v>155</v>
      </c>
      <c r="D1967" s="48">
        <v>44469</v>
      </c>
      <c r="E1967">
        <v>530</v>
      </c>
      <c r="F1967" t="s">
        <v>514</v>
      </c>
      <c r="G1967">
        <v>168.6</v>
      </c>
    </row>
    <row r="1968" spans="2:7">
      <c r="B1968" s="43">
        <v>44406</v>
      </c>
      <c r="C1968" t="s">
        <v>155</v>
      </c>
      <c r="D1968" s="48">
        <v>44469</v>
      </c>
      <c r="E1968">
        <v>530</v>
      </c>
      <c r="F1968" t="s">
        <v>515</v>
      </c>
      <c r="G1968">
        <v>14.25</v>
      </c>
    </row>
    <row r="1969" spans="2:7" hidden="1">
      <c r="B1969" s="43">
        <v>44407</v>
      </c>
      <c r="C1969" t="s">
        <v>155</v>
      </c>
      <c r="D1969" s="48">
        <v>44469</v>
      </c>
      <c r="E1969">
        <v>530</v>
      </c>
      <c r="F1969" t="s">
        <v>514</v>
      </c>
      <c r="G1969">
        <v>168.6</v>
      </c>
    </row>
    <row r="1970" spans="2:7">
      <c r="B1970" s="43">
        <v>44407</v>
      </c>
      <c r="C1970" t="s">
        <v>155</v>
      </c>
      <c r="D1970" s="48">
        <v>44469</v>
      </c>
      <c r="E1970">
        <v>530</v>
      </c>
      <c r="F1970" t="s">
        <v>515</v>
      </c>
      <c r="G1970">
        <v>14.25</v>
      </c>
    </row>
    <row r="1971" spans="2:7" hidden="1">
      <c r="B1971" s="43">
        <v>44404</v>
      </c>
      <c r="C1971" t="s">
        <v>155</v>
      </c>
      <c r="D1971" s="48">
        <v>44469</v>
      </c>
      <c r="E1971">
        <v>540</v>
      </c>
      <c r="F1971" t="s">
        <v>514</v>
      </c>
      <c r="G1971">
        <v>160.80000000000001</v>
      </c>
    </row>
    <row r="1972" spans="2:7">
      <c r="B1972" s="43">
        <v>44404</v>
      </c>
      <c r="C1972" t="s">
        <v>155</v>
      </c>
      <c r="D1972" s="48">
        <v>44469</v>
      </c>
      <c r="E1972">
        <v>540</v>
      </c>
      <c r="F1972" t="s">
        <v>515</v>
      </c>
      <c r="G1972">
        <v>16.350000000000001</v>
      </c>
    </row>
    <row r="1973" spans="2:7" hidden="1">
      <c r="B1973" s="43">
        <v>44405</v>
      </c>
      <c r="C1973" t="s">
        <v>155</v>
      </c>
      <c r="D1973" s="48">
        <v>44469</v>
      </c>
      <c r="E1973">
        <v>540</v>
      </c>
      <c r="F1973" t="s">
        <v>514</v>
      </c>
      <c r="G1973">
        <v>160.80000000000001</v>
      </c>
    </row>
    <row r="1974" spans="2:7">
      <c r="B1974" s="43">
        <v>44405</v>
      </c>
      <c r="C1974" t="s">
        <v>155</v>
      </c>
      <c r="D1974" s="48">
        <v>44469</v>
      </c>
      <c r="E1974">
        <v>540</v>
      </c>
      <c r="F1974" t="s">
        <v>515</v>
      </c>
      <c r="G1974">
        <v>16.350000000000001</v>
      </c>
    </row>
    <row r="1975" spans="2:7" hidden="1">
      <c r="B1975" s="43">
        <v>44406</v>
      </c>
      <c r="C1975" t="s">
        <v>155</v>
      </c>
      <c r="D1975" s="48">
        <v>44469</v>
      </c>
      <c r="E1975">
        <v>540</v>
      </c>
      <c r="F1975" t="s">
        <v>514</v>
      </c>
      <c r="G1975">
        <v>160.80000000000001</v>
      </c>
    </row>
    <row r="1976" spans="2:7">
      <c r="B1976" s="43">
        <v>44406</v>
      </c>
      <c r="C1976" t="s">
        <v>155</v>
      </c>
      <c r="D1976" s="48">
        <v>44469</v>
      </c>
      <c r="E1976">
        <v>540</v>
      </c>
      <c r="F1976" t="s">
        <v>515</v>
      </c>
      <c r="G1976">
        <v>16.350000000000001</v>
      </c>
    </row>
    <row r="1977" spans="2:7" hidden="1">
      <c r="B1977" s="43">
        <v>44407</v>
      </c>
      <c r="C1977" t="s">
        <v>155</v>
      </c>
      <c r="D1977" s="48">
        <v>44469</v>
      </c>
      <c r="E1977">
        <v>540</v>
      </c>
      <c r="F1977" t="s">
        <v>514</v>
      </c>
      <c r="G1977">
        <v>160.80000000000001</v>
      </c>
    </row>
    <row r="1978" spans="2:7">
      <c r="B1978" s="43">
        <v>44407</v>
      </c>
      <c r="C1978" t="s">
        <v>155</v>
      </c>
      <c r="D1978" s="48">
        <v>44469</v>
      </c>
      <c r="E1978">
        <v>540</v>
      </c>
      <c r="F1978" t="s">
        <v>515</v>
      </c>
      <c r="G1978">
        <v>16.350000000000001</v>
      </c>
    </row>
    <row r="1979" spans="2:7" hidden="1">
      <c r="B1979" s="43">
        <v>44404</v>
      </c>
      <c r="C1979" t="s">
        <v>155</v>
      </c>
      <c r="D1979" s="48">
        <v>44469</v>
      </c>
      <c r="E1979">
        <v>550</v>
      </c>
      <c r="F1979" t="s">
        <v>514</v>
      </c>
      <c r="G1979">
        <v>153.19999999999999</v>
      </c>
    </row>
    <row r="1980" spans="2:7">
      <c r="B1980" s="43">
        <v>44404</v>
      </c>
      <c r="C1980" t="s">
        <v>155</v>
      </c>
      <c r="D1980" s="48">
        <v>44469</v>
      </c>
      <c r="E1980">
        <v>550</v>
      </c>
      <c r="F1980" t="s">
        <v>515</v>
      </c>
      <c r="G1980">
        <v>18.649999999999999</v>
      </c>
    </row>
    <row r="1981" spans="2:7" hidden="1">
      <c r="B1981" s="43">
        <v>44405</v>
      </c>
      <c r="C1981" t="s">
        <v>155</v>
      </c>
      <c r="D1981" s="48">
        <v>44469</v>
      </c>
      <c r="E1981">
        <v>550</v>
      </c>
      <c r="F1981" t="s">
        <v>514</v>
      </c>
      <c r="G1981">
        <v>153.19999999999999</v>
      </c>
    </row>
    <row r="1982" spans="2:7">
      <c r="B1982" s="43">
        <v>44405</v>
      </c>
      <c r="C1982" t="s">
        <v>155</v>
      </c>
      <c r="D1982" s="48">
        <v>44469</v>
      </c>
      <c r="E1982">
        <v>550</v>
      </c>
      <c r="F1982" t="s">
        <v>515</v>
      </c>
      <c r="G1982">
        <v>18.649999999999999</v>
      </c>
    </row>
    <row r="1983" spans="2:7" hidden="1">
      <c r="B1983" s="43">
        <v>44406</v>
      </c>
      <c r="C1983" t="s">
        <v>155</v>
      </c>
      <c r="D1983" s="48">
        <v>44469</v>
      </c>
      <c r="E1983">
        <v>550</v>
      </c>
      <c r="F1983" t="s">
        <v>514</v>
      </c>
      <c r="G1983">
        <v>153.19999999999999</v>
      </c>
    </row>
    <row r="1984" spans="2:7">
      <c r="B1984" s="43">
        <v>44406</v>
      </c>
      <c r="C1984" t="s">
        <v>155</v>
      </c>
      <c r="D1984" s="48">
        <v>44469</v>
      </c>
      <c r="E1984">
        <v>550</v>
      </c>
      <c r="F1984" t="s">
        <v>515</v>
      </c>
      <c r="G1984">
        <v>18.649999999999999</v>
      </c>
    </row>
    <row r="1985" spans="2:7" hidden="1">
      <c r="B1985" s="43">
        <v>44407</v>
      </c>
      <c r="C1985" t="s">
        <v>155</v>
      </c>
      <c r="D1985" s="48">
        <v>44469</v>
      </c>
      <c r="E1985">
        <v>550</v>
      </c>
      <c r="F1985" t="s">
        <v>514</v>
      </c>
      <c r="G1985">
        <v>153.19999999999999</v>
      </c>
    </row>
    <row r="1986" spans="2:7">
      <c r="B1986" s="43">
        <v>44407</v>
      </c>
      <c r="C1986" t="s">
        <v>155</v>
      </c>
      <c r="D1986" s="48">
        <v>44469</v>
      </c>
      <c r="E1986">
        <v>550</v>
      </c>
      <c r="F1986" t="s">
        <v>515</v>
      </c>
      <c r="G1986">
        <v>18.649999999999999</v>
      </c>
    </row>
    <row r="1987" spans="2:7" hidden="1">
      <c r="B1987" s="43">
        <v>44404</v>
      </c>
      <c r="C1987" t="s">
        <v>155</v>
      </c>
      <c r="D1987" s="48">
        <v>44469</v>
      </c>
      <c r="E1987">
        <v>560</v>
      </c>
      <c r="F1987" t="s">
        <v>514</v>
      </c>
      <c r="G1987">
        <v>145.85</v>
      </c>
    </row>
    <row r="1988" spans="2:7">
      <c r="B1988" s="43">
        <v>44404</v>
      </c>
      <c r="C1988" t="s">
        <v>155</v>
      </c>
      <c r="D1988" s="48">
        <v>44469</v>
      </c>
      <c r="E1988">
        <v>560</v>
      </c>
      <c r="F1988" t="s">
        <v>515</v>
      </c>
      <c r="G1988">
        <v>21.2</v>
      </c>
    </row>
    <row r="1989" spans="2:7" hidden="1">
      <c r="B1989" s="43">
        <v>44405</v>
      </c>
      <c r="C1989" t="s">
        <v>155</v>
      </c>
      <c r="D1989" s="48">
        <v>44469</v>
      </c>
      <c r="E1989">
        <v>560</v>
      </c>
      <c r="F1989" t="s">
        <v>514</v>
      </c>
      <c r="G1989">
        <v>145.85</v>
      </c>
    </row>
    <row r="1990" spans="2:7">
      <c r="B1990" s="43">
        <v>44405</v>
      </c>
      <c r="C1990" t="s">
        <v>155</v>
      </c>
      <c r="D1990" s="48">
        <v>44469</v>
      </c>
      <c r="E1990">
        <v>560</v>
      </c>
      <c r="F1990" t="s">
        <v>515</v>
      </c>
      <c r="G1990">
        <v>21.2</v>
      </c>
    </row>
    <row r="1991" spans="2:7" hidden="1">
      <c r="B1991" s="43">
        <v>44406</v>
      </c>
      <c r="C1991" t="s">
        <v>155</v>
      </c>
      <c r="D1991" s="48">
        <v>44469</v>
      </c>
      <c r="E1991">
        <v>560</v>
      </c>
      <c r="F1991" t="s">
        <v>514</v>
      </c>
      <c r="G1991">
        <v>145.85</v>
      </c>
    </row>
    <row r="1992" spans="2:7">
      <c r="B1992" s="43">
        <v>44406</v>
      </c>
      <c r="C1992" t="s">
        <v>155</v>
      </c>
      <c r="D1992" s="48">
        <v>44469</v>
      </c>
      <c r="E1992">
        <v>560</v>
      </c>
      <c r="F1992" t="s">
        <v>515</v>
      </c>
      <c r="G1992">
        <v>21.2</v>
      </c>
    </row>
    <row r="1993" spans="2:7" hidden="1">
      <c r="B1993" s="43">
        <v>44407</v>
      </c>
      <c r="C1993" t="s">
        <v>155</v>
      </c>
      <c r="D1993" s="48">
        <v>44469</v>
      </c>
      <c r="E1993">
        <v>560</v>
      </c>
      <c r="F1993" t="s">
        <v>514</v>
      </c>
      <c r="G1993">
        <v>145.85</v>
      </c>
    </row>
    <row r="1994" spans="2:7">
      <c r="B1994" s="43">
        <v>44407</v>
      </c>
      <c r="C1994" t="s">
        <v>155</v>
      </c>
      <c r="D1994" s="48">
        <v>44469</v>
      </c>
      <c r="E1994">
        <v>560</v>
      </c>
      <c r="F1994" t="s">
        <v>515</v>
      </c>
      <c r="G1994">
        <v>21.2</v>
      </c>
    </row>
    <row r="1995" spans="2:7" hidden="1">
      <c r="B1995" s="43">
        <v>44404</v>
      </c>
      <c r="C1995" t="s">
        <v>155</v>
      </c>
      <c r="D1995" s="48">
        <v>44469</v>
      </c>
      <c r="E1995">
        <v>570</v>
      </c>
      <c r="F1995" t="s">
        <v>514</v>
      </c>
      <c r="G1995">
        <v>138.69999999999999</v>
      </c>
    </row>
    <row r="1996" spans="2:7">
      <c r="B1996" s="43">
        <v>44404</v>
      </c>
      <c r="C1996" t="s">
        <v>155</v>
      </c>
      <c r="D1996" s="48">
        <v>44469</v>
      </c>
      <c r="E1996">
        <v>570</v>
      </c>
      <c r="F1996" t="s">
        <v>515</v>
      </c>
      <c r="G1996">
        <v>23.95</v>
      </c>
    </row>
    <row r="1997" spans="2:7" hidden="1">
      <c r="B1997" s="43">
        <v>44405</v>
      </c>
      <c r="C1997" t="s">
        <v>155</v>
      </c>
      <c r="D1997" s="48">
        <v>44469</v>
      </c>
      <c r="E1997">
        <v>570</v>
      </c>
      <c r="F1997" t="s">
        <v>514</v>
      </c>
      <c r="G1997">
        <v>138.69999999999999</v>
      </c>
    </row>
    <row r="1998" spans="2:7">
      <c r="B1998" s="43">
        <v>44405</v>
      </c>
      <c r="C1998" t="s">
        <v>155</v>
      </c>
      <c r="D1998" s="48">
        <v>44469</v>
      </c>
      <c r="E1998">
        <v>570</v>
      </c>
      <c r="F1998" t="s">
        <v>515</v>
      </c>
      <c r="G1998">
        <v>23.95</v>
      </c>
    </row>
    <row r="1999" spans="2:7" hidden="1">
      <c r="B1999" s="43">
        <v>44406</v>
      </c>
      <c r="C1999" t="s">
        <v>155</v>
      </c>
      <c r="D1999" s="48">
        <v>44469</v>
      </c>
      <c r="E1999">
        <v>570</v>
      </c>
      <c r="F1999" t="s">
        <v>514</v>
      </c>
      <c r="G1999">
        <v>138.69999999999999</v>
      </c>
    </row>
    <row r="2000" spans="2:7">
      <c r="B2000" s="43">
        <v>44406</v>
      </c>
      <c r="C2000" t="s">
        <v>155</v>
      </c>
      <c r="D2000" s="48">
        <v>44469</v>
      </c>
      <c r="E2000">
        <v>570</v>
      </c>
      <c r="F2000" t="s">
        <v>515</v>
      </c>
      <c r="G2000">
        <v>23.95</v>
      </c>
    </row>
    <row r="2001" spans="2:7" hidden="1">
      <c r="B2001" s="43">
        <v>44407</v>
      </c>
      <c r="C2001" t="s">
        <v>155</v>
      </c>
      <c r="D2001" s="48">
        <v>44469</v>
      </c>
      <c r="E2001">
        <v>570</v>
      </c>
      <c r="F2001" t="s">
        <v>514</v>
      </c>
      <c r="G2001">
        <v>138.69999999999999</v>
      </c>
    </row>
    <row r="2002" spans="2:7">
      <c r="B2002" s="43">
        <v>44407</v>
      </c>
      <c r="C2002" t="s">
        <v>155</v>
      </c>
      <c r="D2002" s="48">
        <v>44469</v>
      </c>
      <c r="E2002">
        <v>570</v>
      </c>
      <c r="F2002" t="s">
        <v>515</v>
      </c>
      <c r="G2002">
        <v>23.95</v>
      </c>
    </row>
    <row r="2003" spans="2:7" hidden="1">
      <c r="B2003" s="43">
        <v>44404</v>
      </c>
      <c r="C2003" t="s">
        <v>155</v>
      </c>
      <c r="D2003" s="48">
        <v>44469</v>
      </c>
      <c r="E2003">
        <v>580</v>
      </c>
      <c r="F2003" t="s">
        <v>514</v>
      </c>
      <c r="G2003">
        <v>131.75</v>
      </c>
    </row>
    <row r="2004" spans="2:7">
      <c r="B2004" s="43">
        <v>44404</v>
      </c>
      <c r="C2004" t="s">
        <v>155</v>
      </c>
      <c r="D2004" s="48">
        <v>44469</v>
      </c>
      <c r="E2004">
        <v>580</v>
      </c>
      <c r="F2004" t="s">
        <v>515</v>
      </c>
      <c r="G2004">
        <v>26.9</v>
      </c>
    </row>
    <row r="2005" spans="2:7" hidden="1">
      <c r="B2005" s="43">
        <v>44405</v>
      </c>
      <c r="C2005" t="s">
        <v>155</v>
      </c>
      <c r="D2005" s="48">
        <v>44469</v>
      </c>
      <c r="E2005">
        <v>580</v>
      </c>
      <c r="F2005" t="s">
        <v>514</v>
      </c>
      <c r="G2005">
        <v>131.75</v>
      </c>
    </row>
    <row r="2006" spans="2:7">
      <c r="B2006" s="43">
        <v>44405</v>
      </c>
      <c r="C2006" t="s">
        <v>155</v>
      </c>
      <c r="D2006" s="48">
        <v>44469</v>
      </c>
      <c r="E2006">
        <v>580</v>
      </c>
      <c r="F2006" t="s">
        <v>515</v>
      </c>
      <c r="G2006">
        <v>26.9</v>
      </c>
    </row>
    <row r="2007" spans="2:7" hidden="1">
      <c r="B2007" s="43">
        <v>44406</v>
      </c>
      <c r="C2007" t="s">
        <v>155</v>
      </c>
      <c r="D2007" s="48">
        <v>44469</v>
      </c>
      <c r="E2007">
        <v>580</v>
      </c>
      <c r="F2007" t="s">
        <v>514</v>
      </c>
      <c r="G2007">
        <v>131.75</v>
      </c>
    </row>
    <row r="2008" spans="2:7">
      <c r="B2008" s="43">
        <v>44406</v>
      </c>
      <c r="C2008" t="s">
        <v>155</v>
      </c>
      <c r="D2008" s="48">
        <v>44469</v>
      </c>
      <c r="E2008">
        <v>580</v>
      </c>
      <c r="F2008" t="s">
        <v>515</v>
      </c>
      <c r="G2008">
        <v>26.9</v>
      </c>
    </row>
    <row r="2009" spans="2:7" hidden="1">
      <c r="B2009" s="43">
        <v>44407</v>
      </c>
      <c r="C2009" t="s">
        <v>155</v>
      </c>
      <c r="D2009" s="48">
        <v>44469</v>
      </c>
      <c r="E2009">
        <v>580</v>
      </c>
      <c r="F2009" t="s">
        <v>514</v>
      </c>
      <c r="G2009">
        <v>131.75</v>
      </c>
    </row>
    <row r="2010" spans="2:7">
      <c r="B2010" s="43">
        <v>44407</v>
      </c>
      <c r="C2010" t="s">
        <v>155</v>
      </c>
      <c r="D2010" s="48">
        <v>44469</v>
      </c>
      <c r="E2010">
        <v>580</v>
      </c>
      <c r="F2010" t="s">
        <v>515</v>
      </c>
      <c r="G2010">
        <v>26.9</v>
      </c>
    </row>
    <row r="2011" spans="2:7" hidden="1">
      <c r="B2011" s="43">
        <v>44404</v>
      </c>
      <c r="C2011" t="s">
        <v>155</v>
      </c>
      <c r="D2011" s="48">
        <v>44469</v>
      </c>
      <c r="E2011">
        <v>590</v>
      </c>
      <c r="F2011" t="s">
        <v>514</v>
      </c>
      <c r="G2011">
        <v>125.05</v>
      </c>
    </row>
    <row r="2012" spans="2:7">
      <c r="B2012" s="43">
        <v>44404</v>
      </c>
      <c r="C2012" t="s">
        <v>155</v>
      </c>
      <c r="D2012" s="48">
        <v>44469</v>
      </c>
      <c r="E2012">
        <v>590</v>
      </c>
      <c r="F2012" t="s">
        <v>515</v>
      </c>
      <c r="G2012">
        <v>30.1</v>
      </c>
    </row>
    <row r="2013" spans="2:7" hidden="1">
      <c r="B2013" s="43">
        <v>44405</v>
      </c>
      <c r="C2013" t="s">
        <v>155</v>
      </c>
      <c r="D2013" s="48">
        <v>44469</v>
      </c>
      <c r="E2013">
        <v>590</v>
      </c>
      <c r="F2013" t="s">
        <v>514</v>
      </c>
      <c r="G2013">
        <v>125.05</v>
      </c>
    </row>
    <row r="2014" spans="2:7">
      <c r="B2014" s="43">
        <v>44405</v>
      </c>
      <c r="C2014" t="s">
        <v>155</v>
      </c>
      <c r="D2014" s="48">
        <v>44469</v>
      </c>
      <c r="E2014">
        <v>590</v>
      </c>
      <c r="F2014" t="s">
        <v>515</v>
      </c>
      <c r="G2014">
        <v>30.1</v>
      </c>
    </row>
    <row r="2015" spans="2:7" hidden="1">
      <c r="B2015" s="43">
        <v>44406</v>
      </c>
      <c r="C2015" t="s">
        <v>155</v>
      </c>
      <c r="D2015" s="48">
        <v>44469</v>
      </c>
      <c r="E2015">
        <v>590</v>
      </c>
      <c r="F2015" t="s">
        <v>514</v>
      </c>
      <c r="G2015">
        <v>125.05</v>
      </c>
    </row>
    <row r="2016" spans="2:7">
      <c r="B2016" s="43">
        <v>44406</v>
      </c>
      <c r="C2016" t="s">
        <v>155</v>
      </c>
      <c r="D2016" s="48">
        <v>44469</v>
      </c>
      <c r="E2016">
        <v>590</v>
      </c>
      <c r="F2016" t="s">
        <v>515</v>
      </c>
      <c r="G2016">
        <v>30.1</v>
      </c>
    </row>
    <row r="2017" spans="2:7" hidden="1">
      <c r="B2017" s="43">
        <v>44407</v>
      </c>
      <c r="C2017" t="s">
        <v>155</v>
      </c>
      <c r="D2017" s="48">
        <v>44469</v>
      </c>
      <c r="E2017">
        <v>590</v>
      </c>
      <c r="F2017" t="s">
        <v>514</v>
      </c>
      <c r="G2017">
        <v>125.05</v>
      </c>
    </row>
    <row r="2018" spans="2:7">
      <c r="B2018" s="43">
        <v>44407</v>
      </c>
      <c r="C2018" t="s">
        <v>155</v>
      </c>
      <c r="D2018" s="48">
        <v>44469</v>
      </c>
      <c r="E2018">
        <v>590</v>
      </c>
      <c r="F2018" t="s">
        <v>515</v>
      </c>
      <c r="G2018">
        <v>30.1</v>
      </c>
    </row>
    <row r="2019" spans="2:7" hidden="1">
      <c r="B2019" s="43">
        <v>44404</v>
      </c>
      <c r="C2019" t="s">
        <v>155</v>
      </c>
      <c r="D2019" s="48">
        <v>44469</v>
      </c>
      <c r="E2019">
        <v>600</v>
      </c>
      <c r="F2019" t="s">
        <v>514</v>
      </c>
      <c r="G2019">
        <v>118.55</v>
      </c>
    </row>
    <row r="2020" spans="2:7">
      <c r="B2020" s="43">
        <v>44404</v>
      </c>
      <c r="C2020" t="s">
        <v>155</v>
      </c>
      <c r="D2020" s="48">
        <v>44469</v>
      </c>
      <c r="E2020">
        <v>600</v>
      </c>
      <c r="F2020" t="s">
        <v>515</v>
      </c>
      <c r="G2020">
        <v>6.75</v>
      </c>
    </row>
    <row r="2021" spans="2:7" hidden="1">
      <c r="B2021" s="43">
        <v>44405</v>
      </c>
      <c r="C2021" t="s">
        <v>155</v>
      </c>
      <c r="D2021" s="48">
        <v>44469</v>
      </c>
      <c r="E2021">
        <v>600</v>
      </c>
      <c r="F2021" t="s">
        <v>514</v>
      </c>
      <c r="G2021">
        <v>118.55</v>
      </c>
    </row>
    <row r="2022" spans="2:7">
      <c r="B2022" s="43">
        <v>44405</v>
      </c>
      <c r="C2022" t="s">
        <v>155</v>
      </c>
      <c r="D2022" s="48">
        <v>44469</v>
      </c>
      <c r="E2022">
        <v>600</v>
      </c>
      <c r="F2022" t="s">
        <v>515</v>
      </c>
      <c r="G2022">
        <v>6.55</v>
      </c>
    </row>
    <row r="2023" spans="2:7" hidden="1">
      <c r="B2023" s="43">
        <v>44406</v>
      </c>
      <c r="C2023" t="s">
        <v>155</v>
      </c>
      <c r="D2023" s="48">
        <v>44469</v>
      </c>
      <c r="E2023">
        <v>600</v>
      </c>
      <c r="F2023" t="s">
        <v>514</v>
      </c>
      <c r="G2023">
        <v>118.55</v>
      </c>
    </row>
    <row r="2024" spans="2:7">
      <c r="B2024" s="43">
        <v>44406</v>
      </c>
      <c r="C2024" t="s">
        <v>155</v>
      </c>
      <c r="D2024" s="48">
        <v>44469</v>
      </c>
      <c r="E2024">
        <v>600</v>
      </c>
      <c r="F2024" t="s">
        <v>515</v>
      </c>
      <c r="G2024">
        <v>5.5</v>
      </c>
    </row>
    <row r="2025" spans="2:7" hidden="1">
      <c r="B2025" s="43">
        <v>44407</v>
      </c>
      <c r="C2025" t="s">
        <v>155</v>
      </c>
      <c r="D2025" s="48">
        <v>44469</v>
      </c>
      <c r="E2025">
        <v>600</v>
      </c>
      <c r="F2025" t="s">
        <v>514</v>
      </c>
      <c r="G2025">
        <v>118.55</v>
      </c>
    </row>
    <row r="2026" spans="2:7">
      <c r="B2026" s="43">
        <v>44407</v>
      </c>
      <c r="C2026" t="s">
        <v>155</v>
      </c>
      <c r="D2026" s="48">
        <v>44469</v>
      </c>
      <c r="E2026">
        <v>600</v>
      </c>
      <c r="F2026" t="s">
        <v>515</v>
      </c>
      <c r="G2026">
        <v>5.7</v>
      </c>
    </row>
    <row r="2027" spans="2:7" hidden="1">
      <c r="B2027" s="43">
        <v>44404</v>
      </c>
      <c r="C2027" t="s">
        <v>155</v>
      </c>
      <c r="D2027" s="48">
        <v>44469</v>
      </c>
      <c r="E2027">
        <v>610</v>
      </c>
      <c r="F2027" t="s">
        <v>514</v>
      </c>
      <c r="G2027">
        <v>112.3</v>
      </c>
    </row>
    <row r="2028" spans="2:7">
      <c r="B2028" s="43">
        <v>44404</v>
      </c>
      <c r="C2028" t="s">
        <v>155</v>
      </c>
      <c r="D2028" s="48">
        <v>44469</v>
      </c>
      <c r="E2028">
        <v>610</v>
      </c>
      <c r="F2028" t="s">
        <v>515</v>
      </c>
      <c r="G2028">
        <v>37.15</v>
      </c>
    </row>
    <row r="2029" spans="2:7" hidden="1">
      <c r="B2029" s="43">
        <v>44405</v>
      </c>
      <c r="C2029" t="s">
        <v>155</v>
      </c>
      <c r="D2029" s="48">
        <v>44469</v>
      </c>
      <c r="E2029">
        <v>610</v>
      </c>
      <c r="F2029" t="s">
        <v>514</v>
      </c>
      <c r="G2029">
        <v>112.3</v>
      </c>
    </row>
    <row r="2030" spans="2:7">
      <c r="B2030" s="43">
        <v>44405</v>
      </c>
      <c r="C2030" t="s">
        <v>155</v>
      </c>
      <c r="D2030" s="48">
        <v>44469</v>
      </c>
      <c r="E2030">
        <v>610</v>
      </c>
      <c r="F2030" t="s">
        <v>515</v>
      </c>
      <c r="G2030">
        <v>37.15</v>
      </c>
    </row>
    <row r="2031" spans="2:7" hidden="1">
      <c r="B2031" s="43">
        <v>44406</v>
      </c>
      <c r="C2031" t="s">
        <v>155</v>
      </c>
      <c r="D2031" s="48">
        <v>44469</v>
      </c>
      <c r="E2031">
        <v>610</v>
      </c>
      <c r="F2031" t="s">
        <v>514</v>
      </c>
      <c r="G2031">
        <v>112.3</v>
      </c>
    </row>
    <row r="2032" spans="2:7">
      <c r="B2032" s="43">
        <v>44406</v>
      </c>
      <c r="C2032" t="s">
        <v>155</v>
      </c>
      <c r="D2032" s="48">
        <v>44469</v>
      </c>
      <c r="E2032">
        <v>610</v>
      </c>
      <c r="F2032" t="s">
        <v>515</v>
      </c>
      <c r="G2032">
        <v>37.15</v>
      </c>
    </row>
    <row r="2033" spans="2:7" hidden="1">
      <c r="B2033" s="43">
        <v>44407</v>
      </c>
      <c r="C2033" t="s">
        <v>155</v>
      </c>
      <c r="D2033" s="48">
        <v>44469</v>
      </c>
      <c r="E2033">
        <v>610</v>
      </c>
      <c r="F2033" t="s">
        <v>514</v>
      </c>
      <c r="G2033">
        <v>112.3</v>
      </c>
    </row>
    <row r="2034" spans="2:7">
      <c r="B2034" s="43">
        <v>44407</v>
      </c>
      <c r="C2034" t="s">
        <v>155</v>
      </c>
      <c r="D2034" s="48">
        <v>44469</v>
      </c>
      <c r="E2034">
        <v>610</v>
      </c>
      <c r="F2034" t="s">
        <v>515</v>
      </c>
      <c r="G2034">
        <v>37.15</v>
      </c>
    </row>
    <row r="2035" spans="2:7" hidden="1">
      <c r="B2035" s="43">
        <v>44404</v>
      </c>
      <c r="C2035" t="s">
        <v>155</v>
      </c>
      <c r="D2035" s="48">
        <v>44469</v>
      </c>
      <c r="E2035">
        <v>620</v>
      </c>
      <c r="F2035" t="s">
        <v>514</v>
      </c>
      <c r="G2035">
        <v>106.3</v>
      </c>
    </row>
    <row r="2036" spans="2:7">
      <c r="B2036" s="43">
        <v>44404</v>
      </c>
      <c r="C2036" t="s">
        <v>155</v>
      </c>
      <c r="D2036" s="48">
        <v>44469</v>
      </c>
      <c r="E2036">
        <v>620</v>
      </c>
      <c r="F2036" t="s">
        <v>515</v>
      </c>
      <c r="G2036">
        <v>16</v>
      </c>
    </row>
    <row r="2037" spans="2:7" hidden="1">
      <c r="B2037" s="43">
        <v>44405</v>
      </c>
      <c r="C2037" t="s">
        <v>155</v>
      </c>
      <c r="D2037" s="48">
        <v>44469</v>
      </c>
      <c r="E2037">
        <v>620</v>
      </c>
      <c r="F2037" t="s">
        <v>514</v>
      </c>
      <c r="G2037">
        <v>106.3</v>
      </c>
    </row>
    <row r="2038" spans="2:7">
      <c r="B2038" s="43">
        <v>44405</v>
      </c>
      <c r="C2038" t="s">
        <v>155</v>
      </c>
      <c r="D2038" s="48">
        <v>44469</v>
      </c>
      <c r="E2038">
        <v>620</v>
      </c>
      <c r="F2038" t="s">
        <v>515</v>
      </c>
      <c r="G2038">
        <v>16</v>
      </c>
    </row>
    <row r="2039" spans="2:7" hidden="1">
      <c r="B2039" s="43">
        <v>44406</v>
      </c>
      <c r="C2039" t="s">
        <v>155</v>
      </c>
      <c r="D2039" s="48">
        <v>44469</v>
      </c>
      <c r="E2039">
        <v>620</v>
      </c>
      <c r="F2039" t="s">
        <v>514</v>
      </c>
      <c r="G2039">
        <v>106.3</v>
      </c>
    </row>
    <row r="2040" spans="2:7">
      <c r="B2040" s="43">
        <v>44406</v>
      </c>
      <c r="C2040" t="s">
        <v>155</v>
      </c>
      <c r="D2040" s="48">
        <v>44469</v>
      </c>
      <c r="E2040">
        <v>620</v>
      </c>
      <c r="F2040" t="s">
        <v>515</v>
      </c>
      <c r="G2040">
        <v>16</v>
      </c>
    </row>
    <row r="2041" spans="2:7" hidden="1">
      <c r="B2041" s="43">
        <v>44407</v>
      </c>
      <c r="C2041" t="s">
        <v>155</v>
      </c>
      <c r="D2041" s="48">
        <v>44469</v>
      </c>
      <c r="E2041">
        <v>620</v>
      </c>
      <c r="F2041" t="s">
        <v>514</v>
      </c>
      <c r="G2041">
        <v>106.3</v>
      </c>
    </row>
    <row r="2042" spans="2:7">
      <c r="B2042" s="43">
        <v>44407</v>
      </c>
      <c r="C2042" t="s">
        <v>155</v>
      </c>
      <c r="D2042" s="48">
        <v>44469</v>
      </c>
      <c r="E2042">
        <v>620</v>
      </c>
      <c r="F2042" t="s">
        <v>515</v>
      </c>
      <c r="G2042">
        <v>16</v>
      </c>
    </row>
    <row r="2043" spans="2:7" hidden="1">
      <c r="B2043" s="43">
        <v>44404</v>
      </c>
      <c r="C2043" t="s">
        <v>155</v>
      </c>
      <c r="D2043" s="48">
        <v>44469</v>
      </c>
      <c r="E2043">
        <v>630</v>
      </c>
      <c r="F2043" t="s">
        <v>514</v>
      </c>
      <c r="G2043">
        <v>100.5</v>
      </c>
    </row>
    <row r="2044" spans="2:7">
      <c r="B2044" s="43">
        <v>44404</v>
      </c>
      <c r="C2044" t="s">
        <v>155</v>
      </c>
      <c r="D2044" s="48">
        <v>44469</v>
      </c>
      <c r="E2044">
        <v>630</v>
      </c>
      <c r="F2044" t="s">
        <v>515</v>
      </c>
      <c r="G2044">
        <v>45.15</v>
      </c>
    </row>
    <row r="2045" spans="2:7" hidden="1">
      <c r="B2045" s="43">
        <v>44405</v>
      </c>
      <c r="C2045" t="s">
        <v>155</v>
      </c>
      <c r="D2045" s="48">
        <v>44469</v>
      </c>
      <c r="E2045">
        <v>630</v>
      </c>
      <c r="F2045" t="s">
        <v>514</v>
      </c>
      <c r="G2045">
        <v>100.5</v>
      </c>
    </row>
    <row r="2046" spans="2:7">
      <c r="B2046" s="43">
        <v>44405</v>
      </c>
      <c r="C2046" t="s">
        <v>155</v>
      </c>
      <c r="D2046" s="48">
        <v>44469</v>
      </c>
      <c r="E2046">
        <v>630</v>
      </c>
      <c r="F2046" t="s">
        <v>515</v>
      </c>
      <c r="G2046">
        <v>45.15</v>
      </c>
    </row>
    <row r="2047" spans="2:7" hidden="1">
      <c r="B2047" s="43">
        <v>44406</v>
      </c>
      <c r="C2047" t="s">
        <v>155</v>
      </c>
      <c r="D2047" s="48">
        <v>44469</v>
      </c>
      <c r="E2047">
        <v>630</v>
      </c>
      <c r="F2047" t="s">
        <v>514</v>
      </c>
      <c r="G2047">
        <v>100.5</v>
      </c>
    </row>
    <row r="2048" spans="2:7">
      <c r="B2048" s="43">
        <v>44406</v>
      </c>
      <c r="C2048" t="s">
        <v>155</v>
      </c>
      <c r="D2048" s="48">
        <v>44469</v>
      </c>
      <c r="E2048">
        <v>630</v>
      </c>
      <c r="F2048" t="s">
        <v>515</v>
      </c>
      <c r="G2048">
        <v>45.15</v>
      </c>
    </row>
    <row r="2049" spans="2:7" hidden="1">
      <c r="B2049" s="43">
        <v>44407</v>
      </c>
      <c r="C2049" t="s">
        <v>155</v>
      </c>
      <c r="D2049" s="48">
        <v>44469</v>
      </c>
      <c r="E2049">
        <v>630</v>
      </c>
      <c r="F2049" t="s">
        <v>514</v>
      </c>
      <c r="G2049">
        <v>100.5</v>
      </c>
    </row>
    <row r="2050" spans="2:7">
      <c r="B2050" s="43">
        <v>44407</v>
      </c>
      <c r="C2050" t="s">
        <v>155</v>
      </c>
      <c r="D2050" s="48">
        <v>44469</v>
      </c>
      <c r="E2050">
        <v>630</v>
      </c>
      <c r="F2050" t="s">
        <v>515</v>
      </c>
      <c r="G2050">
        <v>45.15</v>
      </c>
    </row>
    <row r="2051" spans="2:7" hidden="1">
      <c r="B2051" s="43">
        <v>44404</v>
      </c>
      <c r="C2051" t="s">
        <v>155</v>
      </c>
      <c r="D2051" s="48">
        <v>44469</v>
      </c>
      <c r="E2051">
        <v>640</v>
      </c>
      <c r="F2051" t="s">
        <v>514</v>
      </c>
      <c r="G2051">
        <v>94.95</v>
      </c>
    </row>
    <row r="2052" spans="2:7">
      <c r="B2052" s="43">
        <v>44404</v>
      </c>
      <c r="C2052" t="s">
        <v>155</v>
      </c>
      <c r="D2052" s="48">
        <v>44469</v>
      </c>
      <c r="E2052">
        <v>640</v>
      </c>
      <c r="F2052" t="s">
        <v>515</v>
      </c>
      <c r="G2052">
        <v>49.5</v>
      </c>
    </row>
    <row r="2053" spans="2:7" hidden="1">
      <c r="B2053" s="43">
        <v>44405</v>
      </c>
      <c r="C2053" t="s">
        <v>155</v>
      </c>
      <c r="D2053" s="48">
        <v>44469</v>
      </c>
      <c r="E2053">
        <v>640</v>
      </c>
      <c r="F2053" t="s">
        <v>514</v>
      </c>
      <c r="G2053">
        <v>94.95</v>
      </c>
    </row>
    <row r="2054" spans="2:7">
      <c r="B2054" s="43">
        <v>44405</v>
      </c>
      <c r="C2054" t="s">
        <v>155</v>
      </c>
      <c r="D2054" s="48">
        <v>44469</v>
      </c>
      <c r="E2054">
        <v>640</v>
      </c>
      <c r="F2054" t="s">
        <v>515</v>
      </c>
      <c r="G2054">
        <v>49.5</v>
      </c>
    </row>
    <row r="2055" spans="2:7" hidden="1">
      <c r="B2055" s="43">
        <v>44406</v>
      </c>
      <c r="C2055" t="s">
        <v>155</v>
      </c>
      <c r="D2055" s="48">
        <v>44469</v>
      </c>
      <c r="E2055">
        <v>640</v>
      </c>
      <c r="F2055" t="s">
        <v>514</v>
      </c>
      <c r="G2055">
        <v>94.95</v>
      </c>
    </row>
    <row r="2056" spans="2:7">
      <c r="B2056" s="43">
        <v>44406</v>
      </c>
      <c r="C2056" t="s">
        <v>155</v>
      </c>
      <c r="D2056" s="48">
        <v>44469</v>
      </c>
      <c r="E2056">
        <v>640</v>
      </c>
      <c r="F2056" t="s">
        <v>515</v>
      </c>
      <c r="G2056">
        <v>49.5</v>
      </c>
    </row>
    <row r="2057" spans="2:7" hidden="1">
      <c r="B2057" s="43">
        <v>44407</v>
      </c>
      <c r="C2057" t="s">
        <v>155</v>
      </c>
      <c r="D2057" s="48">
        <v>44469</v>
      </c>
      <c r="E2057">
        <v>640</v>
      </c>
      <c r="F2057" t="s">
        <v>514</v>
      </c>
      <c r="G2057">
        <v>94.95</v>
      </c>
    </row>
    <row r="2058" spans="2:7">
      <c r="B2058" s="43">
        <v>44407</v>
      </c>
      <c r="C2058" t="s">
        <v>155</v>
      </c>
      <c r="D2058" s="48">
        <v>44469</v>
      </c>
      <c r="E2058">
        <v>640</v>
      </c>
      <c r="F2058" t="s">
        <v>515</v>
      </c>
      <c r="G2058">
        <v>49.5</v>
      </c>
    </row>
    <row r="2059" spans="2:7" hidden="1">
      <c r="B2059" s="43">
        <v>44404</v>
      </c>
      <c r="C2059" t="s">
        <v>155</v>
      </c>
      <c r="D2059" s="48">
        <v>44469</v>
      </c>
      <c r="E2059">
        <v>650</v>
      </c>
      <c r="F2059" t="s">
        <v>514</v>
      </c>
      <c r="G2059">
        <v>89.6</v>
      </c>
    </row>
    <row r="2060" spans="2:7">
      <c r="B2060" s="43">
        <v>44404</v>
      </c>
      <c r="C2060" t="s">
        <v>155</v>
      </c>
      <c r="D2060" s="48">
        <v>44469</v>
      </c>
      <c r="E2060">
        <v>650</v>
      </c>
      <c r="F2060" t="s">
        <v>515</v>
      </c>
      <c r="G2060">
        <v>14.65</v>
      </c>
    </row>
    <row r="2061" spans="2:7" hidden="1">
      <c r="B2061" s="43">
        <v>44405</v>
      </c>
      <c r="C2061" t="s">
        <v>155</v>
      </c>
      <c r="D2061" s="48">
        <v>44469</v>
      </c>
      <c r="E2061">
        <v>650</v>
      </c>
      <c r="F2061" t="s">
        <v>514</v>
      </c>
      <c r="G2061">
        <v>89.6</v>
      </c>
    </row>
    <row r="2062" spans="2:7">
      <c r="B2062" s="43">
        <v>44405</v>
      </c>
      <c r="C2062" t="s">
        <v>155</v>
      </c>
      <c r="D2062" s="48">
        <v>44469</v>
      </c>
      <c r="E2062">
        <v>650</v>
      </c>
      <c r="F2062" t="s">
        <v>515</v>
      </c>
      <c r="G2062">
        <v>14.5</v>
      </c>
    </row>
    <row r="2063" spans="2:7" hidden="1">
      <c r="B2063" s="43">
        <v>44406</v>
      </c>
      <c r="C2063" t="s">
        <v>155</v>
      </c>
      <c r="D2063" s="48">
        <v>44469</v>
      </c>
      <c r="E2063">
        <v>650</v>
      </c>
      <c r="F2063" t="s">
        <v>514</v>
      </c>
      <c r="G2063">
        <v>89.6</v>
      </c>
    </row>
    <row r="2064" spans="2:7">
      <c r="B2064" s="43">
        <v>44406</v>
      </c>
      <c r="C2064" t="s">
        <v>155</v>
      </c>
      <c r="D2064" s="48">
        <v>44469</v>
      </c>
      <c r="E2064">
        <v>650</v>
      </c>
      <c r="F2064" t="s">
        <v>515</v>
      </c>
      <c r="G2064">
        <v>11.1</v>
      </c>
    </row>
    <row r="2065" spans="2:7" hidden="1">
      <c r="B2065" s="43">
        <v>44407</v>
      </c>
      <c r="C2065" t="s">
        <v>155</v>
      </c>
      <c r="D2065" s="48">
        <v>44469</v>
      </c>
      <c r="E2065">
        <v>650</v>
      </c>
      <c r="F2065" t="s">
        <v>514</v>
      </c>
      <c r="G2065">
        <v>89.6</v>
      </c>
    </row>
    <row r="2066" spans="2:7">
      <c r="B2066" s="43">
        <v>44407</v>
      </c>
      <c r="C2066" t="s">
        <v>155</v>
      </c>
      <c r="D2066" s="48">
        <v>44469</v>
      </c>
      <c r="E2066">
        <v>650</v>
      </c>
      <c r="F2066" t="s">
        <v>515</v>
      </c>
      <c r="G2066">
        <v>10.5</v>
      </c>
    </row>
    <row r="2067" spans="2:7" hidden="1">
      <c r="B2067" s="43">
        <v>44404</v>
      </c>
      <c r="C2067" t="s">
        <v>155</v>
      </c>
      <c r="D2067" s="48">
        <v>44469</v>
      </c>
      <c r="E2067">
        <v>660</v>
      </c>
      <c r="F2067" t="s">
        <v>514</v>
      </c>
      <c r="G2067">
        <v>84.5</v>
      </c>
    </row>
    <row r="2068" spans="2:7">
      <c r="B2068" s="43">
        <v>44404</v>
      </c>
      <c r="C2068" t="s">
        <v>155</v>
      </c>
      <c r="D2068" s="48">
        <v>44469</v>
      </c>
      <c r="E2068">
        <v>660</v>
      </c>
      <c r="F2068" t="s">
        <v>515</v>
      </c>
      <c r="G2068">
        <v>58.85</v>
      </c>
    </row>
    <row r="2069" spans="2:7" hidden="1">
      <c r="B2069" s="43">
        <v>44405</v>
      </c>
      <c r="C2069" t="s">
        <v>155</v>
      </c>
      <c r="D2069" s="48">
        <v>44469</v>
      </c>
      <c r="E2069">
        <v>660</v>
      </c>
      <c r="F2069" t="s">
        <v>514</v>
      </c>
      <c r="G2069">
        <v>84.5</v>
      </c>
    </row>
    <row r="2070" spans="2:7">
      <c r="B2070" s="43">
        <v>44405</v>
      </c>
      <c r="C2070" t="s">
        <v>155</v>
      </c>
      <c r="D2070" s="48">
        <v>44469</v>
      </c>
      <c r="E2070">
        <v>660</v>
      </c>
      <c r="F2070" t="s">
        <v>515</v>
      </c>
      <c r="G2070">
        <v>58.85</v>
      </c>
    </row>
    <row r="2071" spans="2:7" hidden="1">
      <c r="B2071" s="43">
        <v>44406</v>
      </c>
      <c r="C2071" t="s">
        <v>155</v>
      </c>
      <c r="D2071" s="48">
        <v>44469</v>
      </c>
      <c r="E2071">
        <v>660</v>
      </c>
      <c r="F2071" t="s">
        <v>514</v>
      </c>
      <c r="G2071">
        <v>84.5</v>
      </c>
    </row>
    <row r="2072" spans="2:7">
      <c r="B2072" s="43">
        <v>44406</v>
      </c>
      <c r="C2072" t="s">
        <v>155</v>
      </c>
      <c r="D2072" s="48">
        <v>44469</v>
      </c>
      <c r="E2072">
        <v>660</v>
      </c>
      <c r="F2072" t="s">
        <v>515</v>
      </c>
      <c r="G2072">
        <v>58.85</v>
      </c>
    </row>
    <row r="2073" spans="2:7" hidden="1">
      <c r="B2073" s="43">
        <v>44407</v>
      </c>
      <c r="C2073" t="s">
        <v>155</v>
      </c>
      <c r="D2073" s="48">
        <v>44469</v>
      </c>
      <c r="E2073">
        <v>660</v>
      </c>
      <c r="F2073" t="s">
        <v>514</v>
      </c>
      <c r="G2073">
        <v>84.5</v>
      </c>
    </row>
    <row r="2074" spans="2:7">
      <c r="B2074" s="43">
        <v>44407</v>
      </c>
      <c r="C2074" t="s">
        <v>155</v>
      </c>
      <c r="D2074" s="48">
        <v>44469</v>
      </c>
      <c r="E2074">
        <v>660</v>
      </c>
      <c r="F2074" t="s">
        <v>515</v>
      </c>
      <c r="G2074">
        <v>58.85</v>
      </c>
    </row>
    <row r="2075" spans="2:7" hidden="1">
      <c r="B2075" s="43">
        <v>44404</v>
      </c>
      <c r="C2075" t="s">
        <v>155</v>
      </c>
      <c r="D2075" s="48">
        <v>44469</v>
      </c>
      <c r="E2075">
        <v>670</v>
      </c>
      <c r="F2075" t="s">
        <v>514</v>
      </c>
      <c r="G2075">
        <v>79.650000000000006</v>
      </c>
    </row>
    <row r="2076" spans="2:7">
      <c r="B2076" s="43">
        <v>44404</v>
      </c>
      <c r="C2076" t="s">
        <v>155</v>
      </c>
      <c r="D2076" s="48">
        <v>44469</v>
      </c>
      <c r="E2076">
        <v>670</v>
      </c>
      <c r="F2076" t="s">
        <v>515</v>
      </c>
      <c r="G2076">
        <v>63.85</v>
      </c>
    </row>
    <row r="2077" spans="2:7" hidden="1">
      <c r="B2077" s="43">
        <v>44405</v>
      </c>
      <c r="C2077" t="s">
        <v>155</v>
      </c>
      <c r="D2077" s="48">
        <v>44469</v>
      </c>
      <c r="E2077">
        <v>670</v>
      </c>
      <c r="F2077" t="s">
        <v>514</v>
      </c>
      <c r="G2077">
        <v>79.650000000000006</v>
      </c>
    </row>
    <row r="2078" spans="2:7">
      <c r="B2078" s="43">
        <v>44405</v>
      </c>
      <c r="C2078" t="s">
        <v>155</v>
      </c>
      <c r="D2078" s="48">
        <v>44469</v>
      </c>
      <c r="E2078">
        <v>670</v>
      </c>
      <c r="F2078" t="s">
        <v>515</v>
      </c>
      <c r="G2078">
        <v>63.85</v>
      </c>
    </row>
    <row r="2079" spans="2:7" hidden="1">
      <c r="B2079" s="43">
        <v>44406</v>
      </c>
      <c r="C2079" t="s">
        <v>155</v>
      </c>
      <c r="D2079" s="48">
        <v>44469</v>
      </c>
      <c r="E2079">
        <v>670</v>
      </c>
      <c r="F2079" t="s">
        <v>514</v>
      </c>
      <c r="G2079">
        <v>79.650000000000006</v>
      </c>
    </row>
    <row r="2080" spans="2:7">
      <c r="B2080" s="43">
        <v>44406</v>
      </c>
      <c r="C2080" t="s">
        <v>155</v>
      </c>
      <c r="D2080" s="48">
        <v>44469</v>
      </c>
      <c r="E2080">
        <v>670</v>
      </c>
      <c r="F2080" t="s">
        <v>515</v>
      </c>
      <c r="G2080">
        <v>63.85</v>
      </c>
    </row>
    <row r="2081" spans="2:7" hidden="1">
      <c r="B2081" s="43">
        <v>44407</v>
      </c>
      <c r="C2081" t="s">
        <v>155</v>
      </c>
      <c r="D2081" s="48">
        <v>44469</v>
      </c>
      <c r="E2081">
        <v>670</v>
      </c>
      <c r="F2081" t="s">
        <v>514</v>
      </c>
      <c r="G2081">
        <v>79.650000000000006</v>
      </c>
    </row>
    <row r="2082" spans="2:7">
      <c r="B2082" s="43">
        <v>44407</v>
      </c>
      <c r="C2082" t="s">
        <v>155</v>
      </c>
      <c r="D2082" s="48">
        <v>44469</v>
      </c>
      <c r="E2082">
        <v>670</v>
      </c>
      <c r="F2082" t="s">
        <v>515</v>
      </c>
      <c r="G2082">
        <v>63.85</v>
      </c>
    </row>
    <row r="2083" spans="2:7" hidden="1">
      <c r="B2083" s="43">
        <v>44404</v>
      </c>
      <c r="C2083" t="s">
        <v>155</v>
      </c>
      <c r="D2083" s="48">
        <v>44469</v>
      </c>
      <c r="E2083">
        <v>680</v>
      </c>
      <c r="F2083" t="s">
        <v>514</v>
      </c>
      <c r="G2083">
        <v>74.95</v>
      </c>
    </row>
    <row r="2084" spans="2:7">
      <c r="B2084" s="43">
        <v>44404</v>
      </c>
      <c r="C2084" t="s">
        <v>155</v>
      </c>
      <c r="D2084" s="48">
        <v>44469</v>
      </c>
      <c r="E2084">
        <v>680</v>
      </c>
      <c r="F2084" t="s">
        <v>515</v>
      </c>
      <c r="G2084">
        <v>69.099999999999994</v>
      </c>
    </row>
    <row r="2085" spans="2:7" hidden="1">
      <c r="B2085" s="43">
        <v>44405</v>
      </c>
      <c r="C2085" t="s">
        <v>155</v>
      </c>
      <c r="D2085" s="48">
        <v>44469</v>
      </c>
      <c r="E2085">
        <v>680</v>
      </c>
      <c r="F2085" t="s">
        <v>514</v>
      </c>
      <c r="G2085">
        <v>74.95</v>
      </c>
    </row>
    <row r="2086" spans="2:7">
      <c r="B2086" s="43">
        <v>44405</v>
      </c>
      <c r="C2086" t="s">
        <v>155</v>
      </c>
      <c r="D2086" s="48">
        <v>44469</v>
      </c>
      <c r="E2086">
        <v>680</v>
      </c>
      <c r="F2086" t="s">
        <v>515</v>
      </c>
      <c r="G2086">
        <v>69.099999999999994</v>
      </c>
    </row>
    <row r="2087" spans="2:7" hidden="1">
      <c r="B2087" s="43">
        <v>44406</v>
      </c>
      <c r="C2087" t="s">
        <v>155</v>
      </c>
      <c r="D2087" s="48">
        <v>44469</v>
      </c>
      <c r="E2087">
        <v>680</v>
      </c>
      <c r="F2087" t="s">
        <v>514</v>
      </c>
      <c r="G2087">
        <v>74.95</v>
      </c>
    </row>
    <row r="2088" spans="2:7">
      <c r="B2088" s="43">
        <v>44406</v>
      </c>
      <c r="C2088" t="s">
        <v>155</v>
      </c>
      <c r="D2088" s="48">
        <v>44469</v>
      </c>
      <c r="E2088">
        <v>680</v>
      </c>
      <c r="F2088" t="s">
        <v>515</v>
      </c>
      <c r="G2088">
        <v>69.099999999999994</v>
      </c>
    </row>
    <row r="2089" spans="2:7" hidden="1">
      <c r="B2089" s="43">
        <v>44407</v>
      </c>
      <c r="C2089" t="s">
        <v>155</v>
      </c>
      <c r="D2089" s="48">
        <v>44469</v>
      </c>
      <c r="E2089">
        <v>680</v>
      </c>
      <c r="F2089" t="s">
        <v>514</v>
      </c>
      <c r="G2089">
        <v>74.95</v>
      </c>
    </row>
    <row r="2090" spans="2:7">
      <c r="B2090" s="43">
        <v>44407</v>
      </c>
      <c r="C2090" t="s">
        <v>155</v>
      </c>
      <c r="D2090" s="48">
        <v>44469</v>
      </c>
      <c r="E2090">
        <v>680</v>
      </c>
      <c r="F2090" t="s">
        <v>515</v>
      </c>
      <c r="G2090">
        <v>69.099999999999994</v>
      </c>
    </row>
    <row r="2091" spans="2:7" hidden="1">
      <c r="B2091" s="43">
        <v>44404</v>
      </c>
      <c r="C2091" t="s">
        <v>155</v>
      </c>
      <c r="D2091" s="48">
        <v>44469</v>
      </c>
      <c r="E2091">
        <v>690</v>
      </c>
      <c r="F2091" t="s">
        <v>514</v>
      </c>
      <c r="G2091">
        <v>70.55</v>
      </c>
    </row>
    <row r="2092" spans="2:7">
      <c r="B2092" s="43">
        <v>44404</v>
      </c>
      <c r="C2092" t="s">
        <v>155</v>
      </c>
      <c r="D2092" s="48">
        <v>44469</v>
      </c>
      <c r="E2092">
        <v>690</v>
      </c>
      <c r="F2092" t="s">
        <v>515</v>
      </c>
      <c r="G2092">
        <v>74.55</v>
      </c>
    </row>
    <row r="2093" spans="2:7" hidden="1">
      <c r="B2093" s="43">
        <v>44405</v>
      </c>
      <c r="C2093" t="s">
        <v>155</v>
      </c>
      <c r="D2093" s="48">
        <v>44469</v>
      </c>
      <c r="E2093">
        <v>690</v>
      </c>
      <c r="F2093" t="s">
        <v>514</v>
      </c>
      <c r="G2093">
        <v>70.55</v>
      </c>
    </row>
    <row r="2094" spans="2:7">
      <c r="B2094" s="43">
        <v>44405</v>
      </c>
      <c r="C2094" t="s">
        <v>155</v>
      </c>
      <c r="D2094" s="48">
        <v>44469</v>
      </c>
      <c r="E2094">
        <v>690</v>
      </c>
      <c r="F2094" t="s">
        <v>515</v>
      </c>
      <c r="G2094">
        <v>74.55</v>
      </c>
    </row>
    <row r="2095" spans="2:7">
      <c r="B2095" s="43">
        <v>44406</v>
      </c>
      <c r="C2095" t="s">
        <v>155</v>
      </c>
      <c r="D2095" s="48">
        <v>44469</v>
      </c>
      <c r="E2095">
        <v>690</v>
      </c>
      <c r="F2095" t="s">
        <v>515</v>
      </c>
      <c r="G2095">
        <v>74.55</v>
      </c>
    </row>
    <row r="2096" spans="2:7" hidden="1">
      <c r="B2096" s="43">
        <v>44406</v>
      </c>
      <c r="C2096" t="s">
        <v>155</v>
      </c>
      <c r="D2096" s="48">
        <v>44469</v>
      </c>
      <c r="E2096">
        <v>690</v>
      </c>
      <c r="F2096" t="s">
        <v>514</v>
      </c>
      <c r="G2096">
        <v>70.55</v>
      </c>
    </row>
    <row r="2097" spans="2:7" hidden="1">
      <c r="B2097" s="43">
        <v>44407</v>
      </c>
      <c r="C2097" t="s">
        <v>155</v>
      </c>
      <c r="D2097" s="48">
        <v>44469</v>
      </c>
      <c r="E2097">
        <v>690</v>
      </c>
      <c r="F2097" t="s">
        <v>514</v>
      </c>
      <c r="G2097">
        <v>70.55</v>
      </c>
    </row>
    <row r="2098" spans="2:7">
      <c r="B2098" s="43">
        <v>44407</v>
      </c>
      <c r="C2098" t="s">
        <v>155</v>
      </c>
      <c r="D2098" s="48">
        <v>44469</v>
      </c>
      <c r="E2098">
        <v>690</v>
      </c>
      <c r="F2098" t="s">
        <v>515</v>
      </c>
      <c r="G2098">
        <v>74.55</v>
      </c>
    </row>
    <row r="2099" spans="2:7" hidden="1">
      <c r="B2099" s="43">
        <v>44404</v>
      </c>
      <c r="C2099" t="s">
        <v>155</v>
      </c>
      <c r="D2099" s="48">
        <v>44469</v>
      </c>
      <c r="E2099">
        <v>700</v>
      </c>
      <c r="F2099" t="s">
        <v>514</v>
      </c>
      <c r="G2099">
        <v>66.3</v>
      </c>
    </row>
    <row r="2100" spans="2:7">
      <c r="B2100" s="43">
        <v>44404</v>
      </c>
      <c r="C2100" t="s">
        <v>155</v>
      </c>
      <c r="D2100" s="48">
        <v>44469</v>
      </c>
      <c r="E2100">
        <v>700</v>
      </c>
      <c r="F2100" t="s">
        <v>515</v>
      </c>
      <c r="G2100">
        <v>80.25</v>
      </c>
    </row>
    <row r="2101" spans="2:7" hidden="1">
      <c r="B2101" s="43">
        <v>44405</v>
      </c>
      <c r="C2101" t="s">
        <v>155</v>
      </c>
      <c r="D2101" s="48">
        <v>44469</v>
      </c>
      <c r="E2101">
        <v>700</v>
      </c>
      <c r="F2101" t="s">
        <v>514</v>
      </c>
      <c r="G2101">
        <v>66.3</v>
      </c>
    </row>
    <row r="2102" spans="2:7">
      <c r="B2102" s="43">
        <v>44405</v>
      </c>
      <c r="C2102" t="s">
        <v>155</v>
      </c>
      <c r="D2102" s="48">
        <v>44469</v>
      </c>
      <c r="E2102">
        <v>700</v>
      </c>
      <c r="F2102" t="s">
        <v>515</v>
      </c>
      <c r="G2102">
        <v>80.25</v>
      </c>
    </row>
    <row r="2103" spans="2:7" hidden="1">
      <c r="B2103" s="43">
        <v>44406</v>
      </c>
      <c r="C2103" t="s">
        <v>155</v>
      </c>
      <c r="D2103" s="48">
        <v>44469</v>
      </c>
      <c r="E2103">
        <v>700</v>
      </c>
      <c r="F2103" t="s">
        <v>514</v>
      </c>
      <c r="G2103">
        <v>66.3</v>
      </c>
    </row>
    <row r="2104" spans="2:7">
      <c r="B2104" s="43">
        <v>44406</v>
      </c>
      <c r="C2104" t="s">
        <v>155</v>
      </c>
      <c r="D2104" s="48">
        <v>44469</v>
      </c>
      <c r="E2104">
        <v>700</v>
      </c>
      <c r="F2104" t="s">
        <v>515</v>
      </c>
      <c r="G2104">
        <v>80.25</v>
      </c>
    </row>
    <row r="2105" spans="2:7" hidden="1">
      <c r="B2105" s="43">
        <v>44407</v>
      </c>
      <c r="C2105" t="s">
        <v>155</v>
      </c>
      <c r="D2105" s="48">
        <v>44469</v>
      </c>
      <c r="E2105">
        <v>700</v>
      </c>
      <c r="F2105" t="s">
        <v>514</v>
      </c>
      <c r="G2105">
        <v>66.3</v>
      </c>
    </row>
    <row r="2106" spans="2:7">
      <c r="B2106" s="43">
        <v>44407</v>
      </c>
      <c r="C2106" t="s">
        <v>155</v>
      </c>
      <c r="D2106" s="48">
        <v>44469</v>
      </c>
      <c r="E2106">
        <v>700</v>
      </c>
      <c r="F2106" t="s">
        <v>515</v>
      </c>
      <c r="G2106">
        <v>80.25</v>
      </c>
    </row>
    <row r="2107" spans="2:7" hidden="1">
      <c r="B2107" s="43">
        <v>44404</v>
      </c>
      <c r="C2107" t="s">
        <v>155</v>
      </c>
      <c r="D2107" s="48">
        <v>44469</v>
      </c>
      <c r="E2107">
        <v>710</v>
      </c>
      <c r="F2107" t="s">
        <v>514</v>
      </c>
      <c r="G2107">
        <v>62.25</v>
      </c>
    </row>
    <row r="2108" spans="2:7">
      <c r="B2108" s="43">
        <v>44404</v>
      </c>
      <c r="C2108" t="s">
        <v>155</v>
      </c>
      <c r="D2108" s="48">
        <v>44469</v>
      </c>
      <c r="E2108">
        <v>710</v>
      </c>
      <c r="F2108" t="s">
        <v>515</v>
      </c>
      <c r="G2108">
        <v>86.1</v>
      </c>
    </row>
    <row r="2109" spans="2:7" hidden="1">
      <c r="B2109" s="43">
        <v>44405</v>
      </c>
      <c r="C2109" t="s">
        <v>155</v>
      </c>
      <c r="D2109" s="48">
        <v>44469</v>
      </c>
      <c r="E2109">
        <v>710</v>
      </c>
      <c r="F2109" t="s">
        <v>514</v>
      </c>
      <c r="G2109">
        <v>62.25</v>
      </c>
    </row>
    <row r="2110" spans="2:7">
      <c r="B2110" s="43">
        <v>44405</v>
      </c>
      <c r="C2110" t="s">
        <v>155</v>
      </c>
      <c r="D2110" s="48">
        <v>44469</v>
      </c>
      <c r="E2110">
        <v>710</v>
      </c>
      <c r="F2110" t="s">
        <v>515</v>
      </c>
      <c r="G2110">
        <v>86.1</v>
      </c>
    </row>
    <row r="2111" spans="2:7" hidden="1">
      <c r="B2111" s="43">
        <v>44406</v>
      </c>
      <c r="C2111" t="s">
        <v>155</v>
      </c>
      <c r="D2111" s="48">
        <v>44469</v>
      </c>
      <c r="E2111">
        <v>710</v>
      </c>
      <c r="F2111" t="s">
        <v>514</v>
      </c>
      <c r="G2111">
        <v>62.25</v>
      </c>
    </row>
    <row r="2112" spans="2:7">
      <c r="B2112" s="43">
        <v>44406</v>
      </c>
      <c r="C2112" t="s">
        <v>155</v>
      </c>
      <c r="D2112" s="48">
        <v>44469</v>
      </c>
      <c r="E2112">
        <v>710</v>
      </c>
      <c r="F2112" t="s">
        <v>515</v>
      </c>
      <c r="G2112">
        <v>86.1</v>
      </c>
    </row>
    <row r="2113" spans="2:7" hidden="1">
      <c r="B2113" s="43">
        <v>44407</v>
      </c>
      <c r="C2113" t="s">
        <v>155</v>
      </c>
      <c r="D2113" s="48">
        <v>44469</v>
      </c>
      <c r="E2113">
        <v>710</v>
      </c>
      <c r="F2113" t="s">
        <v>514</v>
      </c>
      <c r="G2113">
        <v>62.25</v>
      </c>
    </row>
    <row r="2114" spans="2:7">
      <c r="B2114" s="43">
        <v>44407</v>
      </c>
      <c r="C2114" t="s">
        <v>155</v>
      </c>
      <c r="D2114" s="48">
        <v>44469</v>
      </c>
      <c r="E2114">
        <v>710</v>
      </c>
      <c r="F2114" t="s">
        <v>515</v>
      </c>
      <c r="G2114">
        <v>86.1</v>
      </c>
    </row>
    <row r="2115" spans="2:7" hidden="1">
      <c r="B2115" s="43">
        <v>44404</v>
      </c>
      <c r="C2115" t="s">
        <v>155</v>
      </c>
      <c r="D2115" s="48">
        <v>44469</v>
      </c>
      <c r="E2115">
        <v>720</v>
      </c>
      <c r="F2115" t="s">
        <v>514</v>
      </c>
      <c r="G2115">
        <v>58.45</v>
      </c>
    </row>
    <row r="2116" spans="2:7">
      <c r="B2116" s="43">
        <v>44404</v>
      </c>
      <c r="C2116" t="s">
        <v>155</v>
      </c>
      <c r="D2116" s="48">
        <v>44469</v>
      </c>
      <c r="E2116">
        <v>720</v>
      </c>
      <c r="F2116" t="s">
        <v>515</v>
      </c>
      <c r="G2116">
        <v>92.2</v>
      </c>
    </row>
    <row r="2117" spans="2:7" hidden="1">
      <c r="B2117" s="43">
        <v>44405</v>
      </c>
      <c r="C2117" t="s">
        <v>155</v>
      </c>
      <c r="D2117" s="48">
        <v>44469</v>
      </c>
      <c r="E2117">
        <v>720</v>
      </c>
      <c r="F2117" t="s">
        <v>514</v>
      </c>
      <c r="G2117">
        <v>58.45</v>
      </c>
    </row>
    <row r="2118" spans="2:7">
      <c r="B2118" s="43">
        <v>44405</v>
      </c>
      <c r="C2118" t="s">
        <v>155</v>
      </c>
      <c r="D2118" s="48">
        <v>44469</v>
      </c>
      <c r="E2118">
        <v>720</v>
      </c>
      <c r="F2118" t="s">
        <v>515</v>
      </c>
      <c r="G2118">
        <v>92.2</v>
      </c>
    </row>
    <row r="2119" spans="2:7" hidden="1">
      <c r="B2119" s="43">
        <v>44406</v>
      </c>
      <c r="C2119" t="s">
        <v>155</v>
      </c>
      <c r="D2119" s="48">
        <v>44469</v>
      </c>
      <c r="E2119">
        <v>720</v>
      </c>
      <c r="F2119" t="s">
        <v>514</v>
      </c>
      <c r="G2119">
        <v>58.45</v>
      </c>
    </row>
    <row r="2120" spans="2:7">
      <c r="B2120" s="43">
        <v>44406</v>
      </c>
      <c r="C2120" t="s">
        <v>155</v>
      </c>
      <c r="D2120" s="48">
        <v>44469</v>
      </c>
      <c r="E2120">
        <v>720</v>
      </c>
      <c r="F2120" t="s">
        <v>515</v>
      </c>
      <c r="G2120">
        <v>92.2</v>
      </c>
    </row>
    <row r="2121" spans="2:7" hidden="1">
      <c r="B2121" s="43">
        <v>44407</v>
      </c>
      <c r="C2121" t="s">
        <v>155</v>
      </c>
      <c r="D2121" s="48">
        <v>44469</v>
      </c>
      <c r="E2121">
        <v>720</v>
      </c>
      <c r="F2121" t="s">
        <v>514</v>
      </c>
      <c r="G2121">
        <v>58.45</v>
      </c>
    </row>
    <row r="2122" spans="2:7">
      <c r="B2122" s="43">
        <v>44407</v>
      </c>
      <c r="C2122" t="s">
        <v>155</v>
      </c>
      <c r="D2122" s="48">
        <v>44469</v>
      </c>
      <c r="E2122">
        <v>720</v>
      </c>
      <c r="F2122" t="s">
        <v>515</v>
      </c>
      <c r="G2122">
        <v>92.2</v>
      </c>
    </row>
    <row r="2123" spans="2:7" hidden="1">
      <c r="B2123" s="43">
        <v>44404</v>
      </c>
      <c r="C2123" t="s">
        <v>155</v>
      </c>
      <c r="D2123" s="48">
        <v>44469</v>
      </c>
      <c r="E2123">
        <v>730</v>
      </c>
      <c r="F2123" t="s">
        <v>514</v>
      </c>
      <c r="G2123">
        <v>54.8</v>
      </c>
    </row>
    <row r="2124" spans="2:7">
      <c r="B2124" s="43">
        <v>44404</v>
      </c>
      <c r="C2124" t="s">
        <v>155</v>
      </c>
      <c r="D2124" s="48">
        <v>44469</v>
      </c>
      <c r="E2124">
        <v>730</v>
      </c>
      <c r="F2124" t="s">
        <v>515</v>
      </c>
      <c r="G2124">
        <v>98.45</v>
      </c>
    </row>
    <row r="2125" spans="2:7" hidden="1">
      <c r="B2125" s="43">
        <v>44405</v>
      </c>
      <c r="C2125" t="s">
        <v>155</v>
      </c>
      <c r="D2125" s="48">
        <v>44469</v>
      </c>
      <c r="E2125">
        <v>730</v>
      </c>
      <c r="F2125" t="s">
        <v>514</v>
      </c>
      <c r="G2125">
        <v>54.8</v>
      </c>
    </row>
    <row r="2126" spans="2:7">
      <c r="B2126" s="43">
        <v>44405</v>
      </c>
      <c r="C2126" t="s">
        <v>155</v>
      </c>
      <c r="D2126" s="48">
        <v>44469</v>
      </c>
      <c r="E2126">
        <v>730</v>
      </c>
      <c r="F2126" t="s">
        <v>515</v>
      </c>
      <c r="G2126">
        <v>98.45</v>
      </c>
    </row>
    <row r="2127" spans="2:7" hidden="1">
      <c r="B2127" s="43">
        <v>44406</v>
      </c>
      <c r="C2127" t="s">
        <v>155</v>
      </c>
      <c r="D2127" s="48">
        <v>44469</v>
      </c>
      <c r="E2127">
        <v>730</v>
      </c>
      <c r="F2127" t="s">
        <v>514</v>
      </c>
      <c r="G2127">
        <v>54.8</v>
      </c>
    </row>
    <row r="2128" spans="2:7">
      <c r="B2128" s="43">
        <v>44406</v>
      </c>
      <c r="C2128" t="s">
        <v>155</v>
      </c>
      <c r="D2128" s="48">
        <v>44469</v>
      </c>
      <c r="E2128">
        <v>730</v>
      </c>
      <c r="F2128" t="s">
        <v>515</v>
      </c>
      <c r="G2128">
        <v>98.45</v>
      </c>
    </row>
    <row r="2129" spans="2:7" hidden="1">
      <c r="B2129" s="43">
        <v>44407</v>
      </c>
      <c r="C2129" t="s">
        <v>155</v>
      </c>
      <c r="D2129" s="48">
        <v>44469</v>
      </c>
      <c r="E2129">
        <v>730</v>
      </c>
      <c r="F2129" t="s">
        <v>514</v>
      </c>
      <c r="G2129">
        <v>54.8</v>
      </c>
    </row>
    <row r="2130" spans="2:7">
      <c r="B2130" s="43">
        <v>44407</v>
      </c>
      <c r="C2130" t="s">
        <v>155</v>
      </c>
      <c r="D2130" s="48">
        <v>44469</v>
      </c>
      <c r="E2130">
        <v>730</v>
      </c>
      <c r="F2130" t="s">
        <v>515</v>
      </c>
      <c r="G2130">
        <v>98.45</v>
      </c>
    </row>
    <row r="2131" spans="2:7" hidden="1">
      <c r="B2131" s="43">
        <v>44404</v>
      </c>
      <c r="C2131" t="s">
        <v>155</v>
      </c>
      <c r="D2131" s="48">
        <v>44469</v>
      </c>
      <c r="E2131">
        <v>740</v>
      </c>
      <c r="F2131" t="s">
        <v>514</v>
      </c>
      <c r="G2131">
        <v>51.4</v>
      </c>
    </row>
    <row r="2132" spans="2:7">
      <c r="B2132" s="43">
        <v>44404</v>
      </c>
      <c r="C2132" t="s">
        <v>155</v>
      </c>
      <c r="D2132" s="48">
        <v>44469</v>
      </c>
      <c r="E2132">
        <v>740</v>
      </c>
      <c r="F2132" t="s">
        <v>515</v>
      </c>
      <c r="G2132">
        <v>104.9</v>
      </c>
    </row>
    <row r="2133" spans="2:7" hidden="1">
      <c r="B2133" s="43">
        <v>44405</v>
      </c>
      <c r="C2133" t="s">
        <v>155</v>
      </c>
      <c r="D2133" s="48">
        <v>44469</v>
      </c>
      <c r="E2133">
        <v>740</v>
      </c>
      <c r="F2133" t="s">
        <v>514</v>
      </c>
      <c r="G2133">
        <v>51.4</v>
      </c>
    </row>
    <row r="2134" spans="2:7">
      <c r="B2134" s="43">
        <v>44405</v>
      </c>
      <c r="C2134" t="s">
        <v>155</v>
      </c>
      <c r="D2134" s="48">
        <v>44469</v>
      </c>
      <c r="E2134">
        <v>740</v>
      </c>
      <c r="F2134" t="s">
        <v>515</v>
      </c>
      <c r="G2134">
        <v>104.9</v>
      </c>
    </row>
    <row r="2135" spans="2:7" hidden="1">
      <c r="B2135" s="43">
        <v>44406</v>
      </c>
      <c r="C2135" t="s">
        <v>155</v>
      </c>
      <c r="D2135" s="48">
        <v>44469</v>
      </c>
      <c r="E2135">
        <v>740</v>
      </c>
      <c r="F2135" t="s">
        <v>514</v>
      </c>
      <c r="G2135">
        <v>51.4</v>
      </c>
    </row>
    <row r="2136" spans="2:7">
      <c r="B2136" s="43">
        <v>44406</v>
      </c>
      <c r="C2136" t="s">
        <v>155</v>
      </c>
      <c r="D2136" s="48">
        <v>44469</v>
      </c>
      <c r="E2136">
        <v>740</v>
      </c>
      <c r="F2136" t="s">
        <v>515</v>
      </c>
      <c r="G2136">
        <v>104.9</v>
      </c>
    </row>
    <row r="2137" spans="2:7" hidden="1">
      <c r="B2137" s="43">
        <v>44407</v>
      </c>
      <c r="C2137" t="s">
        <v>155</v>
      </c>
      <c r="D2137" s="48">
        <v>44469</v>
      </c>
      <c r="E2137">
        <v>740</v>
      </c>
      <c r="F2137" t="s">
        <v>514</v>
      </c>
      <c r="G2137">
        <v>51.4</v>
      </c>
    </row>
    <row r="2138" spans="2:7">
      <c r="B2138" s="43">
        <v>44407</v>
      </c>
      <c r="C2138" t="s">
        <v>155</v>
      </c>
      <c r="D2138" s="48">
        <v>44469</v>
      </c>
      <c r="E2138">
        <v>740</v>
      </c>
      <c r="F2138" t="s">
        <v>515</v>
      </c>
      <c r="G2138">
        <v>104.9</v>
      </c>
    </row>
    <row r="2139" spans="2:7" hidden="1">
      <c r="B2139" s="43">
        <v>44404</v>
      </c>
      <c r="C2139" t="s">
        <v>155</v>
      </c>
      <c r="D2139" s="48">
        <v>44469</v>
      </c>
      <c r="E2139">
        <v>750</v>
      </c>
      <c r="F2139" t="s">
        <v>514</v>
      </c>
      <c r="G2139">
        <v>48.1</v>
      </c>
    </row>
    <row r="2140" spans="2:7">
      <c r="B2140" s="43">
        <v>44404</v>
      </c>
      <c r="C2140" t="s">
        <v>155</v>
      </c>
      <c r="D2140" s="48">
        <v>44469</v>
      </c>
      <c r="E2140">
        <v>750</v>
      </c>
      <c r="F2140" t="s">
        <v>515</v>
      </c>
      <c r="G2140">
        <v>111.55</v>
      </c>
    </row>
    <row r="2141" spans="2:7" hidden="1">
      <c r="B2141" s="43">
        <v>44405</v>
      </c>
      <c r="C2141" t="s">
        <v>155</v>
      </c>
      <c r="D2141" s="48">
        <v>44469</v>
      </c>
      <c r="E2141">
        <v>750</v>
      </c>
      <c r="F2141" t="s">
        <v>514</v>
      </c>
      <c r="G2141">
        <v>48.1</v>
      </c>
    </row>
    <row r="2142" spans="2:7">
      <c r="B2142" s="43">
        <v>44405</v>
      </c>
      <c r="C2142" t="s">
        <v>155</v>
      </c>
      <c r="D2142" s="48">
        <v>44469</v>
      </c>
      <c r="E2142">
        <v>750</v>
      </c>
      <c r="F2142" t="s">
        <v>515</v>
      </c>
      <c r="G2142">
        <v>111.55</v>
      </c>
    </row>
    <row r="2143" spans="2:7" hidden="1">
      <c r="B2143" s="43">
        <v>44406</v>
      </c>
      <c r="C2143" t="s">
        <v>155</v>
      </c>
      <c r="D2143" s="48">
        <v>44469</v>
      </c>
      <c r="E2143">
        <v>750</v>
      </c>
      <c r="F2143" t="s">
        <v>514</v>
      </c>
      <c r="G2143">
        <v>48.05</v>
      </c>
    </row>
    <row r="2144" spans="2:7">
      <c r="B2144" s="43">
        <v>44406</v>
      </c>
      <c r="C2144" t="s">
        <v>155</v>
      </c>
      <c r="D2144" s="48">
        <v>44469</v>
      </c>
      <c r="E2144">
        <v>750</v>
      </c>
      <c r="F2144" t="s">
        <v>515</v>
      </c>
      <c r="G2144">
        <v>111.55</v>
      </c>
    </row>
    <row r="2145" spans="2:7" hidden="1">
      <c r="B2145" s="43">
        <v>44407</v>
      </c>
      <c r="C2145" t="s">
        <v>155</v>
      </c>
      <c r="D2145" s="48">
        <v>44469</v>
      </c>
      <c r="E2145">
        <v>750</v>
      </c>
      <c r="F2145" t="s">
        <v>514</v>
      </c>
      <c r="G2145">
        <v>46.15</v>
      </c>
    </row>
    <row r="2146" spans="2:7">
      <c r="B2146" s="43">
        <v>44407</v>
      </c>
      <c r="C2146" t="s">
        <v>155</v>
      </c>
      <c r="D2146" s="48">
        <v>44469</v>
      </c>
      <c r="E2146">
        <v>750</v>
      </c>
      <c r="F2146" t="s">
        <v>515</v>
      </c>
      <c r="G2146">
        <v>111.55</v>
      </c>
    </row>
    <row r="2147" spans="2:7" hidden="1">
      <c r="B2147" s="43">
        <v>44404</v>
      </c>
      <c r="C2147" t="s">
        <v>155</v>
      </c>
      <c r="D2147" s="48">
        <v>44469</v>
      </c>
      <c r="E2147">
        <v>760</v>
      </c>
      <c r="F2147" t="s">
        <v>514</v>
      </c>
      <c r="G2147">
        <v>45.05</v>
      </c>
    </row>
    <row r="2148" spans="2:7">
      <c r="B2148" s="43">
        <v>44404</v>
      </c>
      <c r="C2148" t="s">
        <v>155</v>
      </c>
      <c r="D2148" s="48">
        <v>44469</v>
      </c>
      <c r="E2148">
        <v>760</v>
      </c>
      <c r="F2148" t="s">
        <v>515</v>
      </c>
      <c r="G2148">
        <v>118.35</v>
      </c>
    </row>
    <row r="2149" spans="2:7" hidden="1">
      <c r="B2149" s="43">
        <v>44405</v>
      </c>
      <c r="C2149" t="s">
        <v>155</v>
      </c>
      <c r="D2149" s="48">
        <v>44469</v>
      </c>
      <c r="E2149">
        <v>760</v>
      </c>
      <c r="F2149" t="s">
        <v>514</v>
      </c>
      <c r="G2149">
        <v>45.05</v>
      </c>
    </row>
    <row r="2150" spans="2:7">
      <c r="B2150" s="43">
        <v>44405</v>
      </c>
      <c r="C2150" t="s">
        <v>155</v>
      </c>
      <c r="D2150" s="48">
        <v>44469</v>
      </c>
      <c r="E2150">
        <v>760</v>
      </c>
      <c r="F2150" t="s">
        <v>515</v>
      </c>
      <c r="G2150">
        <v>118.35</v>
      </c>
    </row>
    <row r="2151" spans="2:7" hidden="1">
      <c r="B2151" s="43">
        <v>44406</v>
      </c>
      <c r="C2151" t="s">
        <v>155</v>
      </c>
      <c r="D2151" s="48">
        <v>44469</v>
      </c>
      <c r="E2151">
        <v>760</v>
      </c>
      <c r="F2151" t="s">
        <v>514</v>
      </c>
      <c r="G2151">
        <v>45.05</v>
      </c>
    </row>
    <row r="2152" spans="2:7">
      <c r="B2152" s="43">
        <v>44406</v>
      </c>
      <c r="C2152" t="s">
        <v>155</v>
      </c>
      <c r="D2152" s="48">
        <v>44469</v>
      </c>
      <c r="E2152">
        <v>760</v>
      </c>
      <c r="F2152" t="s">
        <v>515</v>
      </c>
      <c r="G2152">
        <v>118.35</v>
      </c>
    </row>
    <row r="2153" spans="2:7" hidden="1">
      <c r="B2153" s="43">
        <v>44407</v>
      </c>
      <c r="C2153" t="s">
        <v>155</v>
      </c>
      <c r="D2153" s="48">
        <v>44469</v>
      </c>
      <c r="E2153">
        <v>760</v>
      </c>
      <c r="F2153" t="s">
        <v>514</v>
      </c>
      <c r="G2153">
        <v>45.05</v>
      </c>
    </row>
    <row r="2154" spans="2:7">
      <c r="B2154" s="43">
        <v>44407</v>
      </c>
      <c r="C2154" t="s">
        <v>155</v>
      </c>
      <c r="D2154" s="48">
        <v>44469</v>
      </c>
      <c r="E2154">
        <v>760</v>
      </c>
      <c r="F2154" t="s">
        <v>515</v>
      </c>
      <c r="G2154">
        <v>118.35</v>
      </c>
    </row>
    <row r="2155" spans="2:7" hidden="1">
      <c r="B2155" s="43">
        <v>44404</v>
      </c>
      <c r="C2155" t="s">
        <v>155</v>
      </c>
      <c r="D2155" s="48">
        <v>44469</v>
      </c>
      <c r="E2155">
        <v>770</v>
      </c>
      <c r="F2155" t="s">
        <v>514</v>
      </c>
      <c r="G2155">
        <v>42.15</v>
      </c>
    </row>
    <row r="2156" spans="2:7">
      <c r="B2156" s="43">
        <v>44404</v>
      </c>
      <c r="C2156" t="s">
        <v>155</v>
      </c>
      <c r="D2156" s="48">
        <v>44469</v>
      </c>
      <c r="E2156">
        <v>770</v>
      </c>
      <c r="F2156" t="s">
        <v>515</v>
      </c>
      <c r="G2156">
        <v>125.35</v>
      </c>
    </row>
    <row r="2157" spans="2:7" hidden="1">
      <c r="B2157" s="43">
        <v>44405</v>
      </c>
      <c r="C2157" t="s">
        <v>155</v>
      </c>
      <c r="D2157" s="48">
        <v>44469</v>
      </c>
      <c r="E2157">
        <v>770</v>
      </c>
      <c r="F2157" t="s">
        <v>514</v>
      </c>
      <c r="G2157">
        <v>42.15</v>
      </c>
    </row>
    <row r="2158" spans="2:7">
      <c r="B2158" s="43">
        <v>44405</v>
      </c>
      <c r="C2158" t="s">
        <v>155</v>
      </c>
      <c r="D2158" s="48">
        <v>44469</v>
      </c>
      <c r="E2158">
        <v>770</v>
      </c>
      <c r="F2158" t="s">
        <v>515</v>
      </c>
      <c r="G2158">
        <v>125.35</v>
      </c>
    </row>
    <row r="2159" spans="2:7" hidden="1">
      <c r="B2159" s="43">
        <v>44406</v>
      </c>
      <c r="C2159" t="s">
        <v>155</v>
      </c>
      <c r="D2159" s="48">
        <v>44469</v>
      </c>
      <c r="E2159">
        <v>770</v>
      </c>
      <c r="F2159" t="s">
        <v>514</v>
      </c>
      <c r="G2159">
        <v>42.15</v>
      </c>
    </row>
    <row r="2160" spans="2:7">
      <c r="B2160" s="43">
        <v>44406</v>
      </c>
      <c r="C2160" t="s">
        <v>155</v>
      </c>
      <c r="D2160" s="48">
        <v>44469</v>
      </c>
      <c r="E2160">
        <v>770</v>
      </c>
      <c r="F2160" t="s">
        <v>515</v>
      </c>
      <c r="G2160">
        <v>125.35</v>
      </c>
    </row>
    <row r="2161" spans="2:7" hidden="1">
      <c r="B2161" s="43">
        <v>44407</v>
      </c>
      <c r="C2161" t="s">
        <v>155</v>
      </c>
      <c r="D2161" s="48">
        <v>44469</v>
      </c>
      <c r="E2161">
        <v>770</v>
      </c>
      <c r="F2161" t="s">
        <v>514</v>
      </c>
      <c r="G2161">
        <v>42.15</v>
      </c>
    </row>
    <row r="2162" spans="2:7">
      <c r="B2162" s="43">
        <v>44407</v>
      </c>
      <c r="C2162" t="s">
        <v>155</v>
      </c>
      <c r="D2162" s="48">
        <v>44469</v>
      </c>
      <c r="E2162">
        <v>770</v>
      </c>
      <c r="F2162" t="s">
        <v>515</v>
      </c>
      <c r="G2162">
        <v>125.35</v>
      </c>
    </row>
    <row r="2163" spans="2:7" hidden="1">
      <c r="B2163" s="43">
        <v>44404</v>
      </c>
      <c r="C2163" t="s">
        <v>155</v>
      </c>
      <c r="D2163" s="48">
        <v>44469</v>
      </c>
      <c r="E2163">
        <v>780</v>
      </c>
      <c r="F2163" t="s">
        <v>514</v>
      </c>
      <c r="G2163">
        <v>39.4</v>
      </c>
    </row>
    <row r="2164" spans="2:7">
      <c r="B2164" s="43">
        <v>44404</v>
      </c>
      <c r="C2164" t="s">
        <v>155</v>
      </c>
      <c r="D2164" s="48">
        <v>44469</v>
      </c>
      <c r="E2164">
        <v>780</v>
      </c>
      <c r="F2164" t="s">
        <v>515</v>
      </c>
      <c r="G2164">
        <v>132.5</v>
      </c>
    </row>
    <row r="2165" spans="2:7" hidden="1">
      <c r="B2165" s="43">
        <v>44405</v>
      </c>
      <c r="C2165" t="s">
        <v>155</v>
      </c>
      <c r="D2165" s="48">
        <v>44469</v>
      </c>
      <c r="E2165">
        <v>780</v>
      </c>
      <c r="F2165" t="s">
        <v>514</v>
      </c>
      <c r="G2165">
        <v>39.4</v>
      </c>
    </row>
    <row r="2166" spans="2:7">
      <c r="B2166" s="43">
        <v>44405</v>
      </c>
      <c r="C2166" t="s">
        <v>155</v>
      </c>
      <c r="D2166" s="48">
        <v>44469</v>
      </c>
      <c r="E2166">
        <v>780</v>
      </c>
      <c r="F2166" t="s">
        <v>515</v>
      </c>
      <c r="G2166">
        <v>132.5</v>
      </c>
    </row>
    <row r="2167" spans="2:7" hidden="1">
      <c r="B2167" s="43">
        <v>44406</v>
      </c>
      <c r="C2167" t="s">
        <v>155</v>
      </c>
      <c r="D2167" s="48">
        <v>44469</v>
      </c>
      <c r="E2167">
        <v>780</v>
      </c>
      <c r="F2167" t="s">
        <v>514</v>
      </c>
      <c r="G2167">
        <v>39.4</v>
      </c>
    </row>
    <row r="2168" spans="2:7">
      <c r="B2168" s="43">
        <v>44406</v>
      </c>
      <c r="C2168" t="s">
        <v>155</v>
      </c>
      <c r="D2168" s="48">
        <v>44469</v>
      </c>
      <c r="E2168">
        <v>780</v>
      </c>
      <c r="F2168" t="s">
        <v>515</v>
      </c>
      <c r="G2168">
        <v>132.5</v>
      </c>
    </row>
    <row r="2169" spans="2:7" hidden="1">
      <c r="B2169" s="43">
        <v>44407</v>
      </c>
      <c r="C2169" t="s">
        <v>155</v>
      </c>
      <c r="D2169" s="48">
        <v>44469</v>
      </c>
      <c r="E2169">
        <v>780</v>
      </c>
      <c r="F2169" t="s">
        <v>514</v>
      </c>
      <c r="G2169">
        <v>39.4</v>
      </c>
    </row>
    <row r="2170" spans="2:7">
      <c r="B2170" s="43">
        <v>44407</v>
      </c>
      <c r="C2170" t="s">
        <v>155</v>
      </c>
      <c r="D2170" s="48">
        <v>44469</v>
      </c>
      <c r="E2170">
        <v>780</v>
      </c>
      <c r="F2170" t="s">
        <v>515</v>
      </c>
      <c r="G2170">
        <v>132.5</v>
      </c>
    </row>
    <row r="2171" spans="2:7" hidden="1">
      <c r="B2171" s="43">
        <v>44404</v>
      </c>
      <c r="C2171" t="s">
        <v>155</v>
      </c>
      <c r="D2171" s="48">
        <v>44469</v>
      </c>
      <c r="E2171">
        <v>790</v>
      </c>
      <c r="F2171" t="s">
        <v>514</v>
      </c>
      <c r="G2171">
        <v>36.799999999999997</v>
      </c>
    </row>
    <row r="2172" spans="2:7">
      <c r="B2172" s="43">
        <v>44404</v>
      </c>
      <c r="C2172" t="s">
        <v>155</v>
      </c>
      <c r="D2172" s="48">
        <v>44469</v>
      </c>
      <c r="E2172">
        <v>790</v>
      </c>
      <c r="F2172" t="s">
        <v>515</v>
      </c>
      <c r="G2172">
        <v>139.80000000000001</v>
      </c>
    </row>
    <row r="2173" spans="2:7" hidden="1">
      <c r="B2173" s="43">
        <v>44405</v>
      </c>
      <c r="C2173" t="s">
        <v>155</v>
      </c>
      <c r="D2173" s="48">
        <v>44469</v>
      </c>
      <c r="E2173">
        <v>790</v>
      </c>
      <c r="F2173" t="s">
        <v>514</v>
      </c>
      <c r="G2173">
        <v>36.799999999999997</v>
      </c>
    </row>
    <row r="2174" spans="2:7">
      <c r="B2174" s="43">
        <v>44405</v>
      </c>
      <c r="C2174" t="s">
        <v>155</v>
      </c>
      <c r="D2174" s="48">
        <v>44469</v>
      </c>
      <c r="E2174">
        <v>790</v>
      </c>
      <c r="F2174" t="s">
        <v>515</v>
      </c>
      <c r="G2174">
        <v>139.80000000000001</v>
      </c>
    </row>
    <row r="2175" spans="2:7" hidden="1">
      <c r="B2175" s="43">
        <v>44406</v>
      </c>
      <c r="C2175" t="s">
        <v>155</v>
      </c>
      <c r="D2175" s="48">
        <v>44469</v>
      </c>
      <c r="E2175">
        <v>790</v>
      </c>
      <c r="F2175" t="s">
        <v>514</v>
      </c>
      <c r="G2175">
        <v>36.799999999999997</v>
      </c>
    </row>
    <row r="2176" spans="2:7">
      <c r="B2176" s="43">
        <v>44406</v>
      </c>
      <c r="C2176" t="s">
        <v>155</v>
      </c>
      <c r="D2176" s="48">
        <v>44469</v>
      </c>
      <c r="E2176">
        <v>790</v>
      </c>
      <c r="F2176" t="s">
        <v>515</v>
      </c>
      <c r="G2176">
        <v>139.80000000000001</v>
      </c>
    </row>
    <row r="2177" spans="2:7" hidden="1">
      <c r="B2177" s="43">
        <v>44407</v>
      </c>
      <c r="C2177" t="s">
        <v>155</v>
      </c>
      <c r="D2177" s="48">
        <v>44469</v>
      </c>
      <c r="E2177">
        <v>790</v>
      </c>
      <c r="F2177" t="s">
        <v>514</v>
      </c>
      <c r="G2177">
        <v>36.799999999999997</v>
      </c>
    </row>
    <row r="2178" spans="2:7">
      <c r="B2178" s="43">
        <v>44407</v>
      </c>
      <c r="C2178" t="s">
        <v>155</v>
      </c>
      <c r="D2178" s="48">
        <v>44469</v>
      </c>
      <c r="E2178">
        <v>790</v>
      </c>
      <c r="F2178" t="s">
        <v>515</v>
      </c>
      <c r="G2178">
        <v>139.80000000000001</v>
      </c>
    </row>
    <row r="2179" spans="2:7" hidden="1">
      <c r="B2179" s="43">
        <v>44404</v>
      </c>
      <c r="C2179" t="s">
        <v>155</v>
      </c>
      <c r="D2179" s="48">
        <v>44469</v>
      </c>
      <c r="E2179">
        <v>800</v>
      </c>
      <c r="F2179" t="s">
        <v>514</v>
      </c>
      <c r="G2179">
        <v>34.4</v>
      </c>
    </row>
    <row r="2180" spans="2:7">
      <c r="B2180" s="43">
        <v>44404</v>
      </c>
      <c r="C2180" t="s">
        <v>155</v>
      </c>
      <c r="D2180" s="48">
        <v>44469</v>
      </c>
      <c r="E2180">
        <v>800</v>
      </c>
      <c r="F2180" t="s">
        <v>515</v>
      </c>
      <c r="G2180">
        <v>147.30000000000001</v>
      </c>
    </row>
    <row r="2181" spans="2:7" hidden="1">
      <c r="B2181" s="43">
        <v>44405</v>
      </c>
      <c r="C2181" t="s">
        <v>155</v>
      </c>
      <c r="D2181" s="48">
        <v>44469</v>
      </c>
      <c r="E2181">
        <v>800</v>
      </c>
      <c r="F2181" t="s">
        <v>514</v>
      </c>
      <c r="G2181">
        <v>34.4</v>
      </c>
    </row>
    <row r="2182" spans="2:7">
      <c r="B2182" s="43">
        <v>44405</v>
      </c>
      <c r="C2182" t="s">
        <v>155</v>
      </c>
      <c r="D2182" s="48">
        <v>44469</v>
      </c>
      <c r="E2182">
        <v>800</v>
      </c>
      <c r="F2182" t="s">
        <v>515</v>
      </c>
      <c r="G2182">
        <v>147.30000000000001</v>
      </c>
    </row>
    <row r="2183" spans="2:7" hidden="1">
      <c r="B2183" s="43">
        <v>44406</v>
      </c>
      <c r="C2183" t="s">
        <v>155</v>
      </c>
      <c r="D2183" s="48">
        <v>44469</v>
      </c>
      <c r="E2183">
        <v>800</v>
      </c>
      <c r="F2183" t="s">
        <v>514</v>
      </c>
      <c r="G2183">
        <v>34.4</v>
      </c>
    </row>
    <row r="2184" spans="2:7">
      <c r="B2184" s="43">
        <v>44406</v>
      </c>
      <c r="C2184" t="s">
        <v>155</v>
      </c>
      <c r="D2184" s="48">
        <v>44469</v>
      </c>
      <c r="E2184">
        <v>800</v>
      </c>
      <c r="F2184" t="s">
        <v>515</v>
      </c>
      <c r="G2184">
        <v>147.30000000000001</v>
      </c>
    </row>
    <row r="2185" spans="2:7" hidden="1">
      <c r="B2185" s="43">
        <v>44407</v>
      </c>
      <c r="C2185" t="s">
        <v>155</v>
      </c>
      <c r="D2185" s="48">
        <v>44469</v>
      </c>
      <c r="E2185">
        <v>800</v>
      </c>
      <c r="F2185" t="s">
        <v>514</v>
      </c>
      <c r="G2185">
        <v>34.4</v>
      </c>
    </row>
    <row r="2186" spans="2:7">
      <c r="B2186" s="43">
        <v>44407</v>
      </c>
      <c r="C2186" t="s">
        <v>155</v>
      </c>
      <c r="D2186" s="48">
        <v>44469</v>
      </c>
      <c r="E2186">
        <v>800</v>
      </c>
      <c r="F2186" t="s">
        <v>515</v>
      </c>
      <c r="G2186">
        <v>147.30000000000001</v>
      </c>
    </row>
    <row r="2187" spans="2:7" hidden="1">
      <c r="B2187" s="43">
        <v>44404</v>
      </c>
      <c r="C2187" t="s">
        <v>155</v>
      </c>
      <c r="D2187" s="48">
        <v>44469</v>
      </c>
      <c r="E2187">
        <v>810</v>
      </c>
      <c r="F2187" t="s">
        <v>514</v>
      </c>
      <c r="G2187">
        <v>32.1</v>
      </c>
    </row>
    <row r="2188" spans="2:7">
      <c r="B2188" s="43">
        <v>44404</v>
      </c>
      <c r="C2188" t="s">
        <v>155</v>
      </c>
      <c r="D2188" s="48">
        <v>44469</v>
      </c>
      <c r="E2188">
        <v>810</v>
      </c>
      <c r="F2188" t="s">
        <v>515</v>
      </c>
      <c r="G2188">
        <v>154.9</v>
      </c>
    </row>
    <row r="2189" spans="2:7" hidden="1">
      <c r="B2189" s="43">
        <v>44405</v>
      </c>
      <c r="C2189" t="s">
        <v>155</v>
      </c>
      <c r="D2189" s="48">
        <v>44469</v>
      </c>
      <c r="E2189">
        <v>810</v>
      </c>
      <c r="F2189" t="s">
        <v>514</v>
      </c>
      <c r="G2189">
        <v>32.1</v>
      </c>
    </row>
    <row r="2190" spans="2:7">
      <c r="B2190" s="43">
        <v>44405</v>
      </c>
      <c r="C2190" t="s">
        <v>155</v>
      </c>
      <c r="D2190" s="48">
        <v>44469</v>
      </c>
      <c r="E2190">
        <v>810</v>
      </c>
      <c r="F2190" t="s">
        <v>515</v>
      </c>
      <c r="G2190">
        <v>154.9</v>
      </c>
    </row>
    <row r="2191" spans="2:7" hidden="1">
      <c r="B2191" s="43">
        <v>44406</v>
      </c>
      <c r="C2191" t="s">
        <v>155</v>
      </c>
      <c r="D2191" s="48">
        <v>44469</v>
      </c>
      <c r="E2191">
        <v>810</v>
      </c>
      <c r="F2191" t="s">
        <v>514</v>
      </c>
      <c r="G2191">
        <v>32.1</v>
      </c>
    </row>
    <row r="2192" spans="2:7">
      <c r="B2192" s="43">
        <v>44406</v>
      </c>
      <c r="C2192" t="s">
        <v>155</v>
      </c>
      <c r="D2192" s="48">
        <v>44469</v>
      </c>
      <c r="E2192">
        <v>810</v>
      </c>
      <c r="F2192" t="s">
        <v>515</v>
      </c>
      <c r="G2192">
        <v>154.9</v>
      </c>
    </row>
    <row r="2193" spans="2:7" hidden="1">
      <c r="B2193" s="43">
        <v>44407</v>
      </c>
      <c r="C2193" t="s">
        <v>155</v>
      </c>
      <c r="D2193" s="48">
        <v>44469</v>
      </c>
      <c r="E2193">
        <v>810</v>
      </c>
      <c r="F2193" t="s">
        <v>514</v>
      </c>
      <c r="G2193">
        <v>32.1</v>
      </c>
    </row>
    <row r="2194" spans="2:7">
      <c r="B2194" s="43">
        <v>44407</v>
      </c>
      <c r="C2194" t="s">
        <v>155</v>
      </c>
      <c r="D2194" s="48">
        <v>44469</v>
      </c>
      <c r="E2194">
        <v>810</v>
      </c>
      <c r="F2194" t="s">
        <v>515</v>
      </c>
      <c r="G2194">
        <v>154.9</v>
      </c>
    </row>
    <row r="2195" spans="2:7" hidden="1">
      <c r="B2195" s="43">
        <v>44404</v>
      </c>
      <c r="C2195" t="s">
        <v>155</v>
      </c>
      <c r="D2195" s="48">
        <v>44469</v>
      </c>
      <c r="E2195">
        <v>820</v>
      </c>
      <c r="F2195" t="s">
        <v>514</v>
      </c>
      <c r="G2195">
        <v>29.95</v>
      </c>
    </row>
    <row r="2196" spans="2:7">
      <c r="B2196" s="43">
        <v>44404</v>
      </c>
      <c r="C2196" t="s">
        <v>155</v>
      </c>
      <c r="D2196" s="48">
        <v>44469</v>
      </c>
      <c r="E2196">
        <v>820</v>
      </c>
      <c r="F2196" t="s">
        <v>515</v>
      </c>
      <c r="G2196">
        <v>162.65</v>
      </c>
    </row>
    <row r="2197" spans="2:7" hidden="1">
      <c r="B2197" s="43">
        <v>44405</v>
      </c>
      <c r="C2197" t="s">
        <v>155</v>
      </c>
      <c r="D2197" s="48">
        <v>44469</v>
      </c>
      <c r="E2197">
        <v>820</v>
      </c>
      <c r="F2197" t="s">
        <v>514</v>
      </c>
      <c r="G2197">
        <v>29.95</v>
      </c>
    </row>
    <row r="2198" spans="2:7">
      <c r="B2198" s="43">
        <v>44405</v>
      </c>
      <c r="C2198" t="s">
        <v>155</v>
      </c>
      <c r="D2198" s="48">
        <v>44469</v>
      </c>
      <c r="E2198">
        <v>820</v>
      </c>
      <c r="F2198" t="s">
        <v>515</v>
      </c>
      <c r="G2198">
        <v>162.65</v>
      </c>
    </row>
    <row r="2199" spans="2:7" hidden="1">
      <c r="B2199" s="43">
        <v>44406</v>
      </c>
      <c r="C2199" t="s">
        <v>155</v>
      </c>
      <c r="D2199" s="48">
        <v>44469</v>
      </c>
      <c r="E2199">
        <v>820</v>
      </c>
      <c r="F2199" t="s">
        <v>514</v>
      </c>
      <c r="G2199">
        <v>29.95</v>
      </c>
    </row>
    <row r="2200" spans="2:7">
      <c r="B2200" s="43">
        <v>44406</v>
      </c>
      <c r="C2200" t="s">
        <v>155</v>
      </c>
      <c r="D2200" s="48">
        <v>44469</v>
      </c>
      <c r="E2200">
        <v>820</v>
      </c>
      <c r="F2200" t="s">
        <v>515</v>
      </c>
      <c r="G2200">
        <v>162.65</v>
      </c>
    </row>
    <row r="2201" spans="2:7" hidden="1">
      <c r="B2201" s="43">
        <v>44407</v>
      </c>
      <c r="C2201" t="s">
        <v>155</v>
      </c>
      <c r="D2201" s="48">
        <v>44469</v>
      </c>
      <c r="E2201">
        <v>820</v>
      </c>
      <c r="F2201" t="s">
        <v>514</v>
      </c>
      <c r="G2201">
        <v>29.95</v>
      </c>
    </row>
    <row r="2202" spans="2:7">
      <c r="B2202" s="43">
        <v>44407</v>
      </c>
      <c r="C2202" t="s">
        <v>155</v>
      </c>
      <c r="D2202" s="48">
        <v>44469</v>
      </c>
      <c r="E2202">
        <v>820</v>
      </c>
      <c r="F2202" t="s">
        <v>515</v>
      </c>
      <c r="G2202">
        <v>162.65</v>
      </c>
    </row>
    <row r="2203" spans="2:7" hidden="1">
      <c r="B2203" s="43">
        <v>44404</v>
      </c>
      <c r="C2203" t="s">
        <v>155</v>
      </c>
      <c r="D2203" s="48">
        <v>44469</v>
      </c>
      <c r="E2203">
        <v>830</v>
      </c>
      <c r="F2203" t="s">
        <v>514</v>
      </c>
      <c r="G2203">
        <v>27.9</v>
      </c>
    </row>
    <row r="2204" spans="2:7">
      <c r="B2204" s="43">
        <v>44404</v>
      </c>
      <c r="C2204" t="s">
        <v>155</v>
      </c>
      <c r="D2204" s="48">
        <v>44469</v>
      </c>
      <c r="E2204">
        <v>830</v>
      </c>
      <c r="F2204" t="s">
        <v>515</v>
      </c>
      <c r="G2204">
        <v>170.55</v>
      </c>
    </row>
    <row r="2205" spans="2:7">
      <c r="B2205" s="43">
        <v>44405</v>
      </c>
      <c r="C2205" t="s">
        <v>155</v>
      </c>
      <c r="D2205" s="48">
        <v>44469</v>
      </c>
      <c r="E2205">
        <v>830</v>
      </c>
      <c r="F2205" t="s">
        <v>515</v>
      </c>
      <c r="G2205">
        <v>170.55</v>
      </c>
    </row>
    <row r="2206" spans="2:7" hidden="1">
      <c r="B2206" s="43">
        <v>44405</v>
      </c>
      <c r="C2206" t="s">
        <v>155</v>
      </c>
      <c r="D2206" s="48">
        <v>44469</v>
      </c>
      <c r="E2206">
        <v>830</v>
      </c>
      <c r="F2206" t="s">
        <v>514</v>
      </c>
      <c r="G2206">
        <v>27.9</v>
      </c>
    </row>
    <row r="2207" spans="2:7" hidden="1">
      <c r="B2207" s="43">
        <v>44406</v>
      </c>
      <c r="C2207" t="s">
        <v>155</v>
      </c>
      <c r="D2207" s="48">
        <v>44469</v>
      </c>
      <c r="E2207">
        <v>830</v>
      </c>
      <c r="F2207" t="s">
        <v>514</v>
      </c>
      <c r="G2207">
        <v>27.9</v>
      </c>
    </row>
    <row r="2208" spans="2:7">
      <c r="B2208" s="43">
        <v>44406</v>
      </c>
      <c r="C2208" t="s">
        <v>155</v>
      </c>
      <c r="D2208" s="48">
        <v>44469</v>
      </c>
      <c r="E2208">
        <v>830</v>
      </c>
      <c r="F2208" t="s">
        <v>515</v>
      </c>
      <c r="G2208">
        <v>170.55</v>
      </c>
    </row>
    <row r="2209" spans="2:7" hidden="1">
      <c r="B2209" s="43">
        <v>44407</v>
      </c>
      <c r="C2209" t="s">
        <v>155</v>
      </c>
      <c r="D2209" s="48">
        <v>44469</v>
      </c>
      <c r="E2209">
        <v>830</v>
      </c>
      <c r="F2209" t="s">
        <v>514</v>
      </c>
      <c r="G2209">
        <v>27.9</v>
      </c>
    </row>
    <row r="2210" spans="2:7">
      <c r="B2210" s="43">
        <v>44407</v>
      </c>
      <c r="C2210" t="s">
        <v>155</v>
      </c>
      <c r="D2210" s="48">
        <v>44469</v>
      </c>
      <c r="E2210">
        <v>830</v>
      </c>
      <c r="F2210" t="s">
        <v>515</v>
      </c>
      <c r="G2210">
        <v>170.55</v>
      </c>
    </row>
    <row r="2211" spans="2:7" hidden="1">
      <c r="B2211" s="43">
        <v>44404</v>
      </c>
      <c r="C2211" t="s">
        <v>155</v>
      </c>
      <c r="D2211" s="48">
        <v>44469</v>
      </c>
      <c r="E2211">
        <v>840</v>
      </c>
      <c r="F2211" t="s">
        <v>514</v>
      </c>
      <c r="G2211">
        <v>26</v>
      </c>
    </row>
    <row r="2212" spans="2:7">
      <c r="B2212" s="43">
        <v>44404</v>
      </c>
      <c r="C2212" t="s">
        <v>155</v>
      </c>
      <c r="D2212" s="48">
        <v>44469</v>
      </c>
      <c r="E2212">
        <v>840</v>
      </c>
      <c r="F2212" t="s">
        <v>515</v>
      </c>
      <c r="G2212">
        <v>178.55</v>
      </c>
    </row>
    <row r="2213" spans="2:7" hidden="1">
      <c r="B2213" s="43">
        <v>44405</v>
      </c>
      <c r="C2213" t="s">
        <v>155</v>
      </c>
      <c r="D2213" s="48">
        <v>44469</v>
      </c>
      <c r="E2213">
        <v>840</v>
      </c>
      <c r="F2213" t="s">
        <v>514</v>
      </c>
      <c r="G2213">
        <v>26</v>
      </c>
    </row>
    <row r="2214" spans="2:7">
      <c r="B2214" s="43">
        <v>44405</v>
      </c>
      <c r="C2214" t="s">
        <v>155</v>
      </c>
      <c r="D2214" s="48">
        <v>44469</v>
      </c>
      <c r="E2214">
        <v>840</v>
      </c>
      <c r="F2214" t="s">
        <v>515</v>
      </c>
      <c r="G2214">
        <v>178.55</v>
      </c>
    </row>
    <row r="2215" spans="2:7" hidden="1">
      <c r="B2215" s="43">
        <v>44406</v>
      </c>
      <c r="C2215" t="s">
        <v>155</v>
      </c>
      <c r="D2215" s="48">
        <v>44469</v>
      </c>
      <c r="E2215">
        <v>840</v>
      </c>
      <c r="F2215" t="s">
        <v>514</v>
      </c>
      <c r="G2215">
        <v>26</v>
      </c>
    </row>
    <row r="2216" spans="2:7">
      <c r="B2216" s="43">
        <v>44406</v>
      </c>
      <c r="C2216" t="s">
        <v>155</v>
      </c>
      <c r="D2216" s="48">
        <v>44469</v>
      </c>
      <c r="E2216">
        <v>840</v>
      </c>
      <c r="F2216" t="s">
        <v>515</v>
      </c>
      <c r="G2216">
        <v>178.55</v>
      </c>
    </row>
    <row r="2217" spans="2:7" hidden="1">
      <c r="B2217" s="43">
        <v>44407</v>
      </c>
      <c r="C2217" t="s">
        <v>155</v>
      </c>
      <c r="D2217" s="48">
        <v>44469</v>
      </c>
      <c r="E2217">
        <v>840</v>
      </c>
      <c r="F2217" t="s">
        <v>514</v>
      </c>
      <c r="G2217">
        <v>26</v>
      </c>
    </row>
    <row r="2218" spans="2:7">
      <c r="B2218" s="43">
        <v>44407</v>
      </c>
      <c r="C2218" t="s">
        <v>155</v>
      </c>
      <c r="D2218" s="48">
        <v>44469</v>
      </c>
      <c r="E2218">
        <v>840</v>
      </c>
      <c r="F2218" t="s">
        <v>515</v>
      </c>
      <c r="G2218">
        <v>178.55</v>
      </c>
    </row>
    <row r="2219" spans="2:7" hidden="1">
      <c r="B2219" s="43">
        <v>44404</v>
      </c>
      <c r="C2219" t="s">
        <v>155</v>
      </c>
      <c r="D2219" s="48">
        <v>44469</v>
      </c>
      <c r="E2219">
        <v>850</v>
      </c>
      <c r="F2219" t="s">
        <v>514</v>
      </c>
      <c r="G2219">
        <v>24.2</v>
      </c>
    </row>
    <row r="2220" spans="2:7">
      <c r="B2220" s="43">
        <v>44404</v>
      </c>
      <c r="C2220" t="s">
        <v>155</v>
      </c>
      <c r="D2220" s="48">
        <v>44469</v>
      </c>
      <c r="E2220">
        <v>850</v>
      </c>
      <c r="F2220" t="s">
        <v>515</v>
      </c>
      <c r="G2220">
        <v>186.6</v>
      </c>
    </row>
    <row r="2221" spans="2:7" hidden="1">
      <c r="B2221" s="43">
        <v>44405</v>
      </c>
      <c r="C2221" t="s">
        <v>155</v>
      </c>
      <c r="D2221" s="48">
        <v>44469</v>
      </c>
      <c r="E2221">
        <v>850</v>
      </c>
      <c r="F2221" t="s">
        <v>514</v>
      </c>
      <c r="G2221">
        <v>24.2</v>
      </c>
    </row>
    <row r="2222" spans="2:7">
      <c r="B2222" s="43">
        <v>44405</v>
      </c>
      <c r="C2222" t="s">
        <v>155</v>
      </c>
      <c r="D2222" s="48">
        <v>44469</v>
      </c>
      <c r="E2222">
        <v>850</v>
      </c>
      <c r="F2222" t="s">
        <v>515</v>
      </c>
      <c r="G2222">
        <v>186.6</v>
      </c>
    </row>
    <row r="2223" spans="2:7" hidden="1">
      <c r="B2223" s="43">
        <v>44406</v>
      </c>
      <c r="C2223" t="s">
        <v>155</v>
      </c>
      <c r="D2223" s="48">
        <v>44469</v>
      </c>
      <c r="E2223">
        <v>850</v>
      </c>
      <c r="F2223" t="s">
        <v>514</v>
      </c>
      <c r="G2223">
        <v>24.2</v>
      </c>
    </row>
    <row r="2224" spans="2:7">
      <c r="B2224" s="43">
        <v>44406</v>
      </c>
      <c r="C2224" t="s">
        <v>155</v>
      </c>
      <c r="D2224" s="48">
        <v>44469</v>
      </c>
      <c r="E2224">
        <v>850</v>
      </c>
      <c r="F2224" t="s">
        <v>515</v>
      </c>
      <c r="G2224">
        <v>186.6</v>
      </c>
    </row>
    <row r="2225" spans="2:7" hidden="1">
      <c r="B2225" s="43">
        <v>44407</v>
      </c>
      <c r="C2225" t="s">
        <v>155</v>
      </c>
      <c r="D2225" s="48">
        <v>44469</v>
      </c>
      <c r="E2225">
        <v>850</v>
      </c>
      <c r="F2225" t="s">
        <v>514</v>
      </c>
      <c r="G2225">
        <v>24.2</v>
      </c>
    </row>
    <row r="2226" spans="2:7">
      <c r="B2226" s="43">
        <v>44407</v>
      </c>
      <c r="C2226" t="s">
        <v>155</v>
      </c>
      <c r="D2226" s="48">
        <v>44469</v>
      </c>
      <c r="E2226">
        <v>850</v>
      </c>
      <c r="F2226" t="s">
        <v>515</v>
      </c>
      <c r="G2226">
        <v>186.6</v>
      </c>
    </row>
    <row r="2227" spans="2:7" hidden="1">
      <c r="B2227" s="43">
        <v>44404</v>
      </c>
      <c r="C2227" t="s">
        <v>155</v>
      </c>
      <c r="D2227" s="48">
        <v>44469</v>
      </c>
      <c r="E2227">
        <v>860</v>
      </c>
      <c r="F2227" t="s">
        <v>514</v>
      </c>
      <c r="G2227">
        <v>22.55</v>
      </c>
    </row>
    <row r="2228" spans="2:7">
      <c r="B2228" s="43">
        <v>44404</v>
      </c>
      <c r="C2228" t="s">
        <v>155</v>
      </c>
      <c r="D2228" s="48">
        <v>44469</v>
      </c>
      <c r="E2228">
        <v>860</v>
      </c>
      <c r="F2228" t="s">
        <v>515</v>
      </c>
      <c r="G2228">
        <v>194.85</v>
      </c>
    </row>
    <row r="2229" spans="2:7" hidden="1">
      <c r="B2229" s="43">
        <v>44405</v>
      </c>
      <c r="C2229" t="s">
        <v>155</v>
      </c>
      <c r="D2229" s="48">
        <v>44469</v>
      </c>
      <c r="E2229">
        <v>860</v>
      </c>
      <c r="F2229" t="s">
        <v>514</v>
      </c>
      <c r="G2229">
        <v>22.55</v>
      </c>
    </row>
    <row r="2230" spans="2:7">
      <c r="B2230" s="43">
        <v>44405</v>
      </c>
      <c r="C2230" t="s">
        <v>155</v>
      </c>
      <c r="D2230" s="48">
        <v>44469</v>
      </c>
      <c r="E2230">
        <v>860</v>
      </c>
      <c r="F2230" t="s">
        <v>515</v>
      </c>
      <c r="G2230">
        <v>194.85</v>
      </c>
    </row>
    <row r="2231" spans="2:7" hidden="1">
      <c r="B2231" s="43">
        <v>44406</v>
      </c>
      <c r="C2231" t="s">
        <v>155</v>
      </c>
      <c r="D2231" s="48">
        <v>44469</v>
      </c>
      <c r="E2231">
        <v>860</v>
      </c>
      <c r="F2231" t="s">
        <v>514</v>
      </c>
      <c r="G2231">
        <v>22.55</v>
      </c>
    </row>
    <row r="2232" spans="2:7">
      <c r="B2232" s="43">
        <v>44406</v>
      </c>
      <c r="C2232" t="s">
        <v>155</v>
      </c>
      <c r="D2232" s="48">
        <v>44469</v>
      </c>
      <c r="E2232">
        <v>860</v>
      </c>
      <c r="F2232" t="s">
        <v>515</v>
      </c>
      <c r="G2232">
        <v>194.85</v>
      </c>
    </row>
    <row r="2233" spans="2:7" hidden="1">
      <c r="B2233" s="43">
        <v>44407</v>
      </c>
      <c r="C2233" t="s">
        <v>155</v>
      </c>
      <c r="D2233" s="48">
        <v>44469</v>
      </c>
      <c r="E2233">
        <v>860</v>
      </c>
      <c r="F2233" t="s">
        <v>514</v>
      </c>
      <c r="G2233">
        <v>22.55</v>
      </c>
    </row>
    <row r="2234" spans="2:7">
      <c r="B2234" s="43">
        <v>44407</v>
      </c>
      <c r="C2234" t="s">
        <v>155</v>
      </c>
      <c r="D2234" s="48">
        <v>44469</v>
      </c>
      <c r="E2234">
        <v>860</v>
      </c>
      <c r="F2234" t="s">
        <v>515</v>
      </c>
      <c r="G2234">
        <v>194.85</v>
      </c>
    </row>
    <row r="2235" spans="2:7" hidden="1">
      <c r="B2235" s="43">
        <v>44404</v>
      </c>
      <c r="C2235" t="s">
        <v>155</v>
      </c>
      <c r="D2235" s="48">
        <v>44469</v>
      </c>
      <c r="E2235">
        <v>870</v>
      </c>
      <c r="F2235" t="s">
        <v>514</v>
      </c>
      <c r="G2235">
        <v>20.95</v>
      </c>
    </row>
    <row r="2236" spans="2:7">
      <c r="B2236" s="43">
        <v>44404</v>
      </c>
      <c r="C2236" t="s">
        <v>155</v>
      </c>
      <c r="D2236" s="48">
        <v>44469</v>
      </c>
      <c r="E2236">
        <v>870</v>
      </c>
      <c r="F2236" t="s">
        <v>515</v>
      </c>
      <c r="G2236">
        <v>203.15</v>
      </c>
    </row>
    <row r="2237" spans="2:7" hidden="1">
      <c r="B2237" s="43">
        <v>44405</v>
      </c>
      <c r="C2237" t="s">
        <v>155</v>
      </c>
      <c r="D2237" s="48">
        <v>44469</v>
      </c>
      <c r="E2237">
        <v>870</v>
      </c>
      <c r="F2237" t="s">
        <v>514</v>
      </c>
      <c r="G2237">
        <v>20.95</v>
      </c>
    </row>
    <row r="2238" spans="2:7">
      <c r="B2238" s="43">
        <v>44405</v>
      </c>
      <c r="C2238" t="s">
        <v>155</v>
      </c>
      <c r="D2238" s="48">
        <v>44469</v>
      </c>
      <c r="E2238">
        <v>870</v>
      </c>
      <c r="F2238" t="s">
        <v>515</v>
      </c>
      <c r="G2238">
        <v>203.15</v>
      </c>
    </row>
    <row r="2239" spans="2:7" hidden="1">
      <c r="B2239" s="43">
        <v>44406</v>
      </c>
      <c r="C2239" t="s">
        <v>155</v>
      </c>
      <c r="D2239" s="48">
        <v>44469</v>
      </c>
      <c r="E2239">
        <v>870</v>
      </c>
      <c r="F2239" t="s">
        <v>514</v>
      </c>
      <c r="G2239">
        <v>20.95</v>
      </c>
    </row>
    <row r="2240" spans="2:7">
      <c r="B2240" s="43">
        <v>44406</v>
      </c>
      <c r="C2240" t="s">
        <v>155</v>
      </c>
      <c r="D2240" s="48">
        <v>44469</v>
      </c>
      <c r="E2240">
        <v>870</v>
      </c>
      <c r="F2240" t="s">
        <v>515</v>
      </c>
      <c r="G2240">
        <v>203.15</v>
      </c>
    </row>
    <row r="2241" spans="2:7" hidden="1">
      <c r="B2241" s="43">
        <v>44407</v>
      </c>
      <c r="C2241" t="s">
        <v>155</v>
      </c>
      <c r="D2241" s="48">
        <v>44469</v>
      </c>
      <c r="E2241">
        <v>870</v>
      </c>
      <c r="F2241" t="s">
        <v>514</v>
      </c>
      <c r="G2241">
        <v>20.95</v>
      </c>
    </row>
    <row r="2242" spans="2:7">
      <c r="B2242" s="43">
        <v>44407</v>
      </c>
      <c r="C2242" t="s">
        <v>155</v>
      </c>
      <c r="D2242" s="48">
        <v>44469</v>
      </c>
      <c r="E2242">
        <v>870</v>
      </c>
      <c r="F2242" t="s">
        <v>515</v>
      </c>
      <c r="G2242">
        <v>203.15</v>
      </c>
    </row>
    <row r="2243" spans="2:7" hidden="1">
      <c r="B2243" s="43">
        <v>44404</v>
      </c>
      <c r="C2243" t="s">
        <v>155</v>
      </c>
      <c r="D2243" s="48">
        <v>44469</v>
      </c>
      <c r="E2243">
        <v>880</v>
      </c>
      <c r="F2243" t="s">
        <v>514</v>
      </c>
      <c r="G2243">
        <v>19.5</v>
      </c>
    </row>
    <row r="2244" spans="2:7">
      <c r="B2244" s="43">
        <v>44404</v>
      </c>
      <c r="C2244" t="s">
        <v>155</v>
      </c>
      <c r="D2244" s="48">
        <v>44469</v>
      </c>
      <c r="E2244">
        <v>880</v>
      </c>
      <c r="F2244" t="s">
        <v>515</v>
      </c>
      <c r="G2244">
        <v>211.6</v>
      </c>
    </row>
    <row r="2245" spans="2:7" hidden="1">
      <c r="B2245" s="43">
        <v>44405</v>
      </c>
      <c r="C2245" t="s">
        <v>155</v>
      </c>
      <c r="D2245" s="48">
        <v>44469</v>
      </c>
      <c r="E2245">
        <v>880</v>
      </c>
      <c r="F2245" t="s">
        <v>514</v>
      </c>
      <c r="G2245">
        <v>19.5</v>
      </c>
    </row>
    <row r="2246" spans="2:7">
      <c r="B2246" s="43">
        <v>44405</v>
      </c>
      <c r="C2246" t="s">
        <v>155</v>
      </c>
      <c r="D2246" s="48">
        <v>44469</v>
      </c>
      <c r="E2246">
        <v>880</v>
      </c>
      <c r="F2246" t="s">
        <v>515</v>
      </c>
      <c r="G2246">
        <v>211.6</v>
      </c>
    </row>
    <row r="2247" spans="2:7" hidden="1">
      <c r="B2247" s="43">
        <v>44406</v>
      </c>
      <c r="C2247" t="s">
        <v>155</v>
      </c>
      <c r="D2247" s="48">
        <v>44469</v>
      </c>
      <c r="E2247">
        <v>880</v>
      </c>
      <c r="F2247" t="s">
        <v>514</v>
      </c>
      <c r="G2247">
        <v>19.5</v>
      </c>
    </row>
    <row r="2248" spans="2:7">
      <c r="B2248" s="43">
        <v>44406</v>
      </c>
      <c r="C2248" t="s">
        <v>155</v>
      </c>
      <c r="D2248" s="48">
        <v>44469</v>
      </c>
      <c r="E2248">
        <v>880</v>
      </c>
      <c r="F2248" t="s">
        <v>515</v>
      </c>
      <c r="G2248">
        <v>211.6</v>
      </c>
    </row>
    <row r="2249" spans="2:7" hidden="1">
      <c r="B2249" s="43">
        <v>44407</v>
      </c>
      <c r="C2249" t="s">
        <v>155</v>
      </c>
      <c r="D2249" s="48">
        <v>44469</v>
      </c>
      <c r="E2249">
        <v>880</v>
      </c>
      <c r="F2249" t="s">
        <v>514</v>
      </c>
      <c r="G2249">
        <v>19.5</v>
      </c>
    </row>
    <row r="2250" spans="2:7">
      <c r="B2250" s="43">
        <v>44407</v>
      </c>
      <c r="C2250" t="s">
        <v>155</v>
      </c>
      <c r="D2250" s="48">
        <v>44469</v>
      </c>
      <c r="E2250">
        <v>880</v>
      </c>
      <c r="F2250" t="s">
        <v>515</v>
      </c>
      <c r="G2250">
        <v>211.6</v>
      </c>
    </row>
    <row r="2251" spans="2:7" hidden="1">
      <c r="B2251" s="43">
        <v>44407</v>
      </c>
      <c r="C2251" t="s">
        <v>155</v>
      </c>
      <c r="D2251" s="48">
        <v>44469</v>
      </c>
      <c r="E2251">
        <v>890</v>
      </c>
      <c r="F2251" t="s">
        <v>514</v>
      </c>
      <c r="G2251">
        <v>18.100000000000001</v>
      </c>
    </row>
    <row r="2252" spans="2:7">
      <c r="B2252" s="43">
        <v>44407</v>
      </c>
      <c r="C2252" t="s">
        <v>155</v>
      </c>
      <c r="D2252" s="48">
        <v>44469</v>
      </c>
      <c r="E2252">
        <v>890</v>
      </c>
      <c r="F2252" t="s">
        <v>515</v>
      </c>
      <c r="G2252">
        <v>220.15</v>
      </c>
    </row>
    <row r="2253" spans="2:7" hidden="1">
      <c r="B2253" s="43">
        <v>44407</v>
      </c>
      <c r="C2253" t="s">
        <v>155</v>
      </c>
      <c r="D2253" s="48">
        <v>44469</v>
      </c>
      <c r="E2253">
        <v>900</v>
      </c>
      <c r="F2253" t="s">
        <v>514</v>
      </c>
      <c r="G2253">
        <v>16.850000000000001</v>
      </c>
    </row>
    <row r="2254" spans="2:7">
      <c r="B2254" s="43">
        <v>44407</v>
      </c>
      <c r="C2254" t="s">
        <v>155</v>
      </c>
      <c r="D2254" s="48">
        <v>44469</v>
      </c>
      <c r="E2254">
        <v>900</v>
      </c>
      <c r="F2254" t="s">
        <v>515</v>
      </c>
      <c r="G2254">
        <v>228.75</v>
      </c>
    </row>
    <row r="2255" spans="2:7" hidden="1">
      <c r="B2255" s="43">
        <v>44407</v>
      </c>
      <c r="C2255" t="s">
        <v>155</v>
      </c>
      <c r="D2255" s="48">
        <v>44497</v>
      </c>
      <c r="E2255">
        <v>0</v>
      </c>
      <c r="F2255" t="s">
        <v>516</v>
      </c>
      <c r="G2255">
        <v>745.75</v>
      </c>
    </row>
    <row r="2256" spans="2:7" hidden="1">
      <c r="B2256" s="43">
        <v>44410</v>
      </c>
      <c r="C2256" t="s">
        <v>155</v>
      </c>
      <c r="D2256" s="48">
        <v>44497</v>
      </c>
      <c r="E2256">
        <v>0</v>
      </c>
      <c r="F2256" t="s">
        <v>516</v>
      </c>
      <c r="G2256">
        <v>751.9</v>
      </c>
    </row>
    <row r="2257" spans="2:7" hidden="1">
      <c r="B2257" s="43">
        <v>44407</v>
      </c>
      <c r="C2257" t="s">
        <v>155</v>
      </c>
      <c r="D2257" s="48">
        <v>44497</v>
      </c>
      <c r="E2257">
        <v>520</v>
      </c>
      <c r="F2257" t="s">
        <v>514</v>
      </c>
      <c r="G2257">
        <v>237.95</v>
      </c>
    </row>
    <row r="2258" spans="2:7">
      <c r="B2258" s="43">
        <v>44407</v>
      </c>
      <c r="C2258" t="s">
        <v>155</v>
      </c>
      <c r="D2258" s="48">
        <v>44497</v>
      </c>
      <c r="E2258">
        <v>520</v>
      </c>
      <c r="F2258" t="s">
        <v>515</v>
      </c>
      <c r="G2258">
        <v>4.6500000000000004</v>
      </c>
    </row>
    <row r="2259" spans="2:7" hidden="1">
      <c r="B2259" s="43">
        <v>44407</v>
      </c>
      <c r="C2259" t="s">
        <v>155</v>
      </c>
      <c r="D2259" s="48">
        <v>44497</v>
      </c>
      <c r="E2259">
        <v>530</v>
      </c>
      <c r="F2259" t="s">
        <v>514</v>
      </c>
      <c r="G2259">
        <v>228.95</v>
      </c>
    </row>
    <row r="2260" spans="2:7">
      <c r="B2260" s="43">
        <v>44407</v>
      </c>
      <c r="C2260" t="s">
        <v>155</v>
      </c>
      <c r="D2260" s="48">
        <v>44497</v>
      </c>
      <c r="E2260">
        <v>530</v>
      </c>
      <c r="F2260" t="s">
        <v>515</v>
      </c>
      <c r="G2260">
        <v>5.55</v>
      </c>
    </row>
    <row r="2261" spans="2:7" hidden="1">
      <c r="B2261" s="43">
        <v>44407</v>
      </c>
      <c r="C2261" t="s">
        <v>155</v>
      </c>
      <c r="D2261" s="48">
        <v>44497</v>
      </c>
      <c r="E2261">
        <v>540</v>
      </c>
      <c r="F2261" t="s">
        <v>514</v>
      </c>
      <c r="G2261">
        <v>220.1</v>
      </c>
    </row>
    <row r="2262" spans="2:7">
      <c r="B2262" s="43">
        <v>44407</v>
      </c>
      <c r="C2262" t="s">
        <v>155</v>
      </c>
      <c r="D2262" s="48">
        <v>44497</v>
      </c>
      <c r="E2262">
        <v>540</v>
      </c>
      <c r="F2262" t="s">
        <v>515</v>
      </c>
      <c r="G2262">
        <v>6.6</v>
      </c>
    </row>
    <row r="2263" spans="2:7" hidden="1">
      <c r="B2263" s="43">
        <v>44407</v>
      </c>
      <c r="C2263" t="s">
        <v>155</v>
      </c>
      <c r="D2263" s="48">
        <v>44497</v>
      </c>
      <c r="E2263">
        <v>550</v>
      </c>
      <c r="F2263" t="s">
        <v>514</v>
      </c>
      <c r="G2263">
        <v>211.35</v>
      </c>
    </row>
    <row r="2264" spans="2:7">
      <c r="B2264" s="43">
        <v>44407</v>
      </c>
      <c r="C2264" t="s">
        <v>155</v>
      </c>
      <c r="D2264" s="48">
        <v>44497</v>
      </c>
      <c r="E2264">
        <v>550</v>
      </c>
      <c r="F2264" t="s">
        <v>515</v>
      </c>
      <c r="G2264">
        <v>7.8</v>
      </c>
    </row>
    <row r="2265" spans="2:7" hidden="1">
      <c r="B2265" s="43">
        <v>44407</v>
      </c>
      <c r="C2265" t="s">
        <v>155</v>
      </c>
      <c r="D2265" s="48">
        <v>44497</v>
      </c>
      <c r="E2265">
        <v>560</v>
      </c>
      <c r="F2265" t="s">
        <v>514</v>
      </c>
      <c r="G2265">
        <v>202.8</v>
      </c>
    </row>
    <row r="2266" spans="2:7">
      <c r="B2266" s="43">
        <v>44407</v>
      </c>
      <c r="C2266" t="s">
        <v>155</v>
      </c>
      <c r="D2266" s="48">
        <v>44497</v>
      </c>
      <c r="E2266">
        <v>560</v>
      </c>
      <c r="F2266" t="s">
        <v>515</v>
      </c>
      <c r="G2266">
        <v>9.15</v>
      </c>
    </row>
    <row r="2267" spans="2:7" hidden="1">
      <c r="B2267" s="43">
        <v>44407</v>
      </c>
      <c r="C2267" t="s">
        <v>155</v>
      </c>
      <c r="D2267" s="48">
        <v>44497</v>
      </c>
      <c r="E2267">
        <v>570</v>
      </c>
      <c r="F2267" t="s">
        <v>514</v>
      </c>
      <c r="G2267">
        <v>194.4</v>
      </c>
    </row>
    <row r="2268" spans="2:7">
      <c r="B2268" s="43">
        <v>44407</v>
      </c>
      <c r="C2268" t="s">
        <v>155</v>
      </c>
      <c r="D2268" s="48">
        <v>44497</v>
      </c>
      <c r="E2268">
        <v>570</v>
      </c>
      <c r="F2268" t="s">
        <v>515</v>
      </c>
      <c r="G2268">
        <v>10.6</v>
      </c>
    </row>
    <row r="2269" spans="2:7" hidden="1">
      <c r="B2269" s="43">
        <v>44407</v>
      </c>
      <c r="C2269" t="s">
        <v>155</v>
      </c>
      <c r="D2269" s="48">
        <v>44497</v>
      </c>
      <c r="E2269">
        <v>580</v>
      </c>
      <c r="F2269" t="s">
        <v>514</v>
      </c>
      <c r="G2269">
        <v>186.15</v>
      </c>
    </row>
    <row r="2270" spans="2:7">
      <c r="B2270" s="43">
        <v>44407</v>
      </c>
      <c r="C2270" t="s">
        <v>155</v>
      </c>
      <c r="D2270" s="48">
        <v>44497</v>
      </c>
      <c r="E2270">
        <v>580</v>
      </c>
      <c r="F2270" t="s">
        <v>515</v>
      </c>
      <c r="G2270">
        <v>12.3</v>
      </c>
    </row>
    <row r="2271" spans="2:7" hidden="1">
      <c r="B2271" s="43">
        <v>44407</v>
      </c>
      <c r="C2271" t="s">
        <v>155</v>
      </c>
      <c r="D2271" s="48">
        <v>44497</v>
      </c>
      <c r="E2271">
        <v>590</v>
      </c>
      <c r="F2271" t="s">
        <v>514</v>
      </c>
      <c r="G2271">
        <v>178.05</v>
      </c>
    </row>
    <row r="2272" spans="2:7">
      <c r="B2272" s="43">
        <v>44407</v>
      </c>
      <c r="C2272" t="s">
        <v>155</v>
      </c>
      <c r="D2272" s="48">
        <v>44497</v>
      </c>
      <c r="E2272">
        <v>590</v>
      </c>
      <c r="F2272" t="s">
        <v>515</v>
      </c>
      <c r="G2272">
        <v>14.1</v>
      </c>
    </row>
    <row r="2273" spans="2:7" hidden="1">
      <c r="B2273" s="43">
        <v>44407</v>
      </c>
      <c r="C2273" t="s">
        <v>155</v>
      </c>
      <c r="D2273" s="48">
        <v>44497</v>
      </c>
      <c r="E2273">
        <v>600</v>
      </c>
      <c r="F2273" t="s">
        <v>514</v>
      </c>
      <c r="G2273">
        <v>170.2</v>
      </c>
    </row>
    <row r="2274" spans="2:7">
      <c r="B2274" s="43">
        <v>44407</v>
      </c>
      <c r="C2274" t="s">
        <v>155</v>
      </c>
      <c r="D2274" s="48">
        <v>44497</v>
      </c>
      <c r="E2274">
        <v>600</v>
      </c>
      <c r="F2274" t="s">
        <v>515</v>
      </c>
      <c r="G2274">
        <v>16.149999999999999</v>
      </c>
    </row>
    <row r="2275" spans="2:7" hidden="1">
      <c r="B2275" s="43">
        <v>44407</v>
      </c>
      <c r="C2275" t="s">
        <v>155</v>
      </c>
      <c r="D2275" s="48">
        <v>44497</v>
      </c>
      <c r="E2275">
        <v>610</v>
      </c>
      <c r="F2275" t="s">
        <v>514</v>
      </c>
      <c r="G2275">
        <v>162.5</v>
      </c>
    </row>
    <row r="2276" spans="2:7">
      <c r="B2276" s="43">
        <v>44407</v>
      </c>
      <c r="C2276" t="s">
        <v>155</v>
      </c>
      <c r="D2276" s="48">
        <v>44497</v>
      </c>
      <c r="E2276">
        <v>610</v>
      </c>
      <c r="F2276" t="s">
        <v>515</v>
      </c>
      <c r="G2276">
        <v>18.350000000000001</v>
      </c>
    </row>
    <row r="2277" spans="2:7" hidden="1">
      <c r="B2277" s="43">
        <v>44407</v>
      </c>
      <c r="C2277" t="s">
        <v>155</v>
      </c>
      <c r="D2277" s="48">
        <v>44497</v>
      </c>
      <c r="E2277">
        <v>620</v>
      </c>
      <c r="F2277" t="s">
        <v>514</v>
      </c>
      <c r="G2277">
        <v>155</v>
      </c>
    </row>
    <row r="2278" spans="2:7">
      <c r="B2278" s="43">
        <v>44407</v>
      </c>
      <c r="C2278" t="s">
        <v>155</v>
      </c>
      <c r="D2278" s="48">
        <v>44497</v>
      </c>
      <c r="E2278">
        <v>620</v>
      </c>
      <c r="F2278" t="s">
        <v>515</v>
      </c>
      <c r="G2278">
        <v>20.75</v>
      </c>
    </row>
    <row r="2279" spans="2:7" hidden="1">
      <c r="B2279" s="43">
        <v>44407</v>
      </c>
      <c r="C2279" t="s">
        <v>155</v>
      </c>
      <c r="D2279" s="48">
        <v>44497</v>
      </c>
      <c r="E2279">
        <v>630</v>
      </c>
      <c r="F2279" t="s">
        <v>514</v>
      </c>
      <c r="G2279">
        <v>147.69999999999999</v>
      </c>
    </row>
    <row r="2280" spans="2:7">
      <c r="B2280" s="43">
        <v>44407</v>
      </c>
      <c r="C2280" t="s">
        <v>155</v>
      </c>
      <c r="D2280" s="48">
        <v>44497</v>
      </c>
      <c r="E2280">
        <v>630</v>
      </c>
      <c r="F2280" t="s">
        <v>515</v>
      </c>
      <c r="G2280">
        <v>23.4</v>
      </c>
    </row>
    <row r="2281" spans="2:7" hidden="1">
      <c r="B2281" s="43">
        <v>44407</v>
      </c>
      <c r="C2281" t="s">
        <v>155</v>
      </c>
      <c r="D2281" s="48">
        <v>44497</v>
      </c>
      <c r="E2281">
        <v>640</v>
      </c>
      <c r="F2281" t="s">
        <v>514</v>
      </c>
      <c r="G2281">
        <v>140.6</v>
      </c>
    </row>
    <row r="2282" spans="2:7">
      <c r="B2282" s="43">
        <v>44407</v>
      </c>
      <c r="C2282" t="s">
        <v>155</v>
      </c>
      <c r="D2282" s="48">
        <v>44497</v>
      </c>
      <c r="E2282">
        <v>640</v>
      </c>
      <c r="F2282" t="s">
        <v>515</v>
      </c>
      <c r="G2282">
        <v>26.2</v>
      </c>
    </row>
    <row r="2283" spans="2:7" hidden="1">
      <c r="B2283" s="43">
        <v>44407</v>
      </c>
      <c r="C2283" t="s">
        <v>155</v>
      </c>
      <c r="D2283" s="48">
        <v>44497</v>
      </c>
      <c r="E2283">
        <v>650</v>
      </c>
      <c r="F2283" t="s">
        <v>514</v>
      </c>
      <c r="G2283">
        <v>133.75</v>
      </c>
    </row>
    <row r="2284" spans="2:7">
      <c r="B2284" s="43">
        <v>44407</v>
      </c>
      <c r="C2284" t="s">
        <v>155</v>
      </c>
      <c r="D2284" s="48">
        <v>44497</v>
      </c>
      <c r="E2284">
        <v>650</v>
      </c>
      <c r="F2284" t="s">
        <v>515</v>
      </c>
      <c r="G2284">
        <v>29.2</v>
      </c>
    </row>
    <row r="2285" spans="2:7" hidden="1">
      <c r="B2285" s="43">
        <v>44407</v>
      </c>
      <c r="C2285" t="s">
        <v>155</v>
      </c>
      <c r="D2285" s="48">
        <v>44497</v>
      </c>
      <c r="E2285">
        <v>660</v>
      </c>
      <c r="F2285" t="s">
        <v>514</v>
      </c>
      <c r="G2285">
        <v>127.05</v>
      </c>
    </row>
    <row r="2286" spans="2:7">
      <c r="B2286" s="43">
        <v>44407</v>
      </c>
      <c r="C2286" t="s">
        <v>155</v>
      </c>
      <c r="D2286" s="48">
        <v>44497</v>
      </c>
      <c r="E2286">
        <v>660</v>
      </c>
      <c r="F2286" t="s">
        <v>515</v>
      </c>
      <c r="G2286">
        <v>32.450000000000003</v>
      </c>
    </row>
    <row r="2287" spans="2:7" hidden="1">
      <c r="B2287" s="43">
        <v>44407</v>
      </c>
      <c r="C2287" t="s">
        <v>155</v>
      </c>
      <c r="D2287" s="48">
        <v>44497</v>
      </c>
      <c r="E2287">
        <v>670</v>
      </c>
      <c r="F2287" t="s">
        <v>514</v>
      </c>
      <c r="G2287">
        <v>120.6</v>
      </c>
    </row>
    <row r="2288" spans="2:7">
      <c r="B2288" s="43">
        <v>44407</v>
      </c>
      <c r="C2288" t="s">
        <v>155</v>
      </c>
      <c r="D2288" s="48">
        <v>44497</v>
      </c>
      <c r="E2288">
        <v>670</v>
      </c>
      <c r="F2288" t="s">
        <v>515</v>
      </c>
      <c r="G2288">
        <v>35.9</v>
      </c>
    </row>
    <row r="2289" spans="2:7" hidden="1">
      <c r="B2289" s="43">
        <v>44407</v>
      </c>
      <c r="C2289" t="s">
        <v>155</v>
      </c>
      <c r="D2289" s="48">
        <v>44497</v>
      </c>
      <c r="E2289">
        <v>680</v>
      </c>
      <c r="F2289" t="s">
        <v>514</v>
      </c>
      <c r="G2289">
        <v>114.4</v>
      </c>
    </row>
    <row r="2290" spans="2:7">
      <c r="B2290" s="43">
        <v>44407</v>
      </c>
      <c r="C2290" t="s">
        <v>155</v>
      </c>
      <c r="D2290" s="48">
        <v>44497</v>
      </c>
      <c r="E2290">
        <v>680</v>
      </c>
      <c r="F2290" t="s">
        <v>515</v>
      </c>
      <c r="G2290">
        <v>39.6</v>
      </c>
    </row>
    <row r="2291" spans="2:7" hidden="1">
      <c r="B2291" s="43">
        <v>44407</v>
      </c>
      <c r="C2291" t="s">
        <v>155</v>
      </c>
      <c r="D2291" s="48">
        <v>44497</v>
      </c>
      <c r="E2291">
        <v>690</v>
      </c>
      <c r="F2291" t="s">
        <v>514</v>
      </c>
      <c r="G2291">
        <v>108.4</v>
      </c>
    </row>
    <row r="2292" spans="2:7">
      <c r="B2292" s="43">
        <v>44407</v>
      </c>
      <c r="C2292" t="s">
        <v>155</v>
      </c>
      <c r="D2292" s="48">
        <v>44497</v>
      </c>
      <c r="E2292">
        <v>690</v>
      </c>
      <c r="F2292" t="s">
        <v>515</v>
      </c>
      <c r="G2292">
        <v>43.5</v>
      </c>
    </row>
    <row r="2293" spans="2:7" hidden="1">
      <c r="B2293" s="43">
        <v>44407</v>
      </c>
      <c r="C2293" t="s">
        <v>155</v>
      </c>
      <c r="D2293" s="48">
        <v>44497</v>
      </c>
      <c r="E2293">
        <v>700</v>
      </c>
      <c r="F2293" t="s">
        <v>514</v>
      </c>
      <c r="G2293">
        <v>102.65</v>
      </c>
    </row>
    <row r="2294" spans="2:7">
      <c r="B2294" s="43">
        <v>44407</v>
      </c>
      <c r="C2294" t="s">
        <v>155</v>
      </c>
      <c r="D2294" s="48">
        <v>44497</v>
      </c>
      <c r="E2294">
        <v>700</v>
      </c>
      <c r="F2294" t="s">
        <v>515</v>
      </c>
      <c r="G2294">
        <v>47.65</v>
      </c>
    </row>
    <row r="2295" spans="2:7" hidden="1">
      <c r="B2295" s="43">
        <v>44407</v>
      </c>
      <c r="C2295" t="s">
        <v>155</v>
      </c>
      <c r="D2295" s="48">
        <v>44497</v>
      </c>
      <c r="E2295">
        <v>710</v>
      </c>
      <c r="F2295" t="s">
        <v>514</v>
      </c>
      <c r="G2295">
        <v>97.1</v>
      </c>
    </row>
    <row r="2296" spans="2:7">
      <c r="B2296" s="43">
        <v>44407</v>
      </c>
      <c r="C2296" t="s">
        <v>155</v>
      </c>
      <c r="D2296" s="48">
        <v>44497</v>
      </c>
      <c r="E2296">
        <v>710</v>
      </c>
      <c r="F2296" t="s">
        <v>515</v>
      </c>
      <c r="G2296">
        <v>52</v>
      </c>
    </row>
    <row r="2297" spans="2:7" hidden="1">
      <c r="B2297" s="43">
        <v>44407</v>
      </c>
      <c r="C2297" t="s">
        <v>155</v>
      </c>
      <c r="D2297" s="48">
        <v>44497</v>
      </c>
      <c r="E2297">
        <v>720</v>
      </c>
      <c r="F2297" t="s">
        <v>514</v>
      </c>
      <c r="G2297">
        <v>91.75</v>
      </c>
    </row>
    <row r="2298" spans="2:7">
      <c r="B2298" s="43">
        <v>44407</v>
      </c>
      <c r="C2298" t="s">
        <v>155</v>
      </c>
      <c r="D2298" s="48">
        <v>44497</v>
      </c>
      <c r="E2298">
        <v>720</v>
      </c>
      <c r="F2298" t="s">
        <v>515</v>
      </c>
      <c r="G2298">
        <v>56.6</v>
      </c>
    </row>
    <row r="2299" spans="2:7" hidden="1">
      <c r="B2299" s="43">
        <v>44407</v>
      </c>
      <c r="C2299" t="s">
        <v>155</v>
      </c>
      <c r="D2299" s="48">
        <v>44497</v>
      </c>
      <c r="E2299">
        <v>730</v>
      </c>
      <c r="F2299" t="s">
        <v>514</v>
      </c>
      <c r="G2299">
        <v>86.65</v>
      </c>
    </row>
    <row r="2300" spans="2:7">
      <c r="B2300" s="43">
        <v>44407</v>
      </c>
      <c r="C2300" t="s">
        <v>155</v>
      </c>
      <c r="D2300" s="48">
        <v>44497</v>
      </c>
      <c r="E2300">
        <v>730</v>
      </c>
      <c r="F2300" t="s">
        <v>515</v>
      </c>
      <c r="G2300">
        <v>61.4</v>
      </c>
    </row>
    <row r="2301" spans="2:7" hidden="1">
      <c r="B2301" s="43">
        <v>44407</v>
      </c>
      <c r="C2301" t="s">
        <v>155</v>
      </c>
      <c r="D2301" s="48">
        <v>44497</v>
      </c>
      <c r="E2301">
        <v>740</v>
      </c>
      <c r="F2301" t="s">
        <v>514</v>
      </c>
      <c r="G2301">
        <v>81.75</v>
      </c>
    </row>
    <row r="2302" spans="2:7">
      <c r="B2302" s="43">
        <v>44407</v>
      </c>
      <c r="C2302" t="s">
        <v>155</v>
      </c>
      <c r="D2302" s="48">
        <v>44497</v>
      </c>
      <c r="E2302">
        <v>740</v>
      </c>
      <c r="F2302" t="s">
        <v>515</v>
      </c>
      <c r="G2302">
        <v>66.400000000000006</v>
      </c>
    </row>
    <row r="2303" spans="2:7" hidden="1">
      <c r="B2303" s="43">
        <v>44407</v>
      </c>
      <c r="C2303" t="s">
        <v>155</v>
      </c>
      <c r="D2303" s="48">
        <v>44497</v>
      </c>
      <c r="E2303">
        <v>750</v>
      </c>
      <c r="F2303" t="s">
        <v>514</v>
      </c>
      <c r="G2303">
        <v>77.05</v>
      </c>
    </row>
    <row r="2304" spans="2:7">
      <c r="B2304" s="43">
        <v>44407</v>
      </c>
      <c r="C2304" t="s">
        <v>155</v>
      </c>
      <c r="D2304" s="48">
        <v>44497</v>
      </c>
      <c r="E2304">
        <v>750</v>
      </c>
      <c r="F2304" t="s">
        <v>515</v>
      </c>
      <c r="G2304">
        <v>71.599999999999994</v>
      </c>
    </row>
    <row r="2305" spans="2:7" hidden="1">
      <c r="B2305" s="43">
        <v>44407</v>
      </c>
      <c r="C2305" t="s">
        <v>155</v>
      </c>
      <c r="D2305" s="48">
        <v>44497</v>
      </c>
      <c r="E2305">
        <v>760</v>
      </c>
      <c r="F2305" t="s">
        <v>514</v>
      </c>
      <c r="G2305">
        <v>72.599999999999994</v>
      </c>
    </row>
    <row r="2306" spans="2:7">
      <c r="B2306" s="43">
        <v>44407</v>
      </c>
      <c r="C2306" t="s">
        <v>155</v>
      </c>
      <c r="D2306" s="48">
        <v>44497</v>
      </c>
      <c r="E2306">
        <v>760</v>
      </c>
      <c r="F2306" t="s">
        <v>515</v>
      </c>
      <c r="G2306">
        <v>77.05</v>
      </c>
    </row>
    <row r="2307" spans="2:7" hidden="1">
      <c r="B2307" s="43">
        <v>44407</v>
      </c>
      <c r="C2307" t="s">
        <v>155</v>
      </c>
      <c r="D2307" s="48">
        <v>44497</v>
      </c>
      <c r="E2307">
        <v>770</v>
      </c>
      <c r="F2307" t="s">
        <v>514</v>
      </c>
      <c r="G2307">
        <v>68.349999999999994</v>
      </c>
    </row>
    <row r="2308" spans="2:7">
      <c r="B2308" s="43">
        <v>44407</v>
      </c>
      <c r="C2308" t="s">
        <v>155</v>
      </c>
      <c r="D2308" s="48">
        <v>44497</v>
      </c>
      <c r="E2308">
        <v>770</v>
      </c>
      <c r="F2308" t="s">
        <v>515</v>
      </c>
      <c r="G2308">
        <v>82.7</v>
      </c>
    </row>
    <row r="2309" spans="2:7" hidden="1">
      <c r="B2309" s="43">
        <v>44407</v>
      </c>
      <c r="C2309" t="s">
        <v>155</v>
      </c>
      <c r="D2309" s="48">
        <v>44497</v>
      </c>
      <c r="E2309">
        <v>780</v>
      </c>
      <c r="F2309" t="s">
        <v>514</v>
      </c>
      <c r="G2309">
        <v>64.25</v>
      </c>
    </row>
    <row r="2310" spans="2:7">
      <c r="B2310" s="43">
        <v>44407</v>
      </c>
      <c r="C2310" t="s">
        <v>155</v>
      </c>
      <c r="D2310" s="48">
        <v>44497</v>
      </c>
      <c r="E2310">
        <v>780</v>
      </c>
      <c r="F2310" t="s">
        <v>515</v>
      </c>
      <c r="G2310">
        <v>88.55</v>
      </c>
    </row>
    <row r="2311" spans="2:7" hidden="1">
      <c r="B2311" s="43">
        <v>44407</v>
      </c>
      <c r="C2311" t="s">
        <v>155</v>
      </c>
      <c r="D2311" s="48">
        <v>44497</v>
      </c>
      <c r="E2311">
        <v>790</v>
      </c>
      <c r="F2311" t="s">
        <v>514</v>
      </c>
      <c r="G2311">
        <v>60.4</v>
      </c>
    </row>
    <row r="2312" spans="2:7">
      <c r="B2312" s="43">
        <v>44407</v>
      </c>
      <c r="C2312" t="s">
        <v>155</v>
      </c>
      <c r="D2312" s="48">
        <v>44497</v>
      </c>
      <c r="E2312">
        <v>790</v>
      </c>
      <c r="F2312" t="s">
        <v>515</v>
      </c>
      <c r="G2312">
        <v>94.6</v>
      </c>
    </row>
    <row r="2313" spans="2:7" hidden="1">
      <c r="B2313" s="43">
        <v>44407</v>
      </c>
      <c r="C2313" t="s">
        <v>155</v>
      </c>
      <c r="D2313" s="48">
        <v>44497</v>
      </c>
      <c r="E2313">
        <v>800</v>
      </c>
      <c r="F2313" t="s">
        <v>514</v>
      </c>
      <c r="G2313">
        <v>56.75</v>
      </c>
    </row>
    <row r="2314" spans="2:7">
      <c r="B2314" s="43">
        <v>44407</v>
      </c>
      <c r="C2314" t="s">
        <v>155</v>
      </c>
      <c r="D2314" s="48">
        <v>44497</v>
      </c>
      <c r="E2314">
        <v>800</v>
      </c>
      <c r="F2314" t="s">
        <v>515</v>
      </c>
      <c r="G2314">
        <v>100.8</v>
      </c>
    </row>
    <row r="2315" spans="2:7" hidden="1">
      <c r="B2315" s="43">
        <v>44407</v>
      </c>
      <c r="C2315" t="s">
        <v>155</v>
      </c>
      <c r="D2315" s="48">
        <v>44497</v>
      </c>
      <c r="E2315">
        <v>810</v>
      </c>
      <c r="F2315" t="s">
        <v>514</v>
      </c>
      <c r="G2315">
        <v>53.25</v>
      </c>
    </row>
    <row r="2316" spans="2:7">
      <c r="B2316" s="43">
        <v>44407</v>
      </c>
      <c r="C2316" t="s">
        <v>155</v>
      </c>
      <c r="D2316" s="48">
        <v>44497</v>
      </c>
      <c r="E2316">
        <v>810</v>
      </c>
      <c r="F2316" t="s">
        <v>515</v>
      </c>
      <c r="G2316">
        <v>107.2</v>
      </c>
    </row>
    <row r="2317" spans="2:7" hidden="1">
      <c r="B2317" s="43">
        <v>44407</v>
      </c>
      <c r="C2317" t="s">
        <v>155</v>
      </c>
      <c r="D2317" s="48">
        <v>44497</v>
      </c>
      <c r="E2317">
        <v>820</v>
      </c>
      <c r="F2317" t="s">
        <v>514</v>
      </c>
      <c r="G2317">
        <v>49.9</v>
      </c>
    </row>
    <row r="2318" spans="2:7">
      <c r="B2318" s="43">
        <v>44407</v>
      </c>
      <c r="C2318" t="s">
        <v>155</v>
      </c>
      <c r="D2318" s="48">
        <v>44497</v>
      </c>
      <c r="E2318">
        <v>820</v>
      </c>
      <c r="F2318" t="s">
        <v>515</v>
      </c>
      <c r="G2318">
        <v>113.8</v>
      </c>
    </row>
    <row r="2319" spans="2:7" hidden="1">
      <c r="B2319" s="43">
        <v>44407</v>
      </c>
      <c r="C2319" t="s">
        <v>155</v>
      </c>
      <c r="D2319" s="48">
        <v>44497</v>
      </c>
      <c r="E2319">
        <v>830</v>
      </c>
      <c r="F2319" t="s">
        <v>514</v>
      </c>
      <c r="G2319">
        <v>46.8</v>
      </c>
    </row>
    <row r="2320" spans="2:7">
      <c r="B2320" s="43">
        <v>44407</v>
      </c>
      <c r="C2320" t="s">
        <v>155</v>
      </c>
      <c r="D2320" s="48">
        <v>44497</v>
      </c>
      <c r="E2320">
        <v>830</v>
      </c>
      <c r="F2320" t="s">
        <v>515</v>
      </c>
      <c r="G2320">
        <v>120.6</v>
      </c>
    </row>
    <row r="2321" spans="2:7" hidden="1">
      <c r="B2321" s="43">
        <v>44407</v>
      </c>
      <c r="C2321" t="s">
        <v>155</v>
      </c>
      <c r="D2321" s="48">
        <v>44497</v>
      </c>
      <c r="E2321">
        <v>840</v>
      </c>
      <c r="F2321" t="s">
        <v>514</v>
      </c>
      <c r="G2321">
        <v>43.8</v>
      </c>
    </row>
    <row r="2322" spans="2:7">
      <c r="B2322" s="43">
        <v>44407</v>
      </c>
      <c r="C2322" t="s">
        <v>155</v>
      </c>
      <c r="D2322" s="48">
        <v>44497</v>
      </c>
      <c r="E2322">
        <v>840</v>
      </c>
      <c r="F2322" t="s">
        <v>515</v>
      </c>
      <c r="G2322">
        <v>127.5</v>
      </c>
    </row>
    <row r="2323" spans="2:7" hidden="1">
      <c r="B2323" s="43">
        <v>44407</v>
      </c>
      <c r="C2323" t="s">
        <v>155</v>
      </c>
      <c r="D2323" s="48">
        <v>44497</v>
      </c>
      <c r="E2323">
        <v>850</v>
      </c>
      <c r="F2323" t="s">
        <v>514</v>
      </c>
      <c r="G2323">
        <v>41</v>
      </c>
    </row>
    <row r="2324" spans="2:7">
      <c r="B2324" s="43">
        <v>44407</v>
      </c>
      <c r="C2324" t="s">
        <v>155</v>
      </c>
      <c r="D2324" s="48">
        <v>44497</v>
      </c>
      <c r="E2324">
        <v>850</v>
      </c>
      <c r="F2324" t="s">
        <v>515</v>
      </c>
      <c r="G2324">
        <v>134.6</v>
      </c>
    </row>
    <row r="2325" spans="2:7" hidden="1">
      <c r="B2325" s="43">
        <v>44407</v>
      </c>
      <c r="C2325" t="s">
        <v>155</v>
      </c>
      <c r="D2325" s="48">
        <v>44497</v>
      </c>
      <c r="E2325">
        <v>860</v>
      </c>
      <c r="F2325" t="s">
        <v>514</v>
      </c>
      <c r="G2325">
        <v>38.35</v>
      </c>
    </row>
    <row r="2326" spans="2:7">
      <c r="B2326" s="43">
        <v>44407</v>
      </c>
      <c r="C2326" t="s">
        <v>155</v>
      </c>
      <c r="D2326" s="48">
        <v>44497</v>
      </c>
      <c r="E2326">
        <v>860</v>
      </c>
      <c r="F2326" t="s">
        <v>515</v>
      </c>
      <c r="G2326">
        <v>141.85</v>
      </c>
    </row>
    <row r="2327" spans="2:7" hidden="1">
      <c r="B2327" s="43">
        <v>44407</v>
      </c>
      <c r="C2327" t="s">
        <v>155</v>
      </c>
      <c r="D2327" s="48">
        <v>44497</v>
      </c>
      <c r="E2327">
        <v>870</v>
      </c>
      <c r="F2327" t="s">
        <v>514</v>
      </c>
      <c r="G2327">
        <v>35.9</v>
      </c>
    </row>
    <row r="2328" spans="2:7">
      <c r="B2328" s="43">
        <v>44407</v>
      </c>
      <c r="C2328" t="s">
        <v>155</v>
      </c>
      <c r="D2328" s="48">
        <v>44497</v>
      </c>
      <c r="E2328">
        <v>870</v>
      </c>
      <c r="F2328" t="s">
        <v>515</v>
      </c>
      <c r="G2328">
        <v>149.30000000000001</v>
      </c>
    </row>
    <row r="2329" spans="2:7" hidden="1">
      <c r="B2329" s="43">
        <v>44407</v>
      </c>
      <c r="C2329" t="s">
        <v>155</v>
      </c>
      <c r="D2329" s="48">
        <v>44497</v>
      </c>
      <c r="E2329">
        <v>880</v>
      </c>
      <c r="F2329" t="s">
        <v>514</v>
      </c>
      <c r="G2329">
        <v>33.549999999999997</v>
      </c>
    </row>
    <row r="2330" spans="2:7">
      <c r="B2330" s="43">
        <v>44407</v>
      </c>
      <c r="C2330" t="s">
        <v>155</v>
      </c>
      <c r="D2330" s="48">
        <v>44497</v>
      </c>
      <c r="E2330">
        <v>880</v>
      </c>
      <c r="F2330" t="s">
        <v>515</v>
      </c>
      <c r="G2330">
        <v>156.85</v>
      </c>
    </row>
    <row r="2331" spans="2:7" hidden="1">
      <c r="B2331" s="43">
        <v>44407</v>
      </c>
      <c r="C2331" t="s">
        <v>155</v>
      </c>
      <c r="D2331" s="48">
        <v>44497</v>
      </c>
      <c r="E2331">
        <v>890</v>
      </c>
      <c r="F2331" t="s">
        <v>514</v>
      </c>
      <c r="G2331">
        <v>31.3</v>
      </c>
    </row>
    <row r="2332" spans="2:7">
      <c r="B2332" s="43">
        <v>44407</v>
      </c>
      <c r="C2332" t="s">
        <v>155</v>
      </c>
      <c r="D2332" s="48">
        <v>44497</v>
      </c>
      <c r="E2332">
        <v>890</v>
      </c>
      <c r="F2332" t="s">
        <v>515</v>
      </c>
      <c r="G2332">
        <v>164.55</v>
      </c>
    </row>
    <row r="2333" spans="2:7" hidden="1">
      <c r="B2333" s="43">
        <v>44407</v>
      </c>
      <c r="C2333" t="s">
        <v>155</v>
      </c>
      <c r="D2333" s="48">
        <v>44497</v>
      </c>
      <c r="E2333">
        <v>900</v>
      </c>
      <c r="F2333" t="s">
        <v>514</v>
      </c>
      <c r="G2333">
        <v>29.25</v>
      </c>
    </row>
    <row r="2334" spans="2:7">
      <c r="B2334" s="43">
        <v>44407</v>
      </c>
      <c r="C2334" t="s">
        <v>155</v>
      </c>
      <c r="D2334" s="48">
        <v>44497</v>
      </c>
      <c r="E2334">
        <v>900</v>
      </c>
      <c r="F2334" t="s">
        <v>515</v>
      </c>
      <c r="G2334">
        <v>172.35</v>
      </c>
    </row>
    <row r="2335" spans="2:7" hidden="1">
      <c r="B2335" s="43">
        <v>44404</v>
      </c>
      <c r="C2335" t="s">
        <v>130</v>
      </c>
      <c r="D2335" s="48">
        <v>44406</v>
      </c>
      <c r="E2335">
        <v>0</v>
      </c>
      <c r="F2335" t="s">
        <v>516</v>
      </c>
      <c r="G2335">
        <v>429.4</v>
      </c>
    </row>
    <row r="2336" spans="2:7" hidden="1">
      <c r="B2336" s="43">
        <v>44405</v>
      </c>
      <c r="C2336" t="s">
        <v>130</v>
      </c>
      <c r="D2336" s="48">
        <v>44406</v>
      </c>
      <c r="E2336">
        <v>0</v>
      </c>
      <c r="F2336" t="s">
        <v>516</v>
      </c>
      <c r="G2336">
        <v>425.55</v>
      </c>
    </row>
    <row r="2337" spans="2:7" hidden="1">
      <c r="B2337" s="43">
        <v>44406</v>
      </c>
      <c r="C2337" t="s">
        <v>130</v>
      </c>
      <c r="D2337" s="48">
        <v>44406</v>
      </c>
      <c r="E2337">
        <v>0</v>
      </c>
      <c r="F2337" t="s">
        <v>516</v>
      </c>
      <c r="G2337">
        <v>441.3</v>
      </c>
    </row>
    <row r="2338" spans="2:7" hidden="1">
      <c r="B2338" s="43">
        <v>44403</v>
      </c>
      <c r="C2338" t="s">
        <v>130</v>
      </c>
      <c r="D2338" s="48">
        <v>44406</v>
      </c>
      <c r="E2338">
        <v>230</v>
      </c>
      <c r="F2338" t="s">
        <v>514</v>
      </c>
      <c r="G2338">
        <v>132.80000000000001</v>
      </c>
    </row>
    <row r="2339" spans="2:7" hidden="1">
      <c r="B2339" s="43">
        <v>44403</v>
      </c>
      <c r="C2339" t="s">
        <v>130</v>
      </c>
      <c r="D2339" s="48">
        <v>44406</v>
      </c>
      <c r="E2339">
        <v>230</v>
      </c>
      <c r="F2339" t="s">
        <v>515</v>
      </c>
      <c r="G2339">
        <v>0.05</v>
      </c>
    </row>
    <row r="2340" spans="2:7" hidden="1">
      <c r="B2340" s="43">
        <v>44404</v>
      </c>
      <c r="C2340" t="s">
        <v>130</v>
      </c>
      <c r="D2340" s="48">
        <v>44406</v>
      </c>
      <c r="E2340">
        <v>230</v>
      </c>
      <c r="F2340" t="s">
        <v>514</v>
      </c>
      <c r="G2340">
        <v>132.80000000000001</v>
      </c>
    </row>
    <row r="2341" spans="2:7" hidden="1">
      <c r="B2341" s="43">
        <v>44404</v>
      </c>
      <c r="C2341" t="s">
        <v>130</v>
      </c>
      <c r="D2341" s="48">
        <v>44406</v>
      </c>
      <c r="E2341">
        <v>230</v>
      </c>
      <c r="F2341" t="s">
        <v>515</v>
      </c>
      <c r="G2341">
        <v>0.05</v>
      </c>
    </row>
    <row r="2342" spans="2:7" hidden="1">
      <c r="B2342" s="43">
        <v>44405</v>
      </c>
      <c r="C2342" t="s">
        <v>130</v>
      </c>
      <c r="D2342" s="48">
        <v>44406</v>
      </c>
      <c r="E2342">
        <v>230</v>
      </c>
      <c r="F2342" t="s">
        <v>514</v>
      </c>
      <c r="G2342">
        <v>132.80000000000001</v>
      </c>
    </row>
    <row r="2343" spans="2:7" hidden="1">
      <c r="B2343" s="43">
        <v>44405</v>
      </c>
      <c r="C2343" t="s">
        <v>130</v>
      </c>
      <c r="D2343" s="48">
        <v>44406</v>
      </c>
      <c r="E2343">
        <v>230</v>
      </c>
      <c r="F2343" t="s">
        <v>515</v>
      </c>
      <c r="G2343">
        <v>0.05</v>
      </c>
    </row>
    <row r="2344" spans="2:7" hidden="1">
      <c r="B2344" s="43">
        <v>44406</v>
      </c>
      <c r="C2344" t="s">
        <v>130</v>
      </c>
      <c r="D2344" s="48">
        <v>44406</v>
      </c>
      <c r="E2344">
        <v>230</v>
      </c>
      <c r="F2344" t="s">
        <v>514</v>
      </c>
      <c r="G2344">
        <v>132.80000000000001</v>
      </c>
    </row>
    <row r="2345" spans="2:7" hidden="1">
      <c r="B2345" s="43">
        <v>44406</v>
      </c>
      <c r="C2345" t="s">
        <v>130</v>
      </c>
      <c r="D2345" s="48">
        <v>44406</v>
      </c>
      <c r="E2345">
        <v>230</v>
      </c>
      <c r="F2345" t="s">
        <v>515</v>
      </c>
      <c r="G2345">
        <v>0.05</v>
      </c>
    </row>
    <row r="2346" spans="2:7" hidden="1">
      <c r="B2346" s="43">
        <v>44403</v>
      </c>
      <c r="C2346" t="s">
        <v>130</v>
      </c>
      <c r="D2346" s="48">
        <v>44406</v>
      </c>
      <c r="E2346">
        <v>235</v>
      </c>
      <c r="F2346" t="s">
        <v>514</v>
      </c>
      <c r="G2346">
        <v>128.15</v>
      </c>
    </row>
    <row r="2347" spans="2:7" hidden="1">
      <c r="B2347" s="43">
        <v>44403</v>
      </c>
      <c r="C2347" t="s">
        <v>130</v>
      </c>
      <c r="D2347" s="48">
        <v>44406</v>
      </c>
      <c r="E2347">
        <v>235</v>
      </c>
      <c r="F2347" t="s">
        <v>515</v>
      </c>
      <c r="G2347">
        <v>0.05</v>
      </c>
    </row>
    <row r="2348" spans="2:7" hidden="1">
      <c r="B2348" s="43">
        <v>44404</v>
      </c>
      <c r="C2348" t="s">
        <v>130</v>
      </c>
      <c r="D2348" s="48">
        <v>44406</v>
      </c>
      <c r="E2348">
        <v>235</v>
      </c>
      <c r="F2348" t="s">
        <v>514</v>
      </c>
      <c r="G2348">
        <v>128.15</v>
      </c>
    </row>
    <row r="2349" spans="2:7" hidden="1">
      <c r="B2349" s="43">
        <v>44404</v>
      </c>
      <c r="C2349" t="s">
        <v>130</v>
      </c>
      <c r="D2349" s="48">
        <v>44406</v>
      </c>
      <c r="E2349">
        <v>235</v>
      </c>
      <c r="F2349" t="s">
        <v>515</v>
      </c>
      <c r="G2349">
        <v>0.05</v>
      </c>
    </row>
    <row r="2350" spans="2:7" hidden="1">
      <c r="B2350" s="43">
        <v>44405</v>
      </c>
      <c r="C2350" t="s">
        <v>130</v>
      </c>
      <c r="D2350" s="48">
        <v>44406</v>
      </c>
      <c r="E2350">
        <v>235</v>
      </c>
      <c r="F2350" t="s">
        <v>514</v>
      </c>
      <c r="G2350">
        <v>128.15</v>
      </c>
    </row>
    <row r="2351" spans="2:7" hidden="1">
      <c r="B2351" s="43">
        <v>44405</v>
      </c>
      <c r="C2351" t="s">
        <v>130</v>
      </c>
      <c r="D2351" s="48">
        <v>44406</v>
      </c>
      <c r="E2351">
        <v>235</v>
      </c>
      <c r="F2351" t="s">
        <v>515</v>
      </c>
      <c r="G2351">
        <v>0.05</v>
      </c>
    </row>
    <row r="2352" spans="2:7" hidden="1">
      <c r="B2352" s="43">
        <v>44406</v>
      </c>
      <c r="C2352" t="s">
        <v>130</v>
      </c>
      <c r="D2352" s="48">
        <v>44406</v>
      </c>
      <c r="E2352">
        <v>235</v>
      </c>
      <c r="F2352" t="s">
        <v>514</v>
      </c>
      <c r="G2352">
        <v>128.15</v>
      </c>
    </row>
    <row r="2353" spans="2:7" hidden="1">
      <c r="B2353" s="43">
        <v>44406</v>
      </c>
      <c r="C2353" t="s">
        <v>130</v>
      </c>
      <c r="D2353" s="48">
        <v>44406</v>
      </c>
      <c r="E2353">
        <v>235</v>
      </c>
      <c r="F2353" t="s">
        <v>515</v>
      </c>
      <c r="G2353">
        <v>0.05</v>
      </c>
    </row>
    <row r="2354" spans="2:7" hidden="1">
      <c r="B2354" s="43">
        <v>44403</v>
      </c>
      <c r="C2354" t="s">
        <v>130</v>
      </c>
      <c r="D2354" s="48">
        <v>44406</v>
      </c>
      <c r="E2354">
        <v>240</v>
      </c>
      <c r="F2354" t="s">
        <v>514</v>
      </c>
      <c r="G2354">
        <v>123.5</v>
      </c>
    </row>
    <row r="2355" spans="2:7" hidden="1">
      <c r="B2355" s="43">
        <v>44403</v>
      </c>
      <c r="C2355" t="s">
        <v>130</v>
      </c>
      <c r="D2355" s="48">
        <v>44406</v>
      </c>
      <c r="E2355">
        <v>240</v>
      </c>
      <c r="F2355" t="s">
        <v>515</v>
      </c>
      <c r="G2355">
        <v>1.85</v>
      </c>
    </row>
    <row r="2356" spans="2:7" hidden="1">
      <c r="B2356" s="43">
        <v>44404</v>
      </c>
      <c r="C2356" t="s">
        <v>130</v>
      </c>
      <c r="D2356" s="48">
        <v>44406</v>
      </c>
      <c r="E2356">
        <v>240</v>
      </c>
      <c r="F2356" t="s">
        <v>514</v>
      </c>
      <c r="G2356">
        <v>123.5</v>
      </c>
    </row>
    <row r="2357" spans="2:7" hidden="1">
      <c r="B2357" s="43">
        <v>44404</v>
      </c>
      <c r="C2357" t="s">
        <v>130</v>
      </c>
      <c r="D2357" s="48">
        <v>44406</v>
      </c>
      <c r="E2357">
        <v>240</v>
      </c>
      <c r="F2357" t="s">
        <v>515</v>
      </c>
      <c r="G2357">
        <v>1.85</v>
      </c>
    </row>
    <row r="2358" spans="2:7" hidden="1">
      <c r="B2358" s="43">
        <v>44405</v>
      </c>
      <c r="C2358" t="s">
        <v>130</v>
      </c>
      <c r="D2358" s="48">
        <v>44406</v>
      </c>
      <c r="E2358">
        <v>240</v>
      </c>
      <c r="F2358" t="s">
        <v>514</v>
      </c>
      <c r="G2358">
        <v>123.5</v>
      </c>
    </row>
    <row r="2359" spans="2:7" hidden="1">
      <c r="B2359" s="43">
        <v>44405</v>
      </c>
      <c r="C2359" t="s">
        <v>130</v>
      </c>
      <c r="D2359" s="48">
        <v>44406</v>
      </c>
      <c r="E2359">
        <v>240</v>
      </c>
      <c r="F2359" t="s">
        <v>515</v>
      </c>
      <c r="G2359">
        <v>1.85</v>
      </c>
    </row>
    <row r="2360" spans="2:7" hidden="1">
      <c r="B2360" s="43">
        <v>44406</v>
      </c>
      <c r="C2360" t="s">
        <v>130</v>
      </c>
      <c r="D2360" s="48">
        <v>44406</v>
      </c>
      <c r="E2360">
        <v>240</v>
      </c>
      <c r="F2360" t="s">
        <v>514</v>
      </c>
      <c r="G2360">
        <v>123.5</v>
      </c>
    </row>
    <row r="2361" spans="2:7" hidden="1">
      <c r="B2361" s="43">
        <v>44406</v>
      </c>
      <c r="C2361" t="s">
        <v>130</v>
      </c>
      <c r="D2361" s="48">
        <v>44406</v>
      </c>
      <c r="E2361">
        <v>240</v>
      </c>
      <c r="F2361" t="s">
        <v>515</v>
      </c>
      <c r="G2361">
        <v>1.85</v>
      </c>
    </row>
    <row r="2362" spans="2:7" hidden="1">
      <c r="B2362" s="43">
        <v>44403</v>
      </c>
      <c r="C2362" t="s">
        <v>130</v>
      </c>
      <c r="D2362" s="48">
        <v>44406</v>
      </c>
      <c r="E2362">
        <v>245</v>
      </c>
      <c r="F2362" t="s">
        <v>514</v>
      </c>
      <c r="G2362">
        <v>184.45</v>
      </c>
    </row>
    <row r="2363" spans="2:7" hidden="1">
      <c r="B2363" s="43">
        <v>44403</v>
      </c>
      <c r="C2363" t="s">
        <v>130</v>
      </c>
      <c r="D2363" s="48">
        <v>44406</v>
      </c>
      <c r="E2363">
        <v>245</v>
      </c>
      <c r="F2363" t="s">
        <v>515</v>
      </c>
      <c r="G2363">
        <v>2.25</v>
      </c>
    </row>
    <row r="2364" spans="2:7" hidden="1">
      <c r="B2364" s="43">
        <v>44404</v>
      </c>
      <c r="C2364" t="s">
        <v>130</v>
      </c>
      <c r="D2364" s="48">
        <v>44406</v>
      </c>
      <c r="E2364">
        <v>245</v>
      </c>
      <c r="F2364" t="s">
        <v>514</v>
      </c>
      <c r="G2364">
        <v>184.45</v>
      </c>
    </row>
    <row r="2365" spans="2:7" hidden="1">
      <c r="B2365" s="43">
        <v>44404</v>
      </c>
      <c r="C2365" t="s">
        <v>130</v>
      </c>
      <c r="D2365" s="48">
        <v>44406</v>
      </c>
      <c r="E2365">
        <v>245</v>
      </c>
      <c r="F2365" t="s">
        <v>515</v>
      </c>
      <c r="G2365">
        <v>2.25</v>
      </c>
    </row>
    <row r="2366" spans="2:7" hidden="1">
      <c r="B2366" s="43">
        <v>44405</v>
      </c>
      <c r="C2366" t="s">
        <v>130</v>
      </c>
      <c r="D2366" s="48">
        <v>44406</v>
      </c>
      <c r="E2366">
        <v>245</v>
      </c>
      <c r="F2366" t="s">
        <v>514</v>
      </c>
      <c r="G2366">
        <v>184.45</v>
      </c>
    </row>
    <row r="2367" spans="2:7" hidden="1">
      <c r="B2367" s="43">
        <v>44405</v>
      </c>
      <c r="C2367" t="s">
        <v>130</v>
      </c>
      <c r="D2367" s="48">
        <v>44406</v>
      </c>
      <c r="E2367">
        <v>245</v>
      </c>
      <c r="F2367" t="s">
        <v>515</v>
      </c>
      <c r="G2367">
        <v>2.25</v>
      </c>
    </row>
    <row r="2368" spans="2:7" hidden="1">
      <c r="B2368" s="43">
        <v>44406</v>
      </c>
      <c r="C2368" t="s">
        <v>130</v>
      </c>
      <c r="D2368" s="48">
        <v>44406</v>
      </c>
      <c r="E2368">
        <v>245</v>
      </c>
      <c r="F2368" t="s">
        <v>514</v>
      </c>
      <c r="G2368">
        <v>184.45</v>
      </c>
    </row>
    <row r="2369" spans="2:7" hidden="1">
      <c r="B2369" s="43">
        <v>44406</v>
      </c>
      <c r="C2369" t="s">
        <v>130</v>
      </c>
      <c r="D2369" s="48">
        <v>44406</v>
      </c>
      <c r="E2369">
        <v>245</v>
      </c>
      <c r="F2369" t="s">
        <v>515</v>
      </c>
      <c r="G2369">
        <v>2.25</v>
      </c>
    </row>
    <row r="2370" spans="2:7" hidden="1">
      <c r="B2370" s="43">
        <v>44403</v>
      </c>
      <c r="C2370" t="s">
        <v>130</v>
      </c>
      <c r="D2370" s="48">
        <v>44406</v>
      </c>
      <c r="E2370">
        <v>250</v>
      </c>
      <c r="F2370" t="s">
        <v>514</v>
      </c>
      <c r="G2370">
        <v>168</v>
      </c>
    </row>
    <row r="2371" spans="2:7" hidden="1">
      <c r="B2371" s="43">
        <v>44403</v>
      </c>
      <c r="C2371" t="s">
        <v>130</v>
      </c>
      <c r="D2371" s="48">
        <v>44406</v>
      </c>
      <c r="E2371">
        <v>250</v>
      </c>
      <c r="F2371" t="s">
        <v>515</v>
      </c>
      <c r="G2371">
        <v>0.05</v>
      </c>
    </row>
    <row r="2372" spans="2:7" hidden="1">
      <c r="B2372" s="43">
        <v>44404</v>
      </c>
      <c r="C2372" t="s">
        <v>130</v>
      </c>
      <c r="D2372" s="48">
        <v>44406</v>
      </c>
      <c r="E2372">
        <v>250</v>
      </c>
      <c r="F2372" t="s">
        <v>514</v>
      </c>
      <c r="G2372">
        <v>168</v>
      </c>
    </row>
    <row r="2373" spans="2:7" hidden="1">
      <c r="B2373" s="43">
        <v>44404</v>
      </c>
      <c r="C2373" t="s">
        <v>130</v>
      </c>
      <c r="D2373" s="48">
        <v>44406</v>
      </c>
      <c r="E2373">
        <v>250</v>
      </c>
      <c r="F2373" t="s">
        <v>515</v>
      </c>
      <c r="G2373">
        <v>0.05</v>
      </c>
    </row>
    <row r="2374" spans="2:7" hidden="1">
      <c r="B2374" s="43">
        <v>44405</v>
      </c>
      <c r="C2374" t="s">
        <v>130</v>
      </c>
      <c r="D2374" s="48">
        <v>44406</v>
      </c>
      <c r="E2374">
        <v>250</v>
      </c>
      <c r="F2374" t="s">
        <v>514</v>
      </c>
      <c r="G2374">
        <v>168</v>
      </c>
    </row>
    <row r="2375" spans="2:7" hidden="1">
      <c r="B2375" s="43">
        <v>44405</v>
      </c>
      <c r="C2375" t="s">
        <v>130</v>
      </c>
      <c r="D2375" s="48">
        <v>44406</v>
      </c>
      <c r="E2375">
        <v>250</v>
      </c>
      <c r="F2375" t="s">
        <v>515</v>
      </c>
      <c r="G2375">
        <v>0.05</v>
      </c>
    </row>
    <row r="2376" spans="2:7" hidden="1">
      <c r="B2376" s="43">
        <v>44406</v>
      </c>
      <c r="C2376" t="s">
        <v>130</v>
      </c>
      <c r="D2376" s="48">
        <v>44406</v>
      </c>
      <c r="E2376">
        <v>250</v>
      </c>
      <c r="F2376" t="s">
        <v>514</v>
      </c>
      <c r="G2376">
        <v>190.7</v>
      </c>
    </row>
    <row r="2377" spans="2:7" hidden="1">
      <c r="B2377" s="43">
        <v>44406</v>
      </c>
      <c r="C2377" t="s">
        <v>130</v>
      </c>
      <c r="D2377" s="48">
        <v>44406</v>
      </c>
      <c r="E2377">
        <v>250</v>
      </c>
      <c r="F2377" t="s">
        <v>515</v>
      </c>
      <c r="G2377">
        <v>0.05</v>
      </c>
    </row>
    <row r="2378" spans="2:7" hidden="1">
      <c r="B2378" s="43">
        <v>44403</v>
      </c>
      <c r="C2378" t="s">
        <v>130</v>
      </c>
      <c r="D2378" s="48">
        <v>44406</v>
      </c>
      <c r="E2378">
        <v>255</v>
      </c>
      <c r="F2378" t="s">
        <v>514</v>
      </c>
      <c r="G2378">
        <v>110</v>
      </c>
    </row>
    <row r="2379" spans="2:7" hidden="1">
      <c r="B2379" s="43">
        <v>44403</v>
      </c>
      <c r="C2379" t="s">
        <v>130</v>
      </c>
      <c r="D2379" s="48">
        <v>44406</v>
      </c>
      <c r="E2379">
        <v>255</v>
      </c>
      <c r="F2379" t="s">
        <v>515</v>
      </c>
      <c r="G2379">
        <v>3.2</v>
      </c>
    </row>
    <row r="2380" spans="2:7" hidden="1">
      <c r="B2380" s="43">
        <v>44404</v>
      </c>
      <c r="C2380" t="s">
        <v>130</v>
      </c>
      <c r="D2380" s="48">
        <v>44406</v>
      </c>
      <c r="E2380">
        <v>255</v>
      </c>
      <c r="F2380" t="s">
        <v>514</v>
      </c>
      <c r="G2380">
        <v>110</v>
      </c>
    </row>
    <row r="2381" spans="2:7" hidden="1">
      <c r="B2381" s="43">
        <v>44404</v>
      </c>
      <c r="C2381" t="s">
        <v>130</v>
      </c>
      <c r="D2381" s="48">
        <v>44406</v>
      </c>
      <c r="E2381">
        <v>255</v>
      </c>
      <c r="F2381" t="s">
        <v>515</v>
      </c>
      <c r="G2381">
        <v>3.2</v>
      </c>
    </row>
    <row r="2382" spans="2:7" hidden="1">
      <c r="B2382" s="43">
        <v>44405</v>
      </c>
      <c r="C2382" t="s">
        <v>130</v>
      </c>
      <c r="D2382" s="48">
        <v>44406</v>
      </c>
      <c r="E2382">
        <v>255</v>
      </c>
      <c r="F2382" t="s">
        <v>514</v>
      </c>
      <c r="G2382">
        <v>110</v>
      </c>
    </row>
    <row r="2383" spans="2:7" hidden="1">
      <c r="B2383" s="43">
        <v>44405</v>
      </c>
      <c r="C2383" t="s">
        <v>130</v>
      </c>
      <c r="D2383" s="48">
        <v>44406</v>
      </c>
      <c r="E2383">
        <v>255</v>
      </c>
      <c r="F2383" t="s">
        <v>515</v>
      </c>
      <c r="G2383">
        <v>3.2</v>
      </c>
    </row>
    <row r="2384" spans="2:7" hidden="1">
      <c r="B2384" s="43">
        <v>44406</v>
      </c>
      <c r="C2384" t="s">
        <v>130</v>
      </c>
      <c r="D2384" s="48">
        <v>44406</v>
      </c>
      <c r="E2384">
        <v>255</v>
      </c>
      <c r="F2384" t="s">
        <v>514</v>
      </c>
      <c r="G2384">
        <v>110</v>
      </c>
    </row>
    <row r="2385" spans="2:7" hidden="1">
      <c r="B2385" s="43">
        <v>44406</v>
      </c>
      <c r="C2385" t="s">
        <v>130</v>
      </c>
      <c r="D2385" s="48">
        <v>44406</v>
      </c>
      <c r="E2385">
        <v>255</v>
      </c>
      <c r="F2385" t="s">
        <v>515</v>
      </c>
      <c r="G2385">
        <v>3.2</v>
      </c>
    </row>
    <row r="2386" spans="2:7" hidden="1">
      <c r="B2386" s="43">
        <v>44403</v>
      </c>
      <c r="C2386" t="s">
        <v>130</v>
      </c>
      <c r="D2386" s="48">
        <v>44406</v>
      </c>
      <c r="E2386">
        <v>260</v>
      </c>
      <c r="F2386" t="s">
        <v>514</v>
      </c>
      <c r="G2386">
        <v>105.65</v>
      </c>
    </row>
    <row r="2387" spans="2:7" hidden="1">
      <c r="B2387" s="43">
        <v>44403</v>
      </c>
      <c r="C2387" t="s">
        <v>130</v>
      </c>
      <c r="D2387" s="48">
        <v>44406</v>
      </c>
      <c r="E2387">
        <v>260</v>
      </c>
      <c r="F2387" t="s">
        <v>515</v>
      </c>
      <c r="G2387">
        <v>3.8</v>
      </c>
    </row>
    <row r="2388" spans="2:7" hidden="1">
      <c r="B2388" s="43">
        <v>44404</v>
      </c>
      <c r="C2388" t="s">
        <v>130</v>
      </c>
      <c r="D2388" s="48">
        <v>44406</v>
      </c>
      <c r="E2388">
        <v>260</v>
      </c>
      <c r="F2388" t="s">
        <v>514</v>
      </c>
      <c r="G2388">
        <v>105.65</v>
      </c>
    </row>
    <row r="2389" spans="2:7" hidden="1">
      <c r="B2389" s="43">
        <v>44404</v>
      </c>
      <c r="C2389" t="s">
        <v>130</v>
      </c>
      <c r="D2389" s="48">
        <v>44406</v>
      </c>
      <c r="E2389">
        <v>260</v>
      </c>
      <c r="F2389" t="s">
        <v>515</v>
      </c>
      <c r="G2389">
        <v>3.8</v>
      </c>
    </row>
    <row r="2390" spans="2:7" hidden="1">
      <c r="B2390" s="43">
        <v>44405</v>
      </c>
      <c r="C2390" t="s">
        <v>130</v>
      </c>
      <c r="D2390" s="48">
        <v>44406</v>
      </c>
      <c r="E2390">
        <v>260</v>
      </c>
      <c r="F2390" t="s">
        <v>514</v>
      </c>
      <c r="G2390">
        <v>105.65</v>
      </c>
    </row>
    <row r="2391" spans="2:7" hidden="1">
      <c r="B2391" s="43">
        <v>44405</v>
      </c>
      <c r="C2391" t="s">
        <v>130</v>
      </c>
      <c r="D2391" s="48">
        <v>44406</v>
      </c>
      <c r="E2391">
        <v>260</v>
      </c>
      <c r="F2391" t="s">
        <v>515</v>
      </c>
      <c r="G2391">
        <v>3.8</v>
      </c>
    </row>
    <row r="2392" spans="2:7" hidden="1">
      <c r="B2392" s="43">
        <v>44406</v>
      </c>
      <c r="C2392" t="s">
        <v>130</v>
      </c>
      <c r="D2392" s="48">
        <v>44406</v>
      </c>
      <c r="E2392">
        <v>260</v>
      </c>
      <c r="F2392" t="s">
        <v>514</v>
      </c>
      <c r="G2392">
        <v>105.65</v>
      </c>
    </row>
    <row r="2393" spans="2:7" hidden="1">
      <c r="B2393" s="43">
        <v>44406</v>
      </c>
      <c r="C2393" t="s">
        <v>130</v>
      </c>
      <c r="D2393" s="48">
        <v>44406</v>
      </c>
      <c r="E2393">
        <v>260</v>
      </c>
      <c r="F2393" t="s">
        <v>515</v>
      </c>
      <c r="G2393">
        <v>3.8</v>
      </c>
    </row>
    <row r="2394" spans="2:7" hidden="1">
      <c r="B2394" s="43">
        <v>44403</v>
      </c>
      <c r="C2394" t="s">
        <v>130</v>
      </c>
      <c r="D2394" s="48">
        <v>44406</v>
      </c>
      <c r="E2394">
        <v>265</v>
      </c>
      <c r="F2394" t="s">
        <v>514</v>
      </c>
      <c r="G2394">
        <v>101.35</v>
      </c>
    </row>
    <row r="2395" spans="2:7" hidden="1">
      <c r="B2395" s="43">
        <v>44403</v>
      </c>
      <c r="C2395" t="s">
        <v>130</v>
      </c>
      <c r="D2395" s="48">
        <v>44406</v>
      </c>
      <c r="E2395">
        <v>265</v>
      </c>
      <c r="F2395" t="s">
        <v>515</v>
      </c>
      <c r="G2395">
        <v>4.45</v>
      </c>
    </row>
    <row r="2396" spans="2:7" hidden="1">
      <c r="B2396" s="43">
        <v>44404</v>
      </c>
      <c r="C2396" t="s">
        <v>130</v>
      </c>
      <c r="D2396" s="48">
        <v>44406</v>
      </c>
      <c r="E2396">
        <v>265</v>
      </c>
      <c r="F2396" t="s">
        <v>514</v>
      </c>
      <c r="G2396">
        <v>101.35</v>
      </c>
    </row>
    <row r="2397" spans="2:7" hidden="1">
      <c r="B2397" s="43">
        <v>44404</v>
      </c>
      <c r="C2397" t="s">
        <v>130</v>
      </c>
      <c r="D2397" s="48">
        <v>44406</v>
      </c>
      <c r="E2397">
        <v>265</v>
      </c>
      <c r="F2397" t="s">
        <v>515</v>
      </c>
      <c r="G2397">
        <v>4.45</v>
      </c>
    </row>
    <row r="2398" spans="2:7" hidden="1">
      <c r="B2398" s="43">
        <v>44405</v>
      </c>
      <c r="C2398" t="s">
        <v>130</v>
      </c>
      <c r="D2398" s="48">
        <v>44406</v>
      </c>
      <c r="E2398">
        <v>265</v>
      </c>
      <c r="F2398" t="s">
        <v>514</v>
      </c>
      <c r="G2398">
        <v>101.35</v>
      </c>
    </row>
    <row r="2399" spans="2:7" hidden="1">
      <c r="B2399" s="43">
        <v>44405</v>
      </c>
      <c r="C2399" t="s">
        <v>130</v>
      </c>
      <c r="D2399" s="48">
        <v>44406</v>
      </c>
      <c r="E2399">
        <v>265</v>
      </c>
      <c r="F2399" t="s">
        <v>515</v>
      </c>
      <c r="G2399">
        <v>4.45</v>
      </c>
    </row>
    <row r="2400" spans="2:7" hidden="1">
      <c r="B2400" s="43">
        <v>44406</v>
      </c>
      <c r="C2400" t="s">
        <v>130</v>
      </c>
      <c r="D2400" s="48">
        <v>44406</v>
      </c>
      <c r="E2400">
        <v>265</v>
      </c>
      <c r="F2400" t="s">
        <v>514</v>
      </c>
      <c r="G2400">
        <v>101.35</v>
      </c>
    </row>
    <row r="2401" spans="2:7" hidden="1">
      <c r="B2401" s="43">
        <v>44406</v>
      </c>
      <c r="C2401" t="s">
        <v>130</v>
      </c>
      <c r="D2401" s="48">
        <v>44406</v>
      </c>
      <c r="E2401">
        <v>265</v>
      </c>
      <c r="F2401" t="s">
        <v>515</v>
      </c>
      <c r="G2401">
        <v>4.45</v>
      </c>
    </row>
    <row r="2402" spans="2:7" hidden="1">
      <c r="B2402" s="43">
        <v>44403</v>
      </c>
      <c r="C2402" t="s">
        <v>130</v>
      </c>
      <c r="D2402" s="48">
        <v>44406</v>
      </c>
      <c r="E2402">
        <v>270</v>
      </c>
      <c r="F2402" t="s">
        <v>514</v>
      </c>
      <c r="G2402">
        <v>97.15</v>
      </c>
    </row>
    <row r="2403" spans="2:7" hidden="1">
      <c r="B2403" s="43">
        <v>44403</v>
      </c>
      <c r="C2403" t="s">
        <v>130</v>
      </c>
      <c r="D2403" s="48">
        <v>44406</v>
      </c>
      <c r="E2403">
        <v>270</v>
      </c>
      <c r="F2403" t="s">
        <v>515</v>
      </c>
      <c r="G2403">
        <v>5.2</v>
      </c>
    </row>
    <row r="2404" spans="2:7" hidden="1">
      <c r="B2404" s="43">
        <v>44404</v>
      </c>
      <c r="C2404" t="s">
        <v>130</v>
      </c>
      <c r="D2404" s="48">
        <v>44406</v>
      </c>
      <c r="E2404">
        <v>270</v>
      </c>
      <c r="F2404" t="s">
        <v>514</v>
      </c>
      <c r="G2404">
        <v>97.15</v>
      </c>
    </row>
    <row r="2405" spans="2:7" hidden="1">
      <c r="B2405" s="43">
        <v>44404</v>
      </c>
      <c r="C2405" t="s">
        <v>130</v>
      </c>
      <c r="D2405" s="48">
        <v>44406</v>
      </c>
      <c r="E2405">
        <v>270</v>
      </c>
      <c r="F2405" t="s">
        <v>515</v>
      </c>
      <c r="G2405">
        <v>5.2</v>
      </c>
    </row>
    <row r="2406" spans="2:7" hidden="1">
      <c r="B2406" s="43">
        <v>44405</v>
      </c>
      <c r="C2406" t="s">
        <v>130</v>
      </c>
      <c r="D2406" s="48">
        <v>44406</v>
      </c>
      <c r="E2406">
        <v>270</v>
      </c>
      <c r="F2406" t="s">
        <v>514</v>
      </c>
      <c r="G2406">
        <v>97.15</v>
      </c>
    </row>
    <row r="2407" spans="2:7" hidden="1">
      <c r="B2407" s="43">
        <v>44405</v>
      </c>
      <c r="C2407" t="s">
        <v>130</v>
      </c>
      <c r="D2407" s="48">
        <v>44406</v>
      </c>
      <c r="E2407">
        <v>270</v>
      </c>
      <c r="F2407" t="s">
        <v>515</v>
      </c>
      <c r="G2407">
        <v>5.2</v>
      </c>
    </row>
    <row r="2408" spans="2:7" hidden="1">
      <c r="B2408" s="43">
        <v>44406</v>
      </c>
      <c r="C2408" t="s">
        <v>130</v>
      </c>
      <c r="D2408" s="48">
        <v>44406</v>
      </c>
      <c r="E2408">
        <v>270</v>
      </c>
      <c r="F2408" t="s">
        <v>514</v>
      </c>
      <c r="G2408">
        <v>97.15</v>
      </c>
    </row>
    <row r="2409" spans="2:7" hidden="1">
      <c r="B2409" s="43">
        <v>44406</v>
      </c>
      <c r="C2409" t="s">
        <v>130</v>
      </c>
      <c r="D2409" s="48">
        <v>44406</v>
      </c>
      <c r="E2409">
        <v>270</v>
      </c>
      <c r="F2409" t="s">
        <v>515</v>
      </c>
      <c r="G2409">
        <v>5.2</v>
      </c>
    </row>
    <row r="2410" spans="2:7" hidden="1">
      <c r="B2410" s="43">
        <v>44403</v>
      </c>
      <c r="C2410" t="s">
        <v>130</v>
      </c>
      <c r="D2410" s="48">
        <v>44406</v>
      </c>
      <c r="E2410">
        <v>275</v>
      </c>
      <c r="F2410" t="s">
        <v>514</v>
      </c>
      <c r="G2410">
        <v>93</v>
      </c>
    </row>
    <row r="2411" spans="2:7" hidden="1">
      <c r="B2411" s="43">
        <v>44403</v>
      </c>
      <c r="C2411" t="s">
        <v>130</v>
      </c>
      <c r="D2411" s="48">
        <v>44406</v>
      </c>
      <c r="E2411">
        <v>275</v>
      </c>
      <c r="F2411" t="s">
        <v>515</v>
      </c>
      <c r="G2411">
        <v>6.05</v>
      </c>
    </row>
    <row r="2412" spans="2:7" hidden="1">
      <c r="B2412" s="43">
        <v>44404</v>
      </c>
      <c r="C2412" t="s">
        <v>130</v>
      </c>
      <c r="D2412" s="48">
        <v>44406</v>
      </c>
      <c r="E2412">
        <v>275</v>
      </c>
      <c r="F2412" t="s">
        <v>514</v>
      </c>
      <c r="G2412">
        <v>93</v>
      </c>
    </row>
    <row r="2413" spans="2:7" hidden="1">
      <c r="B2413" s="43">
        <v>44404</v>
      </c>
      <c r="C2413" t="s">
        <v>130</v>
      </c>
      <c r="D2413" s="48">
        <v>44406</v>
      </c>
      <c r="E2413">
        <v>275</v>
      </c>
      <c r="F2413" t="s">
        <v>515</v>
      </c>
      <c r="G2413">
        <v>6.05</v>
      </c>
    </row>
    <row r="2414" spans="2:7" hidden="1">
      <c r="B2414" s="43">
        <v>44405</v>
      </c>
      <c r="C2414" t="s">
        <v>130</v>
      </c>
      <c r="D2414" s="48">
        <v>44406</v>
      </c>
      <c r="E2414">
        <v>275</v>
      </c>
      <c r="F2414" t="s">
        <v>514</v>
      </c>
      <c r="G2414">
        <v>93</v>
      </c>
    </row>
    <row r="2415" spans="2:7" hidden="1">
      <c r="B2415" s="43">
        <v>44405</v>
      </c>
      <c r="C2415" t="s">
        <v>130</v>
      </c>
      <c r="D2415" s="48">
        <v>44406</v>
      </c>
      <c r="E2415">
        <v>275</v>
      </c>
      <c r="F2415" t="s">
        <v>515</v>
      </c>
      <c r="G2415">
        <v>6.05</v>
      </c>
    </row>
    <row r="2416" spans="2:7" hidden="1">
      <c r="B2416" s="43">
        <v>44406</v>
      </c>
      <c r="C2416" t="s">
        <v>130</v>
      </c>
      <c r="D2416" s="48">
        <v>44406</v>
      </c>
      <c r="E2416">
        <v>275</v>
      </c>
      <c r="F2416" t="s">
        <v>514</v>
      </c>
      <c r="G2416">
        <v>93</v>
      </c>
    </row>
    <row r="2417" spans="2:7" hidden="1">
      <c r="B2417" s="43">
        <v>44406</v>
      </c>
      <c r="C2417" t="s">
        <v>130</v>
      </c>
      <c r="D2417" s="48">
        <v>44406</v>
      </c>
      <c r="E2417">
        <v>275</v>
      </c>
      <c r="F2417" t="s">
        <v>515</v>
      </c>
      <c r="G2417">
        <v>6.05</v>
      </c>
    </row>
    <row r="2418" spans="2:7" hidden="1">
      <c r="B2418" s="43">
        <v>44403</v>
      </c>
      <c r="C2418" t="s">
        <v>130</v>
      </c>
      <c r="D2418" s="48">
        <v>44406</v>
      </c>
      <c r="E2418">
        <v>280</v>
      </c>
      <c r="F2418" t="s">
        <v>514</v>
      </c>
      <c r="G2418">
        <v>89</v>
      </c>
    </row>
    <row r="2419" spans="2:7" hidden="1">
      <c r="B2419" s="43">
        <v>44403</v>
      </c>
      <c r="C2419" t="s">
        <v>130</v>
      </c>
      <c r="D2419" s="48">
        <v>44406</v>
      </c>
      <c r="E2419">
        <v>280</v>
      </c>
      <c r="F2419" t="s">
        <v>515</v>
      </c>
      <c r="G2419">
        <v>0.05</v>
      </c>
    </row>
    <row r="2420" spans="2:7" hidden="1">
      <c r="B2420" s="43">
        <v>44404</v>
      </c>
      <c r="C2420" t="s">
        <v>130</v>
      </c>
      <c r="D2420" s="48">
        <v>44406</v>
      </c>
      <c r="E2420">
        <v>280</v>
      </c>
      <c r="F2420" t="s">
        <v>514</v>
      </c>
      <c r="G2420">
        <v>89</v>
      </c>
    </row>
    <row r="2421" spans="2:7" hidden="1">
      <c r="B2421" s="43">
        <v>44404</v>
      </c>
      <c r="C2421" t="s">
        <v>130</v>
      </c>
      <c r="D2421" s="48">
        <v>44406</v>
      </c>
      <c r="E2421">
        <v>280</v>
      </c>
      <c r="F2421" t="s">
        <v>515</v>
      </c>
      <c r="G2421">
        <v>0.05</v>
      </c>
    </row>
    <row r="2422" spans="2:7" hidden="1">
      <c r="B2422" s="43">
        <v>44405</v>
      </c>
      <c r="C2422" t="s">
        <v>130</v>
      </c>
      <c r="D2422" s="48">
        <v>44406</v>
      </c>
      <c r="E2422">
        <v>280</v>
      </c>
      <c r="F2422" t="s">
        <v>514</v>
      </c>
      <c r="G2422">
        <v>89</v>
      </c>
    </row>
    <row r="2423" spans="2:7" hidden="1">
      <c r="B2423" s="43">
        <v>44405</v>
      </c>
      <c r="C2423" t="s">
        <v>130</v>
      </c>
      <c r="D2423" s="48">
        <v>44406</v>
      </c>
      <c r="E2423">
        <v>280</v>
      </c>
      <c r="F2423" t="s">
        <v>515</v>
      </c>
      <c r="G2423">
        <v>0.05</v>
      </c>
    </row>
    <row r="2424" spans="2:7" hidden="1">
      <c r="B2424" s="43">
        <v>44406</v>
      </c>
      <c r="C2424" t="s">
        <v>130</v>
      </c>
      <c r="D2424" s="48">
        <v>44406</v>
      </c>
      <c r="E2424">
        <v>280</v>
      </c>
      <c r="F2424" t="s">
        <v>514</v>
      </c>
      <c r="G2424">
        <v>89</v>
      </c>
    </row>
    <row r="2425" spans="2:7" hidden="1">
      <c r="B2425" s="43">
        <v>44406</v>
      </c>
      <c r="C2425" t="s">
        <v>130</v>
      </c>
      <c r="D2425" s="48">
        <v>44406</v>
      </c>
      <c r="E2425">
        <v>280</v>
      </c>
      <c r="F2425" t="s">
        <v>515</v>
      </c>
      <c r="G2425">
        <v>0.05</v>
      </c>
    </row>
    <row r="2426" spans="2:7" hidden="1">
      <c r="B2426" s="43">
        <v>44403</v>
      </c>
      <c r="C2426" t="s">
        <v>130</v>
      </c>
      <c r="D2426" s="48">
        <v>44406</v>
      </c>
      <c r="E2426">
        <v>285</v>
      </c>
      <c r="F2426" t="s">
        <v>514</v>
      </c>
      <c r="G2426">
        <v>85.05</v>
      </c>
    </row>
    <row r="2427" spans="2:7" hidden="1">
      <c r="B2427" s="43">
        <v>44403</v>
      </c>
      <c r="C2427" t="s">
        <v>130</v>
      </c>
      <c r="D2427" s="48">
        <v>44406</v>
      </c>
      <c r="E2427">
        <v>285</v>
      </c>
      <c r="F2427" t="s">
        <v>515</v>
      </c>
      <c r="G2427">
        <v>7.95</v>
      </c>
    </row>
    <row r="2428" spans="2:7" hidden="1">
      <c r="B2428" s="43">
        <v>44404</v>
      </c>
      <c r="C2428" t="s">
        <v>130</v>
      </c>
      <c r="D2428" s="48">
        <v>44406</v>
      </c>
      <c r="E2428">
        <v>285</v>
      </c>
      <c r="F2428" t="s">
        <v>514</v>
      </c>
      <c r="G2428">
        <v>85.05</v>
      </c>
    </row>
    <row r="2429" spans="2:7" hidden="1">
      <c r="B2429" s="43">
        <v>44404</v>
      </c>
      <c r="C2429" t="s">
        <v>130</v>
      </c>
      <c r="D2429" s="48">
        <v>44406</v>
      </c>
      <c r="E2429">
        <v>285</v>
      </c>
      <c r="F2429" t="s">
        <v>515</v>
      </c>
      <c r="G2429">
        <v>7.95</v>
      </c>
    </row>
    <row r="2430" spans="2:7" hidden="1">
      <c r="B2430" s="43">
        <v>44405</v>
      </c>
      <c r="C2430" t="s">
        <v>130</v>
      </c>
      <c r="D2430" s="48">
        <v>44406</v>
      </c>
      <c r="E2430">
        <v>285</v>
      </c>
      <c r="F2430" t="s">
        <v>514</v>
      </c>
      <c r="G2430">
        <v>85.05</v>
      </c>
    </row>
    <row r="2431" spans="2:7" hidden="1">
      <c r="B2431" s="43">
        <v>44405</v>
      </c>
      <c r="C2431" t="s">
        <v>130</v>
      </c>
      <c r="D2431" s="48">
        <v>44406</v>
      </c>
      <c r="E2431">
        <v>285</v>
      </c>
      <c r="F2431" t="s">
        <v>515</v>
      </c>
      <c r="G2431">
        <v>7.95</v>
      </c>
    </row>
    <row r="2432" spans="2:7" hidden="1">
      <c r="B2432" s="43">
        <v>44406</v>
      </c>
      <c r="C2432" t="s">
        <v>130</v>
      </c>
      <c r="D2432" s="48">
        <v>44406</v>
      </c>
      <c r="E2432">
        <v>285</v>
      </c>
      <c r="F2432" t="s">
        <v>514</v>
      </c>
      <c r="G2432">
        <v>85.05</v>
      </c>
    </row>
    <row r="2433" spans="2:7" hidden="1">
      <c r="B2433" s="43">
        <v>44406</v>
      </c>
      <c r="C2433" t="s">
        <v>130</v>
      </c>
      <c r="D2433" s="48">
        <v>44406</v>
      </c>
      <c r="E2433">
        <v>285</v>
      </c>
      <c r="F2433" t="s">
        <v>515</v>
      </c>
      <c r="G2433">
        <v>7.95</v>
      </c>
    </row>
    <row r="2434" spans="2:7" hidden="1">
      <c r="B2434" s="43">
        <v>44403</v>
      </c>
      <c r="C2434" t="s">
        <v>130</v>
      </c>
      <c r="D2434" s="48">
        <v>44406</v>
      </c>
      <c r="E2434">
        <v>290</v>
      </c>
      <c r="F2434" t="s">
        <v>514</v>
      </c>
      <c r="G2434">
        <v>81.2</v>
      </c>
    </row>
    <row r="2435" spans="2:7" hidden="1">
      <c r="B2435" s="43">
        <v>44403</v>
      </c>
      <c r="C2435" t="s">
        <v>130</v>
      </c>
      <c r="D2435" s="48">
        <v>44406</v>
      </c>
      <c r="E2435">
        <v>290</v>
      </c>
      <c r="F2435" t="s">
        <v>515</v>
      </c>
      <c r="G2435">
        <v>9.0500000000000007</v>
      </c>
    </row>
    <row r="2436" spans="2:7" hidden="1">
      <c r="B2436" s="43">
        <v>44404</v>
      </c>
      <c r="C2436" t="s">
        <v>130</v>
      </c>
      <c r="D2436" s="48">
        <v>44406</v>
      </c>
      <c r="E2436">
        <v>290</v>
      </c>
      <c r="F2436" t="s">
        <v>514</v>
      </c>
      <c r="G2436">
        <v>81.2</v>
      </c>
    </row>
    <row r="2437" spans="2:7" hidden="1">
      <c r="B2437" s="43">
        <v>44404</v>
      </c>
      <c r="C2437" t="s">
        <v>130</v>
      </c>
      <c r="D2437" s="48">
        <v>44406</v>
      </c>
      <c r="E2437">
        <v>290</v>
      </c>
      <c r="F2437" t="s">
        <v>515</v>
      </c>
      <c r="G2437">
        <v>9.0500000000000007</v>
      </c>
    </row>
    <row r="2438" spans="2:7" hidden="1">
      <c r="B2438" s="43">
        <v>44405</v>
      </c>
      <c r="C2438" t="s">
        <v>130</v>
      </c>
      <c r="D2438" s="48">
        <v>44406</v>
      </c>
      <c r="E2438">
        <v>290</v>
      </c>
      <c r="F2438" t="s">
        <v>514</v>
      </c>
      <c r="G2438">
        <v>81.2</v>
      </c>
    </row>
    <row r="2439" spans="2:7" hidden="1">
      <c r="B2439" s="43">
        <v>44405</v>
      </c>
      <c r="C2439" t="s">
        <v>130</v>
      </c>
      <c r="D2439" s="48">
        <v>44406</v>
      </c>
      <c r="E2439">
        <v>290</v>
      </c>
      <c r="F2439" t="s">
        <v>515</v>
      </c>
      <c r="G2439">
        <v>9.0500000000000007</v>
      </c>
    </row>
    <row r="2440" spans="2:7" hidden="1">
      <c r="B2440" s="43">
        <v>44406</v>
      </c>
      <c r="C2440" t="s">
        <v>130</v>
      </c>
      <c r="D2440" s="48">
        <v>44406</v>
      </c>
      <c r="E2440">
        <v>290</v>
      </c>
      <c r="F2440" t="s">
        <v>514</v>
      </c>
      <c r="G2440">
        <v>81.2</v>
      </c>
    </row>
    <row r="2441" spans="2:7" hidden="1">
      <c r="B2441" s="43">
        <v>44406</v>
      </c>
      <c r="C2441" t="s">
        <v>130</v>
      </c>
      <c r="D2441" s="48">
        <v>44406</v>
      </c>
      <c r="E2441">
        <v>290</v>
      </c>
      <c r="F2441" t="s">
        <v>515</v>
      </c>
      <c r="G2441">
        <v>9.0500000000000007</v>
      </c>
    </row>
    <row r="2442" spans="2:7" hidden="1">
      <c r="B2442" s="43">
        <v>44403</v>
      </c>
      <c r="C2442" t="s">
        <v>130</v>
      </c>
      <c r="D2442" s="48">
        <v>44406</v>
      </c>
      <c r="E2442">
        <v>295</v>
      </c>
      <c r="F2442" t="s">
        <v>514</v>
      </c>
      <c r="G2442">
        <v>77.45</v>
      </c>
    </row>
    <row r="2443" spans="2:7" hidden="1">
      <c r="B2443" s="43">
        <v>44403</v>
      </c>
      <c r="C2443" t="s">
        <v>130</v>
      </c>
      <c r="D2443" s="48">
        <v>44406</v>
      </c>
      <c r="E2443">
        <v>295</v>
      </c>
      <c r="F2443" t="s">
        <v>515</v>
      </c>
      <c r="G2443">
        <v>10.3</v>
      </c>
    </row>
    <row r="2444" spans="2:7" hidden="1">
      <c r="B2444" s="43">
        <v>44404</v>
      </c>
      <c r="C2444" t="s">
        <v>130</v>
      </c>
      <c r="D2444" s="48">
        <v>44406</v>
      </c>
      <c r="E2444">
        <v>295</v>
      </c>
      <c r="F2444" t="s">
        <v>514</v>
      </c>
      <c r="G2444">
        <v>77.45</v>
      </c>
    </row>
    <row r="2445" spans="2:7" hidden="1">
      <c r="B2445" s="43">
        <v>44404</v>
      </c>
      <c r="C2445" t="s">
        <v>130</v>
      </c>
      <c r="D2445" s="48">
        <v>44406</v>
      </c>
      <c r="E2445">
        <v>295</v>
      </c>
      <c r="F2445" t="s">
        <v>515</v>
      </c>
      <c r="G2445">
        <v>10.3</v>
      </c>
    </row>
    <row r="2446" spans="2:7" hidden="1">
      <c r="B2446" s="43">
        <v>44405</v>
      </c>
      <c r="C2446" t="s">
        <v>130</v>
      </c>
      <c r="D2446" s="48">
        <v>44406</v>
      </c>
      <c r="E2446">
        <v>295</v>
      </c>
      <c r="F2446" t="s">
        <v>514</v>
      </c>
      <c r="G2446">
        <v>77.45</v>
      </c>
    </row>
    <row r="2447" spans="2:7" hidden="1">
      <c r="B2447" s="43">
        <v>44405</v>
      </c>
      <c r="C2447" t="s">
        <v>130</v>
      </c>
      <c r="D2447" s="48">
        <v>44406</v>
      </c>
      <c r="E2447">
        <v>295</v>
      </c>
      <c r="F2447" t="s">
        <v>515</v>
      </c>
      <c r="G2447">
        <v>10.3</v>
      </c>
    </row>
    <row r="2448" spans="2:7" hidden="1">
      <c r="B2448" s="43">
        <v>44406</v>
      </c>
      <c r="C2448" t="s">
        <v>130</v>
      </c>
      <c r="D2448" s="48">
        <v>44406</v>
      </c>
      <c r="E2448">
        <v>295</v>
      </c>
      <c r="F2448" t="s">
        <v>514</v>
      </c>
      <c r="G2448">
        <v>77.45</v>
      </c>
    </row>
    <row r="2449" spans="2:7" hidden="1">
      <c r="B2449" s="43">
        <v>44406</v>
      </c>
      <c r="C2449" t="s">
        <v>130</v>
      </c>
      <c r="D2449" s="48">
        <v>44406</v>
      </c>
      <c r="E2449">
        <v>295</v>
      </c>
      <c r="F2449" t="s">
        <v>515</v>
      </c>
      <c r="G2449">
        <v>10.3</v>
      </c>
    </row>
    <row r="2450" spans="2:7" hidden="1">
      <c r="B2450" s="43">
        <v>44403</v>
      </c>
      <c r="C2450" t="s">
        <v>130</v>
      </c>
      <c r="D2450" s="48">
        <v>44406</v>
      </c>
      <c r="E2450">
        <v>300</v>
      </c>
      <c r="F2450" t="s">
        <v>514</v>
      </c>
      <c r="G2450">
        <v>123.25</v>
      </c>
    </row>
    <row r="2451" spans="2:7" hidden="1">
      <c r="B2451" s="43">
        <v>44403</v>
      </c>
      <c r="C2451" t="s">
        <v>130</v>
      </c>
      <c r="D2451" s="48">
        <v>44406</v>
      </c>
      <c r="E2451">
        <v>300</v>
      </c>
      <c r="F2451" t="s">
        <v>515</v>
      </c>
      <c r="G2451">
        <v>0.1</v>
      </c>
    </row>
    <row r="2452" spans="2:7" hidden="1">
      <c r="B2452" s="43">
        <v>44404</v>
      </c>
      <c r="C2452" t="s">
        <v>130</v>
      </c>
      <c r="D2452" s="48">
        <v>44406</v>
      </c>
      <c r="E2452">
        <v>300</v>
      </c>
      <c r="F2452" t="s">
        <v>514</v>
      </c>
      <c r="G2452">
        <v>128.25</v>
      </c>
    </row>
    <row r="2453" spans="2:7" hidden="1">
      <c r="B2453" s="43">
        <v>44404</v>
      </c>
      <c r="C2453" t="s">
        <v>130</v>
      </c>
      <c r="D2453" s="48">
        <v>44406</v>
      </c>
      <c r="E2453">
        <v>300</v>
      </c>
      <c r="F2453" t="s">
        <v>515</v>
      </c>
      <c r="G2453">
        <v>0.05</v>
      </c>
    </row>
    <row r="2454" spans="2:7" hidden="1">
      <c r="B2454" s="43">
        <v>44405</v>
      </c>
      <c r="C2454" t="s">
        <v>130</v>
      </c>
      <c r="D2454" s="48">
        <v>44406</v>
      </c>
      <c r="E2454">
        <v>300</v>
      </c>
      <c r="F2454" t="s">
        <v>514</v>
      </c>
      <c r="G2454">
        <v>122.5</v>
      </c>
    </row>
    <row r="2455" spans="2:7" hidden="1">
      <c r="B2455" s="43">
        <v>44405</v>
      </c>
      <c r="C2455" t="s">
        <v>130</v>
      </c>
      <c r="D2455" s="48">
        <v>44406</v>
      </c>
      <c r="E2455">
        <v>300</v>
      </c>
      <c r="F2455" t="s">
        <v>515</v>
      </c>
      <c r="G2455">
        <v>0.1</v>
      </c>
    </row>
    <row r="2456" spans="2:7" hidden="1">
      <c r="B2456" s="43">
        <v>44406</v>
      </c>
      <c r="C2456" t="s">
        <v>130</v>
      </c>
      <c r="D2456" s="48">
        <v>44406</v>
      </c>
      <c r="E2456">
        <v>300</v>
      </c>
      <c r="F2456" t="s">
        <v>514</v>
      </c>
      <c r="G2456">
        <v>141</v>
      </c>
    </row>
    <row r="2457" spans="2:7" hidden="1">
      <c r="B2457" s="43">
        <v>44406</v>
      </c>
      <c r="C2457" t="s">
        <v>130</v>
      </c>
      <c r="D2457" s="48">
        <v>44406</v>
      </c>
      <c r="E2457">
        <v>300</v>
      </c>
      <c r="F2457" t="s">
        <v>515</v>
      </c>
      <c r="G2457">
        <v>0.05</v>
      </c>
    </row>
    <row r="2458" spans="2:7" hidden="1">
      <c r="B2458" s="43">
        <v>44403</v>
      </c>
      <c r="C2458" t="s">
        <v>130</v>
      </c>
      <c r="D2458" s="48">
        <v>44406</v>
      </c>
      <c r="E2458">
        <v>305</v>
      </c>
      <c r="F2458" t="s">
        <v>514</v>
      </c>
      <c r="G2458">
        <v>70.25</v>
      </c>
    </row>
    <row r="2459" spans="2:7" hidden="1">
      <c r="B2459" s="43">
        <v>44403</v>
      </c>
      <c r="C2459" t="s">
        <v>130</v>
      </c>
      <c r="D2459" s="48">
        <v>44406</v>
      </c>
      <c r="E2459">
        <v>305</v>
      </c>
      <c r="F2459" t="s">
        <v>515</v>
      </c>
      <c r="G2459">
        <v>13</v>
      </c>
    </row>
    <row r="2460" spans="2:7" hidden="1">
      <c r="B2460" s="43">
        <v>44404</v>
      </c>
      <c r="C2460" t="s">
        <v>130</v>
      </c>
      <c r="D2460" s="48">
        <v>44406</v>
      </c>
      <c r="E2460">
        <v>305</v>
      </c>
      <c r="F2460" t="s">
        <v>514</v>
      </c>
      <c r="G2460">
        <v>70.25</v>
      </c>
    </row>
    <row r="2461" spans="2:7" hidden="1">
      <c r="B2461" s="43">
        <v>44404</v>
      </c>
      <c r="C2461" t="s">
        <v>130</v>
      </c>
      <c r="D2461" s="48">
        <v>44406</v>
      </c>
      <c r="E2461">
        <v>305</v>
      </c>
      <c r="F2461" t="s">
        <v>515</v>
      </c>
      <c r="G2461">
        <v>13</v>
      </c>
    </row>
    <row r="2462" spans="2:7" hidden="1">
      <c r="B2462" s="43">
        <v>44405</v>
      </c>
      <c r="C2462" t="s">
        <v>130</v>
      </c>
      <c r="D2462" s="48">
        <v>44406</v>
      </c>
      <c r="E2462">
        <v>305</v>
      </c>
      <c r="F2462" t="s">
        <v>514</v>
      </c>
      <c r="G2462">
        <v>70.25</v>
      </c>
    </row>
    <row r="2463" spans="2:7" hidden="1">
      <c r="B2463" s="43">
        <v>44405</v>
      </c>
      <c r="C2463" t="s">
        <v>130</v>
      </c>
      <c r="D2463" s="48">
        <v>44406</v>
      </c>
      <c r="E2463">
        <v>305</v>
      </c>
      <c r="F2463" t="s">
        <v>515</v>
      </c>
      <c r="G2463">
        <v>13</v>
      </c>
    </row>
    <row r="2464" spans="2:7" hidden="1">
      <c r="B2464" s="43">
        <v>44406</v>
      </c>
      <c r="C2464" t="s">
        <v>130</v>
      </c>
      <c r="D2464" s="48">
        <v>44406</v>
      </c>
      <c r="E2464">
        <v>305</v>
      </c>
      <c r="F2464" t="s">
        <v>514</v>
      </c>
      <c r="G2464">
        <v>70.25</v>
      </c>
    </row>
    <row r="2465" spans="2:7" hidden="1">
      <c r="B2465" s="43">
        <v>44406</v>
      </c>
      <c r="C2465" t="s">
        <v>130</v>
      </c>
      <c r="D2465" s="48">
        <v>44406</v>
      </c>
      <c r="E2465">
        <v>305</v>
      </c>
      <c r="F2465" t="s">
        <v>515</v>
      </c>
      <c r="G2465">
        <v>13</v>
      </c>
    </row>
    <row r="2466" spans="2:7" hidden="1">
      <c r="B2466" s="43">
        <v>44403</v>
      </c>
      <c r="C2466" t="s">
        <v>130</v>
      </c>
      <c r="D2466" s="48">
        <v>44406</v>
      </c>
      <c r="E2466">
        <v>310</v>
      </c>
      <c r="F2466" t="s">
        <v>514</v>
      </c>
      <c r="G2466">
        <v>102</v>
      </c>
    </row>
    <row r="2467" spans="2:7" hidden="1">
      <c r="B2467" s="43">
        <v>44403</v>
      </c>
      <c r="C2467" t="s">
        <v>130</v>
      </c>
      <c r="D2467" s="48">
        <v>44406</v>
      </c>
      <c r="E2467">
        <v>310</v>
      </c>
      <c r="F2467" t="s">
        <v>515</v>
      </c>
      <c r="G2467">
        <v>0.05</v>
      </c>
    </row>
    <row r="2468" spans="2:7" hidden="1">
      <c r="B2468" s="43">
        <v>44404</v>
      </c>
      <c r="C2468" t="s">
        <v>130</v>
      </c>
      <c r="D2468" s="48">
        <v>44406</v>
      </c>
      <c r="E2468">
        <v>310</v>
      </c>
      <c r="F2468" t="s">
        <v>514</v>
      </c>
      <c r="G2468">
        <v>102</v>
      </c>
    </row>
    <row r="2469" spans="2:7" hidden="1">
      <c r="B2469" s="43">
        <v>44404</v>
      </c>
      <c r="C2469" t="s">
        <v>130</v>
      </c>
      <c r="D2469" s="48">
        <v>44406</v>
      </c>
      <c r="E2469">
        <v>310</v>
      </c>
      <c r="F2469" t="s">
        <v>515</v>
      </c>
      <c r="G2469">
        <v>0.05</v>
      </c>
    </row>
    <row r="2470" spans="2:7" hidden="1">
      <c r="B2470" s="43">
        <v>44405</v>
      </c>
      <c r="C2470" t="s">
        <v>130</v>
      </c>
      <c r="D2470" s="48">
        <v>44406</v>
      </c>
      <c r="E2470">
        <v>310</v>
      </c>
      <c r="F2470" t="s">
        <v>514</v>
      </c>
      <c r="G2470">
        <v>115.45</v>
      </c>
    </row>
    <row r="2471" spans="2:7" hidden="1">
      <c r="B2471" s="43">
        <v>44405</v>
      </c>
      <c r="C2471" t="s">
        <v>130</v>
      </c>
      <c r="D2471" s="48">
        <v>44406</v>
      </c>
      <c r="E2471">
        <v>310</v>
      </c>
      <c r="F2471" t="s">
        <v>515</v>
      </c>
      <c r="G2471">
        <v>0.15</v>
      </c>
    </row>
    <row r="2472" spans="2:7" hidden="1">
      <c r="B2472" s="43">
        <v>44406</v>
      </c>
      <c r="C2472" t="s">
        <v>130</v>
      </c>
      <c r="D2472" s="48">
        <v>44406</v>
      </c>
      <c r="E2472">
        <v>310</v>
      </c>
      <c r="F2472" t="s">
        <v>514</v>
      </c>
      <c r="G2472">
        <v>115.45</v>
      </c>
    </row>
    <row r="2473" spans="2:7" hidden="1">
      <c r="B2473" s="43">
        <v>44406</v>
      </c>
      <c r="C2473" t="s">
        <v>130</v>
      </c>
      <c r="D2473" s="48">
        <v>44406</v>
      </c>
      <c r="E2473">
        <v>310</v>
      </c>
      <c r="F2473" t="s">
        <v>515</v>
      </c>
      <c r="G2473">
        <v>0.15</v>
      </c>
    </row>
    <row r="2474" spans="2:7" hidden="1">
      <c r="B2474" s="43">
        <v>44403</v>
      </c>
      <c r="C2474" t="s">
        <v>130</v>
      </c>
      <c r="D2474" s="48">
        <v>44406</v>
      </c>
      <c r="E2474">
        <v>315</v>
      </c>
      <c r="F2474" t="s">
        <v>514</v>
      </c>
      <c r="G2474">
        <v>63.5</v>
      </c>
    </row>
    <row r="2475" spans="2:7" hidden="1">
      <c r="B2475" s="43">
        <v>44403</v>
      </c>
      <c r="C2475" t="s">
        <v>130</v>
      </c>
      <c r="D2475" s="48">
        <v>44406</v>
      </c>
      <c r="E2475">
        <v>315</v>
      </c>
      <c r="F2475" t="s">
        <v>515</v>
      </c>
      <c r="G2475">
        <v>0.2</v>
      </c>
    </row>
    <row r="2476" spans="2:7" hidden="1">
      <c r="B2476" s="43">
        <v>44404</v>
      </c>
      <c r="C2476" t="s">
        <v>130</v>
      </c>
      <c r="D2476" s="48">
        <v>44406</v>
      </c>
      <c r="E2476">
        <v>315</v>
      </c>
      <c r="F2476" t="s">
        <v>514</v>
      </c>
      <c r="G2476">
        <v>63.5</v>
      </c>
    </row>
    <row r="2477" spans="2:7" hidden="1">
      <c r="B2477" s="43">
        <v>44404</v>
      </c>
      <c r="C2477" t="s">
        <v>130</v>
      </c>
      <c r="D2477" s="48">
        <v>44406</v>
      </c>
      <c r="E2477">
        <v>315</v>
      </c>
      <c r="F2477" t="s">
        <v>515</v>
      </c>
      <c r="G2477">
        <v>0.2</v>
      </c>
    </row>
    <row r="2478" spans="2:7" hidden="1">
      <c r="B2478" s="43">
        <v>44405</v>
      </c>
      <c r="C2478" t="s">
        <v>130</v>
      </c>
      <c r="D2478" s="48">
        <v>44406</v>
      </c>
      <c r="E2478">
        <v>315</v>
      </c>
      <c r="F2478" t="s">
        <v>514</v>
      </c>
      <c r="G2478">
        <v>63.5</v>
      </c>
    </row>
    <row r="2479" spans="2:7" hidden="1">
      <c r="B2479" s="43">
        <v>44405</v>
      </c>
      <c r="C2479" t="s">
        <v>130</v>
      </c>
      <c r="D2479" s="48">
        <v>44406</v>
      </c>
      <c r="E2479">
        <v>315</v>
      </c>
      <c r="F2479" t="s">
        <v>515</v>
      </c>
      <c r="G2479">
        <v>0.2</v>
      </c>
    </row>
    <row r="2480" spans="2:7" hidden="1">
      <c r="B2480" s="43">
        <v>44406</v>
      </c>
      <c r="C2480" t="s">
        <v>130</v>
      </c>
      <c r="D2480" s="48">
        <v>44406</v>
      </c>
      <c r="E2480">
        <v>315</v>
      </c>
      <c r="F2480" t="s">
        <v>514</v>
      </c>
      <c r="G2480">
        <v>63.5</v>
      </c>
    </row>
    <row r="2481" spans="2:7" hidden="1">
      <c r="B2481" s="43">
        <v>44406</v>
      </c>
      <c r="C2481" t="s">
        <v>130</v>
      </c>
      <c r="D2481" s="48">
        <v>44406</v>
      </c>
      <c r="E2481">
        <v>315</v>
      </c>
      <c r="F2481" t="s">
        <v>515</v>
      </c>
      <c r="G2481">
        <v>0.2</v>
      </c>
    </row>
    <row r="2482" spans="2:7" hidden="1">
      <c r="B2482" s="43">
        <v>44403</v>
      </c>
      <c r="C2482" t="s">
        <v>130</v>
      </c>
      <c r="D2482" s="48">
        <v>44406</v>
      </c>
      <c r="E2482">
        <v>320</v>
      </c>
      <c r="F2482" t="s">
        <v>514</v>
      </c>
      <c r="G2482">
        <v>60.3</v>
      </c>
    </row>
    <row r="2483" spans="2:7" hidden="1">
      <c r="B2483" s="43">
        <v>44403</v>
      </c>
      <c r="C2483" t="s">
        <v>130</v>
      </c>
      <c r="D2483" s="48">
        <v>44406</v>
      </c>
      <c r="E2483">
        <v>320</v>
      </c>
      <c r="F2483" t="s">
        <v>515</v>
      </c>
      <c r="G2483">
        <v>0.2</v>
      </c>
    </row>
    <row r="2484" spans="2:7" hidden="1">
      <c r="B2484" s="43">
        <v>44404</v>
      </c>
      <c r="C2484" t="s">
        <v>130</v>
      </c>
      <c r="D2484" s="48">
        <v>44406</v>
      </c>
      <c r="E2484">
        <v>320</v>
      </c>
      <c r="F2484" t="s">
        <v>514</v>
      </c>
      <c r="G2484">
        <v>60.3</v>
      </c>
    </row>
    <row r="2485" spans="2:7" hidden="1">
      <c r="B2485" s="43">
        <v>44404</v>
      </c>
      <c r="C2485" t="s">
        <v>130</v>
      </c>
      <c r="D2485" s="48">
        <v>44406</v>
      </c>
      <c r="E2485">
        <v>320</v>
      </c>
      <c r="F2485" t="s">
        <v>515</v>
      </c>
      <c r="G2485">
        <v>0.2</v>
      </c>
    </row>
    <row r="2486" spans="2:7" hidden="1">
      <c r="B2486" s="43">
        <v>44405</v>
      </c>
      <c r="C2486" t="s">
        <v>130</v>
      </c>
      <c r="D2486" s="48">
        <v>44406</v>
      </c>
      <c r="E2486">
        <v>320</v>
      </c>
      <c r="F2486" t="s">
        <v>514</v>
      </c>
      <c r="G2486">
        <v>60.3</v>
      </c>
    </row>
    <row r="2487" spans="2:7" hidden="1">
      <c r="B2487" s="43">
        <v>44405</v>
      </c>
      <c r="C2487" t="s">
        <v>130</v>
      </c>
      <c r="D2487" s="48">
        <v>44406</v>
      </c>
      <c r="E2487">
        <v>320</v>
      </c>
      <c r="F2487" t="s">
        <v>515</v>
      </c>
      <c r="G2487">
        <v>0.2</v>
      </c>
    </row>
    <row r="2488" spans="2:7" hidden="1">
      <c r="B2488" s="43">
        <v>44406</v>
      </c>
      <c r="C2488" t="s">
        <v>130</v>
      </c>
      <c r="D2488" s="48">
        <v>44406</v>
      </c>
      <c r="E2488">
        <v>320</v>
      </c>
      <c r="F2488" t="s">
        <v>514</v>
      </c>
      <c r="G2488">
        <v>60.3</v>
      </c>
    </row>
    <row r="2489" spans="2:7" hidden="1">
      <c r="B2489" s="43">
        <v>44406</v>
      </c>
      <c r="C2489" t="s">
        <v>130</v>
      </c>
      <c r="D2489" s="48">
        <v>44406</v>
      </c>
      <c r="E2489">
        <v>320</v>
      </c>
      <c r="F2489" t="s">
        <v>515</v>
      </c>
      <c r="G2489">
        <v>0.2</v>
      </c>
    </row>
    <row r="2490" spans="2:7" hidden="1">
      <c r="B2490" s="43">
        <v>44403</v>
      </c>
      <c r="C2490" t="s">
        <v>130</v>
      </c>
      <c r="D2490" s="48">
        <v>44406</v>
      </c>
      <c r="E2490">
        <v>325</v>
      </c>
      <c r="F2490" t="s">
        <v>514</v>
      </c>
      <c r="G2490">
        <v>106</v>
      </c>
    </row>
    <row r="2491" spans="2:7" hidden="1">
      <c r="B2491" s="43">
        <v>44403</v>
      </c>
      <c r="C2491" t="s">
        <v>130</v>
      </c>
      <c r="D2491" s="48">
        <v>44406</v>
      </c>
      <c r="E2491">
        <v>325</v>
      </c>
      <c r="F2491" t="s">
        <v>515</v>
      </c>
      <c r="G2491">
        <v>0.05</v>
      </c>
    </row>
    <row r="2492" spans="2:7" hidden="1">
      <c r="B2492" s="43">
        <v>44404</v>
      </c>
      <c r="C2492" t="s">
        <v>130</v>
      </c>
      <c r="D2492" s="48">
        <v>44406</v>
      </c>
      <c r="E2492">
        <v>325</v>
      </c>
      <c r="F2492" t="s">
        <v>514</v>
      </c>
      <c r="G2492">
        <v>106</v>
      </c>
    </row>
    <row r="2493" spans="2:7" hidden="1">
      <c r="B2493" s="43">
        <v>44404</v>
      </c>
      <c r="C2493" t="s">
        <v>130</v>
      </c>
      <c r="D2493" s="48">
        <v>44406</v>
      </c>
      <c r="E2493">
        <v>325</v>
      </c>
      <c r="F2493" t="s">
        <v>515</v>
      </c>
      <c r="G2493">
        <v>0.05</v>
      </c>
    </row>
    <row r="2494" spans="2:7" hidden="1">
      <c r="B2494" s="43">
        <v>44405</v>
      </c>
      <c r="C2494" t="s">
        <v>130</v>
      </c>
      <c r="D2494" s="48">
        <v>44406</v>
      </c>
      <c r="E2494">
        <v>325</v>
      </c>
      <c r="F2494" t="s">
        <v>514</v>
      </c>
      <c r="G2494">
        <v>99.05</v>
      </c>
    </row>
    <row r="2495" spans="2:7" hidden="1">
      <c r="B2495" s="43">
        <v>44405</v>
      </c>
      <c r="C2495" t="s">
        <v>130</v>
      </c>
      <c r="D2495" s="48">
        <v>44406</v>
      </c>
      <c r="E2495">
        <v>325</v>
      </c>
      <c r="F2495" t="s">
        <v>515</v>
      </c>
      <c r="G2495">
        <v>0.05</v>
      </c>
    </row>
    <row r="2496" spans="2:7" hidden="1">
      <c r="B2496" s="43">
        <v>44406</v>
      </c>
      <c r="C2496" t="s">
        <v>130</v>
      </c>
      <c r="D2496" s="48">
        <v>44406</v>
      </c>
      <c r="E2496">
        <v>325</v>
      </c>
      <c r="F2496" t="s">
        <v>514</v>
      </c>
      <c r="G2496">
        <v>105</v>
      </c>
    </row>
    <row r="2497" spans="2:7" hidden="1">
      <c r="B2497" s="43">
        <v>44406</v>
      </c>
      <c r="C2497" t="s">
        <v>130</v>
      </c>
      <c r="D2497" s="48">
        <v>44406</v>
      </c>
      <c r="E2497">
        <v>325</v>
      </c>
      <c r="F2497" t="s">
        <v>515</v>
      </c>
      <c r="G2497">
        <v>0.05</v>
      </c>
    </row>
    <row r="2498" spans="2:7" hidden="1">
      <c r="B2498" s="43">
        <v>44403</v>
      </c>
      <c r="C2498" t="s">
        <v>130</v>
      </c>
      <c r="D2498" s="48">
        <v>44406</v>
      </c>
      <c r="E2498">
        <v>330</v>
      </c>
      <c r="F2498" t="s">
        <v>514</v>
      </c>
      <c r="G2498">
        <v>96.5</v>
      </c>
    </row>
    <row r="2499" spans="2:7" hidden="1">
      <c r="B2499" s="43">
        <v>44403</v>
      </c>
      <c r="C2499" t="s">
        <v>130</v>
      </c>
      <c r="D2499" s="48">
        <v>44406</v>
      </c>
      <c r="E2499">
        <v>330</v>
      </c>
      <c r="F2499" t="s">
        <v>515</v>
      </c>
      <c r="G2499">
        <v>0.05</v>
      </c>
    </row>
    <row r="2500" spans="2:7" hidden="1">
      <c r="B2500" s="43">
        <v>44404</v>
      </c>
      <c r="C2500" t="s">
        <v>130</v>
      </c>
      <c r="D2500" s="48">
        <v>44406</v>
      </c>
      <c r="E2500">
        <v>330</v>
      </c>
      <c r="F2500" t="s">
        <v>514</v>
      </c>
      <c r="G2500">
        <v>96.5</v>
      </c>
    </row>
    <row r="2501" spans="2:7" hidden="1">
      <c r="B2501" s="43">
        <v>44404</v>
      </c>
      <c r="C2501" t="s">
        <v>130</v>
      </c>
      <c r="D2501" s="48">
        <v>44406</v>
      </c>
      <c r="E2501">
        <v>330</v>
      </c>
      <c r="F2501" t="s">
        <v>515</v>
      </c>
      <c r="G2501">
        <v>0.05</v>
      </c>
    </row>
    <row r="2502" spans="2:7" hidden="1">
      <c r="B2502" s="43">
        <v>44405</v>
      </c>
      <c r="C2502" t="s">
        <v>130</v>
      </c>
      <c r="D2502" s="48">
        <v>44406</v>
      </c>
      <c r="E2502">
        <v>330</v>
      </c>
      <c r="F2502" t="s">
        <v>514</v>
      </c>
      <c r="G2502">
        <v>96</v>
      </c>
    </row>
    <row r="2503" spans="2:7" hidden="1">
      <c r="B2503" s="43">
        <v>44405</v>
      </c>
      <c r="C2503" t="s">
        <v>130</v>
      </c>
      <c r="D2503" s="48">
        <v>44406</v>
      </c>
      <c r="E2503">
        <v>330</v>
      </c>
      <c r="F2503" t="s">
        <v>515</v>
      </c>
      <c r="G2503">
        <v>0.05</v>
      </c>
    </row>
    <row r="2504" spans="2:7" hidden="1">
      <c r="B2504" s="43">
        <v>44406</v>
      </c>
      <c r="C2504" t="s">
        <v>130</v>
      </c>
      <c r="D2504" s="48">
        <v>44406</v>
      </c>
      <c r="E2504">
        <v>330</v>
      </c>
      <c r="F2504" t="s">
        <v>514</v>
      </c>
      <c r="G2504">
        <v>96</v>
      </c>
    </row>
    <row r="2505" spans="2:7" hidden="1">
      <c r="B2505" s="43">
        <v>44406</v>
      </c>
      <c r="C2505" t="s">
        <v>130</v>
      </c>
      <c r="D2505" s="48">
        <v>44406</v>
      </c>
      <c r="E2505">
        <v>330</v>
      </c>
      <c r="F2505" t="s">
        <v>515</v>
      </c>
      <c r="G2505">
        <v>0.05</v>
      </c>
    </row>
    <row r="2506" spans="2:7" hidden="1">
      <c r="B2506" s="43">
        <v>44403</v>
      </c>
      <c r="C2506" t="s">
        <v>130</v>
      </c>
      <c r="D2506" s="48">
        <v>44406</v>
      </c>
      <c r="E2506">
        <v>335</v>
      </c>
      <c r="F2506" t="s">
        <v>514</v>
      </c>
      <c r="G2506">
        <v>107.8</v>
      </c>
    </row>
    <row r="2507" spans="2:7" hidden="1">
      <c r="B2507" s="43">
        <v>44403</v>
      </c>
      <c r="C2507" t="s">
        <v>130</v>
      </c>
      <c r="D2507" s="48">
        <v>44406</v>
      </c>
      <c r="E2507">
        <v>335</v>
      </c>
      <c r="F2507" t="s">
        <v>515</v>
      </c>
      <c r="G2507">
        <v>0.65</v>
      </c>
    </row>
    <row r="2508" spans="2:7" hidden="1">
      <c r="B2508" s="43">
        <v>44404</v>
      </c>
      <c r="C2508" t="s">
        <v>130</v>
      </c>
      <c r="D2508" s="48">
        <v>44406</v>
      </c>
      <c r="E2508">
        <v>335</v>
      </c>
      <c r="F2508" t="s">
        <v>514</v>
      </c>
      <c r="G2508">
        <v>107.8</v>
      </c>
    </row>
    <row r="2509" spans="2:7" hidden="1">
      <c r="B2509" s="43">
        <v>44404</v>
      </c>
      <c r="C2509" t="s">
        <v>130</v>
      </c>
      <c r="D2509" s="48">
        <v>44406</v>
      </c>
      <c r="E2509">
        <v>335</v>
      </c>
      <c r="F2509" t="s">
        <v>515</v>
      </c>
      <c r="G2509">
        <v>0.65</v>
      </c>
    </row>
    <row r="2510" spans="2:7" hidden="1">
      <c r="B2510" s="43">
        <v>44405</v>
      </c>
      <c r="C2510" t="s">
        <v>130</v>
      </c>
      <c r="D2510" s="48">
        <v>44406</v>
      </c>
      <c r="E2510">
        <v>335</v>
      </c>
      <c r="F2510" t="s">
        <v>514</v>
      </c>
      <c r="G2510">
        <v>107.8</v>
      </c>
    </row>
    <row r="2511" spans="2:7" hidden="1">
      <c r="B2511" s="43">
        <v>44405</v>
      </c>
      <c r="C2511" t="s">
        <v>130</v>
      </c>
      <c r="D2511" s="48">
        <v>44406</v>
      </c>
      <c r="E2511">
        <v>335</v>
      </c>
      <c r="F2511" t="s">
        <v>515</v>
      </c>
      <c r="G2511">
        <v>0.65</v>
      </c>
    </row>
    <row r="2512" spans="2:7" hidden="1">
      <c r="B2512" s="43">
        <v>44406</v>
      </c>
      <c r="C2512" t="s">
        <v>130</v>
      </c>
      <c r="D2512" s="48">
        <v>44406</v>
      </c>
      <c r="E2512">
        <v>335</v>
      </c>
      <c r="F2512" t="s">
        <v>514</v>
      </c>
      <c r="G2512">
        <v>107.8</v>
      </c>
    </row>
    <row r="2513" spans="2:7" hidden="1">
      <c r="B2513" s="43">
        <v>44406</v>
      </c>
      <c r="C2513" t="s">
        <v>130</v>
      </c>
      <c r="D2513" s="48">
        <v>44406</v>
      </c>
      <c r="E2513">
        <v>335</v>
      </c>
      <c r="F2513" t="s">
        <v>515</v>
      </c>
      <c r="G2513">
        <v>0.65</v>
      </c>
    </row>
    <row r="2514" spans="2:7" hidden="1">
      <c r="B2514" s="43">
        <v>44403</v>
      </c>
      <c r="C2514" t="s">
        <v>130</v>
      </c>
      <c r="D2514" s="48">
        <v>44406</v>
      </c>
      <c r="E2514">
        <v>340</v>
      </c>
      <c r="F2514" t="s">
        <v>514</v>
      </c>
      <c r="G2514">
        <v>85</v>
      </c>
    </row>
    <row r="2515" spans="2:7" hidden="1">
      <c r="B2515" s="43">
        <v>44403</v>
      </c>
      <c r="C2515" t="s">
        <v>130</v>
      </c>
      <c r="D2515" s="48">
        <v>44406</v>
      </c>
      <c r="E2515">
        <v>340</v>
      </c>
      <c r="F2515" t="s">
        <v>515</v>
      </c>
      <c r="G2515">
        <v>0.05</v>
      </c>
    </row>
    <row r="2516" spans="2:7" hidden="1">
      <c r="B2516" s="43">
        <v>44404</v>
      </c>
      <c r="C2516" t="s">
        <v>130</v>
      </c>
      <c r="D2516" s="48">
        <v>44406</v>
      </c>
      <c r="E2516">
        <v>340</v>
      </c>
      <c r="F2516" t="s">
        <v>514</v>
      </c>
      <c r="G2516">
        <v>90</v>
      </c>
    </row>
    <row r="2517" spans="2:7" hidden="1">
      <c r="B2517" s="43">
        <v>44404</v>
      </c>
      <c r="C2517" t="s">
        <v>130</v>
      </c>
      <c r="D2517" s="48">
        <v>44406</v>
      </c>
      <c r="E2517">
        <v>340</v>
      </c>
      <c r="F2517" t="s">
        <v>515</v>
      </c>
      <c r="G2517">
        <v>0.05</v>
      </c>
    </row>
    <row r="2518" spans="2:7" hidden="1">
      <c r="B2518" s="43">
        <v>44405</v>
      </c>
      <c r="C2518" t="s">
        <v>130</v>
      </c>
      <c r="D2518" s="48">
        <v>44406</v>
      </c>
      <c r="E2518">
        <v>340</v>
      </c>
      <c r="F2518" t="s">
        <v>514</v>
      </c>
      <c r="G2518">
        <v>84</v>
      </c>
    </row>
    <row r="2519" spans="2:7" hidden="1">
      <c r="B2519" s="43">
        <v>44405</v>
      </c>
      <c r="C2519" t="s">
        <v>130</v>
      </c>
      <c r="D2519" s="48">
        <v>44406</v>
      </c>
      <c r="E2519">
        <v>340</v>
      </c>
      <c r="F2519" t="s">
        <v>515</v>
      </c>
      <c r="G2519">
        <v>0.05</v>
      </c>
    </row>
    <row r="2520" spans="2:7" hidden="1">
      <c r="B2520" s="43">
        <v>44406</v>
      </c>
      <c r="C2520" t="s">
        <v>130</v>
      </c>
      <c r="D2520" s="48">
        <v>44406</v>
      </c>
      <c r="E2520">
        <v>340</v>
      </c>
      <c r="F2520" t="s">
        <v>514</v>
      </c>
      <c r="G2520">
        <v>84</v>
      </c>
    </row>
    <row r="2521" spans="2:7" hidden="1">
      <c r="B2521" s="43">
        <v>44406</v>
      </c>
      <c r="C2521" t="s">
        <v>130</v>
      </c>
      <c r="D2521" s="48">
        <v>44406</v>
      </c>
      <c r="E2521">
        <v>340</v>
      </c>
      <c r="F2521" t="s">
        <v>515</v>
      </c>
      <c r="G2521">
        <v>0.05</v>
      </c>
    </row>
    <row r="2522" spans="2:7" hidden="1">
      <c r="B2522" s="43">
        <v>44403</v>
      </c>
      <c r="C2522" t="s">
        <v>130</v>
      </c>
      <c r="D2522" s="48">
        <v>44406</v>
      </c>
      <c r="E2522">
        <v>345</v>
      </c>
      <c r="F2522" t="s">
        <v>514</v>
      </c>
      <c r="G2522">
        <v>74.25</v>
      </c>
    </row>
    <row r="2523" spans="2:7" hidden="1">
      <c r="B2523" s="43">
        <v>44403</v>
      </c>
      <c r="C2523" t="s">
        <v>130</v>
      </c>
      <c r="D2523" s="48">
        <v>44406</v>
      </c>
      <c r="E2523">
        <v>345</v>
      </c>
      <c r="F2523" t="s">
        <v>515</v>
      </c>
      <c r="G2523">
        <v>0.05</v>
      </c>
    </row>
    <row r="2524" spans="2:7" hidden="1">
      <c r="B2524" s="43">
        <v>44404</v>
      </c>
      <c r="C2524" t="s">
        <v>130</v>
      </c>
      <c r="D2524" s="48">
        <v>44406</v>
      </c>
      <c r="E2524">
        <v>345</v>
      </c>
      <c r="F2524" t="s">
        <v>514</v>
      </c>
      <c r="G2524">
        <v>74.25</v>
      </c>
    </row>
    <row r="2525" spans="2:7" hidden="1">
      <c r="B2525" s="43">
        <v>44404</v>
      </c>
      <c r="C2525" t="s">
        <v>130</v>
      </c>
      <c r="D2525" s="48">
        <v>44406</v>
      </c>
      <c r="E2525">
        <v>345</v>
      </c>
      <c r="F2525" t="s">
        <v>515</v>
      </c>
      <c r="G2525">
        <v>0.05</v>
      </c>
    </row>
    <row r="2526" spans="2:7" hidden="1">
      <c r="B2526" s="43">
        <v>44405</v>
      </c>
      <c r="C2526" t="s">
        <v>130</v>
      </c>
      <c r="D2526" s="48">
        <v>44406</v>
      </c>
      <c r="E2526">
        <v>345</v>
      </c>
      <c r="F2526" t="s">
        <v>514</v>
      </c>
      <c r="G2526">
        <v>74.25</v>
      </c>
    </row>
    <row r="2527" spans="2:7" hidden="1">
      <c r="B2527" s="43">
        <v>44405</v>
      </c>
      <c r="C2527" t="s">
        <v>130</v>
      </c>
      <c r="D2527" s="48">
        <v>44406</v>
      </c>
      <c r="E2527">
        <v>345</v>
      </c>
      <c r="F2527" t="s">
        <v>515</v>
      </c>
      <c r="G2527">
        <v>0.05</v>
      </c>
    </row>
    <row r="2528" spans="2:7" hidden="1">
      <c r="B2528" s="43">
        <v>44406</v>
      </c>
      <c r="C2528" t="s">
        <v>130</v>
      </c>
      <c r="D2528" s="48">
        <v>44406</v>
      </c>
      <c r="E2528">
        <v>345</v>
      </c>
      <c r="F2528" t="s">
        <v>514</v>
      </c>
      <c r="G2528">
        <v>95</v>
      </c>
    </row>
    <row r="2529" spans="2:7" hidden="1">
      <c r="B2529" s="43">
        <v>44406</v>
      </c>
      <c r="C2529" t="s">
        <v>130</v>
      </c>
      <c r="D2529" s="48">
        <v>44406</v>
      </c>
      <c r="E2529">
        <v>345</v>
      </c>
      <c r="F2529" t="s">
        <v>515</v>
      </c>
      <c r="G2529">
        <v>0.05</v>
      </c>
    </row>
    <row r="2530" spans="2:7" hidden="1">
      <c r="B2530" s="43">
        <v>44403</v>
      </c>
      <c r="C2530" t="s">
        <v>130</v>
      </c>
      <c r="D2530" s="48">
        <v>44406</v>
      </c>
      <c r="E2530">
        <v>350</v>
      </c>
      <c r="F2530" t="s">
        <v>514</v>
      </c>
      <c r="G2530">
        <v>72.45</v>
      </c>
    </row>
    <row r="2531" spans="2:7" hidden="1">
      <c r="B2531" s="43">
        <v>44403</v>
      </c>
      <c r="C2531" t="s">
        <v>130</v>
      </c>
      <c r="D2531" s="48">
        <v>44406</v>
      </c>
      <c r="E2531">
        <v>350</v>
      </c>
      <c r="F2531" t="s">
        <v>515</v>
      </c>
      <c r="G2531">
        <v>0.1</v>
      </c>
    </row>
    <row r="2532" spans="2:7" hidden="1">
      <c r="B2532" s="43">
        <v>44404</v>
      </c>
      <c r="C2532" t="s">
        <v>130</v>
      </c>
      <c r="D2532" s="48">
        <v>44406</v>
      </c>
      <c r="E2532">
        <v>350</v>
      </c>
      <c r="F2532" t="s">
        <v>514</v>
      </c>
      <c r="G2532">
        <v>79.849999999999994</v>
      </c>
    </row>
    <row r="2533" spans="2:7" hidden="1">
      <c r="B2533" s="43">
        <v>44404</v>
      </c>
      <c r="C2533" t="s">
        <v>130</v>
      </c>
      <c r="D2533" s="48">
        <v>44406</v>
      </c>
      <c r="E2533">
        <v>350</v>
      </c>
      <c r="F2533" t="s">
        <v>515</v>
      </c>
      <c r="G2533">
        <v>0.05</v>
      </c>
    </row>
    <row r="2534" spans="2:7" hidden="1">
      <c r="B2534" s="43">
        <v>44405</v>
      </c>
      <c r="C2534" t="s">
        <v>130</v>
      </c>
      <c r="D2534" s="48">
        <v>44406</v>
      </c>
      <c r="E2534">
        <v>350</v>
      </c>
      <c r="F2534" t="s">
        <v>514</v>
      </c>
      <c r="G2534">
        <v>75.349999999999994</v>
      </c>
    </row>
    <row r="2535" spans="2:7" hidden="1">
      <c r="B2535" s="43">
        <v>44405</v>
      </c>
      <c r="C2535" t="s">
        <v>130</v>
      </c>
      <c r="D2535" s="48">
        <v>44406</v>
      </c>
      <c r="E2535">
        <v>350</v>
      </c>
      <c r="F2535" t="s">
        <v>515</v>
      </c>
      <c r="G2535">
        <v>0.1</v>
      </c>
    </row>
    <row r="2536" spans="2:7" hidden="1">
      <c r="B2536" s="43">
        <v>44406</v>
      </c>
      <c r="C2536" t="s">
        <v>130</v>
      </c>
      <c r="D2536" s="48">
        <v>44406</v>
      </c>
      <c r="E2536">
        <v>350</v>
      </c>
      <c r="F2536" t="s">
        <v>514</v>
      </c>
      <c r="G2536">
        <v>91</v>
      </c>
    </row>
    <row r="2537" spans="2:7" hidden="1">
      <c r="B2537" s="43">
        <v>44406</v>
      </c>
      <c r="C2537" t="s">
        <v>130</v>
      </c>
      <c r="D2537" s="48">
        <v>44406</v>
      </c>
      <c r="E2537">
        <v>350</v>
      </c>
      <c r="F2537" t="s">
        <v>515</v>
      </c>
      <c r="G2537">
        <v>0.05</v>
      </c>
    </row>
    <row r="2538" spans="2:7" hidden="1">
      <c r="B2538" s="43">
        <v>44403</v>
      </c>
      <c r="C2538" t="s">
        <v>130</v>
      </c>
      <c r="D2538" s="48">
        <v>44406</v>
      </c>
      <c r="E2538">
        <v>355</v>
      </c>
      <c r="F2538" t="s">
        <v>514</v>
      </c>
      <c r="G2538">
        <v>40.9</v>
      </c>
    </row>
    <row r="2539" spans="2:7" hidden="1">
      <c r="B2539" s="43">
        <v>44403</v>
      </c>
      <c r="C2539" t="s">
        <v>130</v>
      </c>
      <c r="D2539" s="48">
        <v>44406</v>
      </c>
      <c r="E2539">
        <v>355</v>
      </c>
      <c r="F2539" t="s">
        <v>515</v>
      </c>
      <c r="G2539">
        <v>33.200000000000003</v>
      </c>
    </row>
    <row r="2540" spans="2:7" hidden="1">
      <c r="B2540" s="43">
        <v>44404</v>
      </c>
      <c r="C2540" t="s">
        <v>130</v>
      </c>
      <c r="D2540" s="48">
        <v>44406</v>
      </c>
      <c r="E2540">
        <v>355</v>
      </c>
      <c r="F2540" t="s">
        <v>514</v>
      </c>
      <c r="G2540">
        <v>40.9</v>
      </c>
    </row>
    <row r="2541" spans="2:7" hidden="1">
      <c r="B2541" s="43">
        <v>44404</v>
      </c>
      <c r="C2541" t="s">
        <v>130</v>
      </c>
      <c r="D2541" s="48">
        <v>44406</v>
      </c>
      <c r="E2541">
        <v>355</v>
      </c>
      <c r="F2541" t="s">
        <v>515</v>
      </c>
      <c r="G2541">
        <v>33.200000000000003</v>
      </c>
    </row>
    <row r="2542" spans="2:7" hidden="1">
      <c r="B2542" s="43">
        <v>44405</v>
      </c>
      <c r="C2542" t="s">
        <v>130</v>
      </c>
      <c r="D2542" s="48">
        <v>44406</v>
      </c>
      <c r="E2542">
        <v>355</v>
      </c>
      <c r="F2542" t="s">
        <v>514</v>
      </c>
      <c r="G2542">
        <v>40.9</v>
      </c>
    </row>
    <row r="2543" spans="2:7" hidden="1">
      <c r="B2543" s="43">
        <v>44405</v>
      </c>
      <c r="C2543" t="s">
        <v>130</v>
      </c>
      <c r="D2543" s="48">
        <v>44406</v>
      </c>
      <c r="E2543">
        <v>355</v>
      </c>
      <c r="F2543" t="s">
        <v>515</v>
      </c>
      <c r="G2543">
        <v>33.200000000000003</v>
      </c>
    </row>
    <row r="2544" spans="2:7" hidden="1">
      <c r="B2544" s="43">
        <v>44406</v>
      </c>
      <c r="C2544" t="s">
        <v>130</v>
      </c>
      <c r="D2544" s="48">
        <v>44406</v>
      </c>
      <c r="E2544">
        <v>355</v>
      </c>
      <c r="F2544" t="s">
        <v>514</v>
      </c>
      <c r="G2544">
        <v>40.9</v>
      </c>
    </row>
    <row r="2545" spans="2:7" hidden="1">
      <c r="B2545" s="43">
        <v>44406</v>
      </c>
      <c r="C2545" t="s">
        <v>130</v>
      </c>
      <c r="D2545" s="48">
        <v>44406</v>
      </c>
      <c r="E2545">
        <v>355</v>
      </c>
      <c r="F2545" t="s">
        <v>515</v>
      </c>
      <c r="G2545">
        <v>33.200000000000003</v>
      </c>
    </row>
    <row r="2546" spans="2:7" hidden="1">
      <c r="B2546" s="43">
        <v>44403</v>
      </c>
      <c r="C2546" t="s">
        <v>130</v>
      </c>
      <c r="D2546" s="48">
        <v>44406</v>
      </c>
      <c r="E2546">
        <v>360</v>
      </c>
      <c r="F2546" t="s">
        <v>514</v>
      </c>
      <c r="G2546">
        <v>64</v>
      </c>
    </row>
    <row r="2547" spans="2:7" hidden="1">
      <c r="B2547" s="43">
        <v>44403</v>
      </c>
      <c r="C2547" t="s">
        <v>130</v>
      </c>
      <c r="D2547" s="48">
        <v>44406</v>
      </c>
      <c r="E2547">
        <v>360</v>
      </c>
      <c r="F2547" t="s">
        <v>515</v>
      </c>
      <c r="G2547">
        <v>0.15</v>
      </c>
    </row>
    <row r="2548" spans="2:7" hidden="1">
      <c r="B2548" s="43">
        <v>44404</v>
      </c>
      <c r="C2548" t="s">
        <v>130</v>
      </c>
      <c r="D2548" s="48">
        <v>44406</v>
      </c>
      <c r="E2548">
        <v>360</v>
      </c>
      <c r="F2548" t="s">
        <v>514</v>
      </c>
      <c r="G2548">
        <v>64</v>
      </c>
    </row>
    <row r="2549" spans="2:7" hidden="1">
      <c r="B2549" s="43">
        <v>44404</v>
      </c>
      <c r="C2549" t="s">
        <v>130</v>
      </c>
      <c r="D2549" s="48">
        <v>44406</v>
      </c>
      <c r="E2549">
        <v>360</v>
      </c>
      <c r="F2549" t="s">
        <v>515</v>
      </c>
      <c r="G2549">
        <v>0.1</v>
      </c>
    </row>
    <row r="2550" spans="2:7" hidden="1">
      <c r="B2550" s="43">
        <v>44405</v>
      </c>
      <c r="C2550" t="s">
        <v>130</v>
      </c>
      <c r="D2550" s="48">
        <v>44406</v>
      </c>
      <c r="E2550">
        <v>360</v>
      </c>
      <c r="F2550" t="s">
        <v>514</v>
      </c>
      <c r="G2550">
        <v>65.599999999999994</v>
      </c>
    </row>
    <row r="2551" spans="2:7" hidden="1">
      <c r="B2551" s="43">
        <v>44405</v>
      </c>
      <c r="C2551" t="s">
        <v>130</v>
      </c>
      <c r="D2551" s="48">
        <v>44406</v>
      </c>
      <c r="E2551">
        <v>360</v>
      </c>
      <c r="F2551" t="s">
        <v>515</v>
      </c>
      <c r="G2551">
        <v>0.05</v>
      </c>
    </row>
    <row r="2552" spans="2:7" hidden="1">
      <c r="B2552" s="43">
        <v>44406</v>
      </c>
      <c r="C2552" t="s">
        <v>130</v>
      </c>
      <c r="D2552" s="48">
        <v>44406</v>
      </c>
      <c r="E2552">
        <v>360</v>
      </c>
      <c r="F2552" t="s">
        <v>514</v>
      </c>
      <c r="G2552">
        <v>79</v>
      </c>
    </row>
    <row r="2553" spans="2:7" hidden="1">
      <c r="B2553" s="43">
        <v>44406</v>
      </c>
      <c r="C2553" t="s">
        <v>130</v>
      </c>
      <c r="D2553" s="48">
        <v>44406</v>
      </c>
      <c r="E2553">
        <v>360</v>
      </c>
      <c r="F2553" t="s">
        <v>515</v>
      </c>
      <c r="G2553">
        <v>0.05</v>
      </c>
    </row>
    <row r="2554" spans="2:7" hidden="1">
      <c r="B2554" s="43">
        <v>44403</v>
      </c>
      <c r="C2554" t="s">
        <v>130</v>
      </c>
      <c r="D2554" s="48">
        <v>44406</v>
      </c>
      <c r="E2554">
        <v>365</v>
      </c>
      <c r="F2554" t="s">
        <v>514</v>
      </c>
      <c r="G2554">
        <v>49</v>
      </c>
    </row>
    <row r="2555" spans="2:7" hidden="1">
      <c r="B2555" s="43">
        <v>44403</v>
      </c>
      <c r="C2555" t="s">
        <v>130</v>
      </c>
      <c r="D2555" s="48">
        <v>44406</v>
      </c>
      <c r="E2555">
        <v>365</v>
      </c>
      <c r="F2555" t="s">
        <v>515</v>
      </c>
      <c r="G2555">
        <v>38.549999999999997</v>
      </c>
    </row>
    <row r="2556" spans="2:7" hidden="1">
      <c r="B2556" s="43">
        <v>44404</v>
      </c>
      <c r="C2556" t="s">
        <v>130</v>
      </c>
      <c r="D2556" s="48">
        <v>44406</v>
      </c>
      <c r="E2556">
        <v>365</v>
      </c>
      <c r="F2556" t="s">
        <v>514</v>
      </c>
      <c r="G2556">
        <v>49</v>
      </c>
    </row>
    <row r="2557" spans="2:7" hidden="1">
      <c r="B2557" s="43">
        <v>44404</v>
      </c>
      <c r="C2557" t="s">
        <v>130</v>
      </c>
      <c r="D2557" s="48">
        <v>44406</v>
      </c>
      <c r="E2557">
        <v>365</v>
      </c>
      <c r="F2557" t="s">
        <v>515</v>
      </c>
      <c r="G2557">
        <v>38.549999999999997</v>
      </c>
    </row>
    <row r="2558" spans="2:7" hidden="1">
      <c r="B2558" s="43">
        <v>44405</v>
      </c>
      <c r="C2558" t="s">
        <v>130</v>
      </c>
      <c r="D2558" s="48">
        <v>44406</v>
      </c>
      <c r="E2558">
        <v>365</v>
      </c>
      <c r="F2558" t="s">
        <v>514</v>
      </c>
      <c r="G2558">
        <v>61</v>
      </c>
    </row>
    <row r="2559" spans="2:7" hidden="1">
      <c r="B2559" s="43">
        <v>44405</v>
      </c>
      <c r="C2559" t="s">
        <v>130</v>
      </c>
      <c r="D2559" s="48">
        <v>44406</v>
      </c>
      <c r="E2559">
        <v>365</v>
      </c>
      <c r="F2559" t="s">
        <v>515</v>
      </c>
      <c r="G2559">
        <v>38.549999999999997</v>
      </c>
    </row>
    <row r="2560" spans="2:7" hidden="1">
      <c r="B2560" s="43">
        <v>44406</v>
      </c>
      <c r="C2560" t="s">
        <v>130</v>
      </c>
      <c r="D2560" s="48">
        <v>44406</v>
      </c>
      <c r="E2560">
        <v>365</v>
      </c>
      <c r="F2560" t="s">
        <v>514</v>
      </c>
      <c r="G2560">
        <v>61</v>
      </c>
    </row>
    <row r="2561" spans="2:7" hidden="1">
      <c r="B2561" s="43">
        <v>44406</v>
      </c>
      <c r="C2561" t="s">
        <v>130</v>
      </c>
      <c r="D2561" s="48">
        <v>44406</v>
      </c>
      <c r="E2561">
        <v>365</v>
      </c>
      <c r="F2561" t="s">
        <v>515</v>
      </c>
      <c r="G2561">
        <v>38.549999999999997</v>
      </c>
    </row>
    <row r="2562" spans="2:7" hidden="1">
      <c r="B2562" s="43">
        <v>44403</v>
      </c>
      <c r="C2562" t="s">
        <v>130</v>
      </c>
      <c r="D2562" s="48">
        <v>44406</v>
      </c>
      <c r="E2562">
        <v>370</v>
      </c>
      <c r="F2562" t="s">
        <v>514</v>
      </c>
      <c r="G2562">
        <v>54.7</v>
      </c>
    </row>
    <row r="2563" spans="2:7" hidden="1">
      <c r="B2563" s="43">
        <v>44403</v>
      </c>
      <c r="C2563" t="s">
        <v>130</v>
      </c>
      <c r="D2563" s="48">
        <v>44406</v>
      </c>
      <c r="E2563">
        <v>370</v>
      </c>
      <c r="F2563" t="s">
        <v>515</v>
      </c>
      <c r="G2563">
        <v>0.15</v>
      </c>
    </row>
    <row r="2564" spans="2:7" hidden="1">
      <c r="B2564" s="43">
        <v>44404</v>
      </c>
      <c r="C2564" t="s">
        <v>130</v>
      </c>
      <c r="D2564" s="48">
        <v>44406</v>
      </c>
      <c r="E2564">
        <v>370</v>
      </c>
      <c r="F2564" t="s">
        <v>514</v>
      </c>
      <c r="G2564">
        <v>58.8</v>
      </c>
    </row>
    <row r="2565" spans="2:7" hidden="1">
      <c r="B2565" s="43">
        <v>44404</v>
      </c>
      <c r="C2565" t="s">
        <v>130</v>
      </c>
      <c r="D2565" s="48">
        <v>44406</v>
      </c>
      <c r="E2565">
        <v>370</v>
      </c>
      <c r="F2565" t="s">
        <v>515</v>
      </c>
      <c r="G2565">
        <v>0.1</v>
      </c>
    </row>
    <row r="2566" spans="2:7" hidden="1">
      <c r="B2566" s="43">
        <v>44405</v>
      </c>
      <c r="C2566" t="s">
        <v>130</v>
      </c>
      <c r="D2566" s="48">
        <v>44406</v>
      </c>
      <c r="E2566">
        <v>370</v>
      </c>
      <c r="F2566" t="s">
        <v>514</v>
      </c>
      <c r="G2566">
        <v>55.5</v>
      </c>
    </row>
    <row r="2567" spans="2:7" hidden="1">
      <c r="B2567" s="43">
        <v>44405</v>
      </c>
      <c r="C2567" t="s">
        <v>130</v>
      </c>
      <c r="D2567" s="48">
        <v>44406</v>
      </c>
      <c r="E2567">
        <v>370</v>
      </c>
      <c r="F2567" t="s">
        <v>515</v>
      </c>
      <c r="G2567">
        <v>0.1</v>
      </c>
    </row>
    <row r="2568" spans="2:7" hidden="1">
      <c r="B2568" s="43">
        <v>44406</v>
      </c>
      <c r="C2568" t="s">
        <v>130</v>
      </c>
      <c r="D2568" s="48">
        <v>44406</v>
      </c>
      <c r="E2568">
        <v>370</v>
      </c>
      <c r="F2568" t="s">
        <v>514</v>
      </c>
      <c r="G2568">
        <v>71.05</v>
      </c>
    </row>
    <row r="2569" spans="2:7" hidden="1">
      <c r="B2569" s="43">
        <v>44406</v>
      </c>
      <c r="C2569" t="s">
        <v>130</v>
      </c>
      <c r="D2569" s="48">
        <v>44406</v>
      </c>
      <c r="E2569">
        <v>370</v>
      </c>
      <c r="F2569" t="s">
        <v>515</v>
      </c>
      <c r="G2569">
        <v>0.05</v>
      </c>
    </row>
    <row r="2570" spans="2:7" hidden="1">
      <c r="B2570" s="43">
        <v>44403</v>
      </c>
      <c r="C2570" t="s">
        <v>130</v>
      </c>
      <c r="D2570" s="48">
        <v>44406</v>
      </c>
      <c r="E2570">
        <v>375</v>
      </c>
      <c r="F2570" t="s">
        <v>514</v>
      </c>
      <c r="G2570">
        <v>47.65</v>
      </c>
    </row>
    <row r="2571" spans="2:7" hidden="1">
      <c r="B2571" s="43">
        <v>44403</v>
      </c>
      <c r="C2571" t="s">
        <v>130</v>
      </c>
      <c r="D2571" s="48">
        <v>44406</v>
      </c>
      <c r="E2571">
        <v>375</v>
      </c>
      <c r="F2571" t="s">
        <v>515</v>
      </c>
      <c r="G2571">
        <v>0.15</v>
      </c>
    </row>
    <row r="2572" spans="2:7" hidden="1">
      <c r="B2572" s="43">
        <v>44404</v>
      </c>
      <c r="C2572" t="s">
        <v>130</v>
      </c>
      <c r="D2572" s="48">
        <v>44406</v>
      </c>
      <c r="E2572">
        <v>375</v>
      </c>
      <c r="F2572" t="s">
        <v>514</v>
      </c>
      <c r="G2572">
        <v>47.65</v>
      </c>
    </row>
    <row r="2573" spans="2:7" hidden="1">
      <c r="B2573" s="43">
        <v>44404</v>
      </c>
      <c r="C2573" t="s">
        <v>130</v>
      </c>
      <c r="D2573" s="48">
        <v>44406</v>
      </c>
      <c r="E2573">
        <v>375</v>
      </c>
      <c r="F2573" t="s">
        <v>515</v>
      </c>
      <c r="G2573">
        <v>0.05</v>
      </c>
    </row>
    <row r="2574" spans="2:7" hidden="1">
      <c r="B2574" s="43">
        <v>44405</v>
      </c>
      <c r="C2574" t="s">
        <v>130</v>
      </c>
      <c r="D2574" s="48">
        <v>44406</v>
      </c>
      <c r="E2574">
        <v>375</v>
      </c>
      <c r="F2574" t="s">
        <v>514</v>
      </c>
      <c r="G2574">
        <v>47.65</v>
      </c>
    </row>
    <row r="2575" spans="2:7" hidden="1">
      <c r="B2575" s="43">
        <v>44405</v>
      </c>
      <c r="C2575" t="s">
        <v>130</v>
      </c>
      <c r="D2575" s="48">
        <v>44406</v>
      </c>
      <c r="E2575">
        <v>375</v>
      </c>
      <c r="F2575" t="s">
        <v>515</v>
      </c>
      <c r="G2575">
        <v>0.05</v>
      </c>
    </row>
    <row r="2576" spans="2:7" hidden="1">
      <c r="B2576" s="43">
        <v>44406</v>
      </c>
      <c r="C2576" t="s">
        <v>130</v>
      </c>
      <c r="D2576" s="48">
        <v>44406</v>
      </c>
      <c r="E2576">
        <v>375</v>
      </c>
      <c r="F2576" t="s">
        <v>514</v>
      </c>
      <c r="G2576">
        <v>47.65</v>
      </c>
    </row>
    <row r="2577" spans="2:7" hidden="1">
      <c r="B2577" s="43">
        <v>44406</v>
      </c>
      <c r="C2577" t="s">
        <v>130</v>
      </c>
      <c r="D2577" s="48">
        <v>44406</v>
      </c>
      <c r="E2577">
        <v>375</v>
      </c>
      <c r="F2577" t="s">
        <v>515</v>
      </c>
      <c r="G2577">
        <v>0.05</v>
      </c>
    </row>
    <row r="2578" spans="2:7" hidden="1">
      <c r="B2578" s="43">
        <v>44403</v>
      </c>
      <c r="C2578" t="s">
        <v>130</v>
      </c>
      <c r="D2578" s="48">
        <v>44406</v>
      </c>
      <c r="E2578">
        <v>380</v>
      </c>
      <c r="F2578" t="s">
        <v>514</v>
      </c>
      <c r="G2578">
        <v>43.15</v>
      </c>
    </row>
    <row r="2579" spans="2:7" hidden="1">
      <c r="B2579" s="43">
        <v>44403</v>
      </c>
      <c r="C2579" t="s">
        <v>130</v>
      </c>
      <c r="D2579" s="48">
        <v>44406</v>
      </c>
      <c r="E2579">
        <v>380</v>
      </c>
      <c r="F2579" t="s">
        <v>515</v>
      </c>
      <c r="G2579">
        <v>0.1</v>
      </c>
    </row>
    <row r="2580" spans="2:7" hidden="1">
      <c r="B2580" s="43">
        <v>44404</v>
      </c>
      <c r="C2580" t="s">
        <v>130</v>
      </c>
      <c r="D2580" s="48">
        <v>44406</v>
      </c>
      <c r="E2580">
        <v>380</v>
      </c>
      <c r="F2580" t="s">
        <v>514</v>
      </c>
      <c r="G2580">
        <v>49.9</v>
      </c>
    </row>
    <row r="2581" spans="2:7" hidden="1">
      <c r="B2581" s="43">
        <v>44404</v>
      </c>
      <c r="C2581" t="s">
        <v>130</v>
      </c>
      <c r="D2581" s="48">
        <v>44406</v>
      </c>
      <c r="E2581">
        <v>380</v>
      </c>
      <c r="F2581" t="s">
        <v>515</v>
      </c>
      <c r="G2581">
        <v>0.1</v>
      </c>
    </row>
    <row r="2582" spans="2:7" hidden="1">
      <c r="B2582" s="43">
        <v>44405</v>
      </c>
      <c r="C2582" t="s">
        <v>130</v>
      </c>
      <c r="D2582" s="48">
        <v>44406</v>
      </c>
      <c r="E2582">
        <v>380</v>
      </c>
      <c r="F2582" t="s">
        <v>514</v>
      </c>
      <c r="G2582">
        <v>45.55</v>
      </c>
    </row>
    <row r="2583" spans="2:7" hidden="1">
      <c r="B2583" s="43">
        <v>44405</v>
      </c>
      <c r="C2583" t="s">
        <v>130</v>
      </c>
      <c r="D2583" s="48">
        <v>44406</v>
      </c>
      <c r="E2583">
        <v>380</v>
      </c>
      <c r="F2583" t="s">
        <v>515</v>
      </c>
      <c r="G2583">
        <v>0.05</v>
      </c>
    </row>
    <row r="2584" spans="2:7" hidden="1">
      <c r="B2584" s="43">
        <v>44406</v>
      </c>
      <c r="C2584" t="s">
        <v>130</v>
      </c>
      <c r="D2584" s="48">
        <v>44406</v>
      </c>
      <c r="E2584">
        <v>380</v>
      </c>
      <c r="F2584" t="s">
        <v>514</v>
      </c>
      <c r="G2584">
        <v>59.95</v>
      </c>
    </row>
    <row r="2585" spans="2:7" hidden="1">
      <c r="B2585" s="43">
        <v>44406</v>
      </c>
      <c r="C2585" t="s">
        <v>130</v>
      </c>
      <c r="D2585" s="48">
        <v>44406</v>
      </c>
      <c r="E2585">
        <v>380</v>
      </c>
      <c r="F2585" t="s">
        <v>515</v>
      </c>
      <c r="G2585">
        <v>0.05</v>
      </c>
    </row>
    <row r="2586" spans="2:7" hidden="1">
      <c r="B2586" s="43">
        <v>44403</v>
      </c>
      <c r="C2586" t="s">
        <v>130</v>
      </c>
      <c r="D2586" s="48">
        <v>44406</v>
      </c>
      <c r="E2586">
        <v>385</v>
      </c>
      <c r="F2586" t="s">
        <v>514</v>
      </c>
      <c r="G2586">
        <v>44.35</v>
      </c>
    </row>
    <row r="2587" spans="2:7" hidden="1">
      <c r="B2587" s="43">
        <v>44403</v>
      </c>
      <c r="C2587" t="s">
        <v>130</v>
      </c>
      <c r="D2587" s="48">
        <v>44406</v>
      </c>
      <c r="E2587">
        <v>385</v>
      </c>
      <c r="F2587" t="s">
        <v>515</v>
      </c>
      <c r="G2587">
        <v>0.15</v>
      </c>
    </row>
    <row r="2588" spans="2:7" hidden="1">
      <c r="B2588" s="43">
        <v>44404</v>
      </c>
      <c r="C2588" t="s">
        <v>130</v>
      </c>
      <c r="D2588" s="48">
        <v>44406</v>
      </c>
      <c r="E2588">
        <v>385</v>
      </c>
      <c r="F2588" t="s">
        <v>514</v>
      </c>
      <c r="G2588">
        <v>44.35</v>
      </c>
    </row>
    <row r="2589" spans="2:7" hidden="1">
      <c r="B2589" s="43">
        <v>44404</v>
      </c>
      <c r="C2589" t="s">
        <v>130</v>
      </c>
      <c r="D2589" s="48">
        <v>44406</v>
      </c>
      <c r="E2589">
        <v>385</v>
      </c>
      <c r="F2589" t="s">
        <v>515</v>
      </c>
      <c r="G2589">
        <v>0.1</v>
      </c>
    </row>
    <row r="2590" spans="2:7" hidden="1">
      <c r="B2590" s="43">
        <v>44405</v>
      </c>
      <c r="C2590" t="s">
        <v>130</v>
      </c>
      <c r="D2590" s="48">
        <v>44406</v>
      </c>
      <c r="E2590">
        <v>385</v>
      </c>
      <c r="F2590" t="s">
        <v>514</v>
      </c>
      <c r="G2590">
        <v>44.35</v>
      </c>
    </row>
    <row r="2591" spans="2:7" hidden="1">
      <c r="B2591" s="43">
        <v>44405</v>
      </c>
      <c r="C2591" t="s">
        <v>130</v>
      </c>
      <c r="D2591" s="48">
        <v>44406</v>
      </c>
      <c r="E2591">
        <v>385</v>
      </c>
      <c r="F2591" t="s">
        <v>515</v>
      </c>
      <c r="G2591">
        <v>0.05</v>
      </c>
    </row>
    <row r="2592" spans="2:7" hidden="1">
      <c r="B2592" s="43">
        <v>44406</v>
      </c>
      <c r="C2592" t="s">
        <v>130</v>
      </c>
      <c r="D2592" s="48">
        <v>44406</v>
      </c>
      <c r="E2592">
        <v>385</v>
      </c>
      <c r="F2592" t="s">
        <v>514</v>
      </c>
      <c r="G2592">
        <v>48.8</v>
      </c>
    </row>
    <row r="2593" spans="2:7" hidden="1">
      <c r="B2593" s="43">
        <v>44406</v>
      </c>
      <c r="C2593" t="s">
        <v>130</v>
      </c>
      <c r="D2593" s="48">
        <v>44406</v>
      </c>
      <c r="E2593">
        <v>385</v>
      </c>
      <c r="F2593" t="s">
        <v>515</v>
      </c>
      <c r="G2593">
        <v>0.05</v>
      </c>
    </row>
    <row r="2594" spans="2:7" hidden="1">
      <c r="B2594" s="43">
        <v>44403</v>
      </c>
      <c r="C2594" t="s">
        <v>130</v>
      </c>
      <c r="D2594" s="48">
        <v>44406</v>
      </c>
      <c r="E2594">
        <v>390</v>
      </c>
      <c r="F2594" t="s">
        <v>514</v>
      </c>
      <c r="G2594">
        <v>33.85</v>
      </c>
    </row>
    <row r="2595" spans="2:7" hidden="1">
      <c r="B2595" s="43">
        <v>44403</v>
      </c>
      <c r="C2595" t="s">
        <v>130</v>
      </c>
      <c r="D2595" s="48">
        <v>44406</v>
      </c>
      <c r="E2595">
        <v>390</v>
      </c>
      <c r="F2595" t="s">
        <v>515</v>
      </c>
      <c r="G2595">
        <v>0.25</v>
      </c>
    </row>
    <row r="2596" spans="2:7" hidden="1">
      <c r="B2596" s="43">
        <v>44404</v>
      </c>
      <c r="C2596" t="s">
        <v>130</v>
      </c>
      <c r="D2596" s="48">
        <v>44406</v>
      </c>
      <c r="E2596">
        <v>390</v>
      </c>
      <c r="F2596" t="s">
        <v>514</v>
      </c>
      <c r="G2596">
        <v>41.95</v>
      </c>
    </row>
    <row r="2597" spans="2:7" hidden="1">
      <c r="B2597" s="43">
        <v>44404</v>
      </c>
      <c r="C2597" t="s">
        <v>130</v>
      </c>
      <c r="D2597" s="48">
        <v>44406</v>
      </c>
      <c r="E2597">
        <v>390</v>
      </c>
      <c r="F2597" t="s">
        <v>515</v>
      </c>
      <c r="G2597">
        <v>0.1</v>
      </c>
    </row>
    <row r="2598" spans="2:7" hidden="1">
      <c r="B2598" s="43">
        <v>44405</v>
      </c>
      <c r="C2598" t="s">
        <v>130</v>
      </c>
      <c r="D2598" s="48">
        <v>44406</v>
      </c>
      <c r="E2598">
        <v>390</v>
      </c>
      <c r="F2598" t="s">
        <v>514</v>
      </c>
      <c r="G2598">
        <v>35</v>
      </c>
    </row>
    <row r="2599" spans="2:7" hidden="1">
      <c r="B2599" s="43">
        <v>44405</v>
      </c>
      <c r="C2599" t="s">
        <v>130</v>
      </c>
      <c r="D2599" s="48">
        <v>44406</v>
      </c>
      <c r="E2599">
        <v>390</v>
      </c>
      <c r="F2599" t="s">
        <v>515</v>
      </c>
      <c r="G2599">
        <v>0.1</v>
      </c>
    </row>
    <row r="2600" spans="2:7" hidden="1">
      <c r="B2600" s="43">
        <v>44406</v>
      </c>
      <c r="C2600" t="s">
        <v>130</v>
      </c>
      <c r="D2600" s="48">
        <v>44406</v>
      </c>
      <c r="E2600">
        <v>390</v>
      </c>
      <c r="F2600" t="s">
        <v>514</v>
      </c>
      <c r="G2600">
        <v>46</v>
      </c>
    </row>
    <row r="2601" spans="2:7" hidden="1">
      <c r="B2601" s="43">
        <v>44406</v>
      </c>
      <c r="C2601" t="s">
        <v>130</v>
      </c>
      <c r="D2601" s="48">
        <v>44406</v>
      </c>
      <c r="E2601">
        <v>390</v>
      </c>
      <c r="F2601" t="s">
        <v>515</v>
      </c>
      <c r="G2601">
        <v>0.05</v>
      </c>
    </row>
    <row r="2602" spans="2:7" hidden="1">
      <c r="B2602" s="43">
        <v>44403</v>
      </c>
      <c r="C2602" t="s">
        <v>130</v>
      </c>
      <c r="D2602" s="48">
        <v>44406</v>
      </c>
      <c r="E2602">
        <v>395</v>
      </c>
      <c r="F2602" t="s">
        <v>514</v>
      </c>
      <c r="G2602">
        <v>30.8</v>
      </c>
    </row>
    <row r="2603" spans="2:7" hidden="1">
      <c r="B2603" s="43">
        <v>44403</v>
      </c>
      <c r="C2603" t="s">
        <v>130</v>
      </c>
      <c r="D2603" s="48">
        <v>44406</v>
      </c>
      <c r="E2603">
        <v>395</v>
      </c>
      <c r="F2603" t="s">
        <v>515</v>
      </c>
      <c r="G2603">
        <v>0.25</v>
      </c>
    </row>
    <row r="2604" spans="2:7" hidden="1">
      <c r="B2604" s="43">
        <v>44404</v>
      </c>
      <c r="C2604" t="s">
        <v>130</v>
      </c>
      <c r="D2604" s="48">
        <v>44406</v>
      </c>
      <c r="E2604">
        <v>395</v>
      </c>
      <c r="F2604" t="s">
        <v>514</v>
      </c>
      <c r="G2604">
        <v>30.8</v>
      </c>
    </row>
    <row r="2605" spans="2:7" hidden="1">
      <c r="B2605" s="43">
        <v>44404</v>
      </c>
      <c r="C2605" t="s">
        <v>130</v>
      </c>
      <c r="D2605" s="48">
        <v>44406</v>
      </c>
      <c r="E2605">
        <v>395</v>
      </c>
      <c r="F2605" t="s">
        <v>515</v>
      </c>
      <c r="G2605">
        <v>0.15</v>
      </c>
    </row>
    <row r="2606" spans="2:7" hidden="1">
      <c r="B2606" s="43">
        <v>44405</v>
      </c>
      <c r="C2606" t="s">
        <v>130</v>
      </c>
      <c r="D2606" s="48">
        <v>44406</v>
      </c>
      <c r="E2606">
        <v>395</v>
      </c>
      <c r="F2606" t="s">
        <v>514</v>
      </c>
      <c r="G2606">
        <v>29.1</v>
      </c>
    </row>
    <row r="2607" spans="2:7" hidden="1">
      <c r="B2607" s="43">
        <v>44405</v>
      </c>
      <c r="C2607" t="s">
        <v>130</v>
      </c>
      <c r="D2607" s="48">
        <v>44406</v>
      </c>
      <c r="E2607">
        <v>395</v>
      </c>
      <c r="F2607" t="s">
        <v>515</v>
      </c>
      <c r="G2607">
        <v>0.1</v>
      </c>
    </row>
    <row r="2608" spans="2:7" hidden="1">
      <c r="B2608" s="43">
        <v>44406</v>
      </c>
      <c r="C2608" t="s">
        <v>130</v>
      </c>
      <c r="D2608" s="48">
        <v>44406</v>
      </c>
      <c r="E2608">
        <v>395</v>
      </c>
      <c r="F2608" t="s">
        <v>514</v>
      </c>
      <c r="G2608">
        <v>42.1</v>
      </c>
    </row>
    <row r="2609" spans="2:7" hidden="1">
      <c r="B2609" s="43">
        <v>44406</v>
      </c>
      <c r="C2609" t="s">
        <v>130</v>
      </c>
      <c r="D2609" s="48">
        <v>44406</v>
      </c>
      <c r="E2609">
        <v>395</v>
      </c>
      <c r="F2609" t="s">
        <v>515</v>
      </c>
      <c r="G2609">
        <v>0.05</v>
      </c>
    </row>
    <row r="2610" spans="2:7" hidden="1">
      <c r="B2610" s="43">
        <v>44403</v>
      </c>
      <c r="C2610" t="s">
        <v>130</v>
      </c>
      <c r="D2610" s="48">
        <v>44406</v>
      </c>
      <c r="E2610">
        <v>400</v>
      </c>
      <c r="F2610" t="s">
        <v>514</v>
      </c>
      <c r="G2610">
        <v>23.75</v>
      </c>
    </row>
    <row r="2611" spans="2:7" hidden="1">
      <c r="B2611" s="43">
        <v>44403</v>
      </c>
      <c r="C2611" t="s">
        <v>130</v>
      </c>
      <c r="D2611" s="48">
        <v>44406</v>
      </c>
      <c r="E2611">
        <v>400</v>
      </c>
      <c r="F2611" t="s">
        <v>515</v>
      </c>
      <c r="G2611">
        <v>0.45</v>
      </c>
    </row>
    <row r="2612" spans="2:7" hidden="1">
      <c r="B2612" s="43">
        <v>44404</v>
      </c>
      <c r="C2612" t="s">
        <v>130</v>
      </c>
      <c r="D2612" s="48">
        <v>44406</v>
      </c>
      <c r="E2612">
        <v>400</v>
      </c>
      <c r="F2612" t="s">
        <v>514</v>
      </c>
      <c r="G2612">
        <v>29.05</v>
      </c>
    </row>
    <row r="2613" spans="2:7" hidden="1">
      <c r="B2613" s="43">
        <v>44404</v>
      </c>
      <c r="C2613" t="s">
        <v>130</v>
      </c>
      <c r="D2613" s="48">
        <v>44406</v>
      </c>
      <c r="E2613">
        <v>400</v>
      </c>
      <c r="F2613" t="s">
        <v>515</v>
      </c>
      <c r="G2613">
        <v>0.2</v>
      </c>
    </row>
    <row r="2614" spans="2:7" hidden="1">
      <c r="B2614" s="43">
        <v>44405</v>
      </c>
      <c r="C2614" t="s">
        <v>130</v>
      </c>
      <c r="D2614" s="48">
        <v>44406</v>
      </c>
      <c r="E2614">
        <v>400</v>
      </c>
      <c r="F2614" t="s">
        <v>514</v>
      </c>
      <c r="G2614">
        <v>25.6</v>
      </c>
    </row>
    <row r="2615" spans="2:7" hidden="1">
      <c r="B2615" s="43">
        <v>44405</v>
      </c>
      <c r="C2615" t="s">
        <v>130</v>
      </c>
      <c r="D2615" s="48">
        <v>44406</v>
      </c>
      <c r="E2615">
        <v>400</v>
      </c>
      <c r="F2615" t="s">
        <v>515</v>
      </c>
      <c r="G2615">
        <v>0.15</v>
      </c>
    </row>
    <row r="2616" spans="2:7" hidden="1">
      <c r="B2616" s="43">
        <v>44406</v>
      </c>
      <c r="C2616" t="s">
        <v>130</v>
      </c>
      <c r="D2616" s="48">
        <v>44406</v>
      </c>
      <c r="E2616">
        <v>400</v>
      </c>
      <c r="F2616" t="s">
        <v>514</v>
      </c>
      <c r="G2616">
        <v>40.799999999999997</v>
      </c>
    </row>
    <row r="2617" spans="2:7" hidden="1">
      <c r="B2617" s="43">
        <v>44406</v>
      </c>
      <c r="C2617" t="s">
        <v>130</v>
      </c>
      <c r="D2617" s="48">
        <v>44406</v>
      </c>
      <c r="E2617">
        <v>400</v>
      </c>
      <c r="F2617" t="s">
        <v>515</v>
      </c>
      <c r="G2617">
        <v>0.05</v>
      </c>
    </row>
    <row r="2618" spans="2:7" hidden="1">
      <c r="B2618" s="43">
        <v>44403</v>
      </c>
      <c r="C2618" t="s">
        <v>130</v>
      </c>
      <c r="D2618" s="48">
        <v>44406</v>
      </c>
      <c r="E2618">
        <v>405</v>
      </c>
      <c r="F2618" t="s">
        <v>514</v>
      </c>
      <c r="G2618">
        <v>19</v>
      </c>
    </row>
    <row r="2619" spans="2:7" hidden="1">
      <c r="B2619" s="43">
        <v>44403</v>
      </c>
      <c r="C2619" t="s">
        <v>130</v>
      </c>
      <c r="D2619" s="48">
        <v>44406</v>
      </c>
      <c r="E2619">
        <v>405</v>
      </c>
      <c r="F2619" t="s">
        <v>515</v>
      </c>
      <c r="G2619">
        <v>0.5</v>
      </c>
    </row>
    <row r="2620" spans="2:7" hidden="1">
      <c r="B2620" s="43">
        <v>44404</v>
      </c>
      <c r="C2620" t="s">
        <v>130</v>
      </c>
      <c r="D2620" s="48">
        <v>44406</v>
      </c>
      <c r="E2620">
        <v>405</v>
      </c>
      <c r="F2620" t="s">
        <v>514</v>
      </c>
      <c r="G2620">
        <v>24.1</v>
      </c>
    </row>
    <row r="2621" spans="2:7" hidden="1">
      <c r="B2621" s="43">
        <v>44404</v>
      </c>
      <c r="C2621" t="s">
        <v>130</v>
      </c>
      <c r="D2621" s="48">
        <v>44406</v>
      </c>
      <c r="E2621">
        <v>405</v>
      </c>
      <c r="F2621" t="s">
        <v>515</v>
      </c>
      <c r="G2621">
        <v>0.25</v>
      </c>
    </row>
    <row r="2622" spans="2:7" hidden="1">
      <c r="B2622" s="43">
        <v>44405</v>
      </c>
      <c r="C2622" t="s">
        <v>130</v>
      </c>
      <c r="D2622" s="48">
        <v>44406</v>
      </c>
      <c r="E2622">
        <v>405</v>
      </c>
      <c r="F2622" t="s">
        <v>514</v>
      </c>
      <c r="G2622">
        <v>20.399999999999999</v>
      </c>
    </row>
    <row r="2623" spans="2:7" hidden="1">
      <c r="B2623" s="43">
        <v>44405</v>
      </c>
      <c r="C2623" t="s">
        <v>130</v>
      </c>
      <c r="D2623" s="48">
        <v>44406</v>
      </c>
      <c r="E2623">
        <v>405</v>
      </c>
      <c r="F2623" t="s">
        <v>515</v>
      </c>
      <c r="G2623">
        <v>0.15</v>
      </c>
    </row>
    <row r="2624" spans="2:7" hidden="1">
      <c r="B2624" s="43">
        <v>44406</v>
      </c>
      <c r="C2624" t="s">
        <v>130</v>
      </c>
      <c r="D2624" s="48">
        <v>44406</v>
      </c>
      <c r="E2624">
        <v>405</v>
      </c>
      <c r="F2624" t="s">
        <v>514</v>
      </c>
      <c r="G2624">
        <v>36.9</v>
      </c>
    </row>
    <row r="2625" spans="2:7" hidden="1">
      <c r="B2625" s="43">
        <v>44406</v>
      </c>
      <c r="C2625" t="s">
        <v>130</v>
      </c>
      <c r="D2625" s="48">
        <v>44406</v>
      </c>
      <c r="E2625">
        <v>405</v>
      </c>
      <c r="F2625" t="s">
        <v>515</v>
      </c>
      <c r="G2625">
        <v>0.05</v>
      </c>
    </row>
    <row r="2626" spans="2:7" hidden="1">
      <c r="B2626" s="43">
        <v>44403</v>
      </c>
      <c r="C2626" t="s">
        <v>130</v>
      </c>
      <c r="D2626" s="48">
        <v>44406</v>
      </c>
      <c r="E2626">
        <v>410</v>
      </c>
      <c r="F2626" t="s">
        <v>514</v>
      </c>
      <c r="G2626">
        <v>13.95</v>
      </c>
    </row>
    <row r="2627" spans="2:7" hidden="1">
      <c r="B2627" s="43">
        <v>44403</v>
      </c>
      <c r="C2627" t="s">
        <v>130</v>
      </c>
      <c r="D2627" s="48">
        <v>44406</v>
      </c>
      <c r="E2627">
        <v>410</v>
      </c>
      <c r="F2627" t="s">
        <v>515</v>
      </c>
      <c r="G2627">
        <v>0.75</v>
      </c>
    </row>
    <row r="2628" spans="2:7" hidden="1">
      <c r="B2628" s="43">
        <v>44404</v>
      </c>
      <c r="C2628" t="s">
        <v>130</v>
      </c>
      <c r="D2628" s="48">
        <v>44406</v>
      </c>
      <c r="E2628">
        <v>410</v>
      </c>
      <c r="F2628" t="s">
        <v>514</v>
      </c>
      <c r="G2628">
        <v>19.8</v>
      </c>
    </row>
    <row r="2629" spans="2:7" hidden="1">
      <c r="B2629" s="43">
        <v>44404</v>
      </c>
      <c r="C2629" t="s">
        <v>130</v>
      </c>
      <c r="D2629" s="48">
        <v>44406</v>
      </c>
      <c r="E2629">
        <v>410</v>
      </c>
      <c r="F2629" t="s">
        <v>515</v>
      </c>
      <c r="G2629">
        <v>0.3</v>
      </c>
    </row>
    <row r="2630" spans="2:7" hidden="1">
      <c r="B2630" s="43">
        <v>44405</v>
      </c>
      <c r="C2630" t="s">
        <v>130</v>
      </c>
      <c r="D2630" s="48">
        <v>44406</v>
      </c>
      <c r="E2630">
        <v>410</v>
      </c>
      <c r="F2630" t="s">
        <v>514</v>
      </c>
      <c r="G2630">
        <v>15.85</v>
      </c>
    </row>
    <row r="2631" spans="2:7" hidden="1">
      <c r="B2631" s="43">
        <v>44405</v>
      </c>
      <c r="C2631" t="s">
        <v>130</v>
      </c>
      <c r="D2631" s="48">
        <v>44406</v>
      </c>
      <c r="E2631">
        <v>410</v>
      </c>
      <c r="F2631" t="s">
        <v>515</v>
      </c>
      <c r="G2631">
        <v>0.15</v>
      </c>
    </row>
    <row r="2632" spans="2:7" hidden="1">
      <c r="B2632" s="43">
        <v>44406</v>
      </c>
      <c r="C2632" t="s">
        <v>130</v>
      </c>
      <c r="D2632" s="48">
        <v>44406</v>
      </c>
      <c r="E2632">
        <v>410</v>
      </c>
      <c r="F2632" t="s">
        <v>514</v>
      </c>
      <c r="G2632">
        <v>31.1</v>
      </c>
    </row>
    <row r="2633" spans="2:7" hidden="1">
      <c r="B2633" s="43">
        <v>44406</v>
      </c>
      <c r="C2633" t="s">
        <v>130</v>
      </c>
      <c r="D2633" s="48">
        <v>44406</v>
      </c>
      <c r="E2633">
        <v>410</v>
      </c>
      <c r="F2633" t="s">
        <v>515</v>
      </c>
      <c r="G2633">
        <v>0.05</v>
      </c>
    </row>
    <row r="2634" spans="2:7" hidden="1">
      <c r="B2634" s="43">
        <v>44403</v>
      </c>
      <c r="C2634" t="s">
        <v>130</v>
      </c>
      <c r="D2634" s="48">
        <v>44406</v>
      </c>
      <c r="E2634">
        <v>415</v>
      </c>
      <c r="F2634" t="s">
        <v>514</v>
      </c>
      <c r="G2634">
        <v>9.6999999999999993</v>
      </c>
    </row>
    <row r="2635" spans="2:7" hidden="1">
      <c r="B2635" s="43">
        <v>44403</v>
      </c>
      <c r="C2635" t="s">
        <v>130</v>
      </c>
      <c r="D2635" s="48">
        <v>44406</v>
      </c>
      <c r="E2635">
        <v>415</v>
      </c>
      <c r="F2635" t="s">
        <v>515</v>
      </c>
      <c r="G2635">
        <v>1.45</v>
      </c>
    </row>
    <row r="2636" spans="2:7" hidden="1">
      <c r="B2636" s="43">
        <v>44404</v>
      </c>
      <c r="C2636" t="s">
        <v>130</v>
      </c>
      <c r="D2636" s="48">
        <v>44406</v>
      </c>
      <c r="E2636">
        <v>415</v>
      </c>
      <c r="F2636" t="s">
        <v>514</v>
      </c>
      <c r="G2636">
        <v>14.9</v>
      </c>
    </row>
    <row r="2637" spans="2:7" hidden="1">
      <c r="B2637" s="43">
        <v>44404</v>
      </c>
      <c r="C2637" t="s">
        <v>130</v>
      </c>
      <c r="D2637" s="48">
        <v>44406</v>
      </c>
      <c r="E2637">
        <v>415</v>
      </c>
      <c r="F2637" t="s">
        <v>515</v>
      </c>
      <c r="G2637">
        <v>0.35</v>
      </c>
    </row>
    <row r="2638" spans="2:7" hidden="1">
      <c r="B2638" s="43">
        <v>44405</v>
      </c>
      <c r="C2638" t="s">
        <v>130</v>
      </c>
      <c r="D2638" s="48">
        <v>44406</v>
      </c>
      <c r="E2638">
        <v>415</v>
      </c>
      <c r="F2638" t="s">
        <v>514</v>
      </c>
      <c r="G2638">
        <v>10.8</v>
      </c>
    </row>
    <row r="2639" spans="2:7" hidden="1">
      <c r="B2639" s="43">
        <v>44405</v>
      </c>
      <c r="C2639" t="s">
        <v>130</v>
      </c>
      <c r="D2639" s="48">
        <v>44406</v>
      </c>
      <c r="E2639">
        <v>415</v>
      </c>
      <c r="F2639" t="s">
        <v>515</v>
      </c>
      <c r="G2639">
        <v>0.2</v>
      </c>
    </row>
    <row r="2640" spans="2:7" hidden="1">
      <c r="B2640" s="43">
        <v>44406</v>
      </c>
      <c r="C2640" t="s">
        <v>130</v>
      </c>
      <c r="D2640" s="48">
        <v>44406</v>
      </c>
      <c r="E2640">
        <v>415</v>
      </c>
      <c r="F2640" t="s">
        <v>514</v>
      </c>
      <c r="G2640">
        <v>25.65</v>
      </c>
    </row>
    <row r="2641" spans="2:7" hidden="1">
      <c r="B2641" s="43">
        <v>44406</v>
      </c>
      <c r="C2641" t="s">
        <v>130</v>
      </c>
      <c r="D2641" s="48">
        <v>44406</v>
      </c>
      <c r="E2641">
        <v>415</v>
      </c>
      <c r="F2641" t="s">
        <v>515</v>
      </c>
      <c r="G2641">
        <v>0.05</v>
      </c>
    </row>
    <row r="2642" spans="2:7" hidden="1">
      <c r="B2642" s="43">
        <v>44403</v>
      </c>
      <c r="C2642" t="s">
        <v>130</v>
      </c>
      <c r="D2642" s="48">
        <v>44406</v>
      </c>
      <c r="E2642">
        <v>420</v>
      </c>
      <c r="F2642" t="s">
        <v>514</v>
      </c>
      <c r="G2642">
        <v>6.05</v>
      </c>
    </row>
    <row r="2643" spans="2:7" hidden="1">
      <c r="B2643" s="43">
        <v>44403</v>
      </c>
      <c r="C2643" t="s">
        <v>130</v>
      </c>
      <c r="D2643" s="48">
        <v>44406</v>
      </c>
      <c r="E2643">
        <v>420</v>
      </c>
      <c r="F2643" t="s">
        <v>515</v>
      </c>
      <c r="G2643">
        <v>2.75</v>
      </c>
    </row>
    <row r="2644" spans="2:7" hidden="1">
      <c r="B2644" s="43">
        <v>44404</v>
      </c>
      <c r="C2644" t="s">
        <v>130</v>
      </c>
      <c r="D2644" s="48">
        <v>44406</v>
      </c>
      <c r="E2644">
        <v>420</v>
      </c>
      <c r="F2644" t="s">
        <v>514</v>
      </c>
      <c r="G2644">
        <v>9.5500000000000007</v>
      </c>
    </row>
    <row r="2645" spans="2:7" hidden="1">
      <c r="B2645" s="43">
        <v>44404</v>
      </c>
      <c r="C2645" t="s">
        <v>130</v>
      </c>
      <c r="D2645" s="48">
        <v>44406</v>
      </c>
      <c r="E2645">
        <v>420</v>
      </c>
      <c r="F2645" t="s">
        <v>515</v>
      </c>
      <c r="G2645">
        <v>0.7</v>
      </c>
    </row>
    <row r="2646" spans="2:7" hidden="1">
      <c r="B2646" s="43">
        <v>44405</v>
      </c>
      <c r="C2646" t="s">
        <v>130</v>
      </c>
      <c r="D2646" s="48">
        <v>44406</v>
      </c>
      <c r="E2646">
        <v>420</v>
      </c>
      <c r="F2646" t="s">
        <v>514</v>
      </c>
      <c r="G2646">
        <v>5.95</v>
      </c>
    </row>
    <row r="2647" spans="2:7" hidden="1">
      <c r="B2647" s="43">
        <v>44405</v>
      </c>
      <c r="C2647" t="s">
        <v>130</v>
      </c>
      <c r="D2647" s="48">
        <v>44406</v>
      </c>
      <c r="E2647">
        <v>420</v>
      </c>
      <c r="F2647" t="s">
        <v>515</v>
      </c>
      <c r="G2647">
        <v>0.5</v>
      </c>
    </row>
    <row r="2648" spans="2:7" hidden="1">
      <c r="B2648" s="43">
        <v>44406</v>
      </c>
      <c r="C2648" t="s">
        <v>130</v>
      </c>
      <c r="D2648" s="48">
        <v>44406</v>
      </c>
      <c r="E2648">
        <v>420</v>
      </c>
      <c r="F2648" t="s">
        <v>514</v>
      </c>
      <c r="G2648">
        <v>21.2</v>
      </c>
    </row>
    <row r="2649" spans="2:7" hidden="1">
      <c r="B2649" s="43">
        <v>44406</v>
      </c>
      <c r="C2649" t="s">
        <v>130</v>
      </c>
      <c r="D2649" s="48">
        <v>44406</v>
      </c>
      <c r="E2649">
        <v>420</v>
      </c>
      <c r="F2649" t="s">
        <v>515</v>
      </c>
      <c r="G2649">
        <v>0.05</v>
      </c>
    </row>
    <row r="2650" spans="2:7" hidden="1">
      <c r="B2650" s="43">
        <v>44403</v>
      </c>
      <c r="C2650" t="s">
        <v>130</v>
      </c>
      <c r="D2650" s="48">
        <v>44406</v>
      </c>
      <c r="E2650">
        <v>425</v>
      </c>
      <c r="F2650" t="s">
        <v>514</v>
      </c>
      <c r="G2650">
        <v>3.65</v>
      </c>
    </row>
    <row r="2651" spans="2:7" hidden="1">
      <c r="B2651" s="43">
        <v>44403</v>
      </c>
      <c r="C2651" t="s">
        <v>130</v>
      </c>
      <c r="D2651" s="48">
        <v>44406</v>
      </c>
      <c r="E2651">
        <v>425</v>
      </c>
      <c r="F2651" t="s">
        <v>515</v>
      </c>
      <c r="G2651">
        <v>5.3</v>
      </c>
    </row>
    <row r="2652" spans="2:7" hidden="1">
      <c r="B2652" s="43">
        <v>44404</v>
      </c>
      <c r="C2652" t="s">
        <v>130</v>
      </c>
      <c r="D2652" s="48">
        <v>44406</v>
      </c>
      <c r="E2652">
        <v>425</v>
      </c>
      <c r="F2652" t="s">
        <v>514</v>
      </c>
      <c r="G2652">
        <v>5.9</v>
      </c>
    </row>
    <row r="2653" spans="2:7" hidden="1">
      <c r="B2653" s="43">
        <v>44404</v>
      </c>
      <c r="C2653" t="s">
        <v>130</v>
      </c>
      <c r="D2653" s="48">
        <v>44406</v>
      </c>
      <c r="E2653">
        <v>425</v>
      </c>
      <c r="F2653" t="s">
        <v>515</v>
      </c>
      <c r="G2653">
        <v>1.6</v>
      </c>
    </row>
    <row r="2654" spans="2:7" hidden="1">
      <c r="B2654" s="43">
        <v>44405</v>
      </c>
      <c r="C2654" t="s">
        <v>130</v>
      </c>
      <c r="D2654" s="48">
        <v>44406</v>
      </c>
      <c r="E2654">
        <v>425</v>
      </c>
      <c r="F2654" t="s">
        <v>514</v>
      </c>
      <c r="G2654">
        <v>2.5</v>
      </c>
    </row>
    <row r="2655" spans="2:7" hidden="1">
      <c r="B2655" s="43">
        <v>44405</v>
      </c>
      <c r="C2655" t="s">
        <v>130</v>
      </c>
      <c r="D2655" s="48">
        <v>44406</v>
      </c>
      <c r="E2655">
        <v>425</v>
      </c>
      <c r="F2655" t="s">
        <v>515</v>
      </c>
      <c r="G2655">
        <v>2</v>
      </c>
    </row>
    <row r="2656" spans="2:7" hidden="1">
      <c r="B2656" s="43">
        <v>44406</v>
      </c>
      <c r="C2656" t="s">
        <v>130</v>
      </c>
      <c r="D2656" s="48">
        <v>44406</v>
      </c>
      <c r="E2656">
        <v>425</v>
      </c>
      <c r="F2656" t="s">
        <v>514</v>
      </c>
      <c r="G2656">
        <v>15.8</v>
      </c>
    </row>
    <row r="2657" spans="2:7" hidden="1">
      <c r="B2657" s="43">
        <v>44406</v>
      </c>
      <c r="C2657" t="s">
        <v>130</v>
      </c>
      <c r="D2657" s="48">
        <v>44406</v>
      </c>
      <c r="E2657">
        <v>425</v>
      </c>
      <c r="F2657" t="s">
        <v>515</v>
      </c>
      <c r="G2657">
        <v>0.05</v>
      </c>
    </row>
    <row r="2658" spans="2:7" hidden="1">
      <c r="B2658" s="43">
        <v>44403</v>
      </c>
      <c r="C2658" t="s">
        <v>130</v>
      </c>
      <c r="D2658" s="48">
        <v>44406</v>
      </c>
      <c r="E2658">
        <v>430</v>
      </c>
      <c r="F2658" t="s">
        <v>514</v>
      </c>
      <c r="G2658">
        <v>2.25</v>
      </c>
    </row>
    <row r="2659" spans="2:7" hidden="1">
      <c r="B2659" s="43">
        <v>44403</v>
      </c>
      <c r="C2659" t="s">
        <v>130</v>
      </c>
      <c r="D2659" s="48">
        <v>44406</v>
      </c>
      <c r="E2659">
        <v>430</v>
      </c>
      <c r="F2659" t="s">
        <v>515</v>
      </c>
      <c r="G2659">
        <v>8.85</v>
      </c>
    </row>
    <row r="2660" spans="2:7" hidden="1">
      <c r="B2660" s="43">
        <v>44404</v>
      </c>
      <c r="C2660" t="s">
        <v>130</v>
      </c>
      <c r="D2660" s="48">
        <v>44406</v>
      </c>
      <c r="E2660">
        <v>430</v>
      </c>
      <c r="F2660" t="s">
        <v>514</v>
      </c>
      <c r="G2660">
        <v>3.2</v>
      </c>
    </row>
    <row r="2661" spans="2:7" hidden="1">
      <c r="B2661" s="43">
        <v>44404</v>
      </c>
      <c r="C2661" t="s">
        <v>130</v>
      </c>
      <c r="D2661" s="48">
        <v>44406</v>
      </c>
      <c r="E2661">
        <v>430</v>
      </c>
      <c r="F2661" t="s">
        <v>515</v>
      </c>
      <c r="G2661">
        <v>3.75</v>
      </c>
    </row>
    <row r="2662" spans="2:7" hidden="1">
      <c r="B2662" s="43">
        <v>44405</v>
      </c>
      <c r="C2662" t="s">
        <v>130</v>
      </c>
      <c r="D2662" s="48">
        <v>44406</v>
      </c>
      <c r="E2662">
        <v>430</v>
      </c>
      <c r="F2662" t="s">
        <v>514</v>
      </c>
      <c r="G2662">
        <v>0.95</v>
      </c>
    </row>
    <row r="2663" spans="2:7" hidden="1">
      <c r="B2663" s="43">
        <v>44405</v>
      </c>
      <c r="C2663" t="s">
        <v>130</v>
      </c>
      <c r="D2663" s="48">
        <v>44406</v>
      </c>
      <c r="E2663">
        <v>430</v>
      </c>
      <c r="F2663" t="s">
        <v>515</v>
      </c>
      <c r="G2663">
        <v>5.35</v>
      </c>
    </row>
    <row r="2664" spans="2:7" hidden="1">
      <c r="B2664" s="43">
        <v>44406</v>
      </c>
      <c r="C2664" t="s">
        <v>130</v>
      </c>
      <c r="D2664" s="48">
        <v>44406</v>
      </c>
      <c r="E2664">
        <v>430</v>
      </c>
      <c r="F2664" t="s">
        <v>514</v>
      </c>
      <c r="G2664">
        <v>10.85</v>
      </c>
    </row>
    <row r="2665" spans="2:7" hidden="1">
      <c r="B2665" s="43">
        <v>44406</v>
      </c>
      <c r="C2665" t="s">
        <v>130</v>
      </c>
      <c r="D2665" s="48">
        <v>44406</v>
      </c>
      <c r="E2665">
        <v>430</v>
      </c>
      <c r="F2665" t="s">
        <v>515</v>
      </c>
      <c r="G2665">
        <v>0.05</v>
      </c>
    </row>
    <row r="2666" spans="2:7" hidden="1">
      <c r="B2666" s="43">
        <v>44403</v>
      </c>
      <c r="C2666" t="s">
        <v>130</v>
      </c>
      <c r="D2666" s="48">
        <v>44406</v>
      </c>
      <c r="E2666">
        <v>435</v>
      </c>
      <c r="F2666" t="s">
        <v>514</v>
      </c>
      <c r="G2666">
        <v>1.4</v>
      </c>
    </row>
    <row r="2667" spans="2:7" hidden="1">
      <c r="B2667" s="43">
        <v>44403</v>
      </c>
      <c r="C2667" t="s">
        <v>130</v>
      </c>
      <c r="D2667" s="48">
        <v>44406</v>
      </c>
      <c r="E2667">
        <v>435</v>
      </c>
      <c r="F2667" t="s">
        <v>515</v>
      </c>
      <c r="G2667">
        <v>13.1</v>
      </c>
    </row>
    <row r="2668" spans="2:7" hidden="1">
      <c r="B2668" s="43">
        <v>44404</v>
      </c>
      <c r="C2668" t="s">
        <v>130</v>
      </c>
      <c r="D2668" s="48">
        <v>44406</v>
      </c>
      <c r="E2668">
        <v>435</v>
      </c>
      <c r="F2668" t="s">
        <v>514</v>
      </c>
      <c r="G2668">
        <v>1.55</v>
      </c>
    </row>
    <row r="2669" spans="2:7" hidden="1">
      <c r="B2669" s="43">
        <v>44404</v>
      </c>
      <c r="C2669" t="s">
        <v>130</v>
      </c>
      <c r="D2669" s="48">
        <v>44406</v>
      </c>
      <c r="E2669">
        <v>435</v>
      </c>
      <c r="F2669" t="s">
        <v>515</v>
      </c>
      <c r="G2669">
        <v>7.2</v>
      </c>
    </row>
    <row r="2670" spans="2:7" hidden="1">
      <c r="B2670" s="43">
        <v>44405</v>
      </c>
      <c r="C2670" t="s">
        <v>130</v>
      </c>
      <c r="D2670" s="48">
        <v>44406</v>
      </c>
      <c r="E2670">
        <v>435</v>
      </c>
      <c r="F2670" t="s">
        <v>514</v>
      </c>
      <c r="G2670">
        <v>0.4</v>
      </c>
    </row>
    <row r="2671" spans="2:7" hidden="1">
      <c r="B2671" s="43">
        <v>44405</v>
      </c>
      <c r="C2671" t="s">
        <v>130</v>
      </c>
      <c r="D2671" s="48">
        <v>44406</v>
      </c>
      <c r="E2671">
        <v>435</v>
      </c>
      <c r="F2671" t="s">
        <v>515</v>
      </c>
      <c r="G2671">
        <v>9.85</v>
      </c>
    </row>
    <row r="2672" spans="2:7" hidden="1">
      <c r="B2672" s="43">
        <v>44406</v>
      </c>
      <c r="C2672" t="s">
        <v>130</v>
      </c>
      <c r="D2672" s="48">
        <v>44406</v>
      </c>
      <c r="E2672">
        <v>435</v>
      </c>
      <c r="F2672" t="s">
        <v>514</v>
      </c>
      <c r="G2672">
        <v>5.9</v>
      </c>
    </row>
    <row r="2673" spans="2:7" hidden="1">
      <c r="B2673" s="43">
        <v>44406</v>
      </c>
      <c r="C2673" t="s">
        <v>130</v>
      </c>
      <c r="D2673" s="48">
        <v>44406</v>
      </c>
      <c r="E2673">
        <v>435</v>
      </c>
      <c r="F2673" t="s">
        <v>515</v>
      </c>
      <c r="G2673">
        <v>0.05</v>
      </c>
    </row>
    <row r="2674" spans="2:7" hidden="1">
      <c r="B2674" s="43">
        <v>44403</v>
      </c>
      <c r="C2674" t="s">
        <v>130</v>
      </c>
      <c r="D2674" s="48">
        <v>44406</v>
      </c>
      <c r="E2674">
        <v>440</v>
      </c>
      <c r="F2674" t="s">
        <v>514</v>
      </c>
      <c r="G2674">
        <v>0.9</v>
      </c>
    </row>
    <row r="2675" spans="2:7" hidden="1">
      <c r="B2675" s="43">
        <v>44403</v>
      </c>
      <c r="C2675" t="s">
        <v>130</v>
      </c>
      <c r="D2675" s="48">
        <v>44406</v>
      </c>
      <c r="E2675">
        <v>440</v>
      </c>
      <c r="F2675" t="s">
        <v>515</v>
      </c>
      <c r="G2675">
        <v>17.55</v>
      </c>
    </row>
    <row r="2676" spans="2:7" hidden="1">
      <c r="B2676" s="43">
        <v>44404</v>
      </c>
      <c r="C2676" t="s">
        <v>130</v>
      </c>
      <c r="D2676" s="48">
        <v>44406</v>
      </c>
      <c r="E2676">
        <v>440</v>
      </c>
      <c r="F2676" t="s">
        <v>514</v>
      </c>
      <c r="G2676">
        <v>0.8</v>
      </c>
    </row>
    <row r="2677" spans="2:7" hidden="1">
      <c r="B2677" s="43">
        <v>44404</v>
      </c>
      <c r="C2677" t="s">
        <v>130</v>
      </c>
      <c r="D2677" s="48">
        <v>44406</v>
      </c>
      <c r="E2677">
        <v>440</v>
      </c>
      <c r="F2677" t="s">
        <v>515</v>
      </c>
      <c r="G2677">
        <v>11.25</v>
      </c>
    </row>
    <row r="2678" spans="2:7" hidden="1">
      <c r="B2678" s="43">
        <v>44405</v>
      </c>
      <c r="C2678" t="s">
        <v>130</v>
      </c>
      <c r="D2678" s="48">
        <v>44406</v>
      </c>
      <c r="E2678">
        <v>440</v>
      </c>
      <c r="F2678" t="s">
        <v>514</v>
      </c>
      <c r="G2678">
        <v>0.15</v>
      </c>
    </row>
    <row r="2679" spans="2:7" hidden="1">
      <c r="B2679" s="43">
        <v>44405</v>
      </c>
      <c r="C2679" t="s">
        <v>130</v>
      </c>
      <c r="D2679" s="48">
        <v>44406</v>
      </c>
      <c r="E2679">
        <v>440</v>
      </c>
      <c r="F2679" t="s">
        <v>515</v>
      </c>
      <c r="G2679">
        <v>14.6</v>
      </c>
    </row>
    <row r="2680" spans="2:7" hidden="1">
      <c r="B2680" s="43">
        <v>44406</v>
      </c>
      <c r="C2680" t="s">
        <v>130</v>
      </c>
      <c r="D2680" s="48">
        <v>44406</v>
      </c>
      <c r="E2680">
        <v>440</v>
      </c>
      <c r="F2680" t="s">
        <v>514</v>
      </c>
      <c r="G2680">
        <v>1.1000000000000001</v>
      </c>
    </row>
    <row r="2681" spans="2:7" hidden="1">
      <c r="B2681" s="43">
        <v>44406</v>
      </c>
      <c r="C2681" t="s">
        <v>130</v>
      </c>
      <c r="D2681" s="48">
        <v>44406</v>
      </c>
      <c r="E2681">
        <v>440</v>
      </c>
      <c r="F2681" t="s">
        <v>515</v>
      </c>
      <c r="G2681">
        <v>0.1</v>
      </c>
    </row>
    <row r="2682" spans="2:7" hidden="1">
      <c r="B2682" s="43">
        <v>44403</v>
      </c>
      <c r="C2682" t="s">
        <v>130</v>
      </c>
      <c r="D2682" s="48">
        <v>44406</v>
      </c>
      <c r="E2682">
        <v>445</v>
      </c>
      <c r="F2682" t="s">
        <v>514</v>
      </c>
      <c r="G2682">
        <v>0.6</v>
      </c>
    </row>
    <row r="2683" spans="2:7" hidden="1">
      <c r="B2683" s="43">
        <v>44403</v>
      </c>
      <c r="C2683" t="s">
        <v>130</v>
      </c>
      <c r="D2683" s="48">
        <v>44406</v>
      </c>
      <c r="E2683">
        <v>445</v>
      </c>
      <c r="F2683" t="s">
        <v>515</v>
      </c>
      <c r="G2683">
        <v>21.95</v>
      </c>
    </row>
    <row r="2684" spans="2:7" hidden="1">
      <c r="B2684" s="43">
        <v>44404</v>
      </c>
      <c r="C2684" t="s">
        <v>130</v>
      </c>
      <c r="D2684" s="48">
        <v>44406</v>
      </c>
      <c r="E2684">
        <v>445</v>
      </c>
      <c r="F2684" t="s">
        <v>514</v>
      </c>
      <c r="G2684">
        <v>0.5</v>
      </c>
    </row>
    <row r="2685" spans="2:7" hidden="1">
      <c r="B2685" s="43">
        <v>44404</v>
      </c>
      <c r="C2685" t="s">
        <v>130</v>
      </c>
      <c r="D2685" s="48">
        <v>44406</v>
      </c>
      <c r="E2685">
        <v>445</v>
      </c>
      <c r="F2685" t="s">
        <v>515</v>
      </c>
      <c r="G2685">
        <v>15.8</v>
      </c>
    </row>
    <row r="2686" spans="2:7" hidden="1">
      <c r="B2686" s="43">
        <v>44405</v>
      </c>
      <c r="C2686" t="s">
        <v>130</v>
      </c>
      <c r="D2686" s="48">
        <v>44406</v>
      </c>
      <c r="E2686">
        <v>445</v>
      </c>
      <c r="F2686" t="s">
        <v>514</v>
      </c>
      <c r="G2686">
        <v>0.15</v>
      </c>
    </row>
    <row r="2687" spans="2:7" hidden="1">
      <c r="B2687" s="43">
        <v>44405</v>
      </c>
      <c r="C2687" t="s">
        <v>130</v>
      </c>
      <c r="D2687" s="48">
        <v>44406</v>
      </c>
      <c r="E2687">
        <v>445</v>
      </c>
      <c r="F2687" t="s">
        <v>515</v>
      </c>
      <c r="G2687">
        <v>19.600000000000001</v>
      </c>
    </row>
    <row r="2688" spans="2:7" hidden="1">
      <c r="B2688" s="43">
        <v>44406</v>
      </c>
      <c r="C2688" t="s">
        <v>130</v>
      </c>
      <c r="D2688" s="48">
        <v>44406</v>
      </c>
      <c r="E2688">
        <v>445</v>
      </c>
      <c r="F2688" t="s">
        <v>514</v>
      </c>
      <c r="G2688">
        <v>0.1</v>
      </c>
    </row>
    <row r="2689" spans="2:7" hidden="1">
      <c r="B2689" s="43">
        <v>44406</v>
      </c>
      <c r="C2689" t="s">
        <v>130</v>
      </c>
      <c r="D2689" s="48">
        <v>44406</v>
      </c>
      <c r="E2689">
        <v>445</v>
      </c>
      <c r="F2689" t="s">
        <v>515</v>
      </c>
      <c r="G2689">
        <v>4.5</v>
      </c>
    </row>
    <row r="2690" spans="2:7" hidden="1">
      <c r="B2690" s="43">
        <v>44403</v>
      </c>
      <c r="C2690" t="s">
        <v>130</v>
      </c>
      <c r="D2690" s="48">
        <v>44406</v>
      </c>
      <c r="E2690">
        <v>450</v>
      </c>
      <c r="F2690" t="s">
        <v>514</v>
      </c>
      <c r="G2690">
        <v>0.5</v>
      </c>
    </row>
    <row r="2691" spans="2:7" hidden="1">
      <c r="B2691" s="43">
        <v>44403</v>
      </c>
      <c r="C2691" t="s">
        <v>130</v>
      </c>
      <c r="D2691" s="48">
        <v>44406</v>
      </c>
      <c r="E2691">
        <v>450</v>
      </c>
      <c r="F2691" t="s">
        <v>515</v>
      </c>
      <c r="G2691">
        <v>26.7</v>
      </c>
    </row>
    <row r="2692" spans="2:7" hidden="1">
      <c r="B2692" s="43">
        <v>44404</v>
      </c>
      <c r="C2692" t="s">
        <v>130</v>
      </c>
      <c r="D2692" s="48">
        <v>44406</v>
      </c>
      <c r="E2692">
        <v>450</v>
      </c>
      <c r="F2692" t="s">
        <v>514</v>
      </c>
      <c r="G2692">
        <v>0.35</v>
      </c>
    </row>
    <row r="2693" spans="2:7" hidden="1">
      <c r="B2693" s="43">
        <v>44404</v>
      </c>
      <c r="C2693" t="s">
        <v>130</v>
      </c>
      <c r="D2693" s="48">
        <v>44406</v>
      </c>
      <c r="E2693">
        <v>450</v>
      </c>
      <c r="F2693" t="s">
        <v>515</v>
      </c>
      <c r="G2693">
        <v>20.75</v>
      </c>
    </row>
    <row r="2694" spans="2:7" hidden="1">
      <c r="B2694" s="43">
        <v>44405</v>
      </c>
      <c r="C2694" t="s">
        <v>130</v>
      </c>
      <c r="D2694" s="48">
        <v>44406</v>
      </c>
      <c r="E2694">
        <v>450</v>
      </c>
      <c r="F2694" t="s">
        <v>514</v>
      </c>
      <c r="G2694">
        <v>0.15</v>
      </c>
    </row>
    <row r="2695" spans="2:7" hidden="1">
      <c r="B2695" s="43">
        <v>44405</v>
      </c>
      <c r="C2695" t="s">
        <v>130</v>
      </c>
      <c r="D2695" s="48">
        <v>44406</v>
      </c>
      <c r="E2695">
        <v>450</v>
      </c>
      <c r="F2695" t="s">
        <v>515</v>
      </c>
      <c r="G2695">
        <v>24.65</v>
      </c>
    </row>
    <row r="2696" spans="2:7" hidden="1">
      <c r="B2696" s="43">
        <v>44406</v>
      </c>
      <c r="C2696" t="s">
        <v>130</v>
      </c>
      <c r="D2696" s="48">
        <v>44406</v>
      </c>
      <c r="E2696">
        <v>450</v>
      </c>
      <c r="F2696" t="s">
        <v>514</v>
      </c>
      <c r="G2696">
        <v>0.05</v>
      </c>
    </row>
    <row r="2697" spans="2:7" hidden="1">
      <c r="B2697" s="43">
        <v>44406</v>
      </c>
      <c r="C2697" t="s">
        <v>130</v>
      </c>
      <c r="D2697" s="48">
        <v>44406</v>
      </c>
      <c r="E2697">
        <v>450</v>
      </c>
      <c r="F2697" t="s">
        <v>515</v>
      </c>
      <c r="G2697">
        <v>8.85</v>
      </c>
    </row>
    <row r="2698" spans="2:7" hidden="1">
      <c r="B2698" s="43">
        <v>44403</v>
      </c>
      <c r="C2698" t="s">
        <v>130</v>
      </c>
      <c r="D2698" s="48">
        <v>44406</v>
      </c>
      <c r="E2698">
        <v>455</v>
      </c>
      <c r="F2698" t="s">
        <v>514</v>
      </c>
      <c r="G2698">
        <v>0.35</v>
      </c>
    </row>
    <row r="2699" spans="2:7" hidden="1">
      <c r="B2699" s="43">
        <v>44403</v>
      </c>
      <c r="C2699" t="s">
        <v>130</v>
      </c>
      <c r="D2699" s="48">
        <v>44406</v>
      </c>
      <c r="E2699">
        <v>455</v>
      </c>
      <c r="F2699" t="s">
        <v>515</v>
      </c>
      <c r="G2699">
        <v>33.950000000000003</v>
      </c>
    </row>
    <row r="2700" spans="2:7" hidden="1">
      <c r="B2700" s="43">
        <v>44404</v>
      </c>
      <c r="C2700" t="s">
        <v>130</v>
      </c>
      <c r="D2700" s="48">
        <v>44406</v>
      </c>
      <c r="E2700">
        <v>455</v>
      </c>
      <c r="F2700" t="s">
        <v>514</v>
      </c>
      <c r="G2700">
        <v>0.25</v>
      </c>
    </row>
    <row r="2701" spans="2:7" hidden="1">
      <c r="B2701" s="43">
        <v>44404</v>
      </c>
      <c r="C2701" t="s">
        <v>130</v>
      </c>
      <c r="D2701" s="48">
        <v>44406</v>
      </c>
      <c r="E2701">
        <v>455</v>
      </c>
      <c r="F2701" t="s">
        <v>515</v>
      </c>
      <c r="G2701">
        <v>25.5</v>
      </c>
    </row>
    <row r="2702" spans="2:7" hidden="1">
      <c r="B2702" s="43">
        <v>44405</v>
      </c>
      <c r="C2702" t="s">
        <v>130</v>
      </c>
      <c r="D2702" s="48">
        <v>44406</v>
      </c>
      <c r="E2702">
        <v>455</v>
      </c>
      <c r="F2702" t="s">
        <v>514</v>
      </c>
      <c r="G2702">
        <v>0.1</v>
      </c>
    </row>
    <row r="2703" spans="2:7" hidden="1">
      <c r="B2703" s="43">
        <v>44405</v>
      </c>
      <c r="C2703" t="s">
        <v>130</v>
      </c>
      <c r="D2703" s="48">
        <v>44406</v>
      </c>
      <c r="E2703">
        <v>455</v>
      </c>
      <c r="F2703" t="s">
        <v>515</v>
      </c>
      <c r="G2703">
        <v>25.5</v>
      </c>
    </row>
    <row r="2704" spans="2:7" hidden="1">
      <c r="B2704" s="43">
        <v>44406</v>
      </c>
      <c r="C2704" t="s">
        <v>130</v>
      </c>
      <c r="D2704" s="48">
        <v>44406</v>
      </c>
      <c r="E2704">
        <v>455</v>
      </c>
      <c r="F2704" t="s">
        <v>514</v>
      </c>
      <c r="G2704">
        <v>0.05</v>
      </c>
    </row>
    <row r="2705" spans="2:7" hidden="1">
      <c r="B2705" s="43">
        <v>44406</v>
      </c>
      <c r="C2705" t="s">
        <v>130</v>
      </c>
      <c r="D2705" s="48">
        <v>44406</v>
      </c>
      <c r="E2705">
        <v>455</v>
      </c>
      <c r="F2705" t="s">
        <v>515</v>
      </c>
      <c r="G2705">
        <v>13.5</v>
      </c>
    </row>
    <row r="2706" spans="2:7" hidden="1">
      <c r="B2706" s="43">
        <v>44403</v>
      </c>
      <c r="C2706" t="s">
        <v>130</v>
      </c>
      <c r="D2706" s="48">
        <v>44406</v>
      </c>
      <c r="E2706">
        <v>460</v>
      </c>
      <c r="F2706" t="s">
        <v>514</v>
      </c>
      <c r="G2706">
        <v>0.25</v>
      </c>
    </row>
    <row r="2707" spans="2:7" hidden="1">
      <c r="B2707" s="43">
        <v>44403</v>
      </c>
      <c r="C2707" t="s">
        <v>130</v>
      </c>
      <c r="D2707" s="48">
        <v>44406</v>
      </c>
      <c r="E2707">
        <v>460</v>
      </c>
      <c r="F2707" t="s">
        <v>515</v>
      </c>
      <c r="G2707">
        <v>36.200000000000003</v>
      </c>
    </row>
    <row r="2708" spans="2:7" hidden="1">
      <c r="B2708" s="43">
        <v>44404</v>
      </c>
      <c r="C2708" t="s">
        <v>130</v>
      </c>
      <c r="D2708" s="48">
        <v>44406</v>
      </c>
      <c r="E2708">
        <v>460</v>
      </c>
      <c r="F2708" t="s">
        <v>514</v>
      </c>
      <c r="G2708">
        <v>0.2</v>
      </c>
    </row>
    <row r="2709" spans="2:7" hidden="1">
      <c r="B2709" s="43">
        <v>44404</v>
      </c>
      <c r="C2709" t="s">
        <v>130</v>
      </c>
      <c r="D2709" s="48">
        <v>44406</v>
      </c>
      <c r="E2709">
        <v>460</v>
      </c>
      <c r="F2709" t="s">
        <v>515</v>
      </c>
      <c r="G2709">
        <v>32.6</v>
      </c>
    </row>
    <row r="2710" spans="2:7" hidden="1">
      <c r="B2710" s="43">
        <v>44405</v>
      </c>
      <c r="C2710" t="s">
        <v>130</v>
      </c>
      <c r="D2710" s="48">
        <v>44406</v>
      </c>
      <c r="E2710">
        <v>460</v>
      </c>
      <c r="F2710" t="s">
        <v>514</v>
      </c>
      <c r="G2710">
        <v>0.1</v>
      </c>
    </row>
    <row r="2711" spans="2:7" hidden="1">
      <c r="B2711" s="43">
        <v>44405</v>
      </c>
      <c r="C2711" t="s">
        <v>130</v>
      </c>
      <c r="D2711" s="48">
        <v>44406</v>
      </c>
      <c r="E2711">
        <v>460</v>
      </c>
      <c r="F2711" t="s">
        <v>515</v>
      </c>
      <c r="G2711">
        <v>34.799999999999997</v>
      </c>
    </row>
    <row r="2712" spans="2:7" hidden="1">
      <c r="B2712" s="43">
        <v>44406</v>
      </c>
      <c r="C2712" t="s">
        <v>130</v>
      </c>
      <c r="D2712" s="48">
        <v>44406</v>
      </c>
      <c r="E2712">
        <v>460</v>
      </c>
      <c r="F2712" t="s">
        <v>514</v>
      </c>
      <c r="G2712">
        <v>0.05</v>
      </c>
    </row>
    <row r="2713" spans="2:7" hidden="1">
      <c r="B2713" s="43">
        <v>44406</v>
      </c>
      <c r="C2713" t="s">
        <v>130</v>
      </c>
      <c r="D2713" s="48">
        <v>44406</v>
      </c>
      <c r="E2713">
        <v>460</v>
      </c>
      <c r="F2713" t="s">
        <v>515</v>
      </c>
      <c r="G2713">
        <v>22.3</v>
      </c>
    </row>
    <row r="2714" spans="2:7" hidden="1">
      <c r="B2714" s="43">
        <v>44403</v>
      </c>
      <c r="C2714" t="s">
        <v>130</v>
      </c>
      <c r="D2714" s="48">
        <v>44406</v>
      </c>
      <c r="E2714">
        <v>465</v>
      </c>
      <c r="F2714" t="s">
        <v>514</v>
      </c>
      <c r="G2714">
        <v>0.15</v>
      </c>
    </row>
    <row r="2715" spans="2:7" hidden="1">
      <c r="B2715" s="43">
        <v>44403</v>
      </c>
      <c r="C2715" t="s">
        <v>130</v>
      </c>
      <c r="D2715" s="48">
        <v>44406</v>
      </c>
      <c r="E2715">
        <v>465</v>
      </c>
      <c r="F2715" t="s">
        <v>515</v>
      </c>
      <c r="G2715">
        <v>38.65</v>
      </c>
    </row>
    <row r="2716" spans="2:7" hidden="1">
      <c r="B2716" s="43">
        <v>44404</v>
      </c>
      <c r="C2716" t="s">
        <v>130</v>
      </c>
      <c r="D2716" s="48">
        <v>44406</v>
      </c>
      <c r="E2716">
        <v>465</v>
      </c>
      <c r="F2716" t="s">
        <v>514</v>
      </c>
      <c r="G2716">
        <v>0.05</v>
      </c>
    </row>
    <row r="2717" spans="2:7" hidden="1">
      <c r="B2717" s="43">
        <v>44404</v>
      </c>
      <c r="C2717" t="s">
        <v>130</v>
      </c>
      <c r="D2717" s="48">
        <v>44406</v>
      </c>
      <c r="E2717">
        <v>465</v>
      </c>
      <c r="F2717" t="s">
        <v>515</v>
      </c>
      <c r="G2717">
        <v>38.65</v>
      </c>
    </row>
    <row r="2718" spans="2:7" hidden="1">
      <c r="B2718" s="43">
        <v>44405</v>
      </c>
      <c r="C2718" t="s">
        <v>130</v>
      </c>
      <c r="D2718" s="48">
        <v>44406</v>
      </c>
      <c r="E2718">
        <v>465</v>
      </c>
      <c r="F2718" t="s">
        <v>514</v>
      </c>
      <c r="G2718">
        <v>0.05</v>
      </c>
    </row>
    <row r="2719" spans="2:7" hidden="1">
      <c r="B2719" s="43">
        <v>44405</v>
      </c>
      <c r="C2719" t="s">
        <v>130</v>
      </c>
      <c r="D2719" s="48">
        <v>44406</v>
      </c>
      <c r="E2719">
        <v>465</v>
      </c>
      <c r="F2719" t="s">
        <v>515</v>
      </c>
      <c r="G2719">
        <v>38.65</v>
      </c>
    </row>
    <row r="2720" spans="2:7" hidden="1">
      <c r="B2720" s="43">
        <v>44406</v>
      </c>
      <c r="C2720" t="s">
        <v>130</v>
      </c>
      <c r="D2720" s="48">
        <v>44406</v>
      </c>
      <c r="E2720">
        <v>465</v>
      </c>
      <c r="F2720" t="s">
        <v>514</v>
      </c>
      <c r="G2720">
        <v>0.05</v>
      </c>
    </row>
    <row r="2721" spans="2:7" hidden="1">
      <c r="B2721" s="43">
        <v>44406</v>
      </c>
      <c r="C2721" t="s">
        <v>130</v>
      </c>
      <c r="D2721" s="48">
        <v>44406</v>
      </c>
      <c r="E2721">
        <v>465</v>
      </c>
      <c r="F2721" t="s">
        <v>515</v>
      </c>
      <c r="G2721">
        <v>27.55</v>
      </c>
    </row>
    <row r="2722" spans="2:7" hidden="1">
      <c r="B2722" s="43">
        <v>44403</v>
      </c>
      <c r="C2722" t="s">
        <v>130</v>
      </c>
      <c r="D2722" s="48">
        <v>44406</v>
      </c>
      <c r="E2722">
        <v>470</v>
      </c>
      <c r="F2722" t="s">
        <v>514</v>
      </c>
      <c r="G2722">
        <v>0.15</v>
      </c>
    </row>
    <row r="2723" spans="2:7" hidden="1">
      <c r="B2723" s="43">
        <v>44403</v>
      </c>
      <c r="C2723" t="s">
        <v>130</v>
      </c>
      <c r="D2723" s="48">
        <v>44406</v>
      </c>
      <c r="E2723">
        <v>470</v>
      </c>
      <c r="F2723" t="s">
        <v>515</v>
      </c>
      <c r="G2723">
        <v>44.55</v>
      </c>
    </row>
    <row r="2724" spans="2:7" hidden="1">
      <c r="B2724" s="43">
        <v>44404</v>
      </c>
      <c r="C2724" t="s">
        <v>130</v>
      </c>
      <c r="D2724" s="48">
        <v>44406</v>
      </c>
      <c r="E2724">
        <v>470</v>
      </c>
      <c r="F2724" t="s">
        <v>514</v>
      </c>
      <c r="G2724">
        <v>0.1</v>
      </c>
    </row>
    <row r="2725" spans="2:7" hidden="1">
      <c r="B2725" s="43">
        <v>44404</v>
      </c>
      <c r="C2725" t="s">
        <v>130</v>
      </c>
      <c r="D2725" s="48">
        <v>44406</v>
      </c>
      <c r="E2725">
        <v>470</v>
      </c>
      <c r="F2725" t="s">
        <v>515</v>
      </c>
      <c r="G2725">
        <v>41.5</v>
      </c>
    </row>
    <row r="2726" spans="2:7" hidden="1">
      <c r="B2726" s="43">
        <v>44405</v>
      </c>
      <c r="C2726" t="s">
        <v>130</v>
      </c>
      <c r="D2726" s="48">
        <v>44406</v>
      </c>
      <c r="E2726">
        <v>470</v>
      </c>
      <c r="F2726" t="s">
        <v>514</v>
      </c>
      <c r="G2726">
        <v>0.05</v>
      </c>
    </row>
    <row r="2727" spans="2:7" hidden="1">
      <c r="B2727" s="43">
        <v>44405</v>
      </c>
      <c r="C2727" t="s">
        <v>130</v>
      </c>
      <c r="D2727" s="48">
        <v>44406</v>
      </c>
      <c r="E2727">
        <v>470</v>
      </c>
      <c r="F2727" t="s">
        <v>515</v>
      </c>
      <c r="G2727">
        <v>41.5</v>
      </c>
    </row>
    <row r="2728" spans="2:7" hidden="1">
      <c r="B2728" s="43">
        <v>44406</v>
      </c>
      <c r="C2728" t="s">
        <v>130</v>
      </c>
      <c r="D2728" s="48">
        <v>44406</v>
      </c>
      <c r="E2728">
        <v>470</v>
      </c>
      <c r="F2728" t="s">
        <v>514</v>
      </c>
      <c r="G2728">
        <v>0.05</v>
      </c>
    </row>
    <row r="2729" spans="2:7" hidden="1">
      <c r="B2729" s="43">
        <v>44406</v>
      </c>
      <c r="C2729" t="s">
        <v>130</v>
      </c>
      <c r="D2729" s="48">
        <v>44406</v>
      </c>
      <c r="E2729">
        <v>470</v>
      </c>
      <c r="F2729" t="s">
        <v>515</v>
      </c>
      <c r="G2729">
        <v>30.05</v>
      </c>
    </row>
    <row r="2730" spans="2:7" hidden="1">
      <c r="B2730" s="43">
        <v>44403</v>
      </c>
      <c r="C2730" t="s">
        <v>130</v>
      </c>
      <c r="D2730" s="48">
        <v>44406</v>
      </c>
      <c r="E2730">
        <v>475</v>
      </c>
      <c r="F2730" t="s">
        <v>514</v>
      </c>
      <c r="G2730">
        <v>0.15</v>
      </c>
    </row>
    <row r="2731" spans="2:7" hidden="1">
      <c r="B2731" s="43">
        <v>44403</v>
      </c>
      <c r="C2731" t="s">
        <v>130</v>
      </c>
      <c r="D2731" s="48">
        <v>44406</v>
      </c>
      <c r="E2731">
        <v>475</v>
      </c>
      <c r="F2731" t="s">
        <v>515</v>
      </c>
      <c r="G2731">
        <v>119.55</v>
      </c>
    </row>
    <row r="2732" spans="2:7" hidden="1">
      <c r="B2732" s="43">
        <v>44404</v>
      </c>
      <c r="C2732" t="s">
        <v>130</v>
      </c>
      <c r="D2732" s="48">
        <v>44406</v>
      </c>
      <c r="E2732">
        <v>475</v>
      </c>
      <c r="F2732" t="s">
        <v>514</v>
      </c>
      <c r="G2732">
        <v>0.1</v>
      </c>
    </row>
    <row r="2733" spans="2:7" hidden="1">
      <c r="B2733" s="43">
        <v>44404</v>
      </c>
      <c r="C2733" t="s">
        <v>130</v>
      </c>
      <c r="D2733" s="48">
        <v>44406</v>
      </c>
      <c r="E2733">
        <v>475</v>
      </c>
      <c r="F2733" t="s">
        <v>515</v>
      </c>
      <c r="G2733">
        <v>119.55</v>
      </c>
    </row>
    <row r="2734" spans="2:7" hidden="1">
      <c r="B2734" s="43">
        <v>44405</v>
      </c>
      <c r="C2734" t="s">
        <v>130</v>
      </c>
      <c r="D2734" s="48">
        <v>44406</v>
      </c>
      <c r="E2734">
        <v>475</v>
      </c>
      <c r="F2734" t="s">
        <v>514</v>
      </c>
      <c r="G2734">
        <v>0.1</v>
      </c>
    </row>
    <row r="2735" spans="2:7" hidden="1">
      <c r="B2735" s="43">
        <v>44405</v>
      </c>
      <c r="C2735" t="s">
        <v>130</v>
      </c>
      <c r="D2735" s="48">
        <v>44406</v>
      </c>
      <c r="E2735">
        <v>475</v>
      </c>
      <c r="F2735" t="s">
        <v>515</v>
      </c>
      <c r="G2735">
        <v>119.55</v>
      </c>
    </row>
    <row r="2736" spans="2:7" hidden="1">
      <c r="B2736" s="43">
        <v>44406</v>
      </c>
      <c r="C2736" t="s">
        <v>130</v>
      </c>
      <c r="D2736" s="48">
        <v>44406</v>
      </c>
      <c r="E2736">
        <v>475</v>
      </c>
      <c r="F2736" t="s">
        <v>514</v>
      </c>
      <c r="G2736">
        <v>0.05</v>
      </c>
    </row>
    <row r="2737" spans="2:7" hidden="1">
      <c r="B2737" s="43">
        <v>44406</v>
      </c>
      <c r="C2737" t="s">
        <v>130</v>
      </c>
      <c r="D2737" s="48">
        <v>44406</v>
      </c>
      <c r="E2737">
        <v>475</v>
      </c>
      <c r="F2737" t="s">
        <v>515</v>
      </c>
      <c r="G2737">
        <v>119.55</v>
      </c>
    </row>
    <row r="2738" spans="2:7" hidden="1">
      <c r="B2738" s="43">
        <v>44403</v>
      </c>
      <c r="C2738" t="s">
        <v>130</v>
      </c>
      <c r="D2738" s="48">
        <v>44406</v>
      </c>
      <c r="E2738">
        <v>480</v>
      </c>
      <c r="F2738" t="s">
        <v>514</v>
      </c>
      <c r="G2738">
        <v>0.15</v>
      </c>
    </row>
    <row r="2739" spans="2:7" hidden="1">
      <c r="B2739" s="43">
        <v>44403</v>
      </c>
      <c r="C2739" t="s">
        <v>130</v>
      </c>
      <c r="D2739" s="48">
        <v>44406</v>
      </c>
      <c r="E2739">
        <v>480</v>
      </c>
      <c r="F2739" t="s">
        <v>515</v>
      </c>
      <c r="G2739">
        <v>55.9</v>
      </c>
    </row>
    <row r="2740" spans="2:7" hidden="1">
      <c r="B2740" s="43">
        <v>44404</v>
      </c>
      <c r="C2740" t="s">
        <v>130</v>
      </c>
      <c r="D2740" s="48">
        <v>44406</v>
      </c>
      <c r="E2740">
        <v>480</v>
      </c>
      <c r="F2740" t="s">
        <v>514</v>
      </c>
      <c r="G2740">
        <v>0.1</v>
      </c>
    </row>
    <row r="2741" spans="2:7" hidden="1">
      <c r="B2741" s="43">
        <v>44404</v>
      </c>
      <c r="C2741" t="s">
        <v>130</v>
      </c>
      <c r="D2741" s="48">
        <v>44406</v>
      </c>
      <c r="E2741">
        <v>480</v>
      </c>
      <c r="F2741" t="s">
        <v>515</v>
      </c>
      <c r="G2741">
        <v>51.2</v>
      </c>
    </row>
    <row r="2742" spans="2:7" hidden="1">
      <c r="B2742" s="43">
        <v>44405</v>
      </c>
      <c r="C2742" t="s">
        <v>130</v>
      </c>
      <c r="D2742" s="48">
        <v>44406</v>
      </c>
      <c r="E2742">
        <v>480</v>
      </c>
      <c r="F2742" t="s">
        <v>514</v>
      </c>
      <c r="G2742">
        <v>0.1</v>
      </c>
    </row>
    <row r="2743" spans="2:7" hidden="1">
      <c r="B2743" s="43">
        <v>44405</v>
      </c>
      <c r="C2743" t="s">
        <v>130</v>
      </c>
      <c r="D2743" s="48">
        <v>44406</v>
      </c>
      <c r="E2743">
        <v>480</v>
      </c>
      <c r="F2743" t="s">
        <v>515</v>
      </c>
      <c r="G2743">
        <v>53.15</v>
      </c>
    </row>
    <row r="2744" spans="2:7" hidden="1">
      <c r="B2744" s="43">
        <v>44406</v>
      </c>
      <c r="C2744" t="s">
        <v>130</v>
      </c>
      <c r="D2744" s="48">
        <v>44406</v>
      </c>
      <c r="E2744">
        <v>480</v>
      </c>
      <c r="F2744" t="s">
        <v>514</v>
      </c>
      <c r="G2744">
        <v>0.05</v>
      </c>
    </row>
    <row r="2745" spans="2:7" hidden="1">
      <c r="B2745" s="43">
        <v>44406</v>
      </c>
      <c r="C2745" t="s">
        <v>130</v>
      </c>
      <c r="D2745" s="48">
        <v>44406</v>
      </c>
      <c r="E2745">
        <v>480</v>
      </c>
      <c r="F2745" t="s">
        <v>515</v>
      </c>
      <c r="G2745">
        <v>53.15</v>
      </c>
    </row>
    <row r="2746" spans="2:7" hidden="1">
      <c r="B2746" s="43">
        <v>44403</v>
      </c>
      <c r="C2746" t="s">
        <v>130</v>
      </c>
      <c r="D2746" s="48">
        <v>44406</v>
      </c>
      <c r="E2746">
        <v>485</v>
      </c>
      <c r="F2746" t="s">
        <v>514</v>
      </c>
      <c r="G2746">
        <v>0.15</v>
      </c>
    </row>
    <row r="2747" spans="2:7" hidden="1">
      <c r="B2747" s="43">
        <v>44403</v>
      </c>
      <c r="C2747" t="s">
        <v>130</v>
      </c>
      <c r="D2747" s="48">
        <v>44406</v>
      </c>
      <c r="E2747">
        <v>485</v>
      </c>
      <c r="F2747" t="s">
        <v>515</v>
      </c>
      <c r="G2747">
        <v>128.30000000000001</v>
      </c>
    </row>
    <row r="2748" spans="2:7" hidden="1">
      <c r="B2748" s="43">
        <v>44404</v>
      </c>
      <c r="C2748" t="s">
        <v>130</v>
      </c>
      <c r="D2748" s="48">
        <v>44406</v>
      </c>
      <c r="E2748">
        <v>485</v>
      </c>
      <c r="F2748" t="s">
        <v>514</v>
      </c>
      <c r="G2748">
        <v>0.1</v>
      </c>
    </row>
    <row r="2749" spans="2:7" hidden="1">
      <c r="B2749" s="43">
        <v>44404</v>
      </c>
      <c r="C2749" t="s">
        <v>130</v>
      </c>
      <c r="D2749" s="48">
        <v>44406</v>
      </c>
      <c r="E2749">
        <v>485</v>
      </c>
      <c r="F2749" t="s">
        <v>515</v>
      </c>
      <c r="G2749">
        <v>128.30000000000001</v>
      </c>
    </row>
    <row r="2750" spans="2:7" hidden="1">
      <c r="B2750" s="43">
        <v>44405</v>
      </c>
      <c r="C2750" t="s">
        <v>130</v>
      </c>
      <c r="D2750" s="48">
        <v>44406</v>
      </c>
      <c r="E2750">
        <v>485</v>
      </c>
      <c r="F2750" t="s">
        <v>514</v>
      </c>
      <c r="G2750">
        <v>0.05</v>
      </c>
    </row>
    <row r="2751" spans="2:7" hidden="1">
      <c r="B2751" s="43">
        <v>44405</v>
      </c>
      <c r="C2751" t="s">
        <v>130</v>
      </c>
      <c r="D2751" s="48">
        <v>44406</v>
      </c>
      <c r="E2751">
        <v>485</v>
      </c>
      <c r="F2751" t="s">
        <v>515</v>
      </c>
      <c r="G2751">
        <v>128.30000000000001</v>
      </c>
    </row>
    <row r="2752" spans="2:7" hidden="1">
      <c r="B2752" s="43">
        <v>44406</v>
      </c>
      <c r="C2752" t="s">
        <v>130</v>
      </c>
      <c r="D2752" s="48">
        <v>44406</v>
      </c>
      <c r="E2752">
        <v>485</v>
      </c>
      <c r="F2752" t="s">
        <v>514</v>
      </c>
      <c r="G2752">
        <v>0.05</v>
      </c>
    </row>
    <row r="2753" spans="2:7" hidden="1">
      <c r="B2753" s="43">
        <v>44406</v>
      </c>
      <c r="C2753" t="s">
        <v>130</v>
      </c>
      <c r="D2753" s="48">
        <v>44406</v>
      </c>
      <c r="E2753">
        <v>485</v>
      </c>
      <c r="F2753" t="s">
        <v>515</v>
      </c>
      <c r="G2753">
        <v>128.30000000000001</v>
      </c>
    </row>
    <row r="2754" spans="2:7" hidden="1">
      <c r="B2754" s="43">
        <v>44403</v>
      </c>
      <c r="C2754" t="s">
        <v>130</v>
      </c>
      <c r="D2754" s="48">
        <v>44406</v>
      </c>
      <c r="E2754">
        <v>490</v>
      </c>
      <c r="F2754" t="s">
        <v>514</v>
      </c>
      <c r="G2754">
        <v>0.1</v>
      </c>
    </row>
    <row r="2755" spans="2:7" hidden="1">
      <c r="B2755" s="43">
        <v>44403</v>
      </c>
      <c r="C2755" t="s">
        <v>130</v>
      </c>
      <c r="D2755" s="48">
        <v>44406</v>
      </c>
      <c r="E2755">
        <v>490</v>
      </c>
      <c r="F2755" t="s">
        <v>515</v>
      </c>
      <c r="G2755">
        <v>132.75</v>
      </c>
    </row>
    <row r="2756" spans="2:7" hidden="1">
      <c r="B2756" s="43">
        <v>44404</v>
      </c>
      <c r="C2756" t="s">
        <v>130</v>
      </c>
      <c r="D2756" s="48">
        <v>44406</v>
      </c>
      <c r="E2756">
        <v>490</v>
      </c>
      <c r="F2756" t="s">
        <v>514</v>
      </c>
      <c r="G2756">
        <v>0.1</v>
      </c>
    </row>
    <row r="2757" spans="2:7" hidden="1">
      <c r="B2757" s="43">
        <v>44404</v>
      </c>
      <c r="C2757" t="s">
        <v>130</v>
      </c>
      <c r="D2757" s="48">
        <v>44406</v>
      </c>
      <c r="E2757">
        <v>490</v>
      </c>
      <c r="F2757" t="s">
        <v>515</v>
      </c>
      <c r="G2757">
        <v>132.75</v>
      </c>
    </row>
    <row r="2758" spans="2:7" hidden="1">
      <c r="B2758" s="43">
        <v>44405</v>
      </c>
      <c r="C2758" t="s">
        <v>130</v>
      </c>
      <c r="D2758" s="48">
        <v>44406</v>
      </c>
      <c r="E2758">
        <v>490</v>
      </c>
      <c r="F2758" t="s">
        <v>514</v>
      </c>
      <c r="G2758">
        <v>0.1</v>
      </c>
    </row>
    <row r="2759" spans="2:7" hidden="1">
      <c r="B2759" s="43">
        <v>44405</v>
      </c>
      <c r="C2759" t="s">
        <v>130</v>
      </c>
      <c r="D2759" s="48">
        <v>44406</v>
      </c>
      <c r="E2759">
        <v>490</v>
      </c>
      <c r="F2759" t="s">
        <v>515</v>
      </c>
      <c r="G2759">
        <v>132.75</v>
      </c>
    </row>
    <row r="2760" spans="2:7" hidden="1">
      <c r="B2760" s="43">
        <v>44406</v>
      </c>
      <c r="C2760" t="s">
        <v>130</v>
      </c>
      <c r="D2760" s="48">
        <v>44406</v>
      </c>
      <c r="E2760">
        <v>490</v>
      </c>
      <c r="F2760" t="s">
        <v>514</v>
      </c>
      <c r="G2760">
        <v>0.05</v>
      </c>
    </row>
    <row r="2761" spans="2:7" hidden="1">
      <c r="B2761" s="43">
        <v>44406</v>
      </c>
      <c r="C2761" t="s">
        <v>130</v>
      </c>
      <c r="D2761" s="48">
        <v>44406</v>
      </c>
      <c r="E2761">
        <v>490</v>
      </c>
      <c r="F2761" t="s">
        <v>515</v>
      </c>
      <c r="G2761">
        <v>132.75</v>
      </c>
    </row>
    <row r="2762" spans="2:7" hidden="1">
      <c r="B2762" s="43">
        <v>44403</v>
      </c>
      <c r="C2762" t="s">
        <v>130</v>
      </c>
      <c r="D2762" s="48">
        <v>44406</v>
      </c>
      <c r="E2762">
        <v>495</v>
      </c>
      <c r="F2762" t="s">
        <v>514</v>
      </c>
      <c r="G2762">
        <v>0.05</v>
      </c>
    </row>
    <row r="2763" spans="2:7" hidden="1">
      <c r="B2763" s="43">
        <v>44403</v>
      </c>
      <c r="C2763" t="s">
        <v>130</v>
      </c>
      <c r="D2763" s="48">
        <v>44406</v>
      </c>
      <c r="E2763">
        <v>495</v>
      </c>
      <c r="F2763" t="s">
        <v>515</v>
      </c>
      <c r="G2763">
        <v>137.19999999999999</v>
      </c>
    </row>
    <row r="2764" spans="2:7" hidden="1">
      <c r="B2764" s="43">
        <v>44404</v>
      </c>
      <c r="C2764" t="s">
        <v>130</v>
      </c>
      <c r="D2764" s="48">
        <v>44406</v>
      </c>
      <c r="E2764">
        <v>495</v>
      </c>
      <c r="F2764" t="s">
        <v>514</v>
      </c>
      <c r="G2764">
        <v>0.05</v>
      </c>
    </row>
    <row r="2765" spans="2:7" hidden="1">
      <c r="B2765" s="43">
        <v>44404</v>
      </c>
      <c r="C2765" t="s">
        <v>130</v>
      </c>
      <c r="D2765" s="48">
        <v>44406</v>
      </c>
      <c r="E2765">
        <v>495</v>
      </c>
      <c r="F2765" t="s">
        <v>515</v>
      </c>
      <c r="G2765">
        <v>137.19999999999999</v>
      </c>
    </row>
    <row r="2766" spans="2:7" hidden="1">
      <c r="B2766" s="43">
        <v>44405</v>
      </c>
      <c r="C2766" t="s">
        <v>130</v>
      </c>
      <c r="D2766" s="48">
        <v>44406</v>
      </c>
      <c r="E2766">
        <v>495</v>
      </c>
      <c r="F2766" t="s">
        <v>514</v>
      </c>
      <c r="G2766">
        <v>0.05</v>
      </c>
    </row>
    <row r="2767" spans="2:7" hidden="1">
      <c r="B2767" s="43">
        <v>44405</v>
      </c>
      <c r="C2767" t="s">
        <v>130</v>
      </c>
      <c r="D2767" s="48">
        <v>44406</v>
      </c>
      <c r="E2767">
        <v>495</v>
      </c>
      <c r="F2767" t="s">
        <v>515</v>
      </c>
      <c r="G2767">
        <v>137.19999999999999</v>
      </c>
    </row>
    <row r="2768" spans="2:7" hidden="1">
      <c r="B2768" s="43">
        <v>44406</v>
      </c>
      <c r="C2768" t="s">
        <v>130</v>
      </c>
      <c r="D2768" s="48">
        <v>44406</v>
      </c>
      <c r="E2768">
        <v>495</v>
      </c>
      <c r="F2768" t="s">
        <v>514</v>
      </c>
      <c r="G2768">
        <v>0.05</v>
      </c>
    </row>
    <row r="2769" spans="2:7" hidden="1">
      <c r="B2769" s="43">
        <v>44406</v>
      </c>
      <c r="C2769" t="s">
        <v>130</v>
      </c>
      <c r="D2769" s="48">
        <v>44406</v>
      </c>
      <c r="E2769">
        <v>495</v>
      </c>
      <c r="F2769" t="s">
        <v>515</v>
      </c>
      <c r="G2769">
        <v>137.19999999999999</v>
      </c>
    </row>
    <row r="2770" spans="2:7" hidden="1">
      <c r="B2770" s="43">
        <v>44403</v>
      </c>
      <c r="C2770" t="s">
        <v>130</v>
      </c>
      <c r="D2770" s="48">
        <v>44406</v>
      </c>
      <c r="E2770">
        <v>500</v>
      </c>
      <c r="F2770" t="s">
        <v>514</v>
      </c>
      <c r="G2770">
        <v>0.1</v>
      </c>
    </row>
    <row r="2771" spans="2:7" hidden="1">
      <c r="B2771" s="43">
        <v>44403</v>
      </c>
      <c r="C2771" t="s">
        <v>130</v>
      </c>
      <c r="D2771" s="48">
        <v>44406</v>
      </c>
      <c r="E2771">
        <v>500</v>
      </c>
      <c r="F2771" t="s">
        <v>515</v>
      </c>
      <c r="G2771">
        <v>75.5</v>
      </c>
    </row>
    <row r="2772" spans="2:7" hidden="1">
      <c r="B2772" s="43">
        <v>44404</v>
      </c>
      <c r="C2772" t="s">
        <v>130</v>
      </c>
      <c r="D2772" s="48">
        <v>44406</v>
      </c>
      <c r="E2772">
        <v>500</v>
      </c>
      <c r="F2772" t="s">
        <v>514</v>
      </c>
      <c r="G2772">
        <v>0.1</v>
      </c>
    </row>
    <row r="2773" spans="2:7" hidden="1">
      <c r="B2773" s="43">
        <v>44404</v>
      </c>
      <c r="C2773" t="s">
        <v>130</v>
      </c>
      <c r="D2773" s="48">
        <v>44406</v>
      </c>
      <c r="E2773">
        <v>500</v>
      </c>
      <c r="F2773" t="s">
        <v>515</v>
      </c>
      <c r="G2773">
        <v>70.55</v>
      </c>
    </row>
    <row r="2774" spans="2:7" hidden="1">
      <c r="B2774" s="43">
        <v>44405</v>
      </c>
      <c r="C2774" t="s">
        <v>130</v>
      </c>
      <c r="D2774" s="48">
        <v>44406</v>
      </c>
      <c r="E2774">
        <v>500</v>
      </c>
      <c r="F2774" t="s">
        <v>514</v>
      </c>
      <c r="G2774">
        <v>0.05</v>
      </c>
    </row>
    <row r="2775" spans="2:7" hidden="1">
      <c r="B2775" s="43">
        <v>44405</v>
      </c>
      <c r="C2775" t="s">
        <v>130</v>
      </c>
      <c r="D2775" s="48">
        <v>44406</v>
      </c>
      <c r="E2775">
        <v>500</v>
      </c>
      <c r="F2775" t="s">
        <v>515</v>
      </c>
      <c r="G2775">
        <v>74.75</v>
      </c>
    </row>
    <row r="2776" spans="2:7" hidden="1">
      <c r="B2776" s="43">
        <v>44406</v>
      </c>
      <c r="C2776" t="s">
        <v>130</v>
      </c>
      <c r="D2776" s="48">
        <v>44406</v>
      </c>
      <c r="E2776">
        <v>500</v>
      </c>
      <c r="F2776" t="s">
        <v>514</v>
      </c>
      <c r="G2776">
        <v>0.05</v>
      </c>
    </row>
    <row r="2777" spans="2:7" hidden="1">
      <c r="B2777" s="43">
        <v>44406</v>
      </c>
      <c r="C2777" t="s">
        <v>130</v>
      </c>
      <c r="D2777" s="48">
        <v>44406</v>
      </c>
      <c r="E2777">
        <v>500</v>
      </c>
      <c r="F2777" t="s">
        <v>515</v>
      </c>
      <c r="G2777">
        <v>62.5</v>
      </c>
    </row>
    <row r="2778" spans="2:7" hidden="1">
      <c r="B2778" s="43">
        <v>44403</v>
      </c>
      <c r="C2778" t="s">
        <v>130</v>
      </c>
      <c r="D2778" s="48">
        <v>44406</v>
      </c>
      <c r="E2778">
        <v>505</v>
      </c>
      <c r="F2778" t="s">
        <v>514</v>
      </c>
      <c r="G2778">
        <v>0.05</v>
      </c>
    </row>
    <row r="2779" spans="2:7" hidden="1">
      <c r="B2779" s="43">
        <v>44403</v>
      </c>
      <c r="C2779" t="s">
        <v>130</v>
      </c>
      <c r="D2779" s="48">
        <v>44406</v>
      </c>
      <c r="E2779">
        <v>505</v>
      </c>
      <c r="F2779" t="s">
        <v>515</v>
      </c>
      <c r="G2779">
        <v>146.25</v>
      </c>
    </row>
    <row r="2780" spans="2:7" hidden="1">
      <c r="B2780" s="43">
        <v>44404</v>
      </c>
      <c r="C2780" t="s">
        <v>130</v>
      </c>
      <c r="D2780" s="48">
        <v>44406</v>
      </c>
      <c r="E2780">
        <v>505</v>
      </c>
      <c r="F2780" t="s">
        <v>514</v>
      </c>
      <c r="G2780">
        <v>0.05</v>
      </c>
    </row>
    <row r="2781" spans="2:7" hidden="1">
      <c r="B2781" s="43">
        <v>44404</v>
      </c>
      <c r="C2781" t="s">
        <v>130</v>
      </c>
      <c r="D2781" s="48">
        <v>44406</v>
      </c>
      <c r="E2781">
        <v>505</v>
      </c>
      <c r="F2781" t="s">
        <v>515</v>
      </c>
      <c r="G2781">
        <v>146.25</v>
      </c>
    </row>
    <row r="2782" spans="2:7" hidden="1">
      <c r="B2782" s="43">
        <v>44405</v>
      </c>
      <c r="C2782" t="s">
        <v>130</v>
      </c>
      <c r="D2782" s="48">
        <v>44406</v>
      </c>
      <c r="E2782">
        <v>505</v>
      </c>
      <c r="F2782" t="s">
        <v>514</v>
      </c>
      <c r="G2782">
        <v>0.05</v>
      </c>
    </row>
    <row r="2783" spans="2:7" hidden="1">
      <c r="B2783" s="43">
        <v>44405</v>
      </c>
      <c r="C2783" t="s">
        <v>130</v>
      </c>
      <c r="D2783" s="48">
        <v>44406</v>
      </c>
      <c r="E2783">
        <v>505</v>
      </c>
      <c r="F2783" t="s">
        <v>515</v>
      </c>
      <c r="G2783">
        <v>146.25</v>
      </c>
    </row>
    <row r="2784" spans="2:7" hidden="1">
      <c r="B2784" s="43">
        <v>44406</v>
      </c>
      <c r="C2784" t="s">
        <v>130</v>
      </c>
      <c r="D2784" s="48">
        <v>44406</v>
      </c>
      <c r="E2784">
        <v>505</v>
      </c>
      <c r="F2784" t="s">
        <v>514</v>
      </c>
      <c r="G2784">
        <v>0.05</v>
      </c>
    </row>
    <row r="2785" spans="2:7" hidden="1">
      <c r="B2785" s="43">
        <v>44406</v>
      </c>
      <c r="C2785" t="s">
        <v>130</v>
      </c>
      <c r="D2785" s="48">
        <v>44406</v>
      </c>
      <c r="E2785">
        <v>505</v>
      </c>
      <c r="F2785" t="s">
        <v>515</v>
      </c>
      <c r="G2785">
        <v>146.25</v>
      </c>
    </row>
    <row r="2786" spans="2:7" hidden="1">
      <c r="B2786" s="43">
        <v>44403</v>
      </c>
      <c r="C2786" t="s">
        <v>130</v>
      </c>
      <c r="D2786" s="48">
        <v>44406</v>
      </c>
      <c r="E2786">
        <v>510</v>
      </c>
      <c r="F2786" t="s">
        <v>514</v>
      </c>
      <c r="G2786">
        <v>0.05</v>
      </c>
    </row>
    <row r="2787" spans="2:7" hidden="1">
      <c r="B2787" s="43">
        <v>44403</v>
      </c>
      <c r="C2787" t="s">
        <v>130</v>
      </c>
      <c r="D2787" s="48">
        <v>44406</v>
      </c>
      <c r="E2787">
        <v>510</v>
      </c>
      <c r="F2787" t="s">
        <v>515</v>
      </c>
      <c r="G2787">
        <v>150.85</v>
      </c>
    </row>
    <row r="2788" spans="2:7" hidden="1">
      <c r="B2788" s="43">
        <v>44404</v>
      </c>
      <c r="C2788" t="s">
        <v>130</v>
      </c>
      <c r="D2788" s="48">
        <v>44406</v>
      </c>
      <c r="E2788">
        <v>510</v>
      </c>
      <c r="F2788" t="s">
        <v>514</v>
      </c>
      <c r="G2788">
        <v>0.05</v>
      </c>
    </row>
    <row r="2789" spans="2:7" hidden="1">
      <c r="B2789" s="43">
        <v>44404</v>
      </c>
      <c r="C2789" t="s">
        <v>130</v>
      </c>
      <c r="D2789" s="48">
        <v>44406</v>
      </c>
      <c r="E2789">
        <v>510</v>
      </c>
      <c r="F2789" t="s">
        <v>515</v>
      </c>
      <c r="G2789">
        <v>150.85</v>
      </c>
    </row>
    <row r="2790" spans="2:7" hidden="1">
      <c r="B2790" s="43">
        <v>44405</v>
      </c>
      <c r="C2790" t="s">
        <v>130</v>
      </c>
      <c r="D2790" s="48">
        <v>44406</v>
      </c>
      <c r="E2790">
        <v>510</v>
      </c>
      <c r="F2790" t="s">
        <v>514</v>
      </c>
      <c r="G2790">
        <v>0.05</v>
      </c>
    </row>
    <row r="2791" spans="2:7" hidden="1">
      <c r="B2791" s="43">
        <v>44405</v>
      </c>
      <c r="C2791" t="s">
        <v>130</v>
      </c>
      <c r="D2791" s="48">
        <v>44406</v>
      </c>
      <c r="E2791">
        <v>510</v>
      </c>
      <c r="F2791" t="s">
        <v>515</v>
      </c>
      <c r="G2791">
        <v>150.85</v>
      </c>
    </row>
    <row r="2792" spans="2:7" hidden="1">
      <c r="B2792" s="43">
        <v>44406</v>
      </c>
      <c r="C2792" t="s">
        <v>130</v>
      </c>
      <c r="D2792" s="48">
        <v>44406</v>
      </c>
      <c r="E2792">
        <v>510</v>
      </c>
      <c r="F2792" t="s">
        <v>514</v>
      </c>
      <c r="G2792">
        <v>0.05</v>
      </c>
    </row>
    <row r="2793" spans="2:7" hidden="1">
      <c r="B2793" s="43">
        <v>44406</v>
      </c>
      <c r="C2793" t="s">
        <v>130</v>
      </c>
      <c r="D2793" s="48">
        <v>44406</v>
      </c>
      <c r="E2793">
        <v>510</v>
      </c>
      <c r="F2793" t="s">
        <v>515</v>
      </c>
      <c r="G2793">
        <v>150.85</v>
      </c>
    </row>
    <row r="2794" spans="2:7" hidden="1">
      <c r="B2794" s="43">
        <v>44403</v>
      </c>
      <c r="C2794" t="s">
        <v>130</v>
      </c>
      <c r="D2794" s="48">
        <v>44406</v>
      </c>
      <c r="E2794">
        <v>515</v>
      </c>
      <c r="F2794" t="s">
        <v>514</v>
      </c>
      <c r="G2794">
        <v>0.1</v>
      </c>
    </row>
    <row r="2795" spans="2:7" hidden="1">
      <c r="B2795" s="43">
        <v>44403</v>
      </c>
      <c r="C2795" t="s">
        <v>130</v>
      </c>
      <c r="D2795" s="48">
        <v>44406</v>
      </c>
      <c r="E2795">
        <v>515</v>
      </c>
      <c r="F2795" t="s">
        <v>515</v>
      </c>
      <c r="G2795">
        <v>155.4</v>
      </c>
    </row>
    <row r="2796" spans="2:7" hidden="1">
      <c r="B2796" s="43">
        <v>44404</v>
      </c>
      <c r="C2796" t="s">
        <v>130</v>
      </c>
      <c r="D2796" s="48">
        <v>44406</v>
      </c>
      <c r="E2796">
        <v>515</v>
      </c>
      <c r="F2796" t="s">
        <v>514</v>
      </c>
      <c r="G2796">
        <v>0.1</v>
      </c>
    </row>
    <row r="2797" spans="2:7" hidden="1">
      <c r="B2797" s="43">
        <v>44404</v>
      </c>
      <c r="C2797" t="s">
        <v>130</v>
      </c>
      <c r="D2797" s="48">
        <v>44406</v>
      </c>
      <c r="E2797">
        <v>515</v>
      </c>
      <c r="F2797" t="s">
        <v>515</v>
      </c>
      <c r="G2797">
        <v>155.4</v>
      </c>
    </row>
    <row r="2798" spans="2:7" hidden="1">
      <c r="B2798" s="43">
        <v>44405</v>
      </c>
      <c r="C2798" t="s">
        <v>130</v>
      </c>
      <c r="D2798" s="48">
        <v>44406</v>
      </c>
      <c r="E2798">
        <v>515</v>
      </c>
      <c r="F2798" t="s">
        <v>514</v>
      </c>
      <c r="G2798">
        <v>0.05</v>
      </c>
    </row>
    <row r="2799" spans="2:7" hidden="1">
      <c r="B2799" s="43">
        <v>44405</v>
      </c>
      <c r="C2799" t="s">
        <v>130</v>
      </c>
      <c r="D2799" s="48">
        <v>44406</v>
      </c>
      <c r="E2799">
        <v>515</v>
      </c>
      <c r="F2799" t="s">
        <v>515</v>
      </c>
      <c r="G2799">
        <v>155.4</v>
      </c>
    </row>
    <row r="2800" spans="2:7" hidden="1">
      <c r="B2800" s="43">
        <v>44406</v>
      </c>
      <c r="C2800" t="s">
        <v>130</v>
      </c>
      <c r="D2800" s="48">
        <v>44406</v>
      </c>
      <c r="E2800">
        <v>515</v>
      </c>
      <c r="F2800" t="s">
        <v>514</v>
      </c>
      <c r="G2800">
        <v>0.05</v>
      </c>
    </row>
    <row r="2801" spans="2:7" hidden="1">
      <c r="B2801" s="43">
        <v>44406</v>
      </c>
      <c r="C2801" t="s">
        <v>130</v>
      </c>
      <c r="D2801" s="48">
        <v>44406</v>
      </c>
      <c r="E2801">
        <v>515</v>
      </c>
      <c r="F2801" t="s">
        <v>515</v>
      </c>
      <c r="G2801">
        <v>155.4</v>
      </c>
    </row>
    <row r="2802" spans="2:7" hidden="1">
      <c r="B2802" s="43">
        <v>44403</v>
      </c>
      <c r="C2802" t="s">
        <v>130</v>
      </c>
      <c r="D2802" s="48">
        <v>44406</v>
      </c>
      <c r="E2802">
        <v>520</v>
      </c>
      <c r="F2802" t="s">
        <v>514</v>
      </c>
      <c r="G2802">
        <v>0.1</v>
      </c>
    </row>
    <row r="2803" spans="2:7" hidden="1">
      <c r="B2803" s="43">
        <v>44403</v>
      </c>
      <c r="C2803" t="s">
        <v>130</v>
      </c>
      <c r="D2803" s="48">
        <v>44406</v>
      </c>
      <c r="E2803">
        <v>520</v>
      </c>
      <c r="F2803" t="s">
        <v>515</v>
      </c>
      <c r="G2803">
        <v>160.05000000000001</v>
      </c>
    </row>
    <row r="2804" spans="2:7" hidden="1">
      <c r="B2804" s="43">
        <v>44404</v>
      </c>
      <c r="C2804" t="s">
        <v>130</v>
      </c>
      <c r="D2804" s="48">
        <v>44406</v>
      </c>
      <c r="E2804">
        <v>520</v>
      </c>
      <c r="F2804" t="s">
        <v>514</v>
      </c>
      <c r="G2804">
        <v>0.05</v>
      </c>
    </row>
    <row r="2805" spans="2:7" hidden="1">
      <c r="B2805" s="43">
        <v>44404</v>
      </c>
      <c r="C2805" t="s">
        <v>130</v>
      </c>
      <c r="D2805" s="48">
        <v>44406</v>
      </c>
      <c r="E2805">
        <v>520</v>
      </c>
      <c r="F2805" t="s">
        <v>515</v>
      </c>
      <c r="G2805">
        <v>160.05000000000001</v>
      </c>
    </row>
    <row r="2806" spans="2:7" hidden="1">
      <c r="B2806" s="43">
        <v>44405</v>
      </c>
      <c r="C2806" t="s">
        <v>130</v>
      </c>
      <c r="D2806" s="48">
        <v>44406</v>
      </c>
      <c r="E2806">
        <v>520</v>
      </c>
      <c r="F2806" t="s">
        <v>514</v>
      </c>
      <c r="G2806">
        <v>0.05</v>
      </c>
    </row>
    <row r="2807" spans="2:7" hidden="1">
      <c r="B2807" s="43">
        <v>44405</v>
      </c>
      <c r="C2807" t="s">
        <v>130</v>
      </c>
      <c r="D2807" s="48">
        <v>44406</v>
      </c>
      <c r="E2807">
        <v>520</v>
      </c>
      <c r="F2807" t="s">
        <v>515</v>
      </c>
      <c r="G2807">
        <v>160.05000000000001</v>
      </c>
    </row>
    <row r="2808" spans="2:7" hidden="1">
      <c r="B2808" s="43">
        <v>44406</v>
      </c>
      <c r="C2808" t="s">
        <v>130</v>
      </c>
      <c r="D2808" s="48">
        <v>44406</v>
      </c>
      <c r="E2808">
        <v>520</v>
      </c>
      <c r="F2808" t="s">
        <v>514</v>
      </c>
      <c r="G2808">
        <v>0.05</v>
      </c>
    </row>
    <row r="2809" spans="2:7" hidden="1">
      <c r="B2809" s="43">
        <v>44406</v>
      </c>
      <c r="C2809" t="s">
        <v>130</v>
      </c>
      <c r="D2809" s="48">
        <v>44406</v>
      </c>
      <c r="E2809">
        <v>520</v>
      </c>
      <c r="F2809" t="s">
        <v>515</v>
      </c>
      <c r="G2809">
        <v>160.05000000000001</v>
      </c>
    </row>
    <row r="2810" spans="2:7" hidden="1">
      <c r="B2810" s="43">
        <v>44403</v>
      </c>
      <c r="C2810" t="s">
        <v>130</v>
      </c>
      <c r="D2810" s="48">
        <v>44406</v>
      </c>
      <c r="E2810">
        <v>525</v>
      </c>
      <c r="F2810" t="s">
        <v>514</v>
      </c>
      <c r="G2810">
        <v>0.2</v>
      </c>
    </row>
    <row r="2811" spans="2:7" hidden="1">
      <c r="B2811" s="43">
        <v>44403</v>
      </c>
      <c r="C2811" t="s">
        <v>130</v>
      </c>
      <c r="D2811" s="48">
        <v>44406</v>
      </c>
      <c r="E2811">
        <v>525</v>
      </c>
      <c r="F2811" t="s">
        <v>515</v>
      </c>
      <c r="G2811">
        <v>159.19999999999999</v>
      </c>
    </row>
    <row r="2812" spans="2:7" hidden="1">
      <c r="B2812" s="43">
        <v>44404</v>
      </c>
      <c r="C2812" t="s">
        <v>130</v>
      </c>
      <c r="D2812" s="48">
        <v>44406</v>
      </c>
      <c r="E2812">
        <v>525</v>
      </c>
      <c r="F2812" t="s">
        <v>514</v>
      </c>
      <c r="G2812">
        <v>0.2</v>
      </c>
    </row>
    <row r="2813" spans="2:7" hidden="1">
      <c r="B2813" s="43">
        <v>44404</v>
      </c>
      <c r="C2813" t="s">
        <v>130</v>
      </c>
      <c r="D2813" s="48">
        <v>44406</v>
      </c>
      <c r="E2813">
        <v>525</v>
      </c>
      <c r="F2813" t="s">
        <v>515</v>
      </c>
      <c r="G2813">
        <v>159.19999999999999</v>
      </c>
    </row>
    <row r="2814" spans="2:7" hidden="1">
      <c r="B2814" s="43">
        <v>44405</v>
      </c>
      <c r="C2814" t="s">
        <v>130</v>
      </c>
      <c r="D2814" s="48">
        <v>44406</v>
      </c>
      <c r="E2814">
        <v>525</v>
      </c>
      <c r="F2814" t="s">
        <v>514</v>
      </c>
      <c r="G2814">
        <v>0.2</v>
      </c>
    </row>
    <row r="2815" spans="2:7" hidden="1">
      <c r="B2815" s="43">
        <v>44405</v>
      </c>
      <c r="C2815" t="s">
        <v>130</v>
      </c>
      <c r="D2815" s="48">
        <v>44406</v>
      </c>
      <c r="E2815">
        <v>525</v>
      </c>
      <c r="F2815" t="s">
        <v>515</v>
      </c>
      <c r="G2815">
        <v>159.19999999999999</v>
      </c>
    </row>
    <row r="2816" spans="2:7" hidden="1">
      <c r="B2816" s="43">
        <v>44406</v>
      </c>
      <c r="C2816" t="s">
        <v>130</v>
      </c>
      <c r="D2816" s="48">
        <v>44406</v>
      </c>
      <c r="E2816">
        <v>525</v>
      </c>
      <c r="F2816" t="s">
        <v>514</v>
      </c>
      <c r="G2816">
        <v>0.2</v>
      </c>
    </row>
    <row r="2817" spans="2:7" hidden="1">
      <c r="B2817" s="43">
        <v>44406</v>
      </c>
      <c r="C2817" t="s">
        <v>130</v>
      </c>
      <c r="D2817" s="48">
        <v>44406</v>
      </c>
      <c r="E2817">
        <v>525</v>
      </c>
      <c r="F2817" t="s">
        <v>515</v>
      </c>
      <c r="G2817">
        <v>159.19999999999999</v>
      </c>
    </row>
    <row r="2818" spans="2:7" hidden="1">
      <c r="B2818" s="43">
        <v>44404</v>
      </c>
      <c r="C2818" t="s">
        <v>130</v>
      </c>
      <c r="D2818" s="48">
        <v>44434</v>
      </c>
      <c r="E2818">
        <v>0</v>
      </c>
      <c r="F2818" t="s">
        <v>516</v>
      </c>
      <c r="G2818">
        <v>430.7</v>
      </c>
    </row>
    <row r="2819" spans="2:7" hidden="1">
      <c r="B2819" s="43">
        <v>44405</v>
      </c>
      <c r="C2819" t="s">
        <v>130</v>
      </c>
      <c r="D2819" s="48">
        <v>44434</v>
      </c>
      <c r="E2819">
        <v>0</v>
      </c>
      <c r="F2819" t="s">
        <v>516</v>
      </c>
      <c r="G2819">
        <v>426.75</v>
      </c>
    </row>
    <row r="2820" spans="2:7" hidden="1">
      <c r="B2820" s="43">
        <v>44406</v>
      </c>
      <c r="C2820" t="s">
        <v>130</v>
      </c>
      <c r="D2820" s="48">
        <v>44434</v>
      </c>
      <c r="E2820">
        <v>0</v>
      </c>
      <c r="F2820" t="s">
        <v>516</v>
      </c>
      <c r="G2820">
        <v>443.5</v>
      </c>
    </row>
    <row r="2821" spans="2:7" hidden="1">
      <c r="B2821" s="43">
        <v>44407</v>
      </c>
      <c r="C2821" t="s">
        <v>130</v>
      </c>
      <c r="D2821" s="48">
        <v>44434</v>
      </c>
      <c r="E2821">
        <v>0</v>
      </c>
      <c r="F2821" t="s">
        <v>516</v>
      </c>
      <c r="G2821">
        <v>432.45</v>
      </c>
    </row>
    <row r="2822" spans="2:7" hidden="1">
      <c r="B2822" s="43">
        <v>44410</v>
      </c>
      <c r="C2822" t="s">
        <v>130</v>
      </c>
      <c r="D2822" s="48">
        <v>44434</v>
      </c>
      <c r="E2822">
        <v>0</v>
      </c>
      <c r="F2822" t="s">
        <v>516</v>
      </c>
      <c r="G2822">
        <v>435.6</v>
      </c>
    </row>
    <row r="2823" spans="2:7" hidden="1">
      <c r="B2823" s="43">
        <v>44403</v>
      </c>
      <c r="C2823" t="s">
        <v>130</v>
      </c>
      <c r="D2823" s="48">
        <v>44434</v>
      </c>
      <c r="E2823">
        <v>265</v>
      </c>
      <c r="F2823" t="s">
        <v>514</v>
      </c>
      <c r="G2823">
        <v>163.65</v>
      </c>
    </row>
    <row r="2824" spans="2:7" hidden="1">
      <c r="B2824" s="43">
        <v>44403</v>
      </c>
      <c r="C2824" t="s">
        <v>130</v>
      </c>
      <c r="D2824" s="48">
        <v>44434</v>
      </c>
      <c r="E2824">
        <v>265</v>
      </c>
      <c r="F2824" t="s">
        <v>515</v>
      </c>
      <c r="G2824">
        <v>1</v>
      </c>
    </row>
    <row r="2825" spans="2:7" hidden="1">
      <c r="B2825" s="43">
        <v>44404</v>
      </c>
      <c r="C2825" t="s">
        <v>130</v>
      </c>
      <c r="D2825" s="48">
        <v>44434</v>
      </c>
      <c r="E2825">
        <v>265</v>
      </c>
      <c r="F2825" t="s">
        <v>514</v>
      </c>
      <c r="G2825">
        <v>163.65</v>
      </c>
    </row>
    <row r="2826" spans="2:7" hidden="1">
      <c r="B2826" s="43">
        <v>44404</v>
      </c>
      <c r="C2826" t="s">
        <v>130</v>
      </c>
      <c r="D2826" s="48">
        <v>44434</v>
      </c>
      <c r="E2826">
        <v>265</v>
      </c>
      <c r="F2826" t="s">
        <v>515</v>
      </c>
      <c r="G2826">
        <v>1</v>
      </c>
    </row>
    <row r="2827" spans="2:7" hidden="1">
      <c r="B2827" s="43">
        <v>44405</v>
      </c>
      <c r="C2827" t="s">
        <v>130</v>
      </c>
      <c r="D2827" s="48">
        <v>44434</v>
      </c>
      <c r="E2827">
        <v>265</v>
      </c>
      <c r="F2827" t="s">
        <v>514</v>
      </c>
      <c r="G2827">
        <v>163.65</v>
      </c>
    </row>
    <row r="2828" spans="2:7" hidden="1">
      <c r="B2828" s="43">
        <v>44405</v>
      </c>
      <c r="C2828" t="s">
        <v>130</v>
      </c>
      <c r="D2828" s="48">
        <v>44434</v>
      </c>
      <c r="E2828">
        <v>265</v>
      </c>
      <c r="F2828" t="s">
        <v>515</v>
      </c>
      <c r="G2828">
        <v>1</v>
      </c>
    </row>
    <row r="2829" spans="2:7" hidden="1">
      <c r="B2829" s="43">
        <v>44406</v>
      </c>
      <c r="C2829" t="s">
        <v>130</v>
      </c>
      <c r="D2829" s="48">
        <v>44434</v>
      </c>
      <c r="E2829">
        <v>265</v>
      </c>
      <c r="F2829" t="s">
        <v>514</v>
      </c>
      <c r="G2829">
        <v>163.65</v>
      </c>
    </row>
    <row r="2830" spans="2:7" hidden="1">
      <c r="B2830" s="43">
        <v>44406</v>
      </c>
      <c r="C2830" t="s">
        <v>130</v>
      </c>
      <c r="D2830" s="48">
        <v>44434</v>
      </c>
      <c r="E2830">
        <v>265</v>
      </c>
      <c r="F2830" t="s">
        <v>515</v>
      </c>
      <c r="G2830">
        <v>1</v>
      </c>
    </row>
    <row r="2831" spans="2:7" hidden="1">
      <c r="B2831" s="43">
        <v>44407</v>
      </c>
      <c r="C2831" t="s">
        <v>130</v>
      </c>
      <c r="D2831" s="48">
        <v>44434</v>
      </c>
      <c r="E2831">
        <v>265</v>
      </c>
      <c r="F2831" t="s">
        <v>514</v>
      </c>
      <c r="G2831">
        <v>163.65</v>
      </c>
    </row>
    <row r="2832" spans="2:7" hidden="1">
      <c r="B2832" s="43">
        <v>44407</v>
      </c>
      <c r="C2832" t="s">
        <v>130</v>
      </c>
      <c r="D2832" s="48">
        <v>44434</v>
      </c>
      <c r="E2832">
        <v>265</v>
      </c>
      <c r="F2832" t="s">
        <v>515</v>
      </c>
      <c r="G2832">
        <v>1</v>
      </c>
    </row>
    <row r="2833" spans="2:7" hidden="1">
      <c r="B2833" s="43">
        <v>44403</v>
      </c>
      <c r="C2833" t="s">
        <v>130</v>
      </c>
      <c r="D2833" s="48">
        <v>44434</v>
      </c>
      <c r="E2833">
        <v>270</v>
      </c>
      <c r="F2833" t="s">
        <v>514</v>
      </c>
      <c r="G2833">
        <v>158.9</v>
      </c>
    </row>
    <row r="2834" spans="2:7" hidden="1">
      <c r="B2834" s="43">
        <v>44403</v>
      </c>
      <c r="C2834" t="s">
        <v>130</v>
      </c>
      <c r="D2834" s="48">
        <v>44434</v>
      </c>
      <c r="E2834">
        <v>270</v>
      </c>
      <c r="F2834" t="s">
        <v>515</v>
      </c>
      <c r="G2834">
        <v>0.5</v>
      </c>
    </row>
    <row r="2835" spans="2:7" hidden="1">
      <c r="B2835" s="43">
        <v>44404</v>
      </c>
      <c r="C2835" t="s">
        <v>130</v>
      </c>
      <c r="D2835" s="48">
        <v>44434</v>
      </c>
      <c r="E2835">
        <v>270</v>
      </c>
      <c r="F2835" t="s">
        <v>514</v>
      </c>
      <c r="G2835">
        <v>158.9</v>
      </c>
    </row>
    <row r="2836" spans="2:7" hidden="1">
      <c r="B2836" s="43">
        <v>44404</v>
      </c>
      <c r="C2836" t="s">
        <v>130</v>
      </c>
      <c r="D2836" s="48">
        <v>44434</v>
      </c>
      <c r="E2836">
        <v>270</v>
      </c>
      <c r="F2836" t="s">
        <v>515</v>
      </c>
      <c r="G2836">
        <v>0.5</v>
      </c>
    </row>
    <row r="2837" spans="2:7" hidden="1">
      <c r="B2837" s="43">
        <v>44405</v>
      </c>
      <c r="C2837" t="s">
        <v>130</v>
      </c>
      <c r="D2837" s="48">
        <v>44434</v>
      </c>
      <c r="E2837">
        <v>270</v>
      </c>
      <c r="F2837" t="s">
        <v>514</v>
      </c>
      <c r="G2837">
        <v>158.9</v>
      </c>
    </row>
    <row r="2838" spans="2:7" hidden="1">
      <c r="B2838" s="43">
        <v>44405</v>
      </c>
      <c r="C2838" t="s">
        <v>130</v>
      </c>
      <c r="D2838" s="48">
        <v>44434</v>
      </c>
      <c r="E2838">
        <v>270</v>
      </c>
      <c r="F2838" t="s">
        <v>515</v>
      </c>
      <c r="G2838">
        <v>0.5</v>
      </c>
    </row>
    <row r="2839" spans="2:7" hidden="1">
      <c r="B2839" s="43">
        <v>44406</v>
      </c>
      <c r="C2839" t="s">
        <v>130</v>
      </c>
      <c r="D2839" s="48">
        <v>44434</v>
      </c>
      <c r="E2839">
        <v>270</v>
      </c>
      <c r="F2839" t="s">
        <v>514</v>
      </c>
      <c r="G2839">
        <v>158.9</v>
      </c>
    </row>
    <row r="2840" spans="2:7" hidden="1">
      <c r="B2840" s="43">
        <v>44406</v>
      </c>
      <c r="C2840" t="s">
        <v>130</v>
      </c>
      <c r="D2840" s="48">
        <v>44434</v>
      </c>
      <c r="E2840">
        <v>270</v>
      </c>
      <c r="F2840" t="s">
        <v>515</v>
      </c>
      <c r="G2840">
        <v>0.5</v>
      </c>
    </row>
    <row r="2841" spans="2:7" hidden="1">
      <c r="B2841" s="43">
        <v>44407</v>
      </c>
      <c r="C2841" t="s">
        <v>130</v>
      </c>
      <c r="D2841" s="48">
        <v>44434</v>
      </c>
      <c r="E2841">
        <v>270</v>
      </c>
      <c r="F2841" t="s">
        <v>514</v>
      </c>
      <c r="G2841">
        <v>158.9</v>
      </c>
    </row>
    <row r="2842" spans="2:7" hidden="1">
      <c r="B2842" s="43">
        <v>44407</v>
      </c>
      <c r="C2842" t="s">
        <v>130</v>
      </c>
      <c r="D2842" s="48">
        <v>44434</v>
      </c>
      <c r="E2842">
        <v>270</v>
      </c>
      <c r="F2842" t="s">
        <v>515</v>
      </c>
      <c r="G2842">
        <v>0.5</v>
      </c>
    </row>
    <row r="2843" spans="2:7" hidden="1">
      <c r="B2843" s="43">
        <v>44403</v>
      </c>
      <c r="C2843" t="s">
        <v>130</v>
      </c>
      <c r="D2843" s="48">
        <v>44434</v>
      </c>
      <c r="E2843">
        <v>275</v>
      </c>
      <c r="F2843" t="s">
        <v>514</v>
      </c>
      <c r="G2843">
        <v>154.19999999999999</v>
      </c>
    </row>
    <row r="2844" spans="2:7" hidden="1">
      <c r="B2844" s="43">
        <v>44403</v>
      </c>
      <c r="C2844" t="s">
        <v>130</v>
      </c>
      <c r="D2844" s="48">
        <v>44434</v>
      </c>
      <c r="E2844">
        <v>275</v>
      </c>
      <c r="F2844" t="s">
        <v>515</v>
      </c>
      <c r="G2844">
        <v>1.45</v>
      </c>
    </row>
    <row r="2845" spans="2:7" hidden="1">
      <c r="B2845" s="43">
        <v>44404</v>
      </c>
      <c r="C2845" t="s">
        <v>130</v>
      </c>
      <c r="D2845" s="48">
        <v>44434</v>
      </c>
      <c r="E2845">
        <v>275</v>
      </c>
      <c r="F2845" t="s">
        <v>514</v>
      </c>
      <c r="G2845">
        <v>154.19999999999999</v>
      </c>
    </row>
    <row r="2846" spans="2:7" hidden="1">
      <c r="B2846" s="43">
        <v>44404</v>
      </c>
      <c r="C2846" t="s">
        <v>130</v>
      </c>
      <c r="D2846" s="48">
        <v>44434</v>
      </c>
      <c r="E2846">
        <v>275</v>
      </c>
      <c r="F2846" t="s">
        <v>515</v>
      </c>
      <c r="G2846">
        <v>1.45</v>
      </c>
    </row>
    <row r="2847" spans="2:7" hidden="1">
      <c r="B2847" s="43">
        <v>44405</v>
      </c>
      <c r="C2847" t="s">
        <v>130</v>
      </c>
      <c r="D2847" s="48">
        <v>44434</v>
      </c>
      <c r="E2847">
        <v>275</v>
      </c>
      <c r="F2847" t="s">
        <v>514</v>
      </c>
      <c r="G2847">
        <v>154.19999999999999</v>
      </c>
    </row>
    <row r="2848" spans="2:7" hidden="1">
      <c r="B2848" s="43">
        <v>44405</v>
      </c>
      <c r="C2848" t="s">
        <v>130</v>
      </c>
      <c r="D2848" s="48">
        <v>44434</v>
      </c>
      <c r="E2848">
        <v>275</v>
      </c>
      <c r="F2848" t="s">
        <v>515</v>
      </c>
      <c r="G2848">
        <v>1.45</v>
      </c>
    </row>
    <row r="2849" spans="2:7" hidden="1">
      <c r="B2849" s="43">
        <v>44406</v>
      </c>
      <c r="C2849" t="s">
        <v>130</v>
      </c>
      <c r="D2849" s="48">
        <v>44434</v>
      </c>
      <c r="E2849">
        <v>275</v>
      </c>
      <c r="F2849" t="s">
        <v>514</v>
      </c>
      <c r="G2849">
        <v>154.19999999999999</v>
      </c>
    </row>
    <row r="2850" spans="2:7" hidden="1">
      <c r="B2850" s="43">
        <v>44406</v>
      </c>
      <c r="C2850" t="s">
        <v>130</v>
      </c>
      <c r="D2850" s="48">
        <v>44434</v>
      </c>
      <c r="E2850">
        <v>275</v>
      </c>
      <c r="F2850" t="s">
        <v>515</v>
      </c>
      <c r="G2850">
        <v>1.45</v>
      </c>
    </row>
    <row r="2851" spans="2:7" hidden="1">
      <c r="B2851" s="43">
        <v>44407</v>
      </c>
      <c r="C2851" t="s">
        <v>130</v>
      </c>
      <c r="D2851" s="48">
        <v>44434</v>
      </c>
      <c r="E2851">
        <v>275</v>
      </c>
      <c r="F2851" t="s">
        <v>514</v>
      </c>
      <c r="G2851">
        <v>154.19999999999999</v>
      </c>
    </row>
    <row r="2852" spans="2:7" hidden="1">
      <c r="B2852" s="43">
        <v>44407</v>
      </c>
      <c r="C2852" t="s">
        <v>130</v>
      </c>
      <c r="D2852" s="48">
        <v>44434</v>
      </c>
      <c r="E2852">
        <v>275</v>
      </c>
      <c r="F2852" t="s">
        <v>515</v>
      </c>
      <c r="G2852">
        <v>1.45</v>
      </c>
    </row>
    <row r="2853" spans="2:7" hidden="1">
      <c r="B2853" s="43">
        <v>44403</v>
      </c>
      <c r="C2853" t="s">
        <v>130</v>
      </c>
      <c r="D2853" s="48">
        <v>44434</v>
      </c>
      <c r="E2853">
        <v>280</v>
      </c>
      <c r="F2853" t="s">
        <v>514</v>
      </c>
      <c r="G2853">
        <v>149.55000000000001</v>
      </c>
    </row>
    <row r="2854" spans="2:7" hidden="1">
      <c r="B2854" s="43">
        <v>44403</v>
      </c>
      <c r="C2854" t="s">
        <v>130</v>
      </c>
      <c r="D2854" s="48">
        <v>44434</v>
      </c>
      <c r="E2854">
        <v>280</v>
      </c>
      <c r="F2854" t="s">
        <v>515</v>
      </c>
      <c r="G2854">
        <v>1.05</v>
      </c>
    </row>
    <row r="2855" spans="2:7" hidden="1">
      <c r="B2855" s="43">
        <v>44404</v>
      </c>
      <c r="C2855" t="s">
        <v>130</v>
      </c>
      <c r="D2855" s="48">
        <v>44434</v>
      </c>
      <c r="E2855">
        <v>280</v>
      </c>
      <c r="F2855" t="s">
        <v>514</v>
      </c>
      <c r="G2855">
        <v>149.55000000000001</v>
      </c>
    </row>
    <row r="2856" spans="2:7" hidden="1">
      <c r="B2856" s="43">
        <v>44404</v>
      </c>
      <c r="C2856" t="s">
        <v>130</v>
      </c>
      <c r="D2856" s="48">
        <v>44434</v>
      </c>
      <c r="E2856">
        <v>280</v>
      </c>
      <c r="F2856" t="s">
        <v>515</v>
      </c>
      <c r="G2856">
        <v>1.05</v>
      </c>
    </row>
    <row r="2857" spans="2:7" hidden="1">
      <c r="B2857" s="43">
        <v>44405</v>
      </c>
      <c r="C2857" t="s">
        <v>130</v>
      </c>
      <c r="D2857" s="48">
        <v>44434</v>
      </c>
      <c r="E2857">
        <v>280</v>
      </c>
      <c r="F2857" t="s">
        <v>514</v>
      </c>
      <c r="G2857">
        <v>149.55000000000001</v>
      </c>
    </row>
    <row r="2858" spans="2:7" hidden="1">
      <c r="B2858" s="43">
        <v>44405</v>
      </c>
      <c r="C2858" t="s">
        <v>130</v>
      </c>
      <c r="D2858" s="48">
        <v>44434</v>
      </c>
      <c r="E2858">
        <v>280</v>
      </c>
      <c r="F2858" t="s">
        <v>515</v>
      </c>
      <c r="G2858">
        <v>1.05</v>
      </c>
    </row>
    <row r="2859" spans="2:7" hidden="1">
      <c r="B2859" s="43">
        <v>44406</v>
      </c>
      <c r="C2859" t="s">
        <v>130</v>
      </c>
      <c r="D2859" s="48">
        <v>44434</v>
      </c>
      <c r="E2859">
        <v>280</v>
      </c>
      <c r="F2859" t="s">
        <v>514</v>
      </c>
      <c r="G2859">
        <v>149.55000000000001</v>
      </c>
    </row>
    <row r="2860" spans="2:7" hidden="1">
      <c r="B2860" s="43">
        <v>44406</v>
      </c>
      <c r="C2860" t="s">
        <v>130</v>
      </c>
      <c r="D2860" s="48">
        <v>44434</v>
      </c>
      <c r="E2860">
        <v>280</v>
      </c>
      <c r="F2860" t="s">
        <v>515</v>
      </c>
      <c r="G2860">
        <v>1.05</v>
      </c>
    </row>
    <row r="2861" spans="2:7" hidden="1">
      <c r="B2861" s="43">
        <v>44407</v>
      </c>
      <c r="C2861" t="s">
        <v>130</v>
      </c>
      <c r="D2861" s="48">
        <v>44434</v>
      </c>
      <c r="E2861">
        <v>280</v>
      </c>
      <c r="F2861" t="s">
        <v>514</v>
      </c>
      <c r="G2861">
        <v>149.55000000000001</v>
      </c>
    </row>
    <row r="2862" spans="2:7" hidden="1">
      <c r="B2862" s="43">
        <v>44407</v>
      </c>
      <c r="C2862" t="s">
        <v>130</v>
      </c>
      <c r="D2862" s="48">
        <v>44434</v>
      </c>
      <c r="E2862">
        <v>280</v>
      </c>
      <c r="F2862" t="s">
        <v>515</v>
      </c>
      <c r="G2862">
        <v>1.05</v>
      </c>
    </row>
    <row r="2863" spans="2:7" hidden="1">
      <c r="B2863" s="43">
        <v>44403</v>
      </c>
      <c r="C2863" t="s">
        <v>130</v>
      </c>
      <c r="D2863" s="48">
        <v>44434</v>
      </c>
      <c r="E2863">
        <v>285</v>
      </c>
      <c r="F2863" t="s">
        <v>514</v>
      </c>
      <c r="G2863">
        <v>144.9</v>
      </c>
    </row>
    <row r="2864" spans="2:7" hidden="1">
      <c r="B2864" s="43">
        <v>44403</v>
      </c>
      <c r="C2864" t="s">
        <v>130</v>
      </c>
      <c r="D2864" s="48">
        <v>44434</v>
      </c>
      <c r="E2864">
        <v>285</v>
      </c>
      <c r="F2864" t="s">
        <v>515</v>
      </c>
      <c r="G2864">
        <v>2.0499999999999998</v>
      </c>
    </row>
    <row r="2865" spans="2:7" hidden="1">
      <c r="B2865" s="43">
        <v>44404</v>
      </c>
      <c r="C2865" t="s">
        <v>130</v>
      </c>
      <c r="D2865" s="48">
        <v>44434</v>
      </c>
      <c r="E2865">
        <v>285</v>
      </c>
      <c r="F2865" t="s">
        <v>514</v>
      </c>
      <c r="G2865">
        <v>144.9</v>
      </c>
    </row>
    <row r="2866" spans="2:7" hidden="1">
      <c r="B2866" s="43">
        <v>44404</v>
      </c>
      <c r="C2866" t="s">
        <v>130</v>
      </c>
      <c r="D2866" s="48">
        <v>44434</v>
      </c>
      <c r="E2866">
        <v>285</v>
      </c>
      <c r="F2866" t="s">
        <v>515</v>
      </c>
      <c r="G2866">
        <v>2.0499999999999998</v>
      </c>
    </row>
    <row r="2867" spans="2:7" hidden="1">
      <c r="B2867" s="43">
        <v>44405</v>
      </c>
      <c r="C2867" t="s">
        <v>130</v>
      </c>
      <c r="D2867" s="48">
        <v>44434</v>
      </c>
      <c r="E2867">
        <v>285</v>
      </c>
      <c r="F2867" t="s">
        <v>514</v>
      </c>
      <c r="G2867">
        <v>144.9</v>
      </c>
    </row>
    <row r="2868" spans="2:7" hidden="1">
      <c r="B2868" s="43">
        <v>44405</v>
      </c>
      <c r="C2868" t="s">
        <v>130</v>
      </c>
      <c r="D2868" s="48">
        <v>44434</v>
      </c>
      <c r="E2868">
        <v>285</v>
      </c>
      <c r="F2868" t="s">
        <v>515</v>
      </c>
      <c r="G2868">
        <v>2.0499999999999998</v>
      </c>
    </row>
    <row r="2869" spans="2:7" hidden="1">
      <c r="B2869" s="43">
        <v>44406</v>
      </c>
      <c r="C2869" t="s">
        <v>130</v>
      </c>
      <c r="D2869" s="48">
        <v>44434</v>
      </c>
      <c r="E2869">
        <v>285</v>
      </c>
      <c r="F2869" t="s">
        <v>514</v>
      </c>
      <c r="G2869">
        <v>144.9</v>
      </c>
    </row>
    <row r="2870" spans="2:7" hidden="1">
      <c r="B2870" s="43">
        <v>44406</v>
      </c>
      <c r="C2870" t="s">
        <v>130</v>
      </c>
      <c r="D2870" s="48">
        <v>44434</v>
      </c>
      <c r="E2870">
        <v>285</v>
      </c>
      <c r="F2870" t="s">
        <v>515</v>
      </c>
      <c r="G2870">
        <v>2.0499999999999998</v>
      </c>
    </row>
    <row r="2871" spans="2:7" hidden="1">
      <c r="B2871" s="43">
        <v>44407</v>
      </c>
      <c r="C2871" t="s">
        <v>130</v>
      </c>
      <c r="D2871" s="48">
        <v>44434</v>
      </c>
      <c r="E2871">
        <v>285</v>
      </c>
      <c r="F2871" t="s">
        <v>514</v>
      </c>
      <c r="G2871">
        <v>144.9</v>
      </c>
    </row>
    <row r="2872" spans="2:7" hidden="1">
      <c r="B2872" s="43">
        <v>44407</v>
      </c>
      <c r="C2872" t="s">
        <v>130</v>
      </c>
      <c r="D2872" s="48">
        <v>44434</v>
      </c>
      <c r="E2872">
        <v>285</v>
      </c>
      <c r="F2872" t="s">
        <v>515</v>
      </c>
      <c r="G2872">
        <v>2.0499999999999998</v>
      </c>
    </row>
    <row r="2873" spans="2:7" hidden="1">
      <c r="B2873" s="43">
        <v>44403</v>
      </c>
      <c r="C2873" t="s">
        <v>130</v>
      </c>
      <c r="D2873" s="48">
        <v>44434</v>
      </c>
      <c r="E2873">
        <v>290</v>
      </c>
      <c r="F2873" t="s">
        <v>514</v>
      </c>
      <c r="G2873">
        <v>140.35</v>
      </c>
    </row>
    <row r="2874" spans="2:7" hidden="1">
      <c r="B2874" s="43">
        <v>44403</v>
      </c>
      <c r="C2874" t="s">
        <v>130</v>
      </c>
      <c r="D2874" s="48">
        <v>44434</v>
      </c>
      <c r="E2874">
        <v>290</v>
      </c>
      <c r="F2874" t="s">
        <v>515</v>
      </c>
      <c r="G2874">
        <v>2.4500000000000002</v>
      </c>
    </row>
    <row r="2875" spans="2:7" hidden="1">
      <c r="B2875" s="43">
        <v>44404</v>
      </c>
      <c r="C2875" t="s">
        <v>130</v>
      </c>
      <c r="D2875" s="48">
        <v>44434</v>
      </c>
      <c r="E2875">
        <v>290</v>
      </c>
      <c r="F2875" t="s">
        <v>514</v>
      </c>
      <c r="G2875">
        <v>140.35</v>
      </c>
    </row>
    <row r="2876" spans="2:7" hidden="1">
      <c r="B2876" s="43">
        <v>44404</v>
      </c>
      <c r="C2876" t="s">
        <v>130</v>
      </c>
      <c r="D2876" s="48">
        <v>44434</v>
      </c>
      <c r="E2876">
        <v>290</v>
      </c>
      <c r="F2876" t="s">
        <v>515</v>
      </c>
      <c r="G2876">
        <v>2.4500000000000002</v>
      </c>
    </row>
    <row r="2877" spans="2:7" hidden="1">
      <c r="B2877" s="43">
        <v>44405</v>
      </c>
      <c r="C2877" t="s">
        <v>130</v>
      </c>
      <c r="D2877" s="48">
        <v>44434</v>
      </c>
      <c r="E2877">
        <v>290</v>
      </c>
      <c r="F2877" t="s">
        <v>514</v>
      </c>
      <c r="G2877">
        <v>140.35</v>
      </c>
    </row>
    <row r="2878" spans="2:7" hidden="1">
      <c r="B2878" s="43">
        <v>44405</v>
      </c>
      <c r="C2878" t="s">
        <v>130</v>
      </c>
      <c r="D2878" s="48">
        <v>44434</v>
      </c>
      <c r="E2878">
        <v>290</v>
      </c>
      <c r="F2878" t="s">
        <v>515</v>
      </c>
      <c r="G2878">
        <v>2.4500000000000002</v>
      </c>
    </row>
    <row r="2879" spans="2:7" hidden="1">
      <c r="B2879" s="43">
        <v>44406</v>
      </c>
      <c r="C2879" t="s">
        <v>130</v>
      </c>
      <c r="D2879" s="48">
        <v>44434</v>
      </c>
      <c r="E2879">
        <v>290</v>
      </c>
      <c r="F2879" t="s">
        <v>514</v>
      </c>
      <c r="G2879">
        <v>140.35</v>
      </c>
    </row>
    <row r="2880" spans="2:7" hidden="1">
      <c r="B2880" s="43">
        <v>44406</v>
      </c>
      <c r="C2880" t="s">
        <v>130</v>
      </c>
      <c r="D2880" s="48">
        <v>44434</v>
      </c>
      <c r="E2880">
        <v>290</v>
      </c>
      <c r="F2880" t="s">
        <v>515</v>
      </c>
      <c r="G2880">
        <v>2.4500000000000002</v>
      </c>
    </row>
    <row r="2881" spans="2:7" hidden="1">
      <c r="B2881" s="43">
        <v>44407</v>
      </c>
      <c r="C2881" t="s">
        <v>130</v>
      </c>
      <c r="D2881" s="48">
        <v>44434</v>
      </c>
      <c r="E2881">
        <v>290</v>
      </c>
      <c r="F2881" t="s">
        <v>514</v>
      </c>
      <c r="G2881">
        <v>140.35</v>
      </c>
    </row>
    <row r="2882" spans="2:7" hidden="1">
      <c r="B2882" s="43">
        <v>44407</v>
      </c>
      <c r="C2882" t="s">
        <v>130</v>
      </c>
      <c r="D2882" s="48">
        <v>44434</v>
      </c>
      <c r="E2882">
        <v>290</v>
      </c>
      <c r="F2882" t="s">
        <v>515</v>
      </c>
      <c r="G2882">
        <v>2.4500000000000002</v>
      </c>
    </row>
    <row r="2883" spans="2:7" hidden="1">
      <c r="B2883" s="43">
        <v>44403</v>
      </c>
      <c r="C2883" t="s">
        <v>130</v>
      </c>
      <c r="D2883" s="48">
        <v>44434</v>
      </c>
      <c r="E2883">
        <v>295</v>
      </c>
      <c r="F2883" t="s">
        <v>514</v>
      </c>
      <c r="G2883">
        <v>135.80000000000001</v>
      </c>
    </row>
    <row r="2884" spans="2:7" hidden="1">
      <c r="B2884" s="43">
        <v>44403</v>
      </c>
      <c r="C2884" t="s">
        <v>130</v>
      </c>
      <c r="D2884" s="48">
        <v>44434</v>
      </c>
      <c r="E2884">
        <v>295</v>
      </c>
      <c r="F2884" t="s">
        <v>515</v>
      </c>
      <c r="G2884">
        <v>2.85</v>
      </c>
    </row>
    <row r="2885" spans="2:7" hidden="1">
      <c r="B2885" s="43">
        <v>44404</v>
      </c>
      <c r="C2885" t="s">
        <v>130</v>
      </c>
      <c r="D2885" s="48">
        <v>44434</v>
      </c>
      <c r="E2885">
        <v>295</v>
      </c>
      <c r="F2885" t="s">
        <v>514</v>
      </c>
      <c r="G2885">
        <v>135.80000000000001</v>
      </c>
    </row>
    <row r="2886" spans="2:7" hidden="1">
      <c r="B2886" s="43">
        <v>44404</v>
      </c>
      <c r="C2886" t="s">
        <v>130</v>
      </c>
      <c r="D2886" s="48">
        <v>44434</v>
      </c>
      <c r="E2886">
        <v>295</v>
      </c>
      <c r="F2886" t="s">
        <v>515</v>
      </c>
      <c r="G2886">
        <v>2.85</v>
      </c>
    </row>
    <row r="2887" spans="2:7" hidden="1">
      <c r="B2887" s="43">
        <v>44405</v>
      </c>
      <c r="C2887" t="s">
        <v>130</v>
      </c>
      <c r="D2887" s="48">
        <v>44434</v>
      </c>
      <c r="E2887">
        <v>295</v>
      </c>
      <c r="F2887" t="s">
        <v>514</v>
      </c>
      <c r="G2887">
        <v>135.80000000000001</v>
      </c>
    </row>
    <row r="2888" spans="2:7" hidden="1">
      <c r="B2888" s="43">
        <v>44405</v>
      </c>
      <c r="C2888" t="s">
        <v>130</v>
      </c>
      <c r="D2888" s="48">
        <v>44434</v>
      </c>
      <c r="E2888">
        <v>295</v>
      </c>
      <c r="F2888" t="s">
        <v>515</v>
      </c>
      <c r="G2888">
        <v>2.85</v>
      </c>
    </row>
    <row r="2889" spans="2:7" hidden="1">
      <c r="B2889" s="43">
        <v>44406</v>
      </c>
      <c r="C2889" t="s">
        <v>130</v>
      </c>
      <c r="D2889" s="48">
        <v>44434</v>
      </c>
      <c r="E2889">
        <v>295</v>
      </c>
      <c r="F2889" t="s">
        <v>514</v>
      </c>
      <c r="G2889">
        <v>135.80000000000001</v>
      </c>
    </row>
    <row r="2890" spans="2:7" hidden="1">
      <c r="B2890" s="43">
        <v>44406</v>
      </c>
      <c r="C2890" t="s">
        <v>130</v>
      </c>
      <c r="D2890" s="48">
        <v>44434</v>
      </c>
      <c r="E2890">
        <v>295</v>
      </c>
      <c r="F2890" t="s">
        <v>515</v>
      </c>
      <c r="G2890">
        <v>2.85</v>
      </c>
    </row>
    <row r="2891" spans="2:7" hidden="1">
      <c r="B2891" s="43">
        <v>44407</v>
      </c>
      <c r="C2891" t="s">
        <v>130</v>
      </c>
      <c r="D2891" s="48">
        <v>44434</v>
      </c>
      <c r="E2891">
        <v>295</v>
      </c>
      <c r="F2891" t="s">
        <v>514</v>
      </c>
      <c r="G2891">
        <v>135.80000000000001</v>
      </c>
    </row>
    <row r="2892" spans="2:7" hidden="1">
      <c r="B2892" s="43">
        <v>44407</v>
      </c>
      <c r="C2892" t="s">
        <v>130</v>
      </c>
      <c r="D2892" s="48">
        <v>44434</v>
      </c>
      <c r="E2892">
        <v>295</v>
      </c>
      <c r="F2892" t="s">
        <v>515</v>
      </c>
      <c r="G2892">
        <v>2.85</v>
      </c>
    </row>
    <row r="2893" spans="2:7" hidden="1">
      <c r="B2893" s="43">
        <v>44403</v>
      </c>
      <c r="C2893" t="s">
        <v>130</v>
      </c>
      <c r="D2893" s="48">
        <v>44434</v>
      </c>
      <c r="E2893">
        <v>300</v>
      </c>
      <c r="F2893" t="s">
        <v>514</v>
      </c>
      <c r="G2893">
        <v>131.30000000000001</v>
      </c>
    </row>
    <row r="2894" spans="2:7" hidden="1">
      <c r="B2894" s="43">
        <v>44403</v>
      </c>
      <c r="C2894" t="s">
        <v>130</v>
      </c>
      <c r="D2894" s="48">
        <v>44434</v>
      </c>
      <c r="E2894">
        <v>300</v>
      </c>
      <c r="F2894" t="s">
        <v>515</v>
      </c>
      <c r="G2894">
        <v>0.5</v>
      </c>
    </row>
    <row r="2895" spans="2:7" hidden="1">
      <c r="B2895" s="43">
        <v>44404</v>
      </c>
      <c r="C2895" t="s">
        <v>130</v>
      </c>
      <c r="D2895" s="48">
        <v>44434</v>
      </c>
      <c r="E2895">
        <v>300</v>
      </c>
      <c r="F2895" t="s">
        <v>514</v>
      </c>
      <c r="G2895">
        <v>128.5</v>
      </c>
    </row>
    <row r="2896" spans="2:7" hidden="1">
      <c r="B2896" s="43">
        <v>44404</v>
      </c>
      <c r="C2896" t="s">
        <v>130</v>
      </c>
      <c r="D2896" s="48">
        <v>44434</v>
      </c>
      <c r="E2896">
        <v>300</v>
      </c>
      <c r="F2896" t="s">
        <v>515</v>
      </c>
      <c r="G2896">
        <v>0.1</v>
      </c>
    </row>
    <row r="2897" spans="2:7" hidden="1">
      <c r="B2897" s="43">
        <v>44405</v>
      </c>
      <c r="C2897" t="s">
        <v>130</v>
      </c>
      <c r="D2897" s="48">
        <v>44434</v>
      </c>
      <c r="E2897">
        <v>300</v>
      </c>
      <c r="F2897" t="s">
        <v>514</v>
      </c>
      <c r="G2897">
        <v>127.4</v>
      </c>
    </row>
    <row r="2898" spans="2:7" hidden="1">
      <c r="B2898" s="43">
        <v>44405</v>
      </c>
      <c r="C2898" t="s">
        <v>130</v>
      </c>
      <c r="D2898" s="48">
        <v>44434</v>
      </c>
      <c r="E2898">
        <v>300</v>
      </c>
      <c r="F2898" t="s">
        <v>515</v>
      </c>
      <c r="G2898">
        <v>0.1</v>
      </c>
    </row>
    <row r="2899" spans="2:7" hidden="1">
      <c r="B2899" s="43">
        <v>44406</v>
      </c>
      <c r="C2899" t="s">
        <v>130</v>
      </c>
      <c r="D2899" s="48">
        <v>44434</v>
      </c>
      <c r="E2899">
        <v>300</v>
      </c>
      <c r="F2899" t="s">
        <v>514</v>
      </c>
      <c r="G2899">
        <v>142.19999999999999</v>
      </c>
    </row>
    <row r="2900" spans="2:7" hidden="1">
      <c r="B2900" s="43">
        <v>44406</v>
      </c>
      <c r="C2900" t="s">
        <v>130</v>
      </c>
      <c r="D2900" s="48">
        <v>44434</v>
      </c>
      <c r="E2900">
        <v>300</v>
      </c>
      <c r="F2900" t="s">
        <v>515</v>
      </c>
      <c r="G2900">
        <v>0.15</v>
      </c>
    </row>
    <row r="2901" spans="2:7" hidden="1">
      <c r="B2901" s="43">
        <v>44407</v>
      </c>
      <c r="C2901" t="s">
        <v>130</v>
      </c>
      <c r="D2901" s="48">
        <v>44434</v>
      </c>
      <c r="E2901">
        <v>300</v>
      </c>
      <c r="F2901" t="s">
        <v>514</v>
      </c>
      <c r="G2901">
        <v>142.19999999999999</v>
      </c>
    </row>
    <row r="2902" spans="2:7" hidden="1">
      <c r="B2902" s="43">
        <v>44407</v>
      </c>
      <c r="C2902" t="s">
        <v>130</v>
      </c>
      <c r="D2902" s="48">
        <v>44434</v>
      </c>
      <c r="E2902">
        <v>300</v>
      </c>
      <c r="F2902" t="s">
        <v>515</v>
      </c>
      <c r="G2902">
        <v>0.3</v>
      </c>
    </row>
    <row r="2903" spans="2:7" hidden="1">
      <c r="B2903" s="43">
        <v>44403</v>
      </c>
      <c r="C2903" t="s">
        <v>130</v>
      </c>
      <c r="D2903" s="48">
        <v>44434</v>
      </c>
      <c r="E2903">
        <v>305</v>
      </c>
      <c r="F2903" t="s">
        <v>514</v>
      </c>
      <c r="G2903">
        <v>126.9</v>
      </c>
    </row>
    <row r="2904" spans="2:7" hidden="1">
      <c r="B2904" s="43">
        <v>44403</v>
      </c>
      <c r="C2904" t="s">
        <v>130</v>
      </c>
      <c r="D2904" s="48">
        <v>44434</v>
      </c>
      <c r="E2904">
        <v>305</v>
      </c>
      <c r="F2904" t="s">
        <v>515</v>
      </c>
      <c r="G2904">
        <v>3.85</v>
      </c>
    </row>
    <row r="2905" spans="2:7" hidden="1">
      <c r="B2905" s="43">
        <v>44404</v>
      </c>
      <c r="C2905" t="s">
        <v>130</v>
      </c>
      <c r="D2905" s="48">
        <v>44434</v>
      </c>
      <c r="E2905">
        <v>305</v>
      </c>
      <c r="F2905" t="s">
        <v>514</v>
      </c>
      <c r="G2905">
        <v>126.9</v>
      </c>
    </row>
    <row r="2906" spans="2:7" hidden="1">
      <c r="B2906" s="43">
        <v>44404</v>
      </c>
      <c r="C2906" t="s">
        <v>130</v>
      </c>
      <c r="D2906" s="48">
        <v>44434</v>
      </c>
      <c r="E2906">
        <v>305</v>
      </c>
      <c r="F2906" t="s">
        <v>515</v>
      </c>
      <c r="G2906">
        <v>3.85</v>
      </c>
    </row>
    <row r="2907" spans="2:7" hidden="1">
      <c r="B2907" s="43">
        <v>44405</v>
      </c>
      <c r="C2907" t="s">
        <v>130</v>
      </c>
      <c r="D2907" s="48">
        <v>44434</v>
      </c>
      <c r="E2907">
        <v>305</v>
      </c>
      <c r="F2907" t="s">
        <v>514</v>
      </c>
      <c r="G2907">
        <v>126.9</v>
      </c>
    </row>
    <row r="2908" spans="2:7" hidden="1">
      <c r="B2908" s="43">
        <v>44405</v>
      </c>
      <c r="C2908" t="s">
        <v>130</v>
      </c>
      <c r="D2908" s="48">
        <v>44434</v>
      </c>
      <c r="E2908">
        <v>305</v>
      </c>
      <c r="F2908" t="s">
        <v>515</v>
      </c>
      <c r="G2908">
        <v>3.85</v>
      </c>
    </row>
    <row r="2909" spans="2:7" hidden="1">
      <c r="B2909" s="43">
        <v>44406</v>
      </c>
      <c r="C2909" t="s">
        <v>130</v>
      </c>
      <c r="D2909" s="48">
        <v>44434</v>
      </c>
      <c r="E2909">
        <v>305</v>
      </c>
      <c r="F2909" t="s">
        <v>514</v>
      </c>
      <c r="G2909">
        <v>126.9</v>
      </c>
    </row>
    <row r="2910" spans="2:7" hidden="1">
      <c r="B2910" s="43">
        <v>44406</v>
      </c>
      <c r="C2910" t="s">
        <v>130</v>
      </c>
      <c r="D2910" s="48">
        <v>44434</v>
      </c>
      <c r="E2910">
        <v>305</v>
      </c>
      <c r="F2910" t="s">
        <v>515</v>
      </c>
      <c r="G2910">
        <v>3.85</v>
      </c>
    </row>
    <row r="2911" spans="2:7" hidden="1">
      <c r="B2911" s="43">
        <v>44407</v>
      </c>
      <c r="C2911" t="s">
        <v>130</v>
      </c>
      <c r="D2911" s="48">
        <v>44434</v>
      </c>
      <c r="E2911">
        <v>305</v>
      </c>
      <c r="F2911" t="s">
        <v>514</v>
      </c>
      <c r="G2911">
        <v>126.9</v>
      </c>
    </row>
    <row r="2912" spans="2:7" hidden="1">
      <c r="B2912" s="43">
        <v>44407</v>
      </c>
      <c r="C2912" t="s">
        <v>130</v>
      </c>
      <c r="D2912" s="48">
        <v>44434</v>
      </c>
      <c r="E2912">
        <v>305</v>
      </c>
      <c r="F2912" t="s">
        <v>515</v>
      </c>
      <c r="G2912">
        <v>3.85</v>
      </c>
    </row>
    <row r="2913" spans="2:7" hidden="1">
      <c r="B2913" s="43">
        <v>44403</v>
      </c>
      <c r="C2913" t="s">
        <v>130</v>
      </c>
      <c r="D2913" s="48">
        <v>44434</v>
      </c>
      <c r="E2913">
        <v>310</v>
      </c>
      <c r="F2913" t="s">
        <v>514</v>
      </c>
      <c r="G2913">
        <v>122.55</v>
      </c>
    </row>
    <row r="2914" spans="2:7" hidden="1">
      <c r="B2914" s="43">
        <v>44403</v>
      </c>
      <c r="C2914" t="s">
        <v>130</v>
      </c>
      <c r="D2914" s="48">
        <v>44434</v>
      </c>
      <c r="E2914">
        <v>310</v>
      </c>
      <c r="F2914" t="s">
        <v>515</v>
      </c>
      <c r="G2914">
        <v>4.45</v>
      </c>
    </row>
    <row r="2915" spans="2:7" hidden="1">
      <c r="B2915" s="43">
        <v>44404</v>
      </c>
      <c r="C2915" t="s">
        <v>130</v>
      </c>
      <c r="D2915" s="48">
        <v>44434</v>
      </c>
      <c r="E2915">
        <v>310</v>
      </c>
      <c r="F2915" t="s">
        <v>514</v>
      </c>
      <c r="G2915">
        <v>122.55</v>
      </c>
    </row>
    <row r="2916" spans="2:7" hidden="1">
      <c r="B2916" s="43">
        <v>44404</v>
      </c>
      <c r="C2916" t="s">
        <v>130</v>
      </c>
      <c r="D2916" s="48">
        <v>44434</v>
      </c>
      <c r="E2916">
        <v>310</v>
      </c>
      <c r="F2916" t="s">
        <v>515</v>
      </c>
      <c r="G2916">
        <v>4.45</v>
      </c>
    </row>
    <row r="2917" spans="2:7" hidden="1">
      <c r="B2917" s="43">
        <v>44405</v>
      </c>
      <c r="C2917" t="s">
        <v>130</v>
      </c>
      <c r="D2917" s="48">
        <v>44434</v>
      </c>
      <c r="E2917">
        <v>310</v>
      </c>
      <c r="F2917" t="s">
        <v>514</v>
      </c>
      <c r="G2917">
        <v>122.55</v>
      </c>
    </row>
    <row r="2918" spans="2:7" hidden="1">
      <c r="B2918" s="43">
        <v>44405</v>
      </c>
      <c r="C2918" t="s">
        <v>130</v>
      </c>
      <c r="D2918" s="48">
        <v>44434</v>
      </c>
      <c r="E2918">
        <v>310</v>
      </c>
      <c r="F2918" t="s">
        <v>515</v>
      </c>
      <c r="G2918">
        <v>4.45</v>
      </c>
    </row>
    <row r="2919" spans="2:7" hidden="1">
      <c r="B2919" s="43">
        <v>44406</v>
      </c>
      <c r="C2919" t="s">
        <v>130</v>
      </c>
      <c r="D2919" s="48">
        <v>44434</v>
      </c>
      <c r="E2919">
        <v>310</v>
      </c>
      <c r="F2919" t="s">
        <v>514</v>
      </c>
      <c r="G2919">
        <v>122.55</v>
      </c>
    </row>
    <row r="2920" spans="2:7" hidden="1">
      <c r="B2920" s="43">
        <v>44406</v>
      </c>
      <c r="C2920" t="s">
        <v>130</v>
      </c>
      <c r="D2920" s="48">
        <v>44434</v>
      </c>
      <c r="E2920">
        <v>310</v>
      </c>
      <c r="F2920" t="s">
        <v>515</v>
      </c>
      <c r="G2920">
        <v>4.45</v>
      </c>
    </row>
    <row r="2921" spans="2:7" hidden="1">
      <c r="B2921" s="43">
        <v>44407</v>
      </c>
      <c r="C2921" t="s">
        <v>130</v>
      </c>
      <c r="D2921" s="48">
        <v>44434</v>
      </c>
      <c r="E2921">
        <v>310</v>
      </c>
      <c r="F2921" t="s">
        <v>514</v>
      </c>
      <c r="G2921">
        <v>122.55</v>
      </c>
    </row>
    <row r="2922" spans="2:7" hidden="1">
      <c r="B2922" s="43">
        <v>44407</v>
      </c>
      <c r="C2922" t="s">
        <v>130</v>
      </c>
      <c r="D2922" s="48">
        <v>44434</v>
      </c>
      <c r="E2922">
        <v>310</v>
      </c>
      <c r="F2922" t="s">
        <v>515</v>
      </c>
      <c r="G2922">
        <v>4.45</v>
      </c>
    </row>
    <row r="2923" spans="2:7" hidden="1">
      <c r="B2923" s="43">
        <v>44403</v>
      </c>
      <c r="C2923" t="s">
        <v>130</v>
      </c>
      <c r="D2923" s="48">
        <v>44434</v>
      </c>
      <c r="E2923">
        <v>315</v>
      </c>
      <c r="F2923" t="s">
        <v>514</v>
      </c>
      <c r="G2923">
        <v>118.25</v>
      </c>
    </row>
    <row r="2924" spans="2:7" hidden="1">
      <c r="B2924" s="43">
        <v>44403</v>
      </c>
      <c r="C2924" t="s">
        <v>130</v>
      </c>
      <c r="D2924" s="48">
        <v>44434</v>
      </c>
      <c r="E2924">
        <v>315</v>
      </c>
      <c r="F2924" t="s">
        <v>515</v>
      </c>
      <c r="G2924">
        <v>5.0999999999999996</v>
      </c>
    </row>
    <row r="2925" spans="2:7" hidden="1">
      <c r="B2925" s="43">
        <v>44404</v>
      </c>
      <c r="C2925" t="s">
        <v>130</v>
      </c>
      <c r="D2925" s="48">
        <v>44434</v>
      </c>
      <c r="E2925">
        <v>315</v>
      </c>
      <c r="F2925" t="s">
        <v>514</v>
      </c>
      <c r="G2925">
        <v>118.25</v>
      </c>
    </row>
    <row r="2926" spans="2:7" hidden="1">
      <c r="B2926" s="43">
        <v>44404</v>
      </c>
      <c r="C2926" t="s">
        <v>130</v>
      </c>
      <c r="D2926" s="48">
        <v>44434</v>
      </c>
      <c r="E2926">
        <v>315</v>
      </c>
      <c r="F2926" t="s">
        <v>515</v>
      </c>
      <c r="G2926">
        <v>5.0999999999999996</v>
      </c>
    </row>
    <row r="2927" spans="2:7" hidden="1">
      <c r="B2927" s="43">
        <v>44405</v>
      </c>
      <c r="C2927" t="s">
        <v>130</v>
      </c>
      <c r="D2927" s="48">
        <v>44434</v>
      </c>
      <c r="E2927">
        <v>315</v>
      </c>
      <c r="F2927" t="s">
        <v>514</v>
      </c>
      <c r="G2927">
        <v>118.25</v>
      </c>
    </row>
    <row r="2928" spans="2:7" hidden="1">
      <c r="B2928" s="43">
        <v>44405</v>
      </c>
      <c r="C2928" t="s">
        <v>130</v>
      </c>
      <c r="D2928" s="48">
        <v>44434</v>
      </c>
      <c r="E2928">
        <v>315</v>
      </c>
      <c r="F2928" t="s">
        <v>515</v>
      </c>
      <c r="G2928">
        <v>5.0999999999999996</v>
      </c>
    </row>
    <row r="2929" spans="2:7" hidden="1">
      <c r="B2929" s="43">
        <v>44406</v>
      </c>
      <c r="C2929" t="s">
        <v>130</v>
      </c>
      <c r="D2929" s="48">
        <v>44434</v>
      </c>
      <c r="E2929">
        <v>315</v>
      </c>
      <c r="F2929" t="s">
        <v>514</v>
      </c>
      <c r="G2929">
        <v>118.25</v>
      </c>
    </row>
    <row r="2930" spans="2:7" hidden="1">
      <c r="B2930" s="43">
        <v>44406</v>
      </c>
      <c r="C2930" t="s">
        <v>130</v>
      </c>
      <c r="D2930" s="48">
        <v>44434</v>
      </c>
      <c r="E2930">
        <v>315</v>
      </c>
      <c r="F2930" t="s">
        <v>515</v>
      </c>
      <c r="G2930">
        <v>5.0999999999999996</v>
      </c>
    </row>
    <row r="2931" spans="2:7" hidden="1">
      <c r="B2931" s="43">
        <v>44407</v>
      </c>
      <c r="C2931" t="s">
        <v>130</v>
      </c>
      <c r="D2931" s="48">
        <v>44434</v>
      </c>
      <c r="E2931">
        <v>315</v>
      </c>
      <c r="F2931" t="s">
        <v>514</v>
      </c>
      <c r="G2931">
        <v>118.25</v>
      </c>
    </row>
    <row r="2932" spans="2:7" hidden="1">
      <c r="B2932" s="43">
        <v>44407</v>
      </c>
      <c r="C2932" t="s">
        <v>130</v>
      </c>
      <c r="D2932" s="48">
        <v>44434</v>
      </c>
      <c r="E2932">
        <v>315</v>
      </c>
      <c r="F2932" t="s">
        <v>515</v>
      </c>
      <c r="G2932">
        <v>5.0999999999999996</v>
      </c>
    </row>
    <row r="2933" spans="2:7" hidden="1">
      <c r="B2933" s="43">
        <v>44403</v>
      </c>
      <c r="C2933" t="s">
        <v>130</v>
      </c>
      <c r="D2933" s="48">
        <v>44434</v>
      </c>
      <c r="E2933">
        <v>320</v>
      </c>
      <c r="F2933" t="s">
        <v>514</v>
      </c>
      <c r="G2933">
        <v>114</v>
      </c>
    </row>
    <row r="2934" spans="2:7" hidden="1">
      <c r="B2934" s="43">
        <v>44403</v>
      </c>
      <c r="C2934" t="s">
        <v>130</v>
      </c>
      <c r="D2934" s="48">
        <v>44434</v>
      </c>
      <c r="E2934">
        <v>320</v>
      </c>
      <c r="F2934" t="s">
        <v>515</v>
      </c>
      <c r="G2934">
        <v>5.85</v>
      </c>
    </row>
    <row r="2935" spans="2:7" hidden="1">
      <c r="B2935" s="43">
        <v>44404</v>
      </c>
      <c r="C2935" t="s">
        <v>130</v>
      </c>
      <c r="D2935" s="48">
        <v>44434</v>
      </c>
      <c r="E2935">
        <v>320</v>
      </c>
      <c r="F2935" t="s">
        <v>514</v>
      </c>
      <c r="G2935">
        <v>114</v>
      </c>
    </row>
    <row r="2936" spans="2:7" hidden="1">
      <c r="B2936" s="43">
        <v>44404</v>
      </c>
      <c r="C2936" t="s">
        <v>130</v>
      </c>
      <c r="D2936" s="48">
        <v>44434</v>
      </c>
      <c r="E2936">
        <v>320</v>
      </c>
      <c r="F2936" t="s">
        <v>515</v>
      </c>
      <c r="G2936">
        <v>5.85</v>
      </c>
    </row>
    <row r="2937" spans="2:7" hidden="1">
      <c r="B2937" s="43">
        <v>44405</v>
      </c>
      <c r="C2937" t="s">
        <v>130</v>
      </c>
      <c r="D2937" s="48">
        <v>44434</v>
      </c>
      <c r="E2937">
        <v>320</v>
      </c>
      <c r="F2937" t="s">
        <v>514</v>
      </c>
      <c r="G2937">
        <v>105.15</v>
      </c>
    </row>
    <row r="2938" spans="2:7" hidden="1">
      <c r="B2938" s="43">
        <v>44405</v>
      </c>
      <c r="C2938" t="s">
        <v>130</v>
      </c>
      <c r="D2938" s="48">
        <v>44434</v>
      </c>
      <c r="E2938">
        <v>320</v>
      </c>
      <c r="F2938" t="s">
        <v>515</v>
      </c>
      <c r="G2938">
        <v>0.1</v>
      </c>
    </row>
    <row r="2939" spans="2:7" hidden="1">
      <c r="B2939" s="43">
        <v>44406</v>
      </c>
      <c r="C2939" t="s">
        <v>130</v>
      </c>
      <c r="D2939" s="48">
        <v>44434</v>
      </c>
      <c r="E2939">
        <v>320</v>
      </c>
      <c r="F2939" t="s">
        <v>514</v>
      </c>
      <c r="G2939">
        <v>122</v>
      </c>
    </row>
    <row r="2940" spans="2:7" hidden="1">
      <c r="B2940" s="43">
        <v>44406</v>
      </c>
      <c r="C2940" t="s">
        <v>130</v>
      </c>
      <c r="D2940" s="48">
        <v>44434</v>
      </c>
      <c r="E2940">
        <v>320</v>
      </c>
      <c r="F2940" t="s">
        <v>515</v>
      </c>
      <c r="G2940">
        <v>0.4</v>
      </c>
    </row>
    <row r="2941" spans="2:7" hidden="1">
      <c r="B2941" s="43">
        <v>44407</v>
      </c>
      <c r="C2941" t="s">
        <v>130</v>
      </c>
      <c r="D2941" s="48">
        <v>44434</v>
      </c>
      <c r="E2941">
        <v>320</v>
      </c>
      <c r="F2941" t="s">
        <v>514</v>
      </c>
      <c r="G2941">
        <v>122</v>
      </c>
    </row>
    <row r="2942" spans="2:7" hidden="1">
      <c r="B2942" s="43">
        <v>44407</v>
      </c>
      <c r="C2942" t="s">
        <v>130</v>
      </c>
      <c r="D2942" s="48">
        <v>44434</v>
      </c>
      <c r="E2942">
        <v>320</v>
      </c>
      <c r="F2942" t="s">
        <v>515</v>
      </c>
      <c r="G2942">
        <v>0.35</v>
      </c>
    </row>
    <row r="2943" spans="2:7" hidden="1">
      <c r="B2943" s="43">
        <v>44403</v>
      </c>
      <c r="C2943" t="s">
        <v>130</v>
      </c>
      <c r="D2943" s="48">
        <v>44434</v>
      </c>
      <c r="E2943">
        <v>325</v>
      </c>
      <c r="F2943" t="s">
        <v>514</v>
      </c>
      <c r="G2943">
        <v>109.85</v>
      </c>
    </row>
    <row r="2944" spans="2:7" hidden="1">
      <c r="B2944" s="43">
        <v>44403</v>
      </c>
      <c r="C2944" t="s">
        <v>130</v>
      </c>
      <c r="D2944" s="48">
        <v>44434</v>
      </c>
      <c r="E2944">
        <v>325</v>
      </c>
      <c r="F2944" t="s">
        <v>515</v>
      </c>
      <c r="G2944">
        <v>6.65</v>
      </c>
    </row>
    <row r="2945" spans="2:7" hidden="1">
      <c r="B2945" s="43">
        <v>44404</v>
      </c>
      <c r="C2945" t="s">
        <v>130</v>
      </c>
      <c r="D2945" s="48">
        <v>44434</v>
      </c>
      <c r="E2945">
        <v>325</v>
      </c>
      <c r="F2945" t="s">
        <v>514</v>
      </c>
      <c r="G2945">
        <v>109.85</v>
      </c>
    </row>
    <row r="2946" spans="2:7" hidden="1">
      <c r="B2946" s="43">
        <v>44404</v>
      </c>
      <c r="C2946" t="s">
        <v>130</v>
      </c>
      <c r="D2946" s="48">
        <v>44434</v>
      </c>
      <c r="E2946">
        <v>325</v>
      </c>
      <c r="F2946" t="s">
        <v>515</v>
      </c>
      <c r="G2946">
        <v>6.65</v>
      </c>
    </row>
    <row r="2947" spans="2:7" hidden="1">
      <c r="B2947" s="43">
        <v>44405</v>
      </c>
      <c r="C2947" t="s">
        <v>130</v>
      </c>
      <c r="D2947" s="48">
        <v>44434</v>
      </c>
      <c r="E2947">
        <v>325</v>
      </c>
      <c r="F2947" t="s">
        <v>514</v>
      </c>
      <c r="G2947">
        <v>109.85</v>
      </c>
    </row>
    <row r="2948" spans="2:7" hidden="1">
      <c r="B2948" s="43">
        <v>44405</v>
      </c>
      <c r="C2948" t="s">
        <v>130</v>
      </c>
      <c r="D2948" s="48">
        <v>44434</v>
      </c>
      <c r="E2948">
        <v>325</v>
      </c>
      <c r="F2948" t="s">
        <v>515</v>
      </c>
      <c r="G2948">
        <v>6.65</v>
      </c>
    </row>
    <row r="2949" spans="2:7" hidden="1">
      <c r="B2949" s="43">
        <v>44406</v>
      </c>
      <c r="C2949" t="s">
        <v>130</v>
      </c>
      <c r="D2949" s="48">
        <v>44434</v>
      </c>
      <c r="E2949">
        <v>325</v>
      </c>
      <c r="F2949" t="s">
        <v>514</v>
      </c>
      <c r="G2949">
        <v>107</v>
      </c>
    </row>
    <row r="2950" spans="2:7" hidden="1">
      <c r="B2950" s="43">
        <v>44406</v>
      </c>
      <c r="C2950" t="s">
        <v>130</v>
      </c>
      <c r="D2950" s="48">
        <v>44434</v>
      </c>
      <c r="E2950">
        <v>325</v>
      </c>
      <c r="F2950" t="s">
        <v>515</v>
      </c>
      <c r="G2950">
        <v>0.35</v>
      </c>
    </row>
    <row r="2951" spans="2:7" hidden="1">
      <c r="B2951" s="43">
        <v>44407</v>
      </c>
      <c r="C2951" t="s">
        <v>130</v>
      </c>
      <c r="D2951" s="48">
        <v>44434</v>
      </c>
      <c r="E2951">
        <v>325</v>
      </c>
      <c r="F2951" t="s">
        <v>514</v>
      </c>
      <c r="G2951">
        <v>107</v>
      </c>
    </row>
    <row r="2952" spans="2:7" hidden="1">
      <c r="B2952" s="43">
        <v>44407</v>
      </c>
      <c r="C2952" t="s">
        <v>130</v>
      </c>
      <c r="D2952" s="48">
        <v>44434</v>
      </c>
      <c r="E2952">
        <v>325</v>
      </c>
      <c r="F2952" t="s">
        <v>515</v>
      </c>
      <c r="G2952">
        <v>0.5</v>
      </c>
    </row>
    <row r="2953" spans="2:7" hidden="1">
      <c r="B2953" s="43">
        <v>44403</v>
      </c>
      <c r="C2953" t="s">
        <v>130</v>
      </c>
      <c r="D2953" s="48">
        <v>44434</v>
      </c>
      <c r="E2953">
        <v>330</v>
      </c>
      <c r="F2953" t="s">
        <v>514</v>
      </c>
      <c r="G2953">
        <v>105.8</v>
      </c>
    </row>
    <row r="2954" spans="2:7" hidden="1">
      <c r="B2954" s="43">
        <v>44403</v>
      </c>
      <c r="C2954" t="s">
        <v>130</v>
      </c>
      <c r="D2954" s="48">
        <v>44434</v>
      </c>
      <c r="E2954">
        <v>330</v>
      </c>
      <c r="F2954" t="s">
        <v>515</v>
      </c>
      <c r="G2954">
        <v>0.75</v>
      </c>
    </row>
    <row r="2955" spans="2:7" hidden="1">
      <c r="B2955" s="43">
        <v>44404</v>
      </c>
      <c r="C2955" t="s">
        <v>130</v>
      </c>
      <c r="D2955" s="48">
        <v>44434</v>
      </c>
      <c r="E2955">
        <v>330</v>
      </c>
      <c r="F2955" t="s">
        <v>514</v>
      </c>
      <c r="G2955">
        <v>105.8</v>
      </c>
    </row>
    <row r="2956" spans="2:7" hidden="1">
      <c r="B2956" s="43">
        <v>44404</v>
      </c>
      <c r="C2956" t="s">
        <v>130</v>
      </c>
      <c r="D2956" s="48">
        <v>44434</v>
      </c>
      <c r="E2956">
        <v>330</v>
      </c>
      <c r="F2956" t="s">
        <v>515</v>
      </c>
      <c r="G2956">
        <v>0.75</v>
      </c>
    </row>
    <row r="2957" spans="2:7" hidden="1">
      <c r="B2957" s="43">
        <v>44405</v>
      </c>
      <c r="C2957" t="s">
        <v>130</v>
      </c>
      <c r="D2957" s="48">
        <v>44434</v>
      </c>
      <c r="E2957">
        <v>330</v>
      </c>
      <c r="F2957" t="s">
        <v>514</v>
      </c>
      <c r="G2957">
        <v>105.8</v>
      </c>
    </row>
    <row r="2958" spans="2:7" hidden="1">
      <c r="B2958" s="43">
        <v>44405</v>
      </c>
      <c r="C2958" t="s">
        <v>130</v>
      </c>
      <c r="D2958" s="48">
        <v>44434</v>
      </c>
      <c r="E2958">
        <v>330</v>
      </c>
      <c r="F2958" t="s">
        <v>515</v>
      </c>
      <c r="G2958">
        <v>0.45</v>
      </c>
    </row>
    <row r="2959" spans="2:7" hidden="1">
      <c r="B2959" s="43">
        <v>44406</v>
      </c>
      <c r="C2959" t="s">
        <v>130</v>
      </c>
      <c r="D2959" s="48">
        <v>44434</v>
      </c>
      <c r="E2959">
        <v>330</v>
      </c>
      <c r="F2959" t="s">
        <v>514</v>
      </c>
      <c r="G2959">
        <v>105.8</v>
      </c>
    </row>
    <row r="2960" spans="2:7" hidden="1">
      <c r="B2960" s="43">
        <v>44406</v>
      </c>
      <c r="C2960" t="s">
        <v>130</v>
      </c>
      <c r="D2960" s="48">
        <v>44434</v>
      </c>
      <c r="E2960">
        <v>330</v>
      </c>
      <c r="F2960" t="s">
        <v>515</v>
      </c>
      <c r="G2960">
        <v>0.8</v>
      </c>
    </row>
    <row r="2961" spans="2:7" hidden="1">
      <c r="B2961" s="43">
        <v>44407</v>
      </c>
      <c r="C2961" t="s">
        <v>130</v>
      </c>
      <c r="D2961" s="48">
        <v>44434</v>
      </c>
      <c r="E2961">
        <v>330</v>
      </c>
      <c r="F2961" t="s">
        <v>514</v>
      </c>
      <c r="G2961">
        <v>105.8</v>
      </c>
    </row>
    <row r="2962" spans="2:7" hidden="1">
      <c r="B2962" s="43">
        <v>44407</v>
      </c>
      <c r="C2962" t="s">
        <v>130</v>
      </c>
      <c r="D2962" s="48">
        <v>44434</v>
      </c>
      <c r="E2962">
        <v>330</v>
      </c>
      <c r="F2962" t="s">
        <v>515</v>
      </c>
      <c r="G2962">
        <v>0.5</v>
      </c>
    </row>
    <row r="2963" spans="2:7" hidden="1">
      <c r="B2963" s="43">
        <v>44403</v>
      </c>
      <c r="C2963" t="s">
        <v>130</v>
      </c>
      <c r="D2963" s="48">
        <v>44434</v>
      </c>
      <c r="E2963">
        <v>335</v>
      </c>
      <c r="F2963" t="s">
        <v>514</v>
      </c>
      <c r="G2963">
        <v>101.75</v>
      </c>
    </row>
    <row r="2964" spans="2:7" hidden="1">
      <c r="B2964" s="43">
        <v>44403</v>
      </c>
      <c r="C2964" t="s">
        <v>130</v>
      </c>
      <c r="D2964" s="48">
        <v>44434</v>
      </c>
      <c r="E2964">
        <v>335</v>
      </c>
      <c r="F2964" t="s">
        <v>515</v>
      </c>
      <c r="G2964">
        <v>8.4499999999999993</v>
      </c>
    </row>
    <row r="2965" spans="2:7" hidden="1">
      <c r="B2965" s="43">
        <v>44404</v>
      </c>
      <c r="C2965" t="s">
        <v>130</v>
      </c>
      <c r="D2965" s="48">
        <v>44434</v>
      </c>
      <c r="E2965">
        <v>335</v>
      </c>
      <c r="F2965" t="s">
        <v>514</v>
      </c>
      <c r="G2965">
        <v>101.75</v>
      </c>
    </row>
    <row r="2966" spans="2:7" hidden="1">
      <c r="B2966" s="43">
        <v>44404</v>
      </c>
      <c r="C2966" t="s">
        <v>130</v>
      </c>
      <c r="D2966" s="48">
        <v>44434</v>
      </c>
      <c r="E2966">
        <v>335</v>
      </c>
      <c r="F2966" t="s">
        <v>515</v>
      </c>
      <c r="G2966">
        <v>8.4499999999999993</v>
      </c>
    </row>
    <row r="2967" spans="2:7" hidden="1">
      <c r="B2967" s="43">
        <v>44405</v>
      </c>
      <c r="C2967" t="s">
        <v>130</v>
      </c>
      <c r="D2967" s="48">
        <v>44434</v>
      </c>
      <c r="E2967">
        <v>335</v>
      </c>
      <c r="F2967" t="s">
        <v>514</v>
      </c>
      <c r="G2967">
        <v>101.75</v>
      </c>
    </row>
    <row r="2968" spans="2:7" hidden="1">
      <c r="B2968" s="43">
        <v>44405</v>
      </c>
      <c r="C2968" t="s">
        <v>130</v>
      </c>
      <c r="D2968" s="48">
        <v>44434</v>
      </c>
      <c r="E2968">
        <v>335</v>
      </c>
      <c r="F2968" t="s">
        <v>515</v>
      </c>
      <c r="G2968">
        <v>8.4499999999999993</v>
      </c>
    </row>
    <row r="2969" spans="2:7" hidden="1">
      <c r="B2969" s="43">
        <v>44406</v>
      </c>
      <c r="C2969" t="s">
        <v>130</v>
      </c>
      <c r="D2969" s="48">
        <v>44434</v>
      </c>
      <c r="E2969">
        <v>335</v>
      </c>
      <c r="F2969" t="s">
        <v>514</v>
      </c>
      <c r="G2969">
        <v>101.75</v>
      </c>
    </row>
    <row r="2970" spans="2:7" hidden="1">
      <c r="B2970" s="43">
        <v>44406</v>
      </c>
      <c r="C2970" t="s">
        <v>130</v>
      </c>
      <c r="D2970" s="48">
        <v>44434</v>
      </c>
      <c r="E2970">
        <v>335</v>
      </c>
      <c r="F2970" t="s">
        <v>515</v>
      </c>
      <c r="G2970">
        <v>8.4499999999999993</v>
      </c>
    </row>
    <row r="2971" spans="2:7" hidden="1">
      <c r="B2971" s="43">
        <v>44407</v>
      </c>
      <c r="C2971" t="s">
        <v>130</v>
      </c>
      <c r="D2971" s="48">
        <v>44434</v>
      </c>
      <c r="E2971">
        <v>335</v>
      </c>
      <c r="F2971" t="s">
        <v>514</v>
      </c>
      <c r="G2971">
        <v>101.75</v>
      </c>
    </row>
    <row r="2972" spans="2:7" hidden="1">
      <c r="B2972" s="43">
        <v>44407</v>
      </c>
      <c r="C2972" t="s">
        <v>130</v>
      </c>
      <c r="D2972" s="48">
        <v>44434</v>
      </c>
      <c r="E2972">
        <v>335</v>
      </c>
      <c r="F2972" t="s">
        <v>515</v>
      </c>
      <c r="G2972">
        <v>8.4499999999999993</v>
      </c>
    </row>
    <row r="2973" spans="2:7" hidden="1">
      <c r="B2973" s="43">
        <v>44403</v>
      </c>
      <c r="C2973" t="s">
        <v>130</v>
      </c>
      <c r="D2973" s="48">
        <v>44434</v>
      </c>
      <c r="E2973">
        <v>340</v>
      </c>
      <c r="F2973" t="s">
        <v>514</v>
      </c>
      <c r="G2973">
        <v>91</v>
      </c>
    </row>
    <row r="2974" spans="2:7" hidden="1">
      <c r="B2974" s="43">
        <v>44403</v>
      </c>
      <c r="C2974" t="s">
        <v>130</v>
      </c>
      <c r="D2974" s="48">
        <v>44434</v>
      </c>
      <c r="E2974">
        <v>340</v>
      </c>
      <c r="F2974" t="s">
        <v>515</v>
      </c>
      <c r="G2974">
        <v>0.9</v>
      </c>
    </row>
    <row r="2975" spans="2:7" hidden="1">
      <c r="B2975" s="43">
        <v>44404</v>
      </c>
      <c r="C2975" t="s">
        <v>130</v>
      </c>
      <c r="D2975" s="48">
        <v>44434</v>
      </c>
      <c r="E2975">
        <v>340</v>
      </c>
      <c r="F2975" t="s">
        <v>514</v>
      </c>
      <c r="G2975">
        <v>94</v>
      </c>
    </row>
    <row r="2976" spans="2:7" hidden="1">
      <c r="B2976" s="43">
        <v>44404</v>
      </c>
      <c r="C2976" t="s">
        <v>130</v>
      </c>
      <c r="D2976" s="48">
        <v>44434</v>
      </c>
      <c r="E2976">
        <v>340</v>
      </c>
      <c r="F2976" t="s">
        <v>515</v>
      </c>
      <c r="G2976">
        <v>0.6</v>
      </c>
    </row>
    <row r="2977" spans="2:7" hidden="1">
      <c r="B2977" s="43">
        <v>44405</v>
      </c>
      <c r="C2977" t="s">
        <v>130</v>
      </c>
      <c r="D2977" s="48">
        <v>44434</v>
      </c>
      <c r="E2977">
        <v>340</v>
      </c>
      <c r="F2977" t="s">
        <v>514</v>
      </c>
      <c r="G2977">
        <v>85.5</v>
      </c>
    </row>
    <row r="2978" spans="2:7" hidden="1">
      <c r="B2978" s="43">
        <v>44405</v>
      </c>
      <c r="C2978" t="s">
        <v>130</v>
      </c>
      <c r="D2978" s="48">
        <v>44434</v>
      </c>
      <c r="E2978">
        <v>340</v>
      </c>
      <c r="F2978" t="s">
        <v>515</v>
      </c>
      <c r="G2978">
        <v>0.35</v>
      </c>
    </row>
    <row r="2979" spans="2:7" hidden="1">
      <c r="B2979" s="43">
        <v>44406</v>
      </c>
      <c r="C2979" t="s">
        <v>130</v>
      </c>
      <c r="D2979" s="48">
        <v>44434</v>
      </c>
      <c r="E2979">
        <v>340</v>
      </c>
      <c r="F2979" t="s">
        <v>514</v>
      </c>
      <c r="G2979">
        <v>85.5</v>
      </c>
    </row>
    <row r="2980" spans="2:7" hidden="1">
      <c r="B2980" s="43">
        <v>44406</v>
      </c>
      <c r="C2980" t="s">
        <v>130</v>
      </c>
      <c r="D2980" s="48">
        <v>44434</v>
      </c>
      <c r="E2980">
        <v>340</v>
      </c>
      <c r="F2980" t="s">
        <v>515</v>
      </c>
      <c r="G2980">
        <v>1</v>
      </c>
    </row>
    <row r="2981" spans="2:7" hidden="1">
      <c r="B2981" s="43">
        <v>44407</v>
      </c>
      <c r="C2981" t="s">
        <v>130</v>
      </c>
      <c r="D2981" s="48">
        <v>44434</v>
      </c>
      <c r="E2981">
        <v>340</v>
      </c>
      <c r="F2981" t="s">
        <v>514</v>
      </c>
      <c r="G2981">
        <v>85.5</v>
      </c>
    </row>
    <row r="2982" spans="2:7" hidden="1">
      <c r="B2982" s="43">
        <v>44407</v>
      </c>
      <c r="C2982" t="s">
        <v>130</v>
      </c>
      <c r="D2982" s="48">
        <v>44434</v>
      </c>
      <c r="E2982">
        <v>340</v>
      </c>
      <c r="F2982" t="s">
        <v>515</v>
      </c>
      <c r="G2982">
        <v>0.55000000000000004</v>
      </c>
    </row>
    <row r="2983" spans="2:7" hidden="1">
      <c r="B2983" s="43">
        <v>44403</v>
      </c>
      <c r="C2983" t="s">
        <v>130</v>
      </c>
      <c r="D2983" s="48">
        <v>44434</v>
      </c>
      <c r="E2983">
        <v>345</v>
      </c>
      <c r="F2983" t="s">
        <v>514</v>
      </c>
      <c r="G2983">
        <v>94</v>
      </c>
    </row>
    <row r="2984" spans="2:7" hidden="1">
      <c r="B2984" s="43">
        <v>44403</v>
      </c>
      <c r="C2984" t="s">
        <v>130</v>
      </c>
      <c r="D2984" s="48">
        <v>44434</v>
      </c>
      <c r="E2984">
        <v>345</v>
      </c>
      <c r="F2984" t="s">
        <v>515</v>
      </c>
      <c r="G2984">
        <v>10.6</v>
      </c>
    </row>
    <row r="2985" spans="2:7" hidden="1">
      <c r="B2985" s="43">
        <v>44404</v>
      </c>
      <c r="C2985" t="s">
        <v>130</v>
      </c>
      <c r="D2985" s="48">
        <v>44434</v>
      </c>
      <c r="E2985">
        <v>345</v>
      </c>
      <c r="F2985" t="s">
        <v>514</v>
      </c>
      <c r="G2985">
        <v>94</v>
      </c>
    </row>
    <row r="2986" spans="2:7" hidden="1">
      <c r="B2986" s="43">
        <v>44404</v>
      </c>
      <c r="C2986" t="s">
        <v>130</v>
      </c>
      <c r="D2986" s="48">
        <v>44434</v>
      </c>
      <c r="E2986">
        <v>345</v>
      </c>
      <c r="F2986" t="s">
        <v>515</v>
      </c>
      <c r="G2986">
        <v>10.6</v>
      </c>
    </row>
    <row r="2987" spans="2:7" hidden="1">
      <c r="B2987" s="43">
        <v>44405</v>
      </c>
      <c r="C2987" t="s">
        <v>130</v>
      </c>
      <c r="D2987" s="48">
        <v>44434</v>
      </c>
      <c r="E2987">
        <v>345</v>
      </c>
      <c r="F2987" t="s">
        <v>514</v>
      </c>
      <c r="G2987">
        <v>94</v>
      </c>
    </row>
    <row r="2988" spans="2:7" hidden="1">
      <c r="B2988" s="43">
        <v>44405</v>
      </c>
      <c r="C2988" t="s">
        <v>130</v>
      </c>
      <c r="D2988" s="48">
        <v>44434</v>
      </c>
      <c r="E2988">
        <v>345</v>
      </c>
      <c r="F2988" t="s">
        <v>515</v>
      </c>
      <c r="G2988">
        <v>10.6</v>
      </c>
    </row>
    <row r="2989" spans="2:7" hidden="1">
      <c r="B2989" s="43">
        <v>44406</v>
      </c>
      <c r="C2989" t="s">
        <v>130</v>
      </c>
      <c r="D2989" s="48">
        <v>44434</v>
      </c>
      <c r="E2989">
        <v>345</v>
      </c>
      <c r="F2989" t="s">
        <v>514</v>
      </c>
      <c r="G2989">
        <v>94</v>
      </c>
    </row>
    <row r="2990" spans="2:7" hidden="1">
      <c r="B2990" s="43">
        <v>44406</v>
      </c>
      <c r="C2990" t="s">
        <v>130</v>
      </c>
      <c r="D2990" s="48">
        <v>44434</v>
      </c>
      <c r="E2990">
        <v>345</v>
      </c>
      <c r="F2990" t="s">
        <v>515</v>
      </c>
      <c r="G2990">
        <v>10.6</v>
      </c>
    </row>
    <row r="2991" spans="2:7" hidden="1">
      <c r="B2991" s="43">
        <v>44407</v>
      </c>
      <c r="C2991" t="s">
        <v>130</v>
      </c>
      <c r="D2991" s="48">
        <v>44434</v>
      </c>
      <c r="E2991">
        <v>345</v>
      </c>
      <c r="F2991" t="s">
        <v>514</v>
      </c>
      <c r="G2991">
        <v>94</v>
      </c>
    </row>
    <row r="2992" spans="2:7" hidden="1">
      <c r="B2992" s="43">
        <v>44407</v>
      </c>
      <c r="C2992" t="s">
        <v>130</v>
      </c>
      <c r="D2992" s="48">
        <v>44434</v>
      </c>
      <c r="E2992">
        <v>345</v>
      </c>
      <c r="F2992" t="s">
        <v>515</v>
      </c>
      <c r="G2992">
        <v>10.6</v>
      </c>
    </row>
    <row r="2993" spans="2:7" hidden="1">
      <c r="B2993" s="43">
        <v>44403</v>
      </c>
      <c r="C2993" t="s">
        <v>130</v>
      </c>
      <c r="D2993" s="48">
        <v>44434</v>
      </c>
      <c r="E2993">
        <v>350</v>
      </c>
      <c r="F2993" t="s">
        <v>514</v>
      </c>
      <c r="G2993">
        <v>75</v>
      </c>
    </row>
    <row r="2994" spans="2:7" hidden="1">
      <c r="B2994" s="43">
        <v>44403</v>
      </c>
      <c r="C2994" t="s">
        <v>130</v>
      </c>
      <c r="D2994" s="48">
        <v>44434</v>
      </c>
      <c r="E2994">
        <v>350</v>
      </c>
      <c r="F2994" t="s">
        <v>515</v>
      </c>
      <c r="G2994">
        <v>1</v>
      </c>
    </row>
    <row r="2995" spans="2:7" hidden="1">
      <c r="B2995" s="43">
        <v>44404</v>
      </c>
      <c r="C2995" t="s">
        <v>130</v>
      </c>
      <c r="D2995" s="48">
        <v>44434</v>
      </c>
      <c r="E2995">
        <v>350</v>
      </c>
      <c r="F2995" t="s">
        <v>514</v>
      </c>
      <c r="G2995">
        <v>79.5</v>
      </c>
    </row>
    <row r="2996" spans="2:7" hidden="1">
      <c r="B2996" s="43">
        <v>44404</v>
      </c>
      <c r="C2996" t="s">
        <v>130</v>
      </c>
      <c r="D2996" s="48">
        <v>44434</v>
      </c>
      <c r="E2996">
        <v>350</v>
      </c>
      <c r="F2996" t="s">
        <v>515</v>
      </c>
      <c r="G2996">
        <v>0.75</v>
      </c>
    </row>
    <row r="2997" spans="2:7" hidden="1">
      <c r="B2997" s="43">
        <v>44405</v>
      </c>
      <c r="C2997" t="s">
        <v>130</v>
      </c>
      <c r="D2997" s="48">
        <v>44434</v>
      </c>
      <c r="E2997">
        <v>350</v>
      </c>
      <c r="F2997" t="s">
        <v>514</v>
      </c>
      <c r="G2997">
        <v>76.349999999999994</v>
      </c>
    </row>
    <row r="2998" spans="2:7" hidden="1">
      <c r="B2998" s="43">
        <v>44405</v>
      </c>
      <c r="C2998" t="s">
        <v>130</v>
      </c>
      <c r="D2998" s="48">
        <v>44434</v>
      </c>
      <c r="E2998">
        <v>350</v>
      </c>
      <c r="F2998" t="s">
        <v>515</v>
      </c>
      <c r="G2998">
        <v>0.75</v>
      </c>
    </row>
    <row r="2999" spans="2:7" hidden="1">
      <c r="B2999" s="43">
        <v>44406</v>
      </c>
      <c r="C2999" t="s">
        <v>130</v>
      </c>
      <c r="D2999" s="48">
        <v>44434</v>
      </c>
      <c r="E2999">
        <v>350</v>
      </c>
      <c r="F2999" t="s">
        <v>514</v>
      </c>
      <c r="G2999">
        <v>92.3</v>
      </c>
    </row>
    <row r="3000" spans="2:7" hidden="1">
      <c r="B3000" s="43">
        <v>44406</v>
      </c>
      <c r="C3000" t="s">
        <v>130</v>
      </c>
      <c r="D3000" s="48">
        <v>44434</v>
      </c>
      <c r="E3000">
        <v>350</v>
      </c>
      <c r="F3000" t="s">
        <v>515</v>
      </c>
      <c r="G3000">
        <v>0.85</v>
      </c>
    </row>
    <row r="3001" spans="2:7" hidden="1">
      <c r="B3001" s="43">
        <v>44407</v>
      </c>
      <c r="C3001" t="s">
        <v>130</v>
      </c>
      <c r="D3001" s="48">
        <v>44434</v>
      </c>
      <c r="E3001">
        <v>350</v>
      </c>
      <c r="F3001" t="s">
        <v>514</v>
      </c>
      <c r="G3001">
        <v>82.6</v>
      </c>
    </row>
    <row r="3002" spans="2:7" hidden="1">
      <c r="B3002" s="43">
        <v>44407</v>
      </c>
      <c r="C3002" t="s">
        <v>130</v>
      </c>
      <c r="D3002" s="48">
        <v>44434</v>
      </c>
      <c r="E3002">
        <v>350</v>
      </c>
      <c r="F3002" t="s">
        <v>515</v>
      </c>
      <c r="G3002">
        <v>0.85</v>
      </c>
    </row>
    <row r="3003" spans="2:7" hidden="1">
      <c r="B3003" s="43">
        <v>44403</v>
      </c>
      <c r="C3003" t="s">
        <v>130</v>
      </c>
      <c r="D3003" s="48">
        <v>44434</v>
      </c>
      <c r="E3003">
        <v>355</v>
      </c>
      <c r="F3003" t="s">
        <v>514</v>
      </c>
      <c r="G3003">
        <v>86.6</v>
      </c>
    </row>
    <row r="3004" spans="2:7" hidden="1">
      <c r="B3004" s="43">
        <v>44403</v>
      </c>
      <c r="C3004" t="s">
        <v>130</v>
      </c>
      <c r="D3004" s="48">
        <v>44434</v>
      </c>
      <c r="E3004">
        <v>355</v>
      </c>
      <c r="F3004" t="s">
        <v>515</v>
      </c>
      <c r="G3004">
        <v>13.1</v>
      </c>
    </row>
    <row r="3005" spans="2:7" hidden="1">
      <c r="B3005" s="43">
        <v>44404</v>
      </c>
      <c r="C3005" t="s">
        <v>130</v>
      </c>
      <c r="D3005" s="48">
        <v>44434</v>
      </c>
      <c r="E3005">
        <v>355</v>
      </c>
      <c r="F3005" t="s">
        <v>514</v>
      </c>
      <c r="G3005">
        <v>86.6</v>
      </c>
    </row>
    <row r="3006" spans="2:7" hidden="1">
      <c r="B3006" s="43">
        <v>44404</v>
      </c>
      <c r="C3006" t="s">
        <v>130</v>
      </c>
      <c r="D3006" s="48">
        <v>44434</v>
      </c>
      <c r="E3006">
        <v>355</v>
      </c>
      <c r="F3006" t="s">
        <v>515</v>
      </c>
      <c r="G3006">
        <v>13.1</v>
      </c>
    </row>
    <row r="3007" spans="2:7" hidden="1">
      <c r="B3007" s="43">
        <v>44405</v>
      </c>
      <c r="C3007" t="s">
        <v>130</v>
      </c>
      <c r="D3007" s="48">
        <v>44434</v>
      </c>
      <c r="E3007">
        <v>355</v>
      </c>
      <c r="F3007" t="s">
        <v>514</v>
      </c>
      <c r="G3007">
        <v>86.6</v>
      </c>
    </row>
    <row r="3008" spans="2:7" hidden="1">
      <c r="B3008" s="43">
        <v>44405</v>
      </c>
      <c r="C3008" t="s">
        <v>130</v>
      </c>
      <c r="D3008" s="48">
        <v>44434</v>
      </c>
      <c r="E3008">
        <v>355</v>
      </c>
      <c r="F3008" t="s">
        <v>515</v>
      </c>
      <c r="G3008">
        <v>13.1</v>
      </c>
    </row>
    <row r="3009" spans="2:7" hidden="1">
      <c r="B3009" s="43">
        <v>44406</v>
      </c>
      <c r="C3009" t="s">
        <v>130</v>
      </c>
      <c r="D3009" s="48">
        <v>44434</v>
      </c>
      <c r="E3009">
        <v>355</v>
      </c>
      <c r="F3009" t="s">
        <v>514</v>
      </c>
      <c r="G3009">
        <v>86.6</v>
      </c>
    </row>
    <row r="3010" spans="2:7" hidden="1">
      <c r="B3010" s="43">
        <v>44406</v>
      </c>
      <c r="C3010" t="s">
        <v>130</v>
      </c>
      <c r="D3010" s="48">
        <v>44434</v>
      </c>
      <c r="E3010">
        <v>355</v>
      </c>
      <c r="F3010" t="s">
        <v>515</v>
      </c>
      <c r="G3010">
        <v>13.1</v>
      </c>
    </row>
    <row r="3011" spans="2:7" hidden="1">
      <c r="B3011" s="43">
        <v>44407</v>
      </c>
      <c r="C3011" t="s">
        <v>130</v>
      </c>
      <c r="D3011" s="48">
        <v>44434</v>
      </c>
      <c r="E3011">
        <v>355</v>
      </c>
      <c r="F3011" t="s">
        <v>514</v>
      </c>
      <c r="G3011">
        <v>86.6</v>
      </c>
    </row>
    <row r="3012" spans="2:7" hidden="1">
      <c r="B3012" s="43">
        <v>44407</v>
      </c>
      <c r="C3012" t="s">
        <v>130</v>
      </c>
      <c r="D3012" s="48">
        <v>44434</v>
      </c>
      <c r="E3012">
        <v>355</v>
      </c>
      <c r="F3012" t="s">
        <v>515</v>
      </c>
      <c r="G3012">
        <v>13.1</v>
      </c>
    </row>
    <row r="3013" spans="2:7" hidden="1">
      <c r="B3013" s="43">
        <v>44403</v>
      </c>
      <c r="C3013" t="s">
        <v>130</v>
      </c>
      <c r="D3013" s="48">
        <v>44434</v>
      </c>
      <c r="E3013">
        <v>360</v>
      </c>
      <c r="F3013" t="s">
        <v>514</v>
      </c>
      <c r="G3013">
        <v>83</v>
      </c>
    </row>
    <row r="3014" spans="2:7" hidden="1">
      <c r="B3014" s="43">
        <v>44403</v>
      </c>
      <c r="C3014" t="s">
        <v>130</v>
      </c>
      <c r="D3014" s="48">
        <v>44434</v>
      </c>
      <c r="E3014">
        <v>360</v>
      </c>
      <c r="F3014" t="s">
        <v>515</v>
      </c>
      <c r="G3014">
        <v>1.4</v>
      </c>
    </row>
    <row r="3015" spans="2:7" hidden="1">
      <c r="B3015" s="43">
        <v>44404</v>
      </c>
      <c r="C3015" t="s">
        <v>130</v>
      </c>
      <c r="D3015" s="48">
        <v>44434</v>
      </c>
      <c r="E3015">
        <v>360</v>
      </c>
      <c r="F3015" t="s">
        <v>514</v>
      </c>
      <c r="G3015">
        <v>70</v>
      </c>
    </row>
    <row r="3016" spans="2:7" hidden="1">
      <c r="B3016" s="43">
        <v>44404</v>
      </c>
      <c r="C3016" t="s">
        <v>130</v>
      </c>
      <c r="D3016" s="48">
        <v>44434</v>
      </c>
      <c r="E3016">
        <v>360</v>
      </c>
      <c r="F3016" t="s">
        <v>515</v>
      </c>
      <c r="G3016">
        <v>0.65</v>
      </c>
    </row>
    <row r="3017" spans="2:7" hidden="1">
      <c r="B3017" s="43">
        <v>44405</v>
      </c>
      <c r="C3017" t="s">
        <v>130</v>
      </c>
      <c r="D3017" s="48">
        <v>44434</v>
      </c>
      <c r="E3017">
        <v>360</v>
      </c>
      <c r="F3017" t="s">
        <v>514</v>
      </c>
      <c r="G3017">
        <v>70</v>
      </c>
    </row>
    <row r="3018" spans="2:7" hidden="1">
      <c r="B3018" s="43">
        <v>44405</v>
      </c>
      <c r="C3018" t="s">
        <v>130</v>
      </c>
      <c r="D3018" s="48">
        <v>44434</v>
      </c>
      <c r="E3018">
        <v>360</v>
      </c>
      <c r="F3018" t="s">
        <v>515</v>
      </c>
      <c r="G3018">
        <v>2.2999999999999998</v>
      </c>
    </row>
    <row r="3019" spans="2:7" hidden="1">
      <c r="B3019" s="43">
        <v>44406</v>
      </c>
      <c r="C3019" t="s">
        <v>130</v>
      </c>
      <c r="D3019" s="48">
        <v>44434</v>
      </c>
      <c r="E3019">
        <v>360</v>
      </c>
      <c r="F3019" t="s">
        <v>514</v>
      </c>
      <c r="G3019">
        <v>70</v>
      </c>
    </row>
    <row r="3020" spans="2:7" hidden="1">
      <c r="B3020" s="43">
        <v>44406</v>
      </c>
      <c r="C3020" t="s">
        <v>130</v>
      </c>
      <c r="D3020" s="48">
        <v>44434</v>
      </c>
      <c r="E3020">
        <v>360</v>
      </c>
      <c r="F3020" t="s">
        <v>515</v>
      </c>
      <c r="G3020">
        <v>1.3</v>
      </c>
    </row>
    <row r="3021" spans="2:7" hidden="1">
      <c r="B3021" s="43">
        <v>44407</v>
      </c>
      <c r="C3021" t="s">
        <v>130</v>
      </c>
      <c r="D3021" s="48">
        <v>44434</v>
      </c>
      <c r="E3021">
        <v>360</v>
      </c>
      <c r="F3021" t="s">
        <v>514</v>
      </c>
      <c r="G3021">
        <v>82.05</v>
      </c>
    </row>
    <row r="3022" spans="2:7" hidden="1">
      <c r="B3022" s="43">
        <v>44407</v>
      </c>
      <c r="C3022" t="s">
        <v>130</v>
      </c>
      <c r="D3022" s="48">
        <v>44434</v>
      </c>
      <c r="E3022">
        <v>360</v>
      </c>
      <c r="F3022" t="s">
        <v>515</v>
      </c>
      <c r="G3022">
        <v>1.1499999999999999</v>
      </c>
    </row>
    <row r="3023" spans="2:7" hidden="1">
      <c r="B3023" s="43">
        <v>44403</v>
      </c>
      <c r="C3023" t="s">
        <v>130</v>
      </c>
      <c r="D3023" s="48">
        <v>44434</v>
      </c>
      <c r="E3023">
        <v>365</v>
      </c>
      <c r="F3023" t="s">
        <v>514</v>
      </c>
      <c r="G3023">
        <v>79.55</v>
      </c>
    </row>
    <row r="3024" spans="2:7" hidden="1">
      <c r="B3024" s="43">
        <v>44403</v>
      </c>
      <c r="C3024" t="s">
        <v>130</v>
      </c>
      <c r="D3024" s="48">
        <v>44434</v>
      </c>
      <c r="E3024">
        <v>365</v>
      </c>
      <c r="F3024" t="s">
        <v>515</v>
      </c>
      <c r="G3024">
        <v>15.95</v>
      </c>
    </row>
    <row r="3025" spans="2:7" hidden="1">
      <c r="B3025" s="43">
        <v>44404</v>
      </c>
      <c r="C3025" t="s">
        <v>130</v>
      </c>
      <c r="D3025" s="48">
        <v>44434</v>
      </c>
      <c r="E3025">
        <v>365</v>
      </c>
      <c r="F3025" t="s">
        <v>514</v>
      </c>
      <c r="G3025">
        <v>79.55</v>
      </c>
    </row>
    <row r="3026" spans="2:7" hidden="1">
      <c r="B3026" s="43">
        <v>44404</v>
      </c>
      <c r="C3026" t="s">
        <v>130</v>
      </c>
      <c r="D3026" s="48">
        <v>44434</v>
      </c>
      <c r="E3026">
        <v>365</v>
      </c>
      <c r="F3026" t="s">
        <v>515</v>
      </c>
      <c r="G3026">
        <v>15.95</v>
      </c>
    </row>
    <row r="3027" spans="2:7" hidden="1">
      <c r="B3027" s="43">
        <v>44405</v>
      </c>
      <c r="C3027" t="s">
        <v>130</v>
      </c>
      <c r="D3027" s="48">
        <v>44434</v>
      </c>
      <c r="E3027">
        <v>365</v>
      </c>
      <c r="F3027" t="s">
        <v>514</v>
      </c>
      <c r="G3027">
        <v>79.55</v>
      </c>
    </row>
    <row r="3028" spans="2:7" hidden="1">
      <c r="B3028" s="43">
        <v>44405</v>
      </c>
      <c r="C3028" t="s">
        <v>130</v>
      </c>
      <c r="D3028" s="48">
        <v>44434</v>
      </c>
      <c r="E3028">
        <v>365</v>
      </c>
      <c r="F3028" t="s">
        <v>515</v>
      </c>
      <c r="G3028">
        <v>15.95</v>
      </c>
    </row>
    <row r="3029" spans="2:7" hidden="1">
      <c r="B3029" s="43">
        <v>44406</v>
      </c>
      <c r="C3029" t="s">
        <v>130</v>
      </c>
      <c r="D3029" s="48">
        <v>44434</v>
      </c>
      <c r="E3029">
        <v>365</v>
      </c>
      <c r="F3029" t="s">
        <v>514</v>
      </c>
      <c r="G3029">
        <v>79.55</v>
      </c>
    </row>
    <row r="3030" spans="2:7" hidden="1">
      <c r="B3030" s="43">
        <v>44406</v>
      </c>
      <c r="C3030" t="s">
        <v>130</v>
      </c>
      <c r="D3030" s="48">
        <v>44434</v>
      </c>
      <c r="E3030">
        <v>365</v>
      </c>
      <c r="F3030" t="s">
        <v>515</v>
      </c>
      <c r="G3030">
        <v>15.95</v>
      </c>
    </row>
    <row r="3031" spans="2:7" hidden="1">
      <c r="B3031" s="43">
        <v>44407</v>
      </c>
      <c r="C3031" t="s">
        <v>130</v>
      </c>
      <c r="D3031" s="48">
        <v>44434</v>
      </c>
      <c r="E3031">
        <v>365</v>
      </c>
      <c r="F3031" t="s">
        <v>514</v>
      </c>
      <c r="G3031">
        <v>79.55</v>
      </c>
    </row>
    <row r="3032" spans="2:7" hidden="1">
      <c r="B3032" s="43">
        <v>44407</v>
      </c>
      <c r="C3032" t="s">
        <v>130</v>
      </c>
      <c r="D3032" s="48">
        <v>44434</v>
      </c>
      <c r="E3032">
        <v>365</v>
      </c>
      <c r="F3032" t="s">
        <v>515</v>
      </c>
      <c r="G3032">
        <v>15.95</v>
      </c>
    </row>
    <row r="3033" spans="2:7" hidden="1">
      <c r="B3033" s="43">
        <v>44403</v>
      </c>
      <c r="C3033" t="s">
        <v>130</v>
      </c>
      <c r="D3033" s="48">
        <v>44434</v>
      </c>
      <c r="E3033">
        <v>370</v>
      </c>
      <c r="F3033" t="s">
        <v>514</v>
      </c>
      <c r="G3033">
        <v>76.150000000000006</v>
      </c>
    </row>
    <row r="3034" spans="2:7" hidden="1">
      <c r="B3034" s="43">
        <v>44403</v>
      </c>
      <c r="C3034" t="s">
        <v>130</v>
      </c>
      <c r="D3034" s="48">
        <v>44434</v>
      </c>
      <c r="E3034">
        <v>370</v>
      </c>
      <c r="F3034" t="s">
        <v>515</v>
      </c>
      <c r="G3034">
        <v>1.5</v>
      </c>
    </row>
    <row r="3035" spans="2:7" hidden="1">
      <c r="B3035" s="43">
        <v>44404</v>
      </c>
      <c r="C3035" t="s">
        <v>130</v>
      </c>
      <c r="D3035" s="48">
        <v>44434</v>
      </c>
      <c r="E3035">
        <v>370</v>
      </c>
      <c r="F3035" t="s">
        <v>514</v>
      </c>
      <c r="G3035">
        <v>60.5</v>
      </c>
    </row>
    <row r="3036" spans="2:7" hidden="1">
      <c r="B3036" s="43">
        <v>44404</v>
      </c>
      <c r="C3036" t="s">
        <v>130</v>
      </c>
      <c r="D3036" s="48">
        <v>44434</v>
      </c>
      <c r="E3036">
        <v>370</v>
      </c>
      <c r="F3036" t="s">
        <v>515</v>
      </c>
      <c r="G3036">
        <v>1.1000000000000001</v>
      </c>
    </row>
    <row r="3037" spans="2:7" hidden="1">
      <c r="B3037" s="43">
        <v>44405</v>
      </c>
      <c r="C3037" t="s">
        <v>130</v>
      </c>
      <c r="D3037" s="48">
        <v>44434</v>
      </c>
      <c r="E3037">
        <v>370</v>
      </c>
      <c r="F3037" t="s">
        <v>514</v>
      </c>
      <c r="G3037">
        <v>56.75</v>
      </c>
    </row>
    <row r="3038" spans="2:7" hidden="1">
      <c r="B3038" s="43">
        <v>44405</v>
      </c>
      <c r="C3038" t="s">
        <v>130</v>
      </c>
      <c r="D3038" s="48">
        <v>44434</v>
      </c>
      <c r="E3038">
        <v>370</v>
      </c>
      <c r="F3038" t="s">
        <v>515</v>
      </c>
      <c r="G3038">
        <v>1.4</v>
      </c>
    </row>
    <row r="3039" spans="2:7" hidden="1">
      <c r="B3039" s="43">
        <v>44406</v>
      </c>
      <c r="C3039" t="s">
        <v>130</v>
      </c>
      <c r="D3039" s="48">
        <v>44434</v>
      </c>
      <c r="E3039">
        <v>370</v>
      </c>
      <c r="F3039" t="s">
        <v>514</v>
      </c>
      <c r="G3039">
        <v>73</v>
      </c>
    </row>
    <row r="3040" spans="2:7" hidden="1">
      <c r="B3040" s="43">
        <v>44406</v>
      </c>
      <c r="C3040" t="s">
        <v>130</v>
      </c>
      <c r="D3040" s="48">
        <v>44434</v>
      </c>
      <c r="E3040">
        <v>370</v>
      </c>
      <c r="F3040" t="s">
        <v>515</v>
      </c>
      <c r="G3040">
        <v>1.65</v>
      </c>
    </row>
    <row r="3041" spans="2:7" hidden="1">
      <c r="B3041" s="43">
        <v>44407</v>
      </c>
      <c r="C3041" t="s">
        <v>130</v>
      </c>
      <c r="D3041" s="48">
        <v>44434</v>
      </c>
      <c r="E3041">
        <v>370</v>
      </c>
      <c r="F3041" t="s">
        <v>514</v>
      </c>
      <c r="G3041">
        <v>61.8</v>
      </c>
    </row>
    <row r="3042" spans="2:7" hidden="1">
      <c r="B3042" s="43">
        <v>44407</v>
      </c>
      <c r="C3042" t="s">
        <v>130</v>
      </c>
      <c r="D3042" s="48">
        <v>44434</v>
      </c>
      <c r="E3042">
        <v>370</v>
      </c>
      <c r="F3042" t="s">
        <v>515</v>
      </c>
      <c r="G3042">
        <v>1.5</v>
      </c>
    </row>
    <row r="3043" spans="2:7" hidden="1">
      <c r="B3043" s="43">
        <v>44403</v>
      </c>
      <c r="C3043" t="s">
        <v>130</v>
      </c>
      <c r="D3043" s="48">
        <v>44434</v>
      </c>
      <c r="E3043">
        <v>375</v>
      </c>
      <c r="F3043" t="s">
        <v>514</v>
      </c>
      <c r="G3043">
        <v>72.849999999999994</v>
      </c>
    </row>
    <row r="3044" spans="2:7" hidden="1">
      <c r="B3044" s="43">
        <v>44403</v>
      </c>
      <c r="C3044" t="s">
        <v>130</v>
      </c>
      <c r="D3044" s="48">
        <v>44434</v>
      </c>
      <c r="E3044">
        <v>375</v>
      </c>
      <c r="F3044" t="s">
        <v>515</v>
      </c>
      <c r="G3044">
        <v>19.149999999999999</v>
      </c>
    </row>
    <row r="3045" spans="2:7" hidden="1">
      <c r="B3045" s="43">
        <v>44404</v>
      </c>
      <c r="C3045" t="s">
        <v>130</v>
      </c>
      <c r="D3045" s="48">
        <v>44434</v>
      </c>
      <c r="E3045">
        <v>375</v>
      </c>
      <c r="F3045" t="s">
        <v>514</v>
      </c>
      <c r="G3045">
        <v>72.849999999999994</v>
      </c>
    </row>
    <row r="3046" spans="2:7" hidden="1">
      <c r="B3046" s="43">
        <v>44404</v>
      </c>
      <c r="C3046" t="s">
        <v>130</v>
      </c>
      <c r="D3046" s="48">
        <v>44434</v>
      </c>
      <c r="E3046">
        <v>375</v>
      </c>
      <c r="F3046" t="s">
        <v>515</v>
      </c>
      <c r="G3046">
        <v>19.149999999999999</v>
      </c>
    </row>
    <row r="3047" spans="2:7" hidden="1">
      <c r="B3047" s="43">
        <v>44405</v>
      </c>
      <c r="C3047" t="s">
        <v>130</v>
      </c>
      <c r="D3047" s="48">
        <v>44434</v>
      </c>
      <c r="E3047">
        <v>375</v>
      </c>
      <c r="F3047" t="s">
        <v>514</v>
      </c>
      <c r="G3047">
        <v>72.849999999999994</v>
      </c>
    </row>
    <row r="3048" spans="2:7" hidden="1">
      <c r="B3048" s="43">
        <v>44405</v>
      </c>
      <c r="C3048" t="s">
        <v>130</v>
      </c>
      <c r="D3048" s="48">
        <v>44434</v>
      </c>
      <c r="E3048">
        <v>375</v>
      </c>
      <c r="F3048" t="s">
        <v>515</v>
      </c>
      <c r="G3048">
        <v>19.149999999999999</v>
      </c>
    </row>
    <row r="3049" spans="2:7" hidden="1">
      <c r="B3049" s="43">
        <v>44406</v>
      </c>
      <c r="C3049" t="s">
        <v>130</v>
      </c>
      <c r="D3049" s="48">
        <v>44434</v>
      </c>
      <c r="E3049">
        <v>375</v>
      </c>
      <c r="F3049" t="s">
        <v>514</v>
      </c>
      <c r="G3049">
        <v>72.849999999999994</v>
      </c>
    </row>
    <row r="3050" spans="2:7" hidden="1">
      <c r="B3050" s="43">
        <v>44406</v>
      </c>
      <c r="C3050" t="s">
        <v>130</v>
      </c>
      <c r="D3050" s="48">
        <v>44434</v>
      </c>
      <c r="E3050">
        <v>375</v>
      </c>
      <c r="F3050" t="s">
        <v>515</v>
      </c>
      <c r="G3050">
        <v>4</v>
      </c>
    </row>
    <row r="3051" spans="2:7" hidden="1">
      <c r="B3051" s="43">
        <v>44407</v>
      </c>
      <c r="C3051" t="s">
        <v>130</v>
      </c>
      <c r="D3051" s="48">
        <v>44434</v>
      </c>
      <c r="E3051">
        <v>375</v>
      </c>
      <c r="F3051" t="s">
        <v>514</v>
      </c>
      <c r="G3051">
        <v>72.849999999999994</v>
      </c>
    </row>
    <row r="3052" spans="2:7" hidden="1">
      <c r="B3052" s="43">
        <v>44407</v>
      </c>
      <c r="C3052" t="s">
        <v>130</v>
      </c>
      <c r="D3052" s="48">
        <v>44434</v>
      </c>
      <c r="E3052">
        <v>375</v>
      </c>
      <c r="F3052" t="s">
        <v>515</v>
      </c>
      <c r="G3052">
        <v>2.6</v>
      </c>
    </row>
    <row r="3053" spans="2:7" hidden="1">
      <c r="B3053" s="43">
        <v>44403</v>
      </c>
      <c r="C3053" t="s">
        <v>130</v>
      </c>
      <c r="D3053" s="48">
        <v>44434</v>
      </c>
      <c r="E3053">
        <v>380</v>
      </c>
      <c r="F3053" t="s">
        <v>514</v>
      </c>
      <c r="G3053">
        <v>47</v>
      </c>
    </row>
    <row r="3054" spans="2:7" hidden="1">
      <c r="B3054" s="43">
        <v>44403</v>
      </c>
      <c r="C3054" t="s">
        <v>130</v>
      </c>
      <c r="D3054" s="48">
        <v>44434</v>
      </c>
      <c r="E3054">
        <v>380</v>
      </c>
      <c r="F3054" t="s">
        <v>515</v>
      </c>
      <c r="G3054">
        <v>2.0499999999999998</v>
      </c>
    </row>
    <row r="3055" spans="2:7" hidden="1">
      <c r="B3055" s="43">
        <v>44404</v>
      </c>
      <c r="C3055" t="s">
        <v>130</v>
      </c>
      <c r="D3055" s="48">
        <v>44434</v>
      </c>
      <c r="E3055">
        <v>380</v>
      </c>
      <c r="F3055" t="s">
        <v>514</v>
      </c>
      <c r="G3055">
        <v>51</v>
      </c>
    </row>
    <row r="3056" spans="2:7" hidden="1">
      <c r="B3056" s="43">
        <v>44404</v>
      </c>
      <c r="C3056" t="s">
        <v>130</v>
      </c>
      <c r="D3056" s="48">
        <v>44434</v>
      </c>
      <c r="E3056">
        <v>380</v>
      </c>
      <c r="F3056" t="s">
        <v>515</v>
      </c>
      <c r="G3056">
        <v>1.45</v>
      </c>
    </row>
    <row r="3057" spans="2:7" hidden="1">
      <c r="B3057" s="43">
        <v>44405</v>
      </c>
      <c r="C3057" t="s">
        <v>130</v>
      </c>
      <c r="D3057" s="48">
        <v>44434</v>
      </c>
      <c r="E3057">
        <v>380</v>
      </c>
      <c r="F3057" t="s">
        <v>514</v>
      </c>
      <c r="G3057">
        <v>47.85</v>
      </c>
    </row>
    <row r="3058" spans="2:7" hidden="1">
      <c r="B3058" s="43">
        <v>44405</v>
      </c>
      <c r="C3058" t="s">
        <v>130</v>
      </c>
      <c r="D3058" s="48">
        <v>44434</v>
      </c>
      <c r="E3058">
        <v>380</v>
      </c>
      <c r="F3058" t="s">
        <v>515</v>
      </c>
      <c r="G3058">
        <v>2.0499999999999998</v>
      </c>
    </row>
    <row r="3059" spans="2:7" hidden="1">
      <c r="B3059" s="43">
        <v>44406</v>
      </c>
      <c r="C3059" t="s">
        <v>130</v>
      </c>
      <c r="D3059" s="48">
        <v>44434</v>
      </c>
      <c r="E3059">
        <v>380</v>
      </c>
      <c r="F3059" t="s">
        <v>514</v>
      </c>
      <c r="G3059">
        <v>65.599999999999994</v>
      </c>
    </row>
    <row r="3060" spans="2:7" hidden="1">
      <c r="B3060" s="43">
        <v>44406</v>
      </c>
      <c r="C3060" t="s">
        <v>130</v>
      </c>
      <c r="D3060" s="48">
        <v>44434</v>
      </c>
      <c r="E3060">
        <v>380</v>
      </c>
      <c r="F3060" t="s">
        <v>515</v>
      </c>
      <c r="G3060">
        <v>1.95</v>
      </c>
    </row>
    <row r="3061" spans="2:7" hidden="1">
      <c r="B3061" s="43">
        <v>44407</v>
      </c>
      <c r="C3061" t="s">
        <v>130</v>
      </c>
      <c r="D3061" s="48">
        <v>44434</v>
      </c>
      <c r="E3061">
        <v>380</v>
      </c>
      <c r="F3061" t="s">
        <v>514</v>
      </c>
      <c r="G3061">
        <v>54.5</v>
      </c>
    </row>
    <row r="3062" spans="2:7" hidden="1">
      <c r="B3062" s="43">
        <v>44407</v>
      </c>
      <c r="C3062" t="s">
        <v>130</v>
      </c>
      <c r="D3062" s="48">
        <v>44434</v>
      </c>
      <c r="E3062">
        <v>380</v>
      </c>
      <c r="F3062" t="s">
        <v>515</v>
      </c>
      <c r="G3062">
        <v>1.9</v>
      </c>
    </row>
    <row r="3063" spans="2:7" hidden="1">
      <c r="B3063" s="43">
        <v>44403</v>
      </c>
      <c r="C3063" t="s">
        <v>130</v>
      </c>
      <c r="D3063" s="48">
        <v>44434</v>
      </c>
      <c r="E3063">
        <v>385</v>
      </c>
      <c r="F3063" t="s">
        <v>514</v>
      </c>
      <c r="G3063">
        <v>66.5</v>
      </c>
    </row>
    <row r="3064" spans="2:7" hidden="1">
      <c r="B3064" s="43">
        <v>44403</v>
      </c>
      <c r="C3064" t="s">
        <v>130</v>
      </c>
      <c r="D3064" s="48">
        <v>44434</v>
      </c>
      <c r="E3064">
        <v>385</v>
      </c>
      <c r="F3064" t="s">
        <v>515</v>
      </c>
      <c r="G3064">
        <v>22.75</v>
      </c>
    </row>
    <row r="3065" spans="2:7" hidden="1">
      <c r="B3065" s="43">
        <v>44404</v>
      </c>
      <c r="C3065" t="s">
        <v>130</v>
      </c>
      <c r="D3065" s="48">
        <v>44434</v>
      </c>
      <c r="E3065">
        <v>385</v>
      </c>
      <c r="F3065" t="s">
        <v>514</v>
      </c>
      <c r="G3065">
        <v>66.5</v>
      </c>
    </row>
    <row r="3066" spans="2:7" hidden="1">
      <c r="B3066" s="43">
        <v>44404</v>
      </c>
      <c r="C3066" t="s">
        <v>130</v>
      </c>
      <c r="D3066" s="48">
        <v>44434</v>
      </c>
      <c r="E3066">
        <v>385</v>
      </c>
      <c r="F3066" t="s">
        <v>515</v>
      </c>
      <c r="G3066">
        <v>1.1000000000000001</v>
      </c>
    </row>
    <row r="3067" spans="2:7" hidden="1">
      <c r="B3067" s="43">
        <v>44405</v>
      </c>
      <c r="C3067" t="s">
        <v>130</v>
      </c>
      <c r="D3067" s="48">
        <v>44434</v>
      </c>
      <c r="E3067">
        <v>385</v>
      </c>
      <c r="F3067" t="s">
        <v>514</v>
      </c>
      <c r="G3067">
        <v>66.5</v>
      </c>
    </row>
    <row r="3068" spans="2:7" hidden="1">
      <c r="B3068" s="43">
        <v>44405</v>
      </c>
      <c r="C3068" t="s">
        <v>130</v>
      </c>
      <c r="D3068" s="48">
        <v>44434</v>
      </c>
      <c r="E3068">
        <v>385</v>
      </c>
      <c r="F3068" t="s">
        <v>515</v>
      </c>
      <c r="G3068">
        <v>1.1000000000000001</v>
      </c>
    </row>
    <row r="3069" spans="2:7" hidden="1">
      <c r="B3069" s="43">
        <v>44406</v>
      </c>
      <c r="C3069" t="s">
        <v>130</v>
      </c>
      <c r="D3069" s="48">
        <v>44434</v>
      </c>
      <c r="E3069">
        <v>385</v>
      </c>
      <c r="F3069" t="s">
        <v>514</v>
      </c>
      <c r="G3069">
        <v>66.5</v>
      </c>
    </row>
    <row r="3070" spans="2:7" hidden="1">
      <c r="B3070" s="43">
        <v>44406</v>
      </c>
      <c r="C3070" t="s">
        <v>130</v>
      </c>
      <c r="D3070" s="48">
        <v>44434</v>
      </c>
      <c r="E3070">
        <v>385</v>
      </c>
      <c r="F3070" t="s">
        <v>515</v>
      </c>
      <c r="G3070">
        <v>1.8</v>
      </c>
    </row>
    <row r="3071" spans="2:7" hidden="1">
      <c r="B3071" s="43">
        <v>44407</v>
      </c>
      <c r="C3071" t="s">
        <v>130</v>
      </c>
      <c r="D3071" s="48">
        <v>44434</v>
      </c>
      <c r="E3071">
        <v>385</v>
      </c>
      <c r="F3071" t="s">
        <v>514</v>
      </c>
      <c r="G3071">
        <v>66.5</v>
      </c>
    </row>
    <row r="3072" spans="2:7" hidden="1">
      <c r="B3072" s="43">
        <v>44407</v>
      </c>
      <c r="C3072" t="s">
        <v>130</v>
      </c>
      <c r="D3072" s="48">
        <v>44434</v>
      </c>
      <c r="E3072">
        <v>385</v>
      </c>
      <c r="F3072" t="s">
        <v>515</v>
      </c>
      <c r="G3072">
        <v>2.2999999999999998</v>
      </c>
    </row>
    <row r="3073" spans="2:7" hidden="1">
      <c r="B3073" s="43">
        <v>44403</v>
      </c>
      <c r="C3073" t="s">
        <v>130</v>
      </c>
      <c r="D3073" s="48">
        <v>44434</v>
      </c>
      <c r="E3073">
        <v>390</v>
      </c>
      <c r="F3073" t="s">
        <v>514</v>
      </c>
      <c r="G3073">
        <v>37.700000000000003</v>
      </c>
    </row>
    <row r="3074" spans="2:7" hidden="1">
      <c r="B3074" s="43">
        <v>44403</v>
      </c>
      <c r="C3074" t="s">
        <v>130</v>
      </c>
      <c r="D3074" s="48">
        <v>44434</v>
      </c>
      <c r="E3074">
        <v>390</v>
      </c>
      <c r="F3074" t="s">
        <v>515</v>
      </c>
      <c r="G3074">
        <v>2.9</v>
      </c>
    </row>
    <row r="3075" spans="2:7" hidden="1">
      <c r="B3075" s="43">
        <v>44404</v>
      </c>
      <c r="C3075" t="s">
        <v>130</v>
      </c>
      <c r="D3075" s="48">
        <v>44434</v>
      </c>
      <c r="E3075">
        <v>390</v>
      </c>
      <c r="F3075" t="s">
        <v>514</v>
      </c>
      <c r="G3075">
        <v>42.2</v>
      </c>
    </row>
    <row r="3076" spans="2:7" hidden="1">
      <c r="B3076" s="43">
        <v>44404</v>
      </c>
      <c r="C3076" t="s">
        <v>130</v>
      </c>
      <c r="D3076" s="48">
        <v>44434</v>
      </c>
      <c r="E3076">
        <v>390</v>
      </c>
      <c r="F3076" t="s">
        <v>515</v>
      </c>
      <c r="G3076">
        <v>2.2000000000000002</v>
      </c>
    </row>
    <row r="3077" spans="2:7" hidden="1">
      <c r="B3077" s="43">
        <v>44405</v>
      </c>
      <c r="C3077" t="s">
        <v>130</v>
      </c>
      <c r="D3077" s="48">
        <v>44434</v>
      </c>
      <c r="E3077">
        <v>390</v>
      </c>
      <c r="F3077" t="s">
        <v>514</v>
      </c>
      <c r="G3077">
        <v>40</v>
      </c>
    </row>
    <row r="3078" spans="2:7" hidden="1">
      <c r="B3078" s="43">
        <v>44405</v>
      </c>
      <c r="C3078" t="s">
        <v>130</v>
      </c>
      <c r="D3078" s="48">
        <v>44434</v>
      </c>
      <c r="E3078">
        <v>390</v>
      </c>
      <c r="F3078" t="s">
        <v>515</v>
      </c>
      <c r="G3078">
        <v>3.25</v>
      </c>
    </row>
    <row r="3079" spans="2:7" hidden="1">
      <c r="B3079" s="43">
        <v>44406</v>
      </c>
      <c r="C3079" t="s">
        <v>130</v>
      </c>
      <c r="D3079" s="48">
        <v>44434</v>
      </c>
      <c r="E3079">
        <v>390</v>
      </c>
      <c r="F3079" t="s">
        <v>514</v>
      </c>
      <c r="G3079">
        <v>55.1</v>
      </c>
    </row>
    <row r="3080" spans="2:7" hidden="1">
      <c r="B3080" s="43">
        <v>44406</v>
      </c>
      <c r="C3080" t="s">
        <v>130</v>
      </c>
      <c r="D3080" s="48">
        <v>44434</v>
      </c>
      <c r="E3080">
        <v>390</v>
      </c>
      <c r="F3080" t="s">
        <v>515</v>
      </c>
      <c r="G3080">
        <v>2.25</v>
      </c>
    </row>
    <row r="3081" spans="2:7" hidden="1">
      <c r="B3081" s="43">
        <v>44407</v>
      </c>
      <c r="C3081" t="s">
        <v>130</v>
      </c>
      <c r="D3081" s="48">
        <v>44434</v>
      </c>
      <c r="E3081">
        <v>390</v>
      </c>
      <c r="F3081" t="s">
        <v>514</v>
      </c>
      <c r="G3081">
        <v>45.55</v>
      </c>
    </row>
    <row r="3082" spans="2:7" hidden="1">
      <c r="B3082" s="43">
        <v>44407</v>
      </c>
      <c r="C3082" t="s">
        <v>130</v>
      </c>
      <c r="D3082" s="48">
        <v>44434</v>
      </c>
      <c r="E3082">
        <v>390</v>
      </c>
      <c r="F3082" t="s">
        <v>515</v>
      </c>
      <c r="G3082">
        <v>2.85</v>
      </c>
    </row>
    <row r="3083" spans="2:7" hidden="1">
      <c r="B3083" s="43">
        <v>44403</v>
      </c>
      <c r="C3083" t="s">
        <v>130</v>
      </c>
      <c r="D3083" s="48">
        <v>44434</v>
      </c>
      <c r="E3083">
        <v>395</v>
      </c>
      <c r="F3083" t="s">
        <v>514</v>
      </c>
      <c r="G3083">
        <v>60.6</v>
      </c>
    </row>
    <row r="3084" spans="2:7" hidden="1">
      <c r="B3084" s="43">
        <v>44403</v>
      </c>
      <c r="C3084" t="s">
        <v>130</v>
      </c>
      <c r="D3084" s="48">
        <v>44434</v>
      </c>
      <c r="E3084">
        <v>395</v>
      </c>
      <c r="F3084" t="s">
        <v>515</v>
      </c>
      <c r="G3084">
        <v>26.7</v>
      </c>
    </row>
    <row r="3085" spans="2:7" hidden="1">
      <c r="B3085" s="43">
        <v>44404</v>
      </c>
      <c r="C3085" t="s">
        <v>130</v>
      </c>
      <c r="D3085" s="48">
        <v>44434</v>
      </c>
      <c r="E3085">
        <v>395</v>
      </c>
      <c r="F3085" t="s">
        <v>514</v>
      </c>
      <c r="G3085">
        <v>60.6</v>
      </c>
    </row>
    <row r="3086" spans="2:7" hidden="1">
      <c r="B3086" s="43">
        <v>44404</v>
      </c>
      <c r="C3086" t="s">
        <v>130</v>
      </c>
      <c r="D3086" s="48">
        <v>44434</v>
      </c>
      <c r="E3086">
        <v>395</v>
      </c>
      <c r="F3086" t="s">
        <v>515</v>
      </c>
      <c r="G3086">
        <v>26.7</v>
      </c>
    </row>
    <row r="3087" spans="2:7" hidden="1">
      <c r="B3087" s="43">
        <v>44405</v>
      </c>
      <c r="C3087" t="s">
        <v>130</v>
      </c>
      <c r="D3087" s="48">
        <v>44434</v>
      </c>
      <c r="E3087">
        <v>395</v>
      </c>
      <c r="F3087" t="s">
        <v>514</v>
      </c>
      <c r="G3087">
        <v>60.6</v>
      </c>
    </row>
    <row r="3088" spans="2:7" hidden="1">
      <c r="B3088" s="43">
        <v>44405</v>
      </c>
      <c r="C3088" t="s">
        <v>130</v>
      </c>
      <c r="D3088" s="48">
        <v>44434</v>
      </c>
      <c r="E3088">
        <v>395</v>
      </c>
      <c r="F3088" t="s">
        <v>515</v>
      </c>
      <c r="G3088">
        <v>3.95</v>
      </c>
    </row>
    <row r="3089" spans="2:7" hidden="1">
      <c r="B3089" s="43">
        <v>44406</v>
      </c>
      <c r="C3089" t="s">
        <v>130</v>
      </c>
      <c r="D3089" s="48">
        <v>44434</v>
      </c>
      <c r="E3089">
        <v>395</v>
      </c>
      <c r="F3089" t="s">
        <v>514</v>
      </c>
      <c r="G3089">
        <v>60.6</v>
      </c>
    </row>
    <row r="3090" spans="2:7" hidden="1">
      <c r="B3090" s="43">
        <v>44406</v>
      </c>
      <c r="C3090" t="s">
        <v>130</v>
      </c>
      <c r="D3090" s="48">
        <v>44434</v>
      </c>
      <c r="E3090">
        <v>395</v>
      </c>
      <c r="F3090" t="s">
        <v>515</v>
      </c>
      <c r="G3090">
        <v>2.65</v>
      </c>
    </row>
    <row r="3091" spans="2:7" hidden="1">
      <c r="B3091" s="43">
        <v>44407</v>
      </c>
      <c r="C3091" t="s">
        <v>130</v>
      </c>
      <c r="D3091" s="48">
        <v>44434</v>
      </c>
      <c r="E3091">
        <v>395</v>
      </c>
      <c r="F3091" t="s">
        <v>514</v>
      </c>
      <c r="G3091">
        <v>60.6</v>
      </c>
    </row>
    <row r="3092" spans="2:7" hidden="1">
      <c r="B3092" s="43">
        <v>44407</v>
      </c>
      <c r="C3092" t="s">
        <v>130</v>
      </c>
      <c r="D3092" s="48">
        <v>44434</v>
      </c>
      <c r="E3092">
        <v>395</v>
      </c>
      <c r="F3092" t="s">
        <v>515</v>
      </c>
      <c r="G3092">
        <v>3.5</v>
      </c>
    </row>
    <row r="3093" spans="2:7" hidden="1">
      <c r="B3093" s="43">
        <v>44403</v>
      </c>
      <c r="C3093" t="s">
        <v>130</v>
      </c>
      <c r="D3093" s="48">
        <v>44434</v>
      </c>
      <c r="E3093">
        <v>400</v>
      </c>
      <c r="F3093" t="s">
        <v>514</v>
      </c>
      <c r="G3093">
        <v>29.4</v>
      </c>
    </row>
    <row r="3094" spans="2:7" hidden="1">
      <c r="B3094" s="43">
        <v>44403</v>
      </c>
      <c r="C3094" t="s">
        <v>130</v>
      </c>
      <c r="D3094" s="48">
        <v>44434</v>
      </c>
      <c r="E3094">
        <v>400</v>
      </c>
      <c r="F3094" t="s">
        <v>515</v>
      </c>
      <c r="G3094">
        <v>4.7</v>
      </c>
    </row>
    <row r="3095" spans="2:7" hidden="1">
      <c r="B3095" s="43">
        <v>44404</v>
      </c>
      <c r="C3095" t="s">
        <v>130</v>
      </c>
      <c r="D3095" s="48">
        <v>44434</v>
      </c>
      <c r="E3095">
        <v>400</v>
      </c>
      <c r="F3095" t="s">
        <v>514</v>
      </c>
      <c r="G3095">
        <v>34.4</v>
      </c>
    </row>
    <row r="3096" spans="2:7" hidden="1">
      <c r="B3096" s="43">
        <v>44404</v>
      </c>
      <c r="C3096" t="s">
        <v>130</v>
      </c>
      <c r="D3096" s="48">
        <v>44434</v>
      </c>
      <c r="E3096">
        <v>400</v>
      </c>
      <c r="F3096" t="s">
        <v>515</v>
      </c>
      <c r="G3096">
        <v>3.7</v>
      </c>
    </row>
    <row r="3097" spans="2:7" hidden="1">
      <c r="B3097" s="43">
        <v>44405</v>
      </c>
      <c r="C3097" t="s">
        <v>130</v>
      </c>
      <c r="D3097" s="48">
        <v>44434</v>
      </c>
      <c r="E3097">
        <v>400</v>
      </c>
      <c r="F3097" t="s">
        <v>514</v>
      </c>
      <c r="G3097">
        <v>31.8</v>
      </c>
    </row>
    <row r="3098" spans="2:7" hidden="1">
      <c r="B3098" s="43">
        <v>44405</v>
      </c>
      <c r="C3098" t="s">
        <v>130</v>
      </c>
      <c r="D3098" s="48">
        <v>44434</v>
      </c>
      <c r="E3098">
        <v>400</v>
      </c>
      <c r="F3098" t="s">
        <v>515</v>
      </c>
      <c r="G3098">
        <v>4.9000000000000004</v>
      </c>
    </row>
    <row r="3099" spans="2:7" hidden="1">
      <c r="B3099" s="43">
        <v>44406</v>
      </c>
      <c r="C3099" t="s">
        <v>130</v>
      </c>
      <c r="D3099" s="48">
        <v>44434</v>
      </c>
      <c r="E3099">
        <v>400</v>
      </c>
      <c r="F3099" t="s">
        <v>514</v>
      </c>
      <c r="G3099">
        <v>46.5</v>
      </c>
    </row>
    <row r="3100" spans="2:7" hidden="1">
      <c r="B3100" s="43">
        <v>44406</v>
      </c>
      <c r="C3100" t="s">
        <v>130</v>
      </c>
      <c r="D3100" s="48">
        <v>44434</v>
      </c>
      <c r="E3100">
        <v>400</v>
      </c>
      <c r="F3100" t="s">
        <v>515</v>
      </c>
      <c r="G3100">
        <v>3.1</v>
      </c>
    </row>
    <row r="3101" spans="2:7" hidden="1">
      <c r="B3101" s="43">
        <v>44407</v>
      </c>
      <c r="C3101" t="s">
        <v>130</v>
      </c>
      <c r="D3101" s="48">
        <v>44434</v>
      </c>
      <c r="E3101">
        <v>400</v>
      </c>
      <c r="F3101" t="s">
        <v>514</v>
      </c>
      <c r="G3101">
        <v>37.049999999999997</v>
      </c>
    </row>
    <row r="3102" spans="2:7" hidden="1">
      <c r="B3102" s="43">
        <v>44407</v>
      </c>
      <c r="C3102" t="s">
        <v>130</v>
      </c>
      <c r="D3102" s="48">
        <v>44434</v>
      </c>
      <c r="E3102">
        <v>400</v>
      </c>
      <c r="F3102" t="s">
        <v>515</v>
      </c>
      <c r="G3102">
        <v>4.3499999999999996</v>
      </c>
    </row>
    <row r="3103" spans="2:7" hidden="1">
      <c r="B3103" s="43">
        <v>44403</v>
      </c>
      <c r="C3103" t="s">
        <v>130</v>
      </c>
      <c r="D3103" s="48">
        <v>44434</v>
      </c>
      <c r="E3103">
        <v>405</v>
      </c>
      <c r="F3103" t="s">
        <v>514</v>
      </c>
      <c r="G3103">
        <v>26.65</v>
      </c>
    </row>
    <row r="3104" spans="2:7" hidden="1">
      <c r="B3104" s="43">
        <v>44403</v>
      </c>
      <c r="C3104" t="s">
        <v>130</v>
      </c>
      <c r="D3104" s="48">
        <v>44434</v>
      </c>
      <c r="E3104">
        <v>405</v>
      </c>
      <c r="F3104" t="s">
        <v>515</v>
      </c>
      <c r="G3104">
        <v>6.1</v>
      </c>
    </row>
    <row r="3105" spans="2:7" hidden="1">
      <c r="B3105" s="43">
        <v>44404</v>
      </c>
      <c r="C3105" t="s">
        <v>130</v>
      </c>
      <c r="D3105" s="48">
        <v>44434</v>
      </c>
      <c r="E3105">
        <v>405</v>
      </c>
      <c r="F3105" t="s">
        <v>514</v>
      </c>
      <c r="G3105">
        <v>26.65</v>
      </c>
    </row>
    <row r="3106" spans="2:7" hidden="1">
      <c r="B3106" s="43">
        <v>44404</v>
      </c>
      <c r="C3106" t="s">
        <v>130</v>
      </c>
      <c r="D3106" s="48">
        <v>44434</v>
      </c>
      <c r="E3106">
        <v>405</v>
      </c>
      <c r="F3106" t="s">
        <v>515</v>
      </c>
      <c r="G3106">
        <v>4.6500000000000004</v>
      </c>
    </row>
    <row r="3107" spans="2:7" hidden="1">
      <c r="B3107" s="43">
        <v>44405</v>
      </c>
      <c r="C3107" t="s">
        <v>130</v>
      </c>
      <c r="D3107" s="48">
        <v>44434</v>
      </c>
      <c r="E3107">
        <v>405</v>
      </c>
      <c r="F3107" t="s">
        <v>514</v>
      </c>
      <c r="G3107">
        <v>26.65</v>
      </c>
    </row>
    <row r="3108" spans="2:7" hidden="1">
      <c r="B3108" s="43">
        <v>44405</v>
      </c>
      <c r="C3108" t="s">
        <v>130</v>
      </c>
      <c r="D3108" s="48">
        <v>44434</v>
      </c>
      <c r="E3108">
        <v>405</v>
      </c>
      <c r="F3108" t="s">
        <v>515</v>
      </c>
      <c r="G3108">
        <v>6</v>
      </c>
    </row>
    <row r="3109" spans="2:7" hidden="1">
      <c r="B3109" s="43">
        <v>44406</v>
      </c>
      <c r="C3109" t="s">
        <v>130</v>
      </c>
      <c r="D3109" s="48">
        <v>44434</v>
      </c>
      <c r="E3109">
        <v>405</v>
      </c>
      <c r="F3109" t="s">
        <v>514</v>
      </c>
      <c r="G3109">
        <v>41.4</v>
      </c>
    </row>
    <row r="3110" spans="2:7" hidden="1">
      <c r="B3110" s="43">
        <v>44406</v>
      </c>
      <c r="C3110" t="s">
        <v>130</v>
      </c>
      <c r="D3110" s="48">
        <v>44434</v>
      </c>
      <c r="E3110">
        <v>405</v>
      </c>
      <c r="F3110" t="s">
        <v>515</v>
      </c>
      <c r="G3110">
        <v>3.85</v>
      </c>
    </row>
    <row r="3111" spans="2:7" hidden="1">
      <c r="B3111" s="43">
        <v>44407</v>
      </c>
      <c r="C3111" t="s">
        <v>130</v>
      </c>
      <c r="D3111" s="48">
        <v>44434</v>
      </c>
      <c r="E3111">
        <v>405</v>
      </c>
      <c r="F3111" t="s">
        <v>514</v>
      </c>
      <c r="G3111">
        <v>33.049999999999997</v>
      </c>
    </row>
    <row r="3112" spans="2:7" hidden="1">
      <c r="B3112" s="43">
        <v>44407</v>
      </c>
      <c r="C3112" t="s">
        <v>130</v>
      </c>
      <c r="D3112" s="48">
        <v>44434</v>
      </c>
      <c r="E3112">
        <v>405</v>
      </c>
      <c r="F3112" t="s">
        <v>515</v>
      </c>
      <c r="G3112">
        <v>5.45</v>
      </c>
    </row>
    <row r="3113" spans="2:7" hidden="1">
      <c r="B3113" s="43">
        <v>44403</v>
      </c>
      <c r="C3113" t="s">
        <v>130</v>
      </c>
      <c r="D3113" s="48">
        <v>44434</v>
      </c>
      <c r="E3113">
        <v>410</v>
      </c>
      <c r="F3113" t="s">
        <v>514</v>
      </c>
      <c r="G3113">
        <v>22.75</v>
      </c>
    </row>
    <row r="3114" spans="2:7" hidden="1">
      <c r="B3114" s="43">
        <v>44403</v>
      </c>
      <c r="C3114" t="s">
        <v>130</v>
      </c>
      <c r="D3114" s="48">
        <v>44434</v>
      </c>
      <c r="E3114">
        <v>410</v>
      </c>
      <c r="F3114" t="s">
        <v>515</v>
      </c>
      <c r="G3114">
        <v>7.75</v>
      </c>
    </row>
    <row r="3115" spans="2:7" hidden="1">
      <c r="B3115" s="43">
        <v>44404</v>
      </c>
      <c r="C3115" t="s">
        <v>130</v>
      </c>
      <c r="D3115" s="48">
        <v>44434</v>
      </c>
      <c r="E3115">
        <v>410</v>
      </c>
      <c r="F3115" t="s">
        <v>514</v>
      </c>
      <c r="G3115">
        <v>26.95</v>
      </c>
    </row>
    <row r="3116" spans="2:7" hidden="1">
      <c r="B3116" s="43">
        <v>44404</v>
      </c>
      <c r="C3116" t="s">
        <v>130</v>
      </c>
      <c r="D3116" s="48">
        <v>44434</v>
      </c>
      <c r="E3116">
        <v>410</v>
      </c>
      <c r="F3116" t="s">
        <v>515</v>
      </c>
      <c r="G3116">
        <v>6</v>
      </c>
    </row>
    <row r="3117" spans="2:7" hidden="1">
      <c r="B3117" s="43">
        <v>44405</v>
      </c>
      <c r="C3117" t="s">
        <v>130</v>
      </c>
      <c r="D3117" s="48">
        <v>44434</v>
      </c>
      <c r="E3117">
        <v>410</v>
      </c>
      <c r="F3117" t="s">
        <v>514</v>
      </c>
      <c r="G3117">
        <v>24.45</v>
      </c>
    </row>
    <row r="3118" spans="2:7" hidden="1">
      <c r="B3118" s="43">
        <v>44405</v>
      </c>
      <c r="C3118" t="s">
        <v>130</v>
      </c>
      <c r="D3118" s="48">
        <v>44434</v>
      </c>
      <c r="E3118">
        <v>410</v>
      </c>
      <c r="F3118" t="s">
        <v>515</v>
      </c>
      <c r="G3118">
        <v>7.45</v>
      </c>
    </row>
    <row r="3119" spans="2:7" hidden="1">
      <c r="B3119" s="43">
        <v>44406</v>
      </c>
      <c r="C3119" t="s">
        <v>130</v>
      </c>
      <c r="D3119" s="48">
        <v>44434</v>
      </c>
      <c r="E3119">
        <v>410</v>
      </c>
      <c r="F3119" t="s">
        <v>514</v>
      </c>
      <c r="G3119">
        <v>38.25</v>
      </c>
    </row>
    <row r="3120" spans="2:7" hidden="1">
      <c r="B3120" s="43">
        <v>44406</v>
      </c>
      <c r="C3120" t="s">
        <v>130</v>
      </c>
      <c r="D3120" s="48">
        <v>44434</v>
      </c>
      <c r="E3120">
        <v>410</v>
      </c>
      <c r="F3120" t="s">
        <v>515</v>
      </c>
      <c r="G3120">
        <v>4.7</v>
      </c>
    </row>
    <row r="3121" spans="2:7" hidden="1">
      <c r="B3121" s="43">
        <v>44407</v>
      </c>
      <c r="C3121" t="s">
        <v>130</v>
      </c>
      <c r="D3121" s="48">
        <v>44434</v>
      </c>
      <c r="E3121">
        <v>410</v>
      </c>
      <c r="F3121" t="s">
        <v>514</v>
      </c>
      <c r="G3121">
        <v>29.45</v>
      </c>
    </row>
    <row r="3122" spans="2:7" hidden="1">
      <c r="B3122" s="43">
        <v>44407</v>
      </c>
      <c r="C3122" t="s">
        <v>130</v>
      </c>
      <c r="D3122" s="48">
        <v>44434</v>
      </c>
      <c r="E3122">
        <v>410</v>
      </c>
      <c r="F3122" t="s">
        <v>515</v>
      </c>
      <c r="G3122">
        <v>6.7</v>
      </c>
    </row>
    <row r="3123" spans="2:7" hidden="1">
      <c r="B3123" s="43">
        <v>44403</v>
      </c>
      <c r="C3123" t="s">
        <v>130</v>
      </c>
      <c r="D3123" s="48">
        <v>44434</v>
      </c>
      <c r="E3123">
        <v>415</v>
      </c>
      <c r="F3123" t="s">
        <v>514</v>
      </c>
      <c r="G3123">
        <v>20</v>
      </c>
    </row>
    <row r="3124" spans="2:7" hidden="1">
      <c r="B3124" s="43">
        <v>44403</v>
      </c>
      <c r="C3124" t="s">
        <v>130</v>
      </c>
      <c r="D3124" s="48">
        <v>44434</v>
      </c>
      <c r="E3124">
        <v>415</v>
      </c>
      <c r="F3124" t="s">
        <v>515</v>
      </c>
      <c r="G3124">
        <v>9.75</v>
      </c>
    </row>
    <row r="3125" spans="2:7" hidden="1">
      <c r="B3125" s="43">
        <v>44404</v>
      </c>
      <c r="C3125" t="s">
        <v>130</v>
      </c>
      <c r="D3125" s="48">
        <v>44434</v>
      </c>
      <c r="E3125">
        <v>415</v>
      </c>
      <c r="F3125" t="s">
        <v>514</v>
      </c>
      <c r="G3125">
        <v>23</v>
      </c>
    </row>
    <row r="3126" spans="2:7" hidden="1">
      <c r="B3126" s="43">
        <v>44404</v>
      </c>
      <c r="C3126" t="s">
        <v>130</v>
      </c>
      <c r="D3126" s="48">
        <v>44434</v>
      </c>
      <c r="E3126">
        <v>415</v>
      </c>
      <c r="F3126" t="s">
        <v>515</v>
      </c>
      <c r="G3126">
        <v>7.55</v>
      </c>
    </row>
    <row r="3127" spans="2:7" hidden="1">
      <c r="B3127" s="43">
        <v>44405</v>
      </c>
      <c r="C3127" t="s">
        <v>130</v>
      </c>
      <c r="D3127" s="48">
        <v>44434</v>
      </c>
      <c r="E3127">
        <v>415</v>
      </c>
      <c r="F3127" t="s">
        <v>514</v>
      </c>
      <c r="G3127">
        <v>21</v>
      </c>
    </row>
    <row r="3128" spans="2:7" hidden="1">
      <c r="B3128" s="43">
        <v>44405</v>
      </c>
      <c r="C3128" t="s">
        <v>130</v>
      </c>
      <c r="D3128" s="48">
        <v>44434</v>
      </c>
      <c r="E3128">
        <v>415</v>
      </c>
      <c r="F3128" t="s">
        <v>515</v>
      </c>
      <c r="G3128">
        <v>9.1</v>
      </c>
    </row>
    <row r="3129" spans="2:7" hidden="1">
      <c r="B3129" s="43">
        <v>44406</v>
      </c>
      <c r="C3129" t="s">
        <v>130</v>
      </c>
      <c r="D3129" s="48">
        <v>44434</v>
      </c>
      <c r="E3129">
        <v>415</v>
      </c>
      <c r="F3129" t="s">
        <v>514</v>
      </c>
      <c r="G3129">
        <v>34.049999999999997</v>
      </c>
    </row>
    <row r="3130" spans="2:7" hidden="1">
      <c r="B3130" s="43">
        <v>44406</v>
      </c>
      <c r="C3130" t="s">
        <v>130</v>
      </c>
      <c r="D3130" s="48">
        <v>44434</v>
      </c>
      <c r="E3130">
        <v>415</v>
      </c>
      <c r="F3130" t="s">
        <v>515</v>
      </c>
      <c r="G3130">
        <v>5.9</v>
      </c>
    </row>
    <row r="3131" spans="2:7" hidden="1">
      <c r="B3131" s="43">
        <v>44407</v>
      </c>
      <c r="C3131" t="s">
        <v>130</v>
      </c>
      <c r="D3131" s="48">
        <v>44434</v>
      </c>
      <c r="E3131">
        <v>415</v>
      </c>
      <c r="F3131" t="s">
        <v>514</v>
      </c>
      <c r="G3131">
        <v>25.75</v>
      </c>
    </row>
    <row r="3132" spans="2:7" hidden="1">
      <c r="B3132" s="43">
        <v>44407</v>
      </c>
      <c r="C3132" t="s">
        <v>130</v>
      </c>
      <c r="D3132" s="48">
        <v>44434</v>
      </c>
      <c r="E3132">
        <v>415</v>
      </c>
      <c r="F3132" t="s">
        <v>515</v>
      </c>
      <c r="G3132">
        <v>8.3000000000000007</v>
      </c>
    </row>
    <row r="3133" spans="2:7" hidden="1">
      <c r="B3133" s="43">
        <v>44403</v>
      </c>
      <c r="C3133" t="s">
        <v>130</v>
      </c>
      <c r="D3133" s="48">
        <v>44434</v>
      </c>
      <c r="E3133">
        <v>420</v>
      </c>
      <c r="F3133" t="s">
        <v>514</v>
      </c>
      <c r="G3133">
        <v>17.149999999999999</v>
      </c>
    </row>
    <row r="3134" spans="2:7" hidden="1">
      <c r="B3134" s="43">
        <v>44403</v>
      </c>
      <c r="C3134" t="s">
        <v>130</v>
      </c>
      <c r="D3134" s="48">
        <v>44434</v>
      </c>
      <c r="E3134">
        <v>420</v>
      </c>
      <c r="F3134" t="s">
        <v>515</v>
      </c>
      <c r="G3134">
        <v>12.2</v>
      </c>
    </row>
    <row r="3135" spans="2:7" hidden="1">
      <c r="B3135" s="43">
        <v>44404</v>
      </c>
      <c r="C3135" t="s">
        <v>130</v>
      </c>
      <c r="D3135" s="48">
        <v>44434</v>
      </c>
      <c r="E3135">
        <v>420</v>
      </c>
      <c r="F3135" t="s">
        <v>514</v>
      </c>
      <c r="G3135">
        <v>20.3</v>
      </c>
    </row>
    <row r="3136" spans="2:7" hidden="1">
      <c r="B3136" s="43">
        <v>44404</v>
      </c>
      <c r="C3136" t="s">
        <v>130</v>
      </c>
      <c r="D3136" s="48">
        <v>44434</v>
      </c>
      <c r="E3136">
        <v>420</v>
      </c>
      <c r="F3136" t="s">
        <v>515</v>
      </c>
      <c r="G3136">
        <v>9.4499999999999993</v>
      </c>
    </row>
    <row r="3137" spans="2:7" hidden="1">
      <c r="B3137" s="43">
        <v>44405</v>
      </c>
      <c r="C3137" t="s">
        <v>130</v>
      </c>
      <c r="D3137" s="48">
        <v>44434</v>
      </c>
      <c r="E3137">
        <v>420</v>
      </c>
      <c r="F3137" t="s">
        <v>514</v>
      </c>
      <c r="G3137">
        <v>18.149999999999999</v>
      </c>
    </row>
    <row r="3138" spans="2:7" hidden="1">
      <c r="B3138" s="43">
        <v>44405</v>
      </c>
      <c r="C3138" t="s">
        <v>130</v>
      </c>
      <c r="D3138" s="48">
        <v>44434</v>
      </c>
      <c r="E3138">
        <v>420</v>
      </c>
      <c r="F3138" t="s">
        <v>515</v>
      </c>
      <c r="G3138">
        <v>11.15</v>
      </c>
    </row>
    <row r="3139" spans="2:7" hidden="1">
      <c r="B3139" s="43">
        <v>44406</v>
      </c>
      <c r="C3139" t="s">
        <v>130</v>
      </c>
      <c r="D3139" s="48">
        <v>44434</v>
      </c>
      <c r="E3139">
        <v>420</v>
      </c>
      <c r="F3139" t="s">
        <v>514</v>
      </c>
      <c r="G3139">
        <v>31.35</v>
      </c>
    </row>
    <row r="3140" spans="2:7" hidden="1">
      <c r="B3140" s="43">
        <v>44406</v>
      </c>
      <c r="C3140" t="s">
        <v>130</v>
      </c>
      <c r="D3140" s="48">
        <v>44434</v>
      </c>
      <c r="E3140">
        <v>420</v>
      </c>
      <c r="F3140" t="s">
        <v>515</v>
      </c>
      <c r="G3140">
        <v>7.2</v>
      </c>
    </row>
    <row r="3141" spans="2:7" hidden="1">
      <c r="B3141" s="43">
        <v>44407</v>
      </c>
      <c r="C3141" t="s">
        <v>130</v>
      </c>
      <c r="D3141" s="48">
        <v>44434</v>
      </c>
      <c r="E3141">
        <v>420</v>
      </c>
      <c r="F3141" t="s">
        <v>514</v>
      </c>
      <c r="G3141">
        <v>22.9</v>
      </c>
    </row>
    <row r="3142" spans="2:7" hidden="1">
      <c r="B3142" s="43">
        <v>44407</v>
      </c>
      <c r="C3142" t="s">
        <v>130</v>
      </c>
      <c r="D3142" s="48">
        <v>44434</v>
      </c>
      <c r="E3142">
        <v>420</v>
      </c>
      <c r="F3142" t="s">
        <v>515</v>
      </c>
      <c r="G3142">
        <v>10.15</v>
      </c>
    </row>
    <row r="3143" spans="2:7" hidden="1">
      <c r="B3143" s="43">
        <v>44403</v>
      </c>
      <c r="C3143" t="s">
        <v>130</v>
      </c>
      <c r="D3143" s="48">
        <v>44434</v>
      </c>
      <c r="E3143">
        <v>425</v>
      </c>
      <c r="F3143" t="s">
        <v>514</v>
      </c>
      <c r="G3143">
        <v>14.8</v>
      </c>
    </row>
    <row r="3144" spans="2:7" hidden="1">
      <c r="B3144" s="43">
        <v>44403</v>
      </c>
      <c r="C3144" t="s">
        <v>130</v>
      </c>
      <c r="D3144" s="48">
        <v>44434</v>
      </c>
      <c r="E3144">
        <v>425</v>
      </c>
      <c r="F3144" t="s">
        <v>515</v>
      </c>
      <c r="G3144">
        <v>14.65</v>
      </c>
    </row>
    <row r="3145" spans="2:7" hidden="1">
      <c r="B3145" s="43">
        <v>44404</v>
      </c>
      <c r="C3145" t="s">
        <v>130</v>
      </c>
      <c r="D3145" s="48">
        <v>44434</v>
      </c>
      <c r="E3145">
        <v>425</v>
      </c>
      <c r="F3145" t="s">
        <v>514</v>
      </c>
      <c r="G3145">
        <v>17.600000000000001</v>
      </c>
    </row>
    <row r="3146" spans="2:7" hidden="1">
      <c r="B3146" s="43">
        <v>44404</v>
      </c>
      <c r="C3146" t="s">
        <v>130</v>
      </c>
      <c r="D3146" s="48">
        <v>44434</v>
      </c>
      <c r="E3146">
        <v>425</v>
      </c>
      <c r="F3146" t="s">
        <v>515</v>
      </c>
      <c r="G3146">
        <v>11.55</v>
      </c>
    </row>
    <row r="3147" spans="2:7" hidden="1">
      <c r="B3147" s="43">
        <v>44405</v>
      </c>
      <c r="C3147" t="s">
        <v>130</v>
      </c>
      <c r="D3147" s="48">
        <v>44434</v>
      </c>
      <c r="E3147">
        <v>425</v>
      </c>
      <c r="F3147" t="s">
        <v>514</v>
      </c>
      <c r="G3147">
        <v>15.45</v>
      </c>
    </row>
    <row r="3148" spans="2:7" hidden="1">
      <c r="B3148" s="43">
        <v>44405</v>
      </c>
      <c r="C3148" t="s">
        <v>130</v>
      </c>
      <c r="D3148" s="48">
        <v>44434</v>
      </c>
      <c r="E3148">
        <v>425</v>
      </c>
      <c r="F3148" t="s">
        <v>515</v>
      </c>
      <c r="G3148">
        <v>13.4</v>
      </c>
    </row>
    <row r="3149" spans="2:7" hidden="1">
      <c r="B3149" s="43">
        <v>44406</v>
      </c>
      <c r="C3149" t="s">
        <v>130</v>
      </c>
      <c r="D3149" s="48">
        <v>44434</v>
      </c>
      <c r="E3149">
        <v>425</v>
      </c>
      <c r="F3149" t="s">
        <v>514</v>
      </c>
      <c r="G3149">
        <v>27.25</v>
      </c>
    </row>
    <row r="3150" spans="2:7" hidden="1">
      <c r="B3150" s="43">
        <v>44406</v>
      </c>
      <c r="C3150" t="s">
        <v>130</v>
      </c>
      <c r="D3150" s="48">
        <v>44434</v>
      </c>
      <c r="E3150">
        <v>425</v>
      </c>
      <c r="F3150" t="s">
        <v>515</v>
      </c>
      <c r="G3150">
        <v>8.75</v>
      </c>
    </row>
    <row r="3151" spans="2:7" hidden="1">
      <c r="B3151" s="43">
        <v>44407</v>
      </c>
      <c r="C3151" t="s">
        <v>130</v>
      </c>
      <c r="D3151" s="48">
        <v>44434</v>
      </c>
      <c r="E3151">
        <v>425</v>
      </c>
      <c r="F3151" t="s">
        <v>514</v>
      </c>
      <c r="G3151">
        <v>20.05</v>
      </c>
    </row>
    <row r="3152" spans="2:7" hidden="1">
      <c r="B3152" s="43">
        <v>44407</v>
      </c>
      <c r="C3152" t="s">
        <v>130</v>
      </c>
      <c r="D3152" s="48">
        <v>44434</v>
      </c>
      <c r="E3152">
        <v>425</v>
      </c>
      <c r="F3152" t="s">
        <v>515</v>
      </c>
      <c r="G3152">
        <v>12.45</v>
      </c>
    </row>
    <row r="3153" spans="2:7" hidden="1">
      <c r="B3153" s="43">
        <v>44403</v>
      </c>
      <c r="C3153" t="s">
        <v>130</v>
      </c>
      <c r="D3153" s="48">
        <v>44434</v>
      </c>
      <c r="E3153">
        <v>430</v>
      </c>
      <c r="F3153" t="s">
        <v>514</v>
      </c>
      <c r="G3153">
        <v>12.7</v>
      </c>
    </row>
    <row r="3154" spans="2:7" hidden="1">
      <c r="B3154" s="43">
        <v>44403</v>
      </c>
      <c r="C3154" t="s">
        <v>130</v>
      </c>
      <c r="D3154" s="48">
        <v>44434</v>
      </c>
      <c r="E3154">
        <v>430</v>
      </c>
      <c r="F3154" t="s">
        <v>515</v>
      </c>
      <c r="G3154">
        <v>17.7</v>
      </c>
    </row>
    <row r="3155" spans="2:7" hidden="1">
      <c r="B3155" s="43">
        <v>44404</v>
      </c>
      <c r="C3155" t="s">
        <v>130</v>
      </c>
      <c r="D3155" s="48">
        <v>44434</v>
      </c>
      <c r="E3155">
        <v>430</v>
      </c>
      <c r="F3155" t="s">
        <v>514</v>
      </c>
      <c r="G3155">
        <v>15.05</v>
      </c>
    </row>
    <row r="3156" spans="2:7" hidden="1">
      <c r="B3156" s="43">
        <v>44404</v>
      </c>
      <c r="C3156" t="s">
        <v>130</v>
      </c>
      <c r="D3156" s="48">
        <v>44434</v>
      </c>
      <c r="E3156">
        <v>430</v>
      </c>
      <c r="F3156" t="s">
        <v>515</v>
      </c>
      <c r="G3156">
        <v>14.05</v>
      </c>
    </row>
    <row r="3157" spans="2:7" hidden="1">
      <c r="B3157" s="43">
        <v>44405</v>
      </c>
      <c r="C3157" t="s">
        <v>130</v>
      </c>
      <c r="D3157" s="48">
        <v>44434</v>
      </c>
      <c r="E3157">
        <v>430</v>
      </c>
      <c r="F3157" t="s">
        <v>514</v>
      </c>
      <c r="G3157">
        <v>13.2</v>
      </c>
    </row>
    <row r="3158" spans="2:7" hidden="1">
      <c r="B3158" s="43">
        <v>44405</v>
      </c>
      <c r="C3158" t="s">
        <v>130</v>
      </c>
      <c r="D3158" s="48">
        <v>44434</v>
      </c>
      <c r="E3158">
        <v>430</v>
      </c>
      <c r="F3158" t="s">
        <v>515</v>
      </c>
      <c r="G3158">
        <v>16.100000000000001</v>
      </c>
    </row>
    <row r="3159" spans="2:7" hidden="1">
      <c r="B3159" s="43">
        <v>44406</v>
      </c>
      <c r="C3159" t="s">
        <v>130</v>
      </c>
      <c r="D3159" s="48">
        <v>44434</v>
      </c>
      <c r="E3159">
        <v>430</v>
      </c>
      <c r="F3159" t="s">
        <v>514</v>
      </c>
      <c r="G3159">
        <v>24.4</v>
      </c>
    </row>
    <row r="3160" spans="2:7" hidden="1">
      <c r="B3160" s="43">
        <v>44406</v>
      </c>
      <c r="C3160" t="s">
        <v>130</v>
      </c>
      <c r="D3160" s="48">
        <v>44434</v>
      </c>
      <c r="E3160">
        <v>430</v>
      </c>
      <c r="F3160" t="s">
        <v>515</v>
      </c>
      <c r="G3160">
        <v>10.6</v>
      </c>
    </row>
    <row r="3161" spans="2:7" hidden="1">
      <c r="B3161" s="43">
        <v>44407</v>
      </c>
      <c r="C3161" t="s">
        <v>130</v>
      </c>
      <c r="D3161" s="48">
        <v>44434</v>
      </c>
      <c r="E3161">
        <v>430</v>
      </c>
      <c r="F3161" t="s">
        <v>514</v>
      </c>
      <c r="G3161">
        <v>17.600000000000001</v>
      </c>
    </row>
    <row r="3162" spans="2:7" hidden="1">
      <c r="B3162" s="43">
        <v>44407</v>
      </c>
      <c r="C3162" t="s">
        <v>130</v>
      </c>
      <c r="D3162" s="48">
        <v>44434</v>
      </c>
      <c r="E3162">
        <v>430</v>
      </c>
      <c r="F3162" t="s">
        <v>515</v>
      </c>
      <c r="G3162">
        <v>14.85</v>
      </c>
    </row>
    <row r="3163" spans="2:7" hidden="1">
      <c r="B3163" s="43">
        <v>44403</v>
      </c>
      <c r="C3163" t="s">
        <v>130</v>
      </c>
      <c r="D3163" s="48">
        <v>44434</v>
      </c>
      <c r="E3163">
        <v>435</v>
      </c>
      <c r="F3163" t="s">
        <v>514</v>
      </c>
      <c r="G3163">
        <v>10.7</v>
      </c>
    </row>
    <row r="3164" spans="2:7" hidden="1">
      <c r="B3164" s="43">
        <v>44403</v>
      </c>
      <c r="C3164" t="s">
        <v>130</v>
      </c>
      <c r="D3164" s="48">
        <v>44434</v>
      </c>
      <c r="E3164">
        <v>435</v>
      </c>
      <c r="F3164" t="s">
        <v>515</v>
      </c>
      <c r="G3164">
        <v>20.95</v>
      </c>
    </row>
    <row r="3165" spans="2:7" hidden="1">
      <c r="B3165" s="43">
        <v>44404</v>
      </c>
      <c r="C3165" t="s">
        <v>130</v>
      </c>
      <c r="D3165" s="48">
        <v>44434</v>
      </c>
      <c r="E3165">
        <v>435</v>
      </c>
      <c r="F3165" t="s">
        <v>514</v>
      </c>
      <c r="G3165">
        <v>12.8</v>
      </c>
    </row>
    <row r="3166" spans="2:7" hidden="1">
      <c r="B3166" s="43">
        <v>44404</v>
      </c>
      <c r="C3166" t="s">
        <v>130</v>
      </c>
      <c r="D3166" s="48">
        <v>44434</v>
      </c>
      <c r="E3166">
        <v>435</v>
      </c>
      <c r="F3166" t="s">
        <v>515</v>
      </c>
      <c r="G3166">
        <v>16.75</v>
      </c>
    </row>
    <row r="3167" spans="2:7" hidden="1">
      <c r="B3167" s="43">
        <v>44405</v>
      </c>
      <c r="C3167" t="s">
        <v>130</v>
      </c>
      <c r="D3167" s="48">
        <v>44434</v>
      </c>
      <c r="E3167">
        <v>435</v>
      </c>
      <c r="F3167" t="s">
        <v>514</v>
      </c>
      <c r="G3167">
        <v>11.05</v>
      </c>
    </row>
    <row r="3168" spans="2:7" hidden="1">
      <c r="B3168" s="43">
        <v>44405</v>
      </c>
      <c r="C3168" t="s">
        <v>130</v>
      </c>
      <c r="D3168" s="48">
        <v>44434</v>
      </c>
      <c r="E3168">
        <v>435</v>
      </c>
      <c r="F3168" t="s">
        <v>515</v>
      </c>
      <c r="G3168">
        <v>18.95</v>
      </c>
    </row>
    <row r="3169" spans="2:7" hidden="1">
      <c r="B3169" s="43">
        <v>44406</v>
      </c>
      <c r="C3169" t="s">
        <v>130</v>
      </c>
      <c r="D3169" s="48">
        <v>44434</v>
      </c>
      <c r="E3169">
        <v>435</v>
      </c>
      <c r="F3169" t="s">
        <v>514</v>
      </c>
      <c r="G3169">
        <v>21.35</v>
      </c>
    </row>
    <row r="3170" spans="2:7" hidden="1">
      <c r="B3170" s="43">
        <v>44406</v>
      </c>
      <c r="C3170" t="s">
        <v>130</v>
      </c>
      <c r="D3170" s="48">
        <v>44434</v>
      </c>
      <c r="E3170">
        <v>435</v>
      </c>
      <c r="F3170" t="s">
        <v>515</v>
      </c>
      <c r="G3170">
        <v>12.75</v>
      </c>
    </row>
    <row r="3171" spans="2:7" hidden="1">
      <c r="B3171" s="43">
        <v>44407</v>
      </c>
      <c r="C3171" t="s">
        <v>130</v>
      </c>
      <c r="D3171" s="48">
        <v>44434</v>
      </c>
      <c r="E3171">
        <v>435</v>
      </c>
      <c r="F3171" t="s">
        <v>514</v>
      </c>
      <c r="G3171">
        <v>15.3</v>
      </c>
    </row>
    <row r="3172" spans="2:7" hidden="1">
      <c r="B3172" s="43">
        <v>44407</v>
      </c>
      <c r="C3172" t="s">
        <v>130</v>
      </c>
      <c r="D3172" s="48">
        <v>44434</v>
      </c>
      <c r="E3172">
        <v>435</v>
      </c>
      <c r="F3172" t="s">
        <v>515</v>
      </c>
      <c r="G3172">
        <v>17.600000000000001</v>
      </c>
    </row>
    <row r="3173" spans="2:7" hidden="1">
      <c r="B3173" s="43">
        <v>44403</v>
      </c>
      <c r="C3173" t="s">
        <v>130</v>
      </c>
      <c r="D3173" s="48">
        <v>44434</v>
      </c>
      <c r="E3173">
        <v>440</v>
      </c>
      <c r="F3173" t="s">
        <v>514</v>
      </c>
      <c r="G3173">
        <v>8.9</v>
      </c>
    </row>
    <row r="3174" spans="2:7" hidden="1">
      <c r="B3174" s="43">
        <v>44403</v>
      </c>
      <c r="C3174" t="s">
        <v>130</v>
      </c>
      <c r="D3174" s="48">
        <v>44434</v>
      </c>
      <c r="E3174">
        <v>440</v>
      </c>
      <c r="F3174" t="s">
        <v>515</v>
      </c>
      <c r="G3174">
        <v>24</v>
      </c>
    </row>
    <row r="3175" spans="2:7" hidden="1">
      <c r="B3175" s="43">
        <v>44404</v>
      </c>
      <c r="C3175" t="s">
        <v>130</v>
      </c>
      <c r="D3175" s="48">
        <v>44434</v>
      </c>
      <c r="E3175">
        <v>440</v>
      </c>
      <c r="F3175" t="s">
        <v>514</v>
      </c>
      <c r="G3175">
        <v>10.65</v>
      </c>
    </row>
    <row r="3176" spans="2:7" hidden="1">
      <c r="B3176" s="43">
        <v>44404</v>
      </c>
      <c r="C3176" t="s">
        <v>130</v>
      </c>
      <c r="D3176" s="48">
        <v>44434</v>
      </c>
      <c r="E3176">
        <v>440</v>
      </c>
      <c r="F3176" t="s">
        <v>515</v>
      </c>
      <c r="G3176">
        <v>19.8</v>
      </c>
    </row>
    <row r="3177" spans="2:7" hidden="1">
      <c r="B3177" s="43">
        <v>44405</v>
      </c>
      <c r="C3177" t="s">
        <v>130</v>
      </c>
      <c r="D3177" s="48">
        <v>44434</v>
      </c>
      <c r="E3177">
        <v>440</v>
      </c>
      <c r="F3177" t="s">
        <v>514</v>
      </c>
      <c r="G3177">
        <v>9.35</v>
      </c>
    </row>
    <row r="3178" spans="2:7" hidden="1">
      <c r="B3178" s="43">
        <v>44405</v>
      </c>
      <c r="C3178" t="s">
        <v>130</v>
      </c>
      <c r="D3178" s="48">
        <v>44434</v>
      </c>
      <c r="E3178">
        <v>440</v>
      </c>
      <c r="F3178" t="s">
        <v>515</v>
      </c>
      <c r="G3178">
        <v>22.15</v>
      </c>
    </row>
    <row r="3179" spans="2:7" hidden="1">
      <c r="B3179" s="43">
        <v>44406</v>
      </c>
      <c r="C3179" t="s">
        <v>130</v>
      </c>
      <c r="D3179" s="48">
        <v>44434</v>
      </c>
      <c r="E3179">
        <v>440</v>
      </c>
      <c r="F3179" t="s">
        <v>514</v>
      </c>
      <c r="G3179">
        <v>18.899999999999999</v>
      </c>
    </row>
    <row r="3180" spans="2:7" hidden="1">
      <c r="B3180" s="43">
        <v>44406</v>
      </c>
      <c r="C3180" t="s">
        <v>130</v>
      </c>
      <c r="D3180" s="48">
        <v>44434</v>
      </c>
      <c r="E3180">
        <v>440</v>
      </c>
      <c r="F3180" t="s">
        <v>515</v>
      </c>
      <c r="G3180">
        <v>15.05</v>
      </c>
    </row>
    <row r="3181" spans="2:7" hidden="1">
      <c r="B3181" s="43">
        <v>44407</v>
      </c>
      <c r="C3181" t="s">
        <v>130</v>
      </c>
      <c r="D3181" s="48">
        <v>44434</v>
      </c>
      <c r="E3181">
        <v>440</v>
      </c>
      <c r="F3181" t="s">
        <v>514</v>
      </c>
      <c r="G3181">
        <v>13.25</v>
      </c>
    </row>
    <row r="3182" spans="2:7" hidden="1">
      <c r="B3182" s="43">
        <v>44407</v>
      </c>
      <c r="C3182" t="s">
        <v>130</v>
      </c>
      <c r="D3182" s="48">
        <v>44434</v>
      </c>
      <c r="E3182">
        <v>440</v>
      </c>
      <c r="F3182" t="s">
        <v>515</v>
      </c>
      <c r="G3182">
        <v>20.6</v>
      </c>
    </row>
    <row r="3183" spans="2:7" hidden="1">
      <c r="B3183" s="43">
        <v>44403</v>
      </c>
      <c r="C3183" t="s">
        <v>130</v>
      </c>
      <c r="D3183" s="48">
        <v>44434</v>
      </c>
      <c r="E3183">
        <v>445</v>
      </c>
      <c r="F3183" t="s">
        <v>514</v>
      </c>
      <c r="G3183">
        <v>7.4</v>
      </c>
    </row>
    <row r="3184" spans="2:7" hidden="1">
      <c r="B3184" s="43">
        <v>44403</v>
      </c>
      <c r="C3184" t="s">
        <v>130</v>
      </c>
      <c r="D3184" s="48">
        <v>44434</v>
      </c>
      <c r="E3184">
        <v>445</v>
      </c>
      <c r="F3184" t="s">
        <v>515</v>
      </c>
      <c r="G3184">
        <v>52.25</v>
      </c>
    </row>
    <row r="3185" spans="2:7" hidden="1">
      <c r="B3185" s="43">
        <v>44404</v>
      </c>
      <c r="C3185" t="s">
        <v>130</v>
      </c>
      <c r="D3185" s="48">
        <v>44434</v>
      </c>
      <c r="E3185">
        <v>445</v>
      </c>
      <c r="F3185" t="s">
        <v>514</v>
      </c>
      <c r="G3185">
        <v>9</v>
      </c>
    </row>
    <row r="3186" spans="2:7" hidden="1">
      <c r="B3186" s="43">
        <v>44404</v>
      </c>
      <c r="C3186" t="s">
        <v>130</v>
      </c>
      <c r="D3186" s="48">
        <v>44434</v>
      </c>
      <c r="E3186">
        <v>445</v>
      </c>
      <c r="F3186" t="s">
        <v>515</v>
      </c>
      <c r="G3186">
        <v>52.25</v>
      </c>
    </row>
    <row r="3187" spans="2:7" hidden="1">
      <c r="B3187" s="43">
        <v>44405</v>
      </c>
      <c r="C3187" t="s">
        <v>130</v>
      </c>
      <c r="D3187" s="48">
        <v>44434</v>
      </c>
      <c r="E3187">
        <v>445</v>
      </c>
      <c r="F3187" t="s">
        <v>514</v>
      </c>
      <c r="G3187">
        <v>7.8</v>
      </c>
    </row>
    <row r="3188" spans="2:7" hidden="1">
      <c r="B3188" s="43">
        <v>44405</v>
      </c>
      <c r="C3188" t="s">
        <v>130</v>
      </c>
      <c r="D3188" s="48">
        <v>44434</v>
      </c>
      <c r="E3188">
        <v>445</v>
      </c>
      <c r="F3188" t="s">
        <v>515</v>
      </c>
      <c r="G3188">
        <v>26.6</v>
      </c>
    </row>
    <row r="3189" spans="2:7" hidden="1">
      <c r="B3189" s="43">
        <v>44406</v>
      </c>
      <c r="C3189" t="s">
        <v>130</v>
      </c>
      <c r="D3189" s="48">
        <v>44434</v>
      </c>
      <c r="E3189">
        <v>445</v>
      </c>
      <c r="F3189" t="s">
        <v>514</v>
      </c>
      <c r="G3189">
        <v>16.45</v>
      </c>
    </row>
    <row r="3190" spans="2:7" hidden="1">
      <c r="B3190" s="43">
        <v>44406</v>
      </c>
      <c r="C3190" t="s">
        <v>130</v>
      </c>
      <c r="D3190" s="48">
        <v>44434</v>
      </c>
      <c r="E3190">
        <v>445</v>
      </c>
      <c r="F3190" t="s">
        <v>515</v>
      </c>
      <c r="G3190">
        <v>17.55</v>
      </c>
    </row>
    <row r="3191" spans="2:7" hidden="1">
      <c r="B3191" s="43">
        <v>44407</v>
      </c>
      <c r="C3191" t="s">
        <v>130</v>
      </c>
      <c r="D3191" s="48">
        <v>44434</v>
      </c>
      <c r="E3191">
        <v>445</v>
      </c>
      <c r="F3191" t="s">
        <v>514</v>
      </c>
      <c r="G3191">
        <v>11.35</v>
      </c>
    </row>
    <row r="3192" spans="2:7" hidden="1">
      <c r="B3192" s="43">
        <v>44407</v>
      </c>
      <c r="C3192" t="s">
        <v>130</v>
      </c>
      <c r="D3192" s="48">
        <v>44434</v>
      </c>
      <c r="E3192">
        <v>445</v>
      </c>
      <c r="F3192" t="s">
        <v>515</v>
      </c>
      <c r="G3192">
        <v>23.55</v>
      </c>
    </row>
    <row r="3193" spans="2:7" hidden="1">
      <c r="B3193" s="43">
        <v>44403</v>
      </c>
      <c r="C3193" t="s">
        <v>130</v>
      </c>
      <c r="D3193" s="48">
        <v>44434</v>
      </c>
      <c r="E3193">
        <v>450</v>
      </c>
      <c r="F3193" t="s">
        <v>514</v>
      </c>
      <c r="G3193">
        <v>6.1</v>
      </c>
    </row>
    <row r="3194" spans="2:7" hidden="1">
      <c r="B3194" s="43">
        <v>44403</v>
      </c>
      <c r="C3194" t="s">
        <v>130</v>
      </c>
      <c r="D3194" s="48">
        <v>44434</v>
      </c>
      <c r="E3194">
        <v>450</v>
      </c>
      <c r="F3194" t="s">
        <v>515</v>
      </c>
      <c r="G3194">
        <v>30.9</v>
      </c>
    </row>
    <row r="3195" spans="2:7" hidden="1">
      <c r="B3195" s="43">
        <v>44404</v>
      </c>
      <c r="C3195" t="s">
        <v>130</v>
      </c>
      <c r="D3195" s="48">
        <v>44434</v>
      </c>
      <c r="E3195">
        <v>450</v>
      </c>
      <c r="F3195" t="s">
        <v>514</v>
      </c>
      <c r="G3195">
        <v>7.55</v>
      </c>
    </row>
    <row r="3196" spans="2:7" hidden="1">
      <c r="B3196" s="43">
        <v>44404</v>
      </c>
      <c r="C3196" t="s">
        <v>130</v>
      </c>
      <c r="D3196" s="48">
        <v>44434</v>
      </c>
      <c r="E3196">
        <v>450</v>
      </c>
      <c r="F3196" t="s">
        <v>515</v>
      </c>
      <c r="G3196">
        <v>26.05</v>
      </c>
    </row>
    <row r="3197" spans="2:7" hidden="1">
      <c r="B3197" s="43">
        <v>44405</v>
      </c>
      <c r="C3197" t="s">
        <v>130</v>
      </c>
      <c r="D3197" s="48">
        <v>44434</v>
      </c>
      <c r="E3197">
        <v>450</v>
      </c>
      <c r="F3197" t="s">
        <v>514</v>
      </c>
      <c r="G3197">
        <v>6.5</v>
      </c>
    </row>
    <row r="3198" spans="2:7" hidden="1">
      <c r="B3198" s="43">
        <v>44405</v>
      </c>
      <c r="C3198" t="s">
        <v>130</v>
      </c>
      <c r="D3198" s="48">
        <v>44434</v>
      </c>
      <c r="E3198">
        <v>450</v>
      </c>
      <c r="F3198" t="s">
        <v>515</v>
      </c>
      <c r="G3198">
        <v>29.45</v>
      </c>
    </row>
    <row r="3199" spans="2:7" hidden="1">
      <c r="B3199" s="43">
        <v>44406</v>
      </c>
      <c r="C3199" t="s">
        <v>130</v>
      </c>
      <c r="D3199" s="48">
        <v>44434</v>
      </c>
      <c r="E3199">
        <v>450</v>
      </c>
      <c r="F3199" t="s">
        <v>514</v>
      </c>
      <c r="G3199">
        <v>14.3</v>
      </c>
    </row>
    <row r="3200" spans="2:7" hidden="1">
      <c r="B3200" s="43">
        <v>44406</v>
      </c>
      <c r="C3200" t="s">
        <v>130</v>
      </c>
      <c r="D3200" s="48">
        <v>44434</v>
      </c>
      <c r="E3200">
        <v>450</v>
      </c>
      <c r="F3200" t="s">
        <v>515</v>
      </c>
      <c r="G3200">
        <v>20.55</v>
      </c>
    </row>
    <row r="3201" spans="2:7" hidden="1">
      <c r="B3201" s="43">
        <v>44407</v>
      </c>
      <c r="C3201" t="s">
        <v>130</v>
      </c>
      <c r="D3201" s="48">
        <v>44434</v>
      </c>
      <c r="E3201">
        <v>450</v>
      </c>
      <c r="F3201" t="s">
        <v>514</v>
      </c>
      <c r="G3201">
        <v>9.6999999999999993</v>
      </c>
    </row>
    <row r="3202" spans="2:7" hidden="1">
      <c r="B3202" s="43">
        <v>44407</v>
      </c>
      <c r="C3202" t="s">
        <v>130</v>
      </c>
      <c r="D3202" s="48">
        <v>44434</v>
      </c>
      <c r="E3202">
        <v>450</v>
      </c>
      <c r="F3202" t="s">
        <v>515</v>
      </c>
      <c r="G3202">
        <v>26.85</v>
      </c>
    </row>
    <row r="3203" spans="2:7" hidden="1">
      <c r="B3203" s="43">
        <v>44403</v>
      </c>
      <c r="C3203" t="s">
        <v>130</v>
      </c>
      <c r="D3203" s="48">
        <v>44434</v>
      </c>
      <c r="E3203">
        <v>455</v>
      </c>
      <c r="F3203" t="s">
        <v>514</v>
      </c>
      <c r="G3203">
        <v>5.05</v>
      </c>
    </row>
    <row r="3204" spans="2:7" hidden="1">
      <c r="B3204" s="43">
        <v>44403</v>
      </c>
      <c r="C3204" t="s">
        <v>130</v>
      </c>
      <c r="D3204" s="48">
        <v>44434</v>
      </c>
      <c r="E3204">
        <v>455</v>
      </c>
      <c r="F3204" t="s">
        <v>515</v>
      </c>
      <c r="G3204">
        <v>58.45</v>
      </c>
    </row>
    <row r="3205" spans="2:7" hidden="1">
      <c r="B3205" s="43">
        <v>44404</v>
      </c>
      <c r="C3205" t="s">
        <v>130</v>
      </c>
      <c r="D3205" s="48">
        <v>44434</v>
      </c>
      <c r="E3205">
        <v>455</v>
      </c>
      <c r="F3205" t="s">
        <v>514</v>
      </c>
      <c r="G3205">
        <v>6.25</v>
      </c>
    </row>
    <row r="3206" spans="2:7" hidden="1">
      <c r="B3206" s="43">
        <v>44404</v>
      </c>
      <c r="C3206" t="s">
        <v>130</v>
      </c>
      <c r="D3206" s="48">
        <v>44434</v>
      </c>
      <c r="E3206">
        <v>455</v>
      </c>
      <c r="F3206" t="s">
        <v>515</v>
      </c>
      <c r="G3206">
        <v>58.45</v>
      </c>
    </row>
    <row r="3207" spans="2:7" hidden="1">
      <c r="B3207" s="43">
        <v>44405</v>
      </c>
      <c r="C3207" t="s">
        <v>130</v>
      </c>
      <c r="D3207" s="48">
        <v>44434</v>
      </c>
      <c r="E3207">
        <v>455</v>
      </c>
      <c r="F3207" t="s">
        <v>514</v>
      </c>
      <c r="G3207">
        <v>5.3</v>
      </c>
    </row>
    <row r="3208" spans="2:7" hidden="1">
      <c r="B3208" s="43">
        <v>44405</v>
      </c>
      <c r="C3208" t="s">
        <v>130</v>
      </c>
      <c r="D3208" s="48">
        <v>44434</v>
      </c>
      <c r="E3208">
        <v>455</v>
      </c>
      <c r="F3208" t="s">
        <v>515</v>
      </c>
      <c r="G3208">
        <v>32.15</v>
      </c>
    </row>
    <row r="3209" spans="2:7" hidden="1">
      <c r="B3209" s="43">
        <v>44406</v>
      </c>
      <c r="C3209" t="s">
        <v>130</v>
      </c>
      <c r="D3209" s="48">
        <v>44434</v>
      </c>
      <c r="E3209">
        <v>455</v>
      </c>
      <c r="F3209" t="s">
        <v>514</v>
      </c>
      <c r="G3209">
        <v>12.3</v>
      </c>
    </row>
    <row r="3210" spans="2:7" hidden="1">
      <c r="B3210" s="43">
        <v>44406</v>
      </c>
      <c r="C3210" t="s">
        <v>130</v>
      </c>
      <c r="D3210" s="48">
        <v>44434</v>
      </c>
      <c r="E3210">
        <v>455</v>
      </c>
      <c r="F3210" t="s">
        <v>515</v>
      </c>
      <c r="G3210">
        <v>24.7</v>
      </c>
    </row>
    <row r="3211" spans="2:7" hidden="1">
      <c r="B3211" s="43">
        <v>44407</v>
      </c>
      <c r="C3211" t="s">
        <v>130</v>
      </c>
      <c r="D3211" s="48">
        <v>44434</v>
      </c>
      <c r="E3211">
        <v>455</v>
      </c>
      <c r="F3211" t="s">
        <v>514</v>
      </c>
      <c r="G3211">
        <v>8.15</v>
      </c>
    </row>
    <row r="3212" spans="2:7" hidden="1">
      <c r="B3212" s="43">
        <v>44407</v>
      </c>
      <c r="C3212" t="s">
        <v>130</v>
      </c>
      <c r="D3212" s="48">
        <v>44434</v>
      </c>
      <c r="E3212">
        <v>455</v>
      </c>
      <c r="F3212" t="s">
        <v>515</v>
      </c>
      <c r="G3212">
        <v>30.35</v>
      </c>
    </row>
    <row r="3213" spans="2:7" hidden="1">
      <c r="B3213" s="43">
        <v>44403</v>
      </c>
      <c r="C3213" t="s">
        <v>130</v>
      </c>
      <c r="D3213" s="48">
        <v>44434</v>
      </c>
      <c r="E3213">
        <v>460</v>
      </c>
      <c r="F3213" t="s">
        <v>514</v>
      </c>
      <c r="G3213">
        <v>4.1500000000000004</v>
      </c>
    </row>
    <row r="3214" spans="2:7" hidden="1">
      <c r="B3214" s="43">
        <v>44403</v>
      </c>
      <c r="C3214" t="s">
        <v>130</v>
      </c>
      <c r="D3214" s="48">
        <v>44434</v>
      </c>
      <c r="E3214">
        <v>460</v>
      </c>
      <c r="F3214" t="s">
        <v>515</v>
      </c>
      <c r="G3214">
        <v>38.200000000000003</v>
      </c>
    </row>
    <row r="3215" spans="2:7" hidden="1">
      <c r="B3215" s="43">
        <v>44404</v>
      </c>
      <c r="C3215" t="s">
        <v>130</v>
      </c>
      <c r="D3215" s="48">
        <v>44434</v>
      </c>
      <c r="E3215">
        <v>460</v>
      </c>
      <c r="F3215" t="s">
        <v>514</v>
      </c>
      <c r="G3215">
        <v>5.0999999999999996</v>
      </c>
    </row>
    <row r="3216" spans="2:7" hidden="1">
      <c r="B3216" s="43">
        <v>44404</v>
      </c>
      <c r="C3216" t="s">
        <v>130</v>
      </c>
      <c r="D3216" s="48">
        <v>44434</v>
      </c>
      <c r="E3216">
        <v>460</v>
      </c>
      <c r="F3216" t="s">
        <v>515</v>
      </c>
      <c r="G3216">
        <v>33.200000000000003</v>
      </c>
    </row>
    <row r="3217" spans="2:7" hidden="1">
      <c r="B3217" s="43">
        <v>44405</v>
      </c>
      <c r="C3217" t="s">
        <v>130</v>
      </c>
      <c r="D3217" s="48">
        <v>44434</v>
      </c>
      <c r="E3217">
        <v>460</v>
      </c>
      <c r="F3217" t="s">
        <v>514</v>
      </c>
      <c r="G3217">
        <v>4.4000000000000004</v>
      </c>
    </row>
    <row r="3218" spans="2:7" hidden="1">
      <c r="B3218" s="43">
        <v>44405</v>
      </c>
      <c r="C3218" t="s">
        <v>130</v>
      </c>
      <c r="D3218" s="48">
        <v>44434</v>
      </c>
      <c r="E3218">
        <v>460</v>
      </c>
      <c r="F3218" t="s">
        <v>515</v>
      </c>
      <c r="G3218">
        <v>39.75</v>
      </c>
    </row>
    <row r="3219" spans="2:7" hidden="1">
      <c r="B3219" s="43">
        <v>44406</v>
      </c>
      <c r="C3219" t="s">
        <v>130</v>
      </c>
      <c r="D3219" s="48">
        <v>44434</v>
      </c>
      <c r="E3219">
        <v>460</v>
      </c>
      <c r="F3219" t="s">
        <v>514</v>
      </c>
      <c r="G3219">
        <v>10.55</v>
      </c>
    </row>
    <row r="3220" spans="2:7" hidden="1">
      <c r="B3220" s="43">
        <v>44406</v>
      </c>
      <c r="C3220" t="s">
        <v>130</v>
      </c>
      <c r="D3220" s="48">
        <v>44434</v>
      </c>
      <c r="E3220">
        <v>460</v>
      </c>
      <c r="F3220" t="s">
        <v>515</v>
      </c>
      <c r="G3220">
        <v>26.7</v>
      </c>
    </row>
    <row r="3221" spans="2:7" hidden="1">
      <c r="B3221" s="43">
        <v>44407</v>
      </c>
      <c r="C3221" t="s">
        <v>130</v>
      </c>
      <c r="D3221" s="48">
        <v>44434</v>
      </c>
      <c r="E3221">
        <v>460</v>
      </c>
      <c r="F3221" t="s">
        <v>514</v>
      </c>
      <c r="G3221">
        <v>6.85</v>
      </c>
    </row>
    <row r="3222" spans="2:7" hidden="1">
      <c r="B3222" s="43">
        <v>44407</v>
      </c>
      <c r="C3222" t="s">
        <v>130</v>
      </c>
      <c r="D3222" s="48">
        <v>44434</v>
      </c>
      <c r="E3222">
        <v>460</v>
      </c>
      <c r="F3222" t="s">
        <v>515</v>
      </c>
      <c r="G3222">
        <v>34.15</v>
      </c>
    </row>
    <row r="3223" spans="2:7" hidden="1">
      <c r="B3223" s="43">
        <v>44403</v>
      </c>
      <c r="C3223" t="s">
        <v>130</v>
      </c>
      <c r="D3223" s="48">
        <v>44434</v>
      </c>
      <c r="E3223">
        <v>465</v>
      </c>
      <c r="F3223" t="s">
        <v>514</v>
      </c>
      <c r="G3223">
        <v>3.45</v>
      </c>
    </row>
    <row r="3224" spans="2:7" hidden="1">
      <c r="B3224" s="43">
        <v>44403</v>
      </c>
      <c r="C3224" t="s">
        <v>130</v>
      </c>
      <c r="D3224" s="48">
        <v>44434</v>
      </c>
      <c r="E3224">
        <v>465</v>
      </c>
      <c r="F3224" t="s">
        <v>515</v>
      </c>
      <c r="G3224">
        <v>64.95</v>
      </c>
    </row>
    <row r="3225" spans="2:7" hidden="1">
      <c r="B3225" s="43">
        <v>44404</v>
      </c>
      <c r="C3225" t="s">
        <v>130</v>
      </c>
      <c r="D3225" s="48">
        <v>44434</v>
      </c>
      <c r="E3225">
        <v>465</v>
      </c>
      <c r="F3225" t="s">
        <v>514</v>
      </c>
      <c r="G3225">
        <v>4.1500000000000004</v>
      </c>
    </row>
    <row r="3226" spans="2:7" hidden="1">
      <c r="B3226" s="43">
        <v>44404</v>
      </c>
      <c r="C3226" t="s">
        <v>130</v>
      </c>
      <c r="D3226" s="48">
        <v>44434</v>
      </c>
      <c r="E3226">
        <v>465</v>
      </c>
      <c r="F3226" t="s">
        <v>515</v>
      </c>
      <c r="G3226">
        <v>64.95</v>
      </c>
    </row>
    <row r="3227" spans="2:7" hidden="1">
      <c r="B3227" s="43">
        <v>44405</v>
      </c>
      <c r="C3227" t="s">
        <v>130</v>
      </c>
      <c r="D3227" s="48">
        <v>44434</v>
      </c>
      <c r="E3227">
        <v>465</v>
      </c>
      <c r="F3227" t="s">
        <v>514</v>
      </c>
      <c r="G3227">
        <v>3.65</v>
      </c>
    </row>
    <row r="3228" spans="2:7" hidden="1">
      <c r="B3228" s="43">
        <v>44405</v>
      </c>
      <c r="C3228" t="s">
        <v>130</v>
      </c>
      <c r="D3228" s="48">
        <v>44434</v>
      </c>
      <c r="E3228">
        <v>465</v>
      </c>
      <c r="F3228" t="s">
        <v>515</v>
      </c>
      <c r="G3228">
        <v>64.95</v>
      </c>
    </row>
    <row r="3229" spans="2:7" hidden="1">
      <c r="B3229" s="43">
        <v>44406</v>
      </c>
      <c r="C3229" t="s">
        <v>130</v>
      </c>
      <c r="D3229" s="48">
        <v>44434</v>
      </c>
      <c r="E3229">
        <v>465</v>
      </c>
      <c r="F3229" t="s">
        <v>514</v>
      </c>
      <c r="G3229">
        <v>9.0500000000000007</v>
      </c>
    </row>
    <row r="3230" spans="2:7" hidden="1">
      <c r="B3230" s="43">
        <v>44406</v>
      </c>
      <c r="C3230" t="s">
        <v>130</v>
      </c>
      <c r="D3230" s="48">
        <v>44434</v>
      </c>
      <c r="E3230">
        <v>465</v>
      </c>
      <c r="F3230" t="s">
        <v>515</v>
      </c>
      <c r="G3230">
        <v>64.95</v>
      </c>
    </row>
    <row r="3231" spans="2:7" hidden="1">
      <c r="B3231" s="43">
        <v>44407</v>
      </c>
      <c r="C3231" t="s">
        <v>130</v>
      </c>
      <c r="D3231" s="48">
        <v>44434</v>
      </c>
      <c r="E3231">
        <v>465</v>
      </c>
      <c r="F3231" t="s">
        <v>514</v>
      </c>
      <c r="G3231">
        <v>5.75</v>
      </c>
    </row>
    <row r="3232" spans="2:7" hidden="1">
      <c r="B3232" s="43">
        <v>44407</v>
      </c>
      <c r="C3232" t="s">
        <v>130</v>
      </c>
      <c r="D3232" s="48">
        <v>44434</v>
      </c>
      <c r="E3232">
        <v>465</v>
      </c>
      <c r="F3232" t="s">
        <v>515</v>
      </c>
      <c r="G3232">
        <v>36.299999999999997</v>
      </c>
    </row>
    <row r="3233" spans="2:7" hidden="1">
      <c r="B3233" s="43">
        <v>44403</v>
      </c>
      <c r="C3233" t="s">
        <v>130</v>
      </c>
      <c r="D3233" s="48">
        <v>44434</v>
      </c>
      <c r="E3233">
        <v>470</v>
      </c>
      <c r="F3233" t="s">
        <v>514</v>
      </c>
      <c r="G3233">
        <v>2.95</v>
      </c>
    </row>
    <row r="3234" spans="2:7" hidden="1">
      <c r="B3234" s="43">
        <v>44403</v>
      </c>
      <c r="C3234" t="s">
        <v>130</v>
      </c>
      <c r="D3234" s="48">
        <v>44434</v>
      </c>
      <c r="E3234">
        <v>470</v>
      </c>
      <c r="F3234" t="s">
        <v>515</v>
      </c>
      <c r="G3234">
        <v>68.3</v>
      </c>
    </row>
    <row r="3235" spans="2:7" hidden="1">
      <c r="B3235" s="43">
        <v>44404</v>
      </c>
      <c r="C3235" t="s">
        <v>130</v>
      </c>
      <c r="D3235" s="48">
        <v>44434</v>
      </c>
      <c r="E3235">
        <v>470</v>
      </c>
      <c r="F3235" t="s">
        <v>514</v>
      </c>
      <c r="G3235">
        <v>3.4</v>
      </c>
    </row>
    <row r="3236" spans="2:7" hidden="1">
      <c r="B3236" s="43">
        <v>44404</v>
      </c>
      <c r="C3236" t="s">
        <v>130</v>
      </c>
      <c r="D3236" s="48">
        <v>44434</v>
      </c>
      <c r="E3236">
        <v>470</v>
      </c>
      <c r="F3236" t="s">
        <v>515</v>
      </c>
      <c r="G3236">
        <v>68.3</v>
      </c>
    </row>
    <row r="3237" spans="2:7" hidden="1">
      <c r="B3237" s="43">
        <v>44405</v>
      </c>
      <c r="C3237" t="s">
        <v>130</v>
      </c>
      <c r="D3237" s="48">
        <v>44434</v>
      </c>
      <c r="E3237">
        <v>470</v>
      </c>
      <c r="F3237" t="s">
        <v>514</v>
      </c>
      <c r="G3237">
        <v>3.05</v>
      </c>
    </row>
    <row r="3238" spans="2:7" hidden="1">
      <c r="B3238" s="43">
        <v>44405</v>
      </c>
      <c r="C3238" t="s">
        <v>130</v>
      </c>
      <c r="D3238" s="48">
        <v>44434</v>
      </c>
      <c r="E3238">
        <v>470</v>
      </c>
      <c r="F3238" t="s">
        <v>515</v>
      </c>
      <c r="G3238">
        <v>68.3</v>
      </c>
    </row>
    <row r="3239" spans="2:7" hidden="1">
      <c r="B3239" s="43">
        <v>44406</v>
      </c>
      <c r="C3239" t="s">
        <v>130</v>
      </c>
      <c r="D3239" s="48">
        <v>44434</v>
      </c>
      <c r="E3239">
        <v>470</v>
      </c>
      <c r="F3239" t="s">
        <v>514</v>
      </c>
      <c r="G3239">
        <v>7.7</v>
      </c>
    </row>
    <row r="3240" spans="2:7" hidden="1">
      <c r="B3240" s="43">
        <v>44406</v>
      </c>
      <c r="C3240" t="s">
        <v>130</v>
      </c>
      <c r="D3240" s="48">
        <v>44434</v>
      </c>
      <c r="E3240">
        <v>470</v>
      </c>
      <c r="F3240" t="s">
        <v>515</v>
      </c>
      <c r="G3240">
        <v>68.3</v>
      </c>
    </row>
    <row r="3241" spans="2:7" hidden="1">
      <c r="B3241" s="43">
        <v>44407</v>
      </c>
      <c r="C3241" t="s">
        <v>130</v>
      </c>
      <c r="D3241" s="48">
        <v>44434</v>
      </c>
      <c r="E3241">
        <v>470</v>
      </c>
      <c r="F3241" t="s">
        <v>514</v>
      </c>
      <c r="G3241">
        <v>4.9000000000000004</v>
      </c>
    </row>
    <row r="3242" spans="2:7" hidden="1">
      <c r="B3242" s="43">
        <v>44407</v>
      </c>
      <c r="C3242" t="s">
        <v>130</v>
      </c>
      <c r="D3242" s="48">
        <v>44434</v>
      </c>
      <c r="E3242">
        <v>470</v>
      </c>
      <c r="F3242" t="s">
        <v>515</v>
      </c>
      <c r="G3242">
        <v>68.3</v>
      </c>
    </row>
    <row r="3243" spans="2:7" hidden="1">
      <c r="B3243" s="43">
        <v>44403</v>
      </c>
      <c r="C3243" t="s">
        <v>130</v>
      </c>
      <c r="D3243" s="48">
        <v>44434</v>
      </c>
      <c r="E3243">
        <v>475</v>
      </c>
      <c r="F3243" t="s">
        <v>514</v>
      </c>
      <c r="G3243">
        <v>26.35</v>
      </c>
    </row>
    <row r="3244" spans="2:7" hidden="1">
      <c r="B3244" s="43">
        <v>44403</v>
      </c>
      <c r="C3244" t="s">
        <v>130</v>
      </c>
      <c r="D3244" s="48">
        <v>44434</v>
      </c>
      <c r="E3244">
        <v>475</v>
      </c>
      <c r="F3244" t="s">
        <v>515</v>
      </c>
      <c r="G3244">
        <v>71.7</v>
      </c>
    </row>
    <row r="3245" spans="2:7" hidden="1">
      <c r="B3245" s="43">
        <v>44404</v>
      </c>
      <c r="C3245" t="s">
        <v>130</v>
      </c>
      <c r="D3245" s="48">
        <v>44434</v>
      </c>
      <c r="E3245">
        <v>475</v>
      </c>
      <c r="F3245" t="s">
        <v>514</v>
      </c>
      <c r="G3245">
        <v>26.35</v>
      </c>
    </row>
    <row r="3246" spans="2:7" hidden="1">
      <c r="B3246" s="43">
        <v>44404</v>
      </c>
      <c r="C3246" t="s">
        <v>130</v>
      </c>
      <c r="D3246" s="48">
        <v>44434</v>
      </c>
      <c r="E3246">
        <v>475</v>
      </c>
      <c r="F3246" t="s">
        <v>515</v>
      </c>
      <c r="G3246">
        <v>71.7</v>
      </c>
    </row>
    <row r="3247" spans="2:7" hidden="1">
      <c r="B3247" s="43">
        <v>44405</v>
      </c>
      <c r="C3247" t="s">
        <v>130</v>
      </c>
      <c r="D3247" s="48">
        <v>44434</v>
      </c>
      <c r="E3247">
        <v>475</v>
      </c>
      <c r="F3247" t="s">
        <v>514</v>
      </c>
      <c r="G3247">
        <v>26.35</v>
      </c>
    </row>
    <row r="3248" spans="2:7" hidden="1">
      <c r="B3248" s="43">
        <v>44405</v>
      </c>
      <c r="C3248" t="s">
        <v>130</v>
      </c>
      <c r="D3248" s="48">
        <v>44434</v>
      </c>
      <c r="E3248">
        <v>475</v>
      </c>
      <c r="F3248" t="s">
        <v>515</v>
      </c>
      <c r="G3248">
        <v>71.7</v>
      </c>
    </row>
    <row r="3249" spans="2:7" hidden="1">
      <c r="B3249" s="43">
        <v>44406</v>
      </c>
      <c r="C3249" t="s">
        <v>130</v>
      </c>
      <c r="D3249" s="48">
        <v>44434</v>
      </c>
      <c r="E3249">
        <v>475</v>
      </c>
      <c r="F3249" t="s">
        <v>514</v>
      </c>
      <c r="G3249">
        <v>6.6</v>
      </c>
    </row>
    <row r="3250" spans="2:7" hidden="1">
      <c r="B3250" s="43">
        <v>44406</v>
      </c>
      <c r="C3250" t="s">
        <v>130</v>
      </c>
      <c r="D3250" s="48">
        <v>44434</v>
      </c>
      <c r="E3250">
        <v>475</v>
      </c>
      <c r="F3250" t="s">
        <v>515</v>
      </c>
      <c r="G3250">
        <v>71.7</v>
      </c>
    </row>
    <row r="3251" spans="2:7" hidden="1">
      <c r="B3251" s="43">
        <v>44407</v>
      </c>
      <c r="C3251" t="s">
        <v>130</v>
      </c>
      <c r="D3251" s="48">
        <v>44434</v>
      </c>
      <c r="E3251">
        <v>475</v>
      </c>
      <c r="F3251" t="s">
        <v>514</v>
      </c>
      <c r="G3251">
        <v>4.0999999999999996</v>
      </c>
    </row>
    <row r="3252" spans="2:7" hidden="1">
      <c r="B3252" s="43">
        <v>44407</v>
      </c>
      <c r="C3252" t="s">
        <v>130</v>
      </c>
      <c r="D3252" s="48">
        <v>44434</v>
      </c>
      <c r="E3252">
        <v>475</v>
      </c>
      <c r="F3252" t="s">
        <v>515</v>
      </c>
      <c r="G3252">
        <v>71.7</v>
      </c>
    </row>
    <row r="3253" spans="2:7" hidden="1">
      <c r="B3253" s="43">
        <v>44403</v>
      </c>
      <c r="C3253" t="s">
        <v>130</v>
      </c>
      <c r="D3253" s="48">
        <v>44434</v>
      </c>
      <c r="E3253">
        <v>480</v>
      </c>
      <c r="F3253" t="s">
        <v>514</v>
      </c>
      <c r="G3253">
        <v>2.35</v>
      </c>
    </row>
    <row r="3254" spans="2:7" hidden="1">
      <c r="B3254" s="43">
        <v>44403</v>
      </c>
      <c r="C3254" t="s">
        <v>130</v>
      </c>
      <c r="D3254" s="48">
        <v>44434</v>
      </c>
      <c r="E3254">
        <v>480</v>
      </c>
      <c r="F3254" t="s">
        <v>515</v>
      </c>
      <c r="G3254">
        <v>75.2</v>
      </c>
    </row>
    <row r="3255" spans="2:7" hidden="1">
      <c r="B3255" s="43">
        <v>44404</v>
      </c>
      <c r="C3255" t="s">
        <v>130</v>
      </c>
      <c r="D3255" s="48">
        <v>44434</v>
      </c>
      <c r="E3255">
        <v>480</v>
      </c>
      <c r="F3255" t="s">
        <v>514</v>
      </c>
      <c r="G3255">
        <v>2.4500000000000002</v>
      </c>
    </row>
    <row r="3256" spans="2:7" hidden="1">
      <c r="B3256" s="43">
        <v>44404</v>
      </c>
      <c r="C3256" t="s">
        <v>130</v>
      </c>
      <c r="D3256" s="48">
        <v>44434</v>
      </c>
      <c r="E3256">
        <v>480</v>
      </c>
      <c r="F3256" t="s">
        <v>515</v>
      </c>
      <c r="G3256">
        <v>75.2</v>
      </c>
    </row>
    <row r="3257" spans="2:7" hidden="1">
      <c r="B3257" s="43">
        <v>44405</v>
      </c>
      <c r="C3257" t="s">
        <v>130</v>
      </c>
      <c r="D3257" s="48">
        <v>44434</v>
      </c>
      <c r="E3257">
        <v>480</v>
      </c>
      <c r="F3257" t="s">
        <v>514</v>
      </c>
      <c r="G3257">
        <v>2.2999999999999998</v>
      </c>
    </row>
    <row r="3258" spans="2:7" hidden="1">
      <c r="B3258" s="43">
        <v>44405</v>
      </c>
      <c r="C3258" t="s">
        <v>130</v>
      </c>
      <c r="D3258" s="48">
        <v>44434</v>
      </c>
      <c r="E3258">
        <v>480</v>
      </c>
      <c r="F3258" t="s">
        <v>515</v>
      </c>
      <c r="G3258">
        <v>56.25</v>
      </c>
    </row>
    <row r="3259" spans="2:7" hidden="1">
      <c r="B3259" s="43">
        <v>44406</v>
      </c>
      <c r="C3259" t="s">
        <v>130</v>
      </c>
      <c r="D3259" s="48">
        <v>44434</v>
      </c>
      <c r="E3259">
        <v>480</v>
      </c>
      <c r="F3259" t="s">
        <v>514</v>
      </c>
      <c r="G3259">
        <v>5.8</v>
      </c>
    </row>
    <row r="3260" spans="2:7" hidden="1">
      <c r="B3260" s="43">
        <v>44406</v>
      </c>
      <c r="C3260" t="s">
        <v>130</v>
      </c>
      <c r="D3260" s="48">
        <v>44434</v>
      </c>
      <c r="E3260">
        <v>480</v>
      </c>
      <c r="F3260" t="s">
        <v>515</v>
      </c>
      <c r="G3260">
        <v>42.1</v>
      </c>
    </row>
    <row r="3261" spans="2:7" hidden="1">
      <c r="B3261" s="43">
        <v>44407</v>
      </c>
      <c r="C3261" t="s">
        <v>130</v>
      </c>
      <c r="D3261" s="48">
        <v>44434</v>
      </c>
      <c r="E3261">
        <v>480</v>
      </c>
      <c r="F3261" t="s">
        <v>514</v>
      </c>
      <c r="G3261">
        <v>3.4</v>
      </c>
    </row>
    <row r="3262" spans="2:7" hidden="1">
      <c r="B3262" s="43">
        <v>44407</v>
      </c>
      <c r="C3262" t="s">
        <v>130</v>
      </c>
      <c r="D3262" s="48">
        <v>44434</v>
      </c>
      <c r="E3262">
        <v>480</v>
      </c>
      <c r="F3262" t="s">
        <v>515</v>
      </c>
      <c r="G3262">
        <v>42.1</v>
      </c>
    </row>
    <row r="3263" spans="2:7" hidden="1">
      <c r="B3263" s="43">
        <v>44403</v>
      </c>
      <c r="C3263" t="s">
        <v>130</v>
      </c>
      <c r="D3263" s="48">
        <v>44434</v>
      </c>
      <c r="E3263">
        <v>485</v>
      </c>
      <c r="F3263" t="s">
        <v>514</v>
      </c>
      <c r="G3263">
        <v>2.2000000000000002</v>
      </c>
    </row>
    <row r="3264" spans="2:7" hidden="1">
      <c r="B3264" s="43">
        <v>44403</v>
      </c>
      <c r="C3264" t="s">
        <v>130</v>
      </c>
      <c r="D3264" s="48">
        <v>44434</v>
      </c>
      <c r="E3264">
        <v>485</v>
      </c>
      <c r="F3264" t="s">
        <v>515</v>
      </c>
      <c r="G3264">
        <v>78.8</v>
      </c>
    </row>
    <row r="3265" spans="2:7" hidden="1">
      <c r="B3265" s="43">
        <v>44404</v>
      </c>
      <c r="C3265" t="s">
        <v>130</v>
      </c>
      <c r="D3265" s="48">
        <v>44434</v>
      </c>
      <c r="E3265">
        <v>485</v>
      </c>
      <c r="F3265" t="s">
        <v>514</v>
      </c>
      <c r="G3265">
        <v>2</v>
      </c>
    </row>
    <row r="3266" spans="2:7" hidden="1">
      <c r="B3266" s="43">
        <v>44404</v>
      </c>
      <c r="C3266" t="s">
        <v>130</v>
      </c>
      <c r="D3266" s="48">
        <v>44434</v>
      </c>
      <c r="E3266">
        <v>485</v>
      </c>
      <c r="F3266" t="s">
        <v>515</v>
      </c>
      <c r="G3266">
        <v>78.8</v>
      </c>
    </row>
    <row r="3267" spans="2:7" hidden="1">
      <c r="B3267" s="43">
        <v>44405</v>
      </c>
      <c r="C3267" t="s">
        <v>130</v>
      </c>
      <c r="D3267" s="48">
        <v>44434</v>
      </c>
      <c r="E3267">
        <v>485</v>
      </c>
      <c r="F3267" t="s">
        <v>514</v>
      </c>
      <c r="G3267">
        <v>2</v>
      </c>
    </row>
    <row r="3268" spans="2:7" hidden="1">
      <c r="B3268" s="43">
        <v>44405</v>
      </c>
      <c r="C3268" t="s">
        <v>130</v>
      </c>
      <c r="D3268" s="48">
        <v>44434</v>
      </c>
      <c r="E3268">
        <v>485</v>
      </c>
      <c r="F3268" t="s">
        <v>515</v>
      </c>
      <c r="G3268">
        <v>78.8</v>
      </c>
    </row>
    <row r="3269" spans="2:7" hidden="1">
      <c r="B3269" s="43">
        <v>44406</v>
      </c>
      <c r="C3269" t="s">
        <v>130</v>
      </c>
      <c r="D3269" s="48">
        <v>44434</v>
      </c>
      <c r="E3269">
        <v>485</v>
      </c>
      <c r="F3269" t="s">
        <v>514</v>
      </c>
      <c r="G3269">
        <v>5</v>
      </c>
    </row>
    <row r="3270" spans="2:7" hidden="1">
      <c r="B3270" s="43">
        <v>44406</v>
      </c>
      <c r="C3270" t="s">
        <v>130</v>
      </c>
      <c r="D3270" s="48">
        <v>44434</v>
      </c>
      <c r="E3270">
        <v>485</v>
      </c>
      <c r="F3270" t="s">
        <v>515</v>
      </c>
      <c r="G3270">
        <v>78.8</v>
      </c>
    </row>
    <row r="3271" spans="2:7" hidden="1">
      <c r="B3271" s="43">
        <v>44407</v>
      </c>
      <c r="C3271" t="s">
        <v>130</v>
      </c>
      <c r="D3271" s="48">
        <v>44434</v>
      </c>
      <c r="E3271">
        <v>485</v>
      </c>
      <c r="F3271" t="s">
        <v>514</v>
      </c>
      <c r="G3271">
        <v>2.95</v>
      </c>
    </row>
    <row r="3272" spans="2:7" hidden="1">
      <c r="B3272" s="43">
        <v>44407</v>
      </c>
      <c r="C3272" t="s">
        <v>130</v>
      </c>
      <c r="D3272" s="48">
        <v>44434</v>
      </c>
      <c r="E3272">
        <v>485</v>
      </c>
      <c r="F3272" t="s">
        <v>515</v>
      </c>
      <c r="G3272">
        <v>78.8</v>
      </c>
    </row>
    <row r="3273" spans="2:7" hidden="1">
      <c r="B3273" s="43">
        <v>44403</v>
      </c>
      <c r="C3273" t="s">
        <v>130</v>
      </c>
      <c r="D3273" s="48">
        <v>44434</v>
      </c>
      <c r="E3273">
        <v>490</v>
      </c>
      <c r="F3273" t="s">
        <v>514</v>
      </c>
      <c r="G3273">
        <v>2.15</v>
      </c>
    </row>
    <row r="3274" spans="2:7" hidden="1">
      <c r="B3274" s="43">
        <v>44403</v>
      </c>
      <c r="C3274" t="s">
        <v>130</v>
      </c>
      <c r="D3274" s="48">
        <v>44434</v>
      </c>
      <c r="E3274">
        <v>490</v>
      </c>
      <c r="F3274" t="s">
        <v>515</v>
      </c>
      <c r="G3274">
        <v>82.45</v>
      </c>
    </row>
    <row r="3275" spans="2:7" hidden="1">
      <c r="B3275" s="43">
        <v>44404</v>
      </c>
      <c r="C3275" t="s">
        <v>130</v>
      </c>
      <c r="D3275" s="48">
        <v>44434</v>
      </c>
      <c r="E3275">
        <v>490</v>
      </c>
      <c r="F3275" t="s">
        <v>514</v>
      </c>
      <c r="G3275">
        <v>1.8</v>
      </c>
    </row>
    <row r="3276" spans="2:7" hidden="1">
      <c r="B3276" s="43">
        <v>44404</v>
      </c>
      <c r="C3276" t="s">
        <v>130</v>
      </c>
      <c r="D3276" s="48">
        <v>44434</v>
      </c>
      <c r="E3276">
        <v>490</v>
      </c>
      <c r="F3276" t="s">
        <v>515</v>
      </c>
      <c r="G3276">
        <v>82.45</v>
      </c>
    </row>
    <row r="3277" spans="2:7" hidden="1">
      <c r="B3277" s="43">
        <v>44405</v>
      </c>
      <c r="C3277" t="s">
        <v>130</v>
      </c>
      <c r="D3277" s="48">
        <v>44434</v>
      </c>
      <c r="E3277">
        <v>490</v>
      </c>
      <c r="F3277" t="s">
        <v>514</v>
      </c>
      <c r="G3277">
        <v>1.8</v>
      </c>
    </row>
    <row r="3278" spans="2:7" hidden="1">
      <c r="B3278" s="43">
        <v>44405</v>
      </c>
      <c r="C3278" t="s">
        <v>130</v>
      </c>
      <c r="D3278" s="48">
        <v>44434</v>
      </c>
      <c r="E3278">
        <v>490</v>
      </c>
      <c r="F3278" t="s">
        <v>515</v>
      </c>
      <c r="G3278">
        <v>82.45</v>
      </c>
    </row>
    <row r="3279" spans="2:7" hidden="1">
      <c r="B3279" s="43">
        <v>44406</v>
      </c>
      <c r="C3279" t="s">
        <v>130</v>
      </c>
      <c r="D3279" s="48">
        <v>44434</v>
      </c>
      <c r="E3279">
        <v>490</v>
      </c>
      <c r="F3279" t="s">
        <v>514</v>
      </c>
      <c r="G3279">
        <v>4.3499999999999996</v>
      </c>
    </row>
    <row r="3280" spans="2:7" hidden="1">
      <c r="B3280" s="43">
        <v>44406</v>
      </c>
      <c r="C3280" t="s">
        <v>130</v>
      </c>
      <c r="D3280" s="48">
        <v>44434</v>
      </c>
      <c r="E3280">
        <v>490</v>
      </c>
      <c r="F3280" t="s">
        <v>515</v>
      </c>
      <c r="G3280">
        <v>82.45</v>
      </c>
    </row>
    <row r="3281" spans="2:7" hidden="1">
      <c r="B3281" s="43">
        <v>44407</v>
      </c>
      <c r="C3281" t="s">
        <v>130</v>
      </c>
      <c r="D3281" s="48">
        <v>44434</v>
      </c>
      <c r="E3281">
        <v>490</v>
      </c>
      <c r="F3281" t="s">
        <v>514</v>
      </c>
      <c r="G3281">
        <v>2.5499999999999998</v>
      </c>
    </row>
    <row r="3282" spans="2:7" hidden="1">
      <c r="B3282" s="43">
        <v>44407</v>
      </c>
      <c r="C3282" t="s">
        <v>130</v>
      </c>
      <c r="D3282" s="48">
        <v>44434</v>
      </c>
      <c r="E3282">
        <v>490</v>
      </c>
      <c r="F3282" t="s">
        <v>515</v>
      </c>
      <c r="G3282">
        <v>82.45</v>
      </c>
    </row>
    <row r="3283" spans="2:7" hidden="1">
      <c r="B3283" s="43">
        <v>44403</v>
      </c>
      <c r="C3283" t="s">
        <v>130</v>
      </c>
      <c r="D3283" s="48">
        <v>44434</v>
      </c>
      <c r="E3283">
        <v>495</v>
      </c>
      <c r="F3283" t="s">
        <v>514</v>
      </c>
      <c r="G3283">
        <v>21</v>
      </c>
    </row>
    <row r="3284" spans="2:7" hidden="1">
      <c r="B3284" s="43">
        <v>44403</v>
      </c>
      <c r="C3284" t="s">
        <v>130</v>
      </c>
      <c r="D3284" s="48">
        <v>44434</v>
      </c>
      <c r="E3284">
        <v>495</v>
      </c>
      <c r="F3284" t="s">
        <v>515</v>
      </c>
      <c r="G3284">
        <v>86.15</v>
      </c>
    </row>
    <row r="3285" spans="2:7" hidden="1">
      <c r="B3285" s="43">
        <v>44404</v>
      </c>
      <c r="C3285" t="s">
        <v>130</v>
      </c>
      <c r="D3285" s="48">
        <v>44434</v>
      </c>
      <c r="E3285">
        <v>495</v>
      </c>
      <c r="F3285" t="s">
        <v>514</v>
      </c>
      <c r="G3285">
        <v>21</v>
      </c>
    </row>
    <row r="3286" spans="2:7" hidden="1">
      <c r="B3286" s="43">
        <v>44404</v>
      </c>
      <c r="C3286" t="s">
        <v>130</v>
      </c>
      <c r="D3286" s="48">
        <v>44434</v>
      </c>
      <c r="E3286">
        <v>495</v>
      </c>
      <c r="F3286" t="s">
        <v>515</v>
      </c>
      <c r="G3286">
        <v>86.15</v>
      </c>
    </row>
    <row r="3287" spans="2:7" hidden="1">
      <c r="B3287" s="43">
        <v>44405</v>
      </c>
      <c r="C3287" t="s">
        <v>130</v>
      </c>
      <c r="D3287" s="48">
        <v>44434</v>
      </c>
      <c r="E3287">
        <v>495</v>
      </c>
      <c r="F3287" t="s">
        <v>514</v>
      </c>
      <c r="G3287">
        <v>21</v>
      </c>
    </row>
    <row r="3288" spans="2:7" hidden="1">
      <c r="B3288" s="43">
        <v>44405</v>
      </c>
      <c r="C3288" t="s">
        <v>130</v>
      </c>
      <c r="D3288" s="48">
        <v>44434</v>
      </c>
      <c r="E3288">
        <v>495</v>
      </c>
      <c r="F3288" t="s">
        <v>515</v>
      </c>
      <c r="G3288">
        <v>86.15</v>
      </c>
    </row>
    <row r="3289" spans="2:7" hidden="1">
      <c r="B3289" s="43">
        <v>44406</v>
      </c>
      <c r="C3289" t="s">
        <v>130</v>
      </c>
      <c r="D3289" s="48">
        <v>44434</v>
      </c>
      <c r="E3289">
        <v>495</v>
      </c>
      <c r="F3289" t="s">
        <v>514</v>
      </c>
      <c r="G3289">
        <v>21</v>
      </c>
    </row>
    <row r="3290" spans="2:7" hidden="1">
      <c r="B3290" s="43">
        <v>44406</v>
      </c>
      <c r="C3290" t="s">
        <v>130</v>
      </c>
      <c r="D3290" s="48">
        <v>44434</v>
      </c>
      <c r="E3290">
        <v>495</v>
      </c>
      <c r="F3290" t="s">
        <v>515</v>
      </c>
      <c r="G3290">
        <v>86.15</v>
      </c>
    </row>
    <row r="3291" spans="2:7" hidden="1">
      <c r="B3291" s="43">
        <v>44407</v>
      </c>
      <c r="C3291" t="s">
        <v>130</v>
      </c>
      <c r="D3291" s="48">
        <v>44434</v>
      </c>
      <c r="E3291">
        <v>495</v>
      </c>
      <c r="F3291" t="s">
        <v>514</v>
      </c>
      <c r="G3291">
        <v>2.2000000000000002</v>
      </c>
    </row>
    <row r="3292" spans="2:7" hidden="1">
      <c r="B3292" s="43">
        <v>44407</v>
      </c>
      <c r="C3292" t="s">
        <v>130</v>
      </c>
      <c r="D3292" s="48">
        <v>44434</v>
      </c>
      <c r="E3292">
        <v>495</v>
      </c>
      <c r="F3292" t="s">
        <v>515</v>
      </c>
      <c r="G3292">
        <v>86.15</v>
      </c>
    </row>
    <row r="3293" spans="2:7" hidden="1">
      <c r="B3293" s="43">
        <v>44403</v>
      </c>
      <c r="C3293" t="s">
        <v>130</v>
      </c>
      <c r="D3293" s="48">
        <v>44434</v>
      </c>
      <c r="E3293">
        <v>500</v>
      </c>
      <c r="F3293" t="s">
        <v>514</v>
      </c>
      <c r="G3293">
        <v>1.6</v>
      </c>
    </row>
    <row r="3294" spans="2:7" hidden="1">
      <c r="B3294" s="43">
        <v>44403</v>
      </c>
      <c r="C3294" t="s">
        <v>130</v>
      </c>
      <c r="D3294" s="48">
        <v>44434</v>
      </c>
      <c r="E3294">
        <v>500</v>
      </c>
      <c r="F3294" t="s">
        <v>515</v>
      </c>
      <c r="G3294">
        <v>73.599999999999994</v>
      </c>
    </row>
    <row r="3295" spans="2:7" hidden="1">
      <c r="B3295" s="43">
        <v>44404</v>
      </c>
      <c r="C3295" t="s">
        <v>130</v>
      </c>
      <c r="D3295" s="48">
        <v>44434</v>
      </c>
      <c r="E3295">
        <v>500</v>
      </c>
      <c r="F3295" t="s">
        <v>514</v>
      </c>
      <c r="G3295">
        <v>1.4</v>
      </c>
    </row>
    <row r="3296" spans="2:7" hidden="1">
      <c r="B3296" s="43">
        <v>44404</v>
      </c>
      <c r="C3296" t="s">
        <v>130</v>
      </c>
      <c r="D3296" s="48">
        <v>44434</v>
      </c>
      <c r="E3296">
        <v>500</v>
      </c>
      <c r="F3296" t="s">
        <v>515</v>
      </c>
      <c r="G3296">
        <v>67</v>
      </c>
    </row>
    <row r="3297" spans="2:7" hidden="1">
      <c r="B3297" s="43">
        <v>44405</v>
      </c>
      <c r="C3297" t="s">
        <v>130</v>
      </c>
      <c r="D3297" s="48">
        <v>44434</v>
      </c>
      <c r="E3297">
        <v>500</v>
      </c>
      <c r="F3297" t="s">
        <v>514</v>
      </c>
      <c r="G3297">
        <v>1.45</v>
      </c>
    </row>
    <row r="3298" spans="2:7" hidden="1">
      <c r="B3298" s="43">
        <v>44405</v>
      </c>
      <c r="C3298" t="s">
        <v>130</v>
      </c>
      <c r="D3298" s="48">
        <v>44434</v>
      </c>
      <c r="E3298">
        <v>500</v>
      </c>
      <c r="F3298" t="s">
        <v>515</v>
      </c>
      <c r="G3298">
        <v>73</v>
      </c>
    </row>
    <row r="3299" spans="2:7" hidden="1">
      <c r="B3299" s="43">
        <v>44406</v>
      </c>
      <c r="C3299" t="s">
        <v>130</v>
      </c>
      <c r="D3299" s="48">
        <v>44434</v>
      </c>
      <c r="E3299">
        <v>500</v>
      </c>
      <c r="F3299" t="s">
        <v>514</v>
      </c>
      <c r="G3299">
        <v>3.5</v>
      </c>
    </row>
    <row r="3300" spans="2:7" hidden="1">
      <c r="B3300" s="43">
        <v>44406</v>
      </c>
      <c r="C3300" t="s">
        <v>130</v>
      </c>
      <c r="D3300" s="48">
        <v>44434</v>
      </c>
      <c r="E3300">
        <v>500</v>
      </c>
      <c r="F3300" t="s">
        <v>515</v>
      </c>
      <c r="G3300">
        <v>62</v>
      </c>
    </row>
    <row r="3301" spans="2:7" hidden="1">
      <c r="B3301" s="43">
        <v>44407</v>
      </c>
      <c r="C3301" t="s">
        <v>130</v>
      </c>
      <c r="D3301" s="48">
        <v>44434</v>
      </c>
      <c r="E3301">
        <v>500</v>
      </c>
      <c r="F3301" t="s">
        <v>514</v>
      </c>
      <c r="G3301">
        <v>2.0499999999999998</v>
      </c>
    </row>
    <row r="3302" spans="2:7" hidden="1">
      <c r="B3302" s="43">
        <v>44407</v>
      </c>
      <c r="C3302" t="s">
        <v>130</v>
      </c>
      <c r="D3302" s="48">
        <v>44434</v>
      </c>
      <c r="E3302">
        <v>500</v>
      </c>
      <c r="F3302" t="s">
        <v>515</v>
      </c>
      <c r="G3302">
        <v>68.400000000000006</v>
      </c>
    </row>
    <row r="3303" spans="2:7" hidden="1">
      <c r="B3303" s="43">
        <v>44403</v>
      </c>
      <c r="C3303" t="s">
        <v>130</v>
      </c>
      <c r="D3303" s="48">
        <v>44434</v>
      </c>
      <c r="E3303">
        <v>505</v>
      </c>
      <c r="F3303" t="s">
        <v>514</v>
      </c>
      <c r="G3303">
        <v>18.649999999999999</v>
      </c>
    </row>
    <row r="3304" spans="2:7" hidden="1">
      <c r="B3304" s="43">
        <v>44403</v>
      </c>
      <c r="C3304" t="s">
        <v>130</v>
      </c>
      <c r="D3304" s="48">
        <v>44434</v>
      </c>
      <c r="E3304">
        <v>505</v>
      </c>
      <c r="F3304" t="s">
        <v>515</v>
      </c>
      <c r="G3304">
        <v>93.75</v>
      </c>
    </row>
    <row r="3305" spans="2:7" hidden="1">
      <c r="B3305" s="43">
        <v>44404</v>
      </c>
      <c r="C3305" t="s">
        <v>130</v>
      </c>
      <c r="D3305" s="48">
        <v>44434</v>
      </c>
      <c r="E3305">
        <v>505</v>
      </c>
      <c r="F3305" t="s">
        <v>514</v>
      </c>
      <c r="G3305">
        <v>18.649999999999999</v>
      </c>
    </row>
    <row r="3306" spans="2:7" hidden="1">
      <c r="B3306" s="43">
        <v>44404</v>
      </c>
      <c r="C3306" t="s">
        <v>130</v>
      </c>
      <c r="D3306" s="48">
        <v>44434</v>
      </c>
      <c r="E3306">
        <v>505</v>
      </c>
      <c r="F3306" t="s">
        <v>515</v>
      </c>
      <c r="G3306">
        <v>93.75</v>
      </c>
    </row>
    <row r="3307" spans="2:7" hidden="1">
      <c r="B3307" s="43">
        <v>44405</v>
      </c>
      <c r="C3307" t="s">
        <v>130</v>
      </c>
      <c r="D3307" s="48">
        <v>44434</v>
      </c>
      <c r="E3307">
        <v>505</v>
      </c>
      <c r="F3307" t="s">
        <v>514</v>
      </c>
      <c r="G3307">
        <v>18.649999999999999</v>
      </c>
    </row>
    <row r="3308" spans="2:7" hidden="1">
      <c r="B3308" s="43">
        <v>44405</v>
      </c>
      <c r="C3308" t="s">
        <v>130</v>
      </c>
      <c r="D3308" s="48">
        <v>44434</v>
      </c>
      <c r="E3308">
        <v>505</v>
      </c>
      <c r="F3308" t="s">
        <v>515</v>
      </c>
      <c r="G3308">
        <v>93.75</v>
      </c>
    </row>
    <row r="3309" spans="2:7" hidden="1">
      <c r="B3309" s="43">
        <v>44406</v>
      </c>
      <c r="C3309" t="s">
        <v>130</v>
      </c>
      <c r="D3309" s="48">
        <v>44434</v>
      </c>
      <c r="E3309">
        <v>505</v>
      </c>
      <c r="F3309" t="s">
        <v>514</v>
      </c>
      <c r="G3309">
        <v>18.649999999999999</v>
      </c>
    </row>
    <row r="3310" spans="2:7" hidden="1">
      <c r="B3310" s="43">
        <v>44406</v>
      </c>
      <c r="C3310" t="s">
        <v>130</v>
      </c>
      <c r="D3310" s="48">
        <v>44434</v>
      </c>
      <c r="E3310">
        <v>505</v>
      </c>
      <c r="F3310" t="s">
        <v>515</v>
      </c>
      <c r="G3310">
        <v>93.75</v>
      </c>
    </row>
    <row r="3311" spans="2:7" hidden="1">
      <c r="B3311" s="43">
        <v>44407</v>
      </c>
      <c r="C3311" t="s">
        <v>130</v>
      </c>
      <c r="D3311" s="48">
        <v>44434</v>
      </c>
      <c r="E3311">
        <v>505</v>
      </c>
      <c r="F3311" t="s">
        <v>514</v>
      </c>
      <c r="G3311">
        <v>1.7</v>
      </c>
    </row>
    <row r="3312" spans="2:7" hidden="1">
      <c r="B3312" s="43">
        <v>44407</v>
      </c>
      <c r="C3312" t="s">
        <v>130</v>
      </c>
      <c r="D3312" s="48">
        <v>44434</v>
      </c>
      <c r="E3312">
        <v>505</v>
      </c>
      <c r="F3312" t="s">
        <v>515</v>
      </c>
      <c r="G3312">
        <v>93.75</v>
      </c>
    </row>
    <row r="3313" spans="2:7" hidden="1">
      <c r="B3313" s="43">
        <v>44403</v>
      </c>
      <c r="C3313" t="s">
        <v>130</v>
      </c>
      <c r="D3313" s="48">
        <v>44434</v>
      </c>
      <c r="E3313">
        <v>510</v>
      </c>
      <c r="F3313" t="s">
        <v>514</v>
      </c>
      <c r="G3313">
        <v>1.6</v>
      </c>
    </row>
    <row r="3314" spans="2:7" hidden="1">
      <c r="B3314" s="43">
        <v>44403</v>
      </c>
      <c r="C3314" t="s">
        <v>130</v>
      </c>
      <c r="D3314" s="48">
        <v>44434</v>
      </c>
      <c r="E3314">
        <v>510</v>
      </c>
      <c r="F3314" t="s">
        <v>515</v>
      </c>
      <c r="G3314">
        <v>97.65</v>
      </c>
    </row>
    <row r="3315" spans="2:7" hidden="1">
      <c r="B3315" s="43">
        <v>44404</v>
      </c>
      <c r="C3315" t="s">
        <v>130</v>
      </c>
      <c r="D3315" s="48">
        <v>44434</v>
      </c>
      <c r="E3315">
        <v>510</v>
      </c>
      <c r="F3315" t="s">
        <v>514</v>
      </c>
      <c r="G3315">
        <v>0.9</v>
      </c>
    </row>
    <row r="3316" spans="2:7" hidden="1">
      <c r="B3316" s="43">
        <v>44404</v>
      </c>
      <c r="C3316" t="s">
        <v>130</v>
      </c>
      <c r="D3316" s="48">
        <v>44434</v>
      </c>
      <c r="E3316">
        <v>510</v>
      </c>
      <c r="F3316" t="s">
        <v>515</v>
      </c>
      <c r="G3316">
        <v>97.65</v>
      </c>
    </row>
    <row r="3317" spans="2:7" hidden="1">
      <c r="B3317" s="43">
        <v>44405</v>
      </c>
      <c r="C3317" t="s">
        <v>130</v>
      </c>
      <c r="D3317" s="48">
        <v>44434</v>
      </c>
      <c r="E3317">
        <v>510</v>
      </c>
      <c r="F3317" t="s">
        <v>514</v>
      </c>
      <c r="G3317">
        <v>1.1499999999999999</v>
      </c>
    </row>
    <row r="3318" spans="2:7" hidden="1">
      <c r="B3318" s="43">
        <v>44405</v>
      </c>
      <c r="C3318" t="s">
        <v>130</v>
      </c>
      <c r="D3318" s="48">
        <v>44434</v>
      </c>
      <c r="E3318">
        <v>510</v>
      </c>
      <c r="F3318" t="s">
        <v>515</v>
      </c>
      <c r="G3318">
        <v>97.65</v>
      </c>
    </row>
    <row r="3319" spans="2:7" hidden="1">
      <c r="B3319" s="43">
        <v>44406</v>
      </c>
      <c r="C3319" t="s">
        <v>130</v>
      </c>
      <c r="D3319" s="48">
        <v>44434</v>
      </c>
      <c r="E3319">
        <v>510</v>
      </c>
      <c r="F3319" t="s">
        <v>514</v>
      </c>
      <c r="G3319">
        <v>2.65</v>
      </c>
    </row>
    <row r="3320" spans="2:7" hidden="1">
      <c r="B3320" s="43">
        <v>44406</v>
      </c>
      <c r="C3320" t="s">
        <v>130</v>
      </c>
      <c r="D3320" s="48">
        <v>44434</v>
      </c>
      <c r="E3320">
        <v>510</v>
      </c>
      <c r="F3320" t="s">
        <v>515</v>
      </c>
      <c r="G3320">
        <v>97.65</v>
      </c>
    </row>
    <row r="3321" spans="2:7" hidden="1">
      <c r="B3321" s="43">
        <v>44407</v>
      </c>
      <c r="C3321" t="s">
        <v>130</v>
      </c>
      <c r="D3321" s="48">
        <v>44434</v>
      </c>
      <c r="E3321">
        <v>510</v>
      </c>
      <c r="F3321" t="s">
        <v>514</v>
      </c>
      <c r="G3321">
        <v>1.5</v>
      </c>
    </row>
    <row r="3322" spans="2:7" hidden="1">
      <c r="B3322" s="43">
        <v>44407</v>
      </c>
      <c r="C3322" t="s">
        <v>130</v>
      </c>
      <c r="D3322" s="48">
        <v>44434</v>
      </c>
      <c r="E3322">
        <v>510</v>
      </c>
      <c r="F3322" t="s">
        <v>515</v>
      </c>
      <c r="G3322">
        <v>97.65</v>
      </c>
    </row>
    <row r="3323" spans="2:7" hidden="1">
      <c r="B3323" s="43">
        <v>44403</v>
      </c>
      <c r="C3323" t="s">
        <v>130</v>
      </c>
      <c r="D3323" s="48">
        <v>44434</v>
      </c>
      <c r="E3323">
        <v>515</v>
      </c>
      <c r="F3323" t="s">
        <v>514</v>
      </c>
      <c r="G3323">
        <v>16.600000000000001</v>
      </c>
    </row>
    <row r="3324" spans="2:7" hidden="1">
      <c r="B3324" s="43">
        <v>44403</v>
      </c>
      <c r="C3324" t="s">
        <v>130</v>
      </c>
      <c r="D3324" s="48">
        <v>44434</v>
      </c>
      <c r="E3324">
        <v>515</v>
      </c>
      <c r="F3324" t="s">
        <v>515</v>
      </c>
      <c r="G3324">
        <v>101.6</v>
      </c>
    </row>
    <row r="3325" spans="2:7" hidden="1">
      <c r="B3325" s="43">
        <v>44404</v>
      </c>
      <c r="C3325" t="s">
        <v>130</v>
      </c>
      <c r="D3325" s="48">
        <v>44434</v>
      </c>
      <c r="E3325">
        <v>515</v>
      </c>
      <c r="F3325" t="s">
        <v>514</v>
      </c>
      <c r="G3325">
        <v>16.600000000000001</v>
      </c>
    </row>
    <row r="3326" spans="2:7" hidden="1">
      <c r="B3326" s="43">
        <v>44404</v>
      </c>
      <c r="C3326" t="s">
        <v>130</v>
      </c>
      <c r="D3326" s="48">
        <v>44434</v>
      </c>
      <c r="E3326">
        <v>515</v>
      </c>
      <c r="F3326" t="s">
        <v>515</v>
      </c>
      <c r="G3326">
        <v>101.6</v>
      </c>
    </row>
    <row r="3327" spans="2:7" hidden="1">
      <c r="B3327" s="43">
        <v>44405</v>
      </c>
      <c r="C3327" t="s">
        <v>130</v>
      </c>
      <c r="D3327" s="48">
        <v>44434</v>
      </c>
      <c r="E3327">
        <v>515</v>
      </c>
      <c r="F3327" t="s">
        <v>514</v>
      </c>
      <c r="G3327">
        <v>16.600000000000001</v>
      </c>
    </row>
    <row r="3328" spans="2:7" hidden="1">
      <c r="B3328" s="43">
        <v>44405</v>
      </c>
      <c r="C3328" t="s">
        <v>130</v>
      </c>
      <c r="D3328" s="48">
        <v>44434</v>
      </c>
      <c r="E3328">
        <v>515</v>
      </c>
      <c r="F3328" t="s">
        <v>515</v>
      </c>
      <c r="G3328">
        <v>101.6</v>
      </c>
    </row>
    <row r="3329" spans="2:7" hidden="1">
      <c r="B3329" s="43">
        <v>44406</v>
      </c>
      <c r="C3329" t="s">
        <v>130</v>
      </c>
      <c r="D3329" s="48">
        <v>44434</v>
      </c>
      <c r="E3329">
        <v>515</v>
      </c>
      <c r="F3329" t="s">
        <v>514</v>
      </c>
      <c r="G3329">
        <v>16.600000000000001</v>
      </c>
    </row>
    <row r="3330" spans="2:7" hidden="1">
      <c r="B3330" s="43">
        <v>44406</v>
      </c>
      <c r="C3330" t="s">
        <v>130</v>
      </c>
      <c r="D3330" s="48">
        <v>44434</v>
      </c>
      <c r="E3330">
        <v>515</v>
      </c>
      <c r="F3330" t="s">
        <v>515</v>
      </c>
      <c r="G3330">
        <v>101.6</v>
      </c>
    </row>
    <row r="3331" spans="2:7" hidden="1">
      <c r="B3331" s="43">
        <v>44407</v>
      </c>
      <c r="C3331" t="s">
        <v>130</v>
      </c>
      <c r="D3331" s="48">
        <v>44434</v>
      </c>
      <c r="E3331">
        <v>515</v>
      </c>
      <c r="F3331" t="s">
        <v>514</v>
      </c>
      <c r="G3331">
        <v>16.600000000000001</v>
      </c>
    </row>
    <row r="3332" spans="2:7" hidden="1">
      <c r="B3332" s="43">
        <v>44407</v>
      </c>
      <c r="C3332" t="s">
        <v>130</v>
      </c>
      <c r="D3332" s="48">
        <v>44434</v>
      </c>
      <c r="E3332">
        <v>515</v>
      </c>
      <c r="F3332" t="s">
        <v>515</v>
      </c>
      <c r="G3332">
        <v>101.6</v>
      </c>
    </row>
    <row r="3333" spans="2:7" hidden="1">
      <c r="B3333" s="43">
        <v>44403</v>
      </c>
      <c r="C3333" t="s">
        <v>130</v>
      </c>
      <c r="D3333" s="48">
        <v>44434</v>
      </c>
      <c r="E3333">
        <v>520</v>
      </c>
      <c r="F3333" t="s">
        <v>514</v>
      </c>
      <c r="G3333">
        <v>1.1499999999999999</v>
      </c>
    </row>
    <row r="3334" spans="2:7" hidden="1">
      <c r="B3334" s="43">
        <v>44403</v>
      </c>
      <c r="C3334" t="s">
        <v>130</v>
      </c>
      <c r="D3334" s="48">
        <v>44434</v>
      </c>
      <c r="E3334">
        <v>520</v>
      </c>
      <c r="F3334" t="s">
        <v>515</v>
      </c>
      <c r="G3334">
        <v>105.55</v>
      </c>
    </row>
    <row r="3335" spans="2:7" hidden="1">
      <c r="B3335" s="43">
        <v>44404</v>
      </c>
      <c r="C3335" t="s">
        <v>130</v>
      </c>
      <c r="D3335" s="48">
        <v>44434</v>
      </c>
      <c r="E3335">
        <v>520</v>
      </c>
      <c r="F3335" t="s">
        <v>514</v>
      </c>
      <c r="G3335">
        <v>0.9</v>
      </c>
    </row>
    <row r="3336" spans="2:7" hidden="1">
      <c r="B3336" s="43">
        <v>44404</v>
      </c>
      <c r="C3336" t="s">
        <v>130</v>
      </c>
      <c r="D3336" s="48">
        <v>44434</v>
      </c>
      <c r="E3336">
        <v>520</v>
      </c>
      <c r="F3336" t="s">
        <v>515</v>
      </c>
      <c r="G3336">
        <v>105.55</v>
      </c>
    </row>
    <row r="3337" spans="2:7" hidden="1">
      <c r="B3337" s="43">
        <v>44405</v>
      </c>
      <c r="C3337" t="s">
        <v>130</v>
      </c>
      <c r="D3337" s="48">
        <v>44434</v>
      </c>
      <c r="E3337">
        <v>520</v>
      </c>
      <c r="F3337" t="s">
        <v>514</v>
      </c>
      <c r="G3337">
        <v>1</v>
      </c>
    </row>
    <row r="3338" spans="2:7" hidden="1">
      <c r="B3338" s="43">
        <v>44405</v>
      </c>
      <c r="C3338" t="s">
        <v>130</v>
      </c>
      <c r="D3338" s="48">
        <v>44434</v>
      </c>
      <c r="E3338">
        <v>520</v>
      </c>
      <c r="F3338" t="s">
        <v>515</v>
      </c>
      <c r="G3338">
        <v>105.55</v>
      </c>
    </row>
    <row r="3339" spans="2:7" hidden="1">
      <c r="B3339" s="43">
        <v>44406</v>
      </c>
      <c r="C3339" t="s">
        <v>130</v>
      </c>
      <c r="D3339" s="48">
        <v>44434</v>
      </c>
      <c r="E3339">
        <v>520</v>
      </c>
      <c r="F3339" t="s">
        <v>514</v>
      </c>
      <c r="G3339">
        <v>2.15</v>
      </c>
    </row>
    <row r="3340" spans="2:7" hidden="1">
      <c r="B3340" s="43">
        <v>44406</v>
      </c>
      <c r="C3340" t="s">
        <v>130</v>
      </c>
      <c r="D3340" s="48">
        <v>44434</v>
      </c>
      <c r="E3340">
        <v>520</v>
      </c>
      <c r="F3340" t="s">
        <v>515</v>
      </c>
      <c r="G3340">
        <v>105.55</v>
      </c>
    </row>
    <row r="3341" spans="2:7" hidden="1">
      <c r="B3341" s="43">
        <v>44407</v>
      </c>
      <c r="C3341" t="s">
        <v>130</v>
      </c>
      <c r="D3341" s="48">
        <v>44434</v>
      </c>
      <c r="E3341">
        <v>520</v>
      </c>
      <c r="F3341" t="s">
        <v>514</v>
      </c>
      <c r="G3341">
        <v>1.25</v>
      </c>
    </row>
    <row r="3342" spans="2:7" hidden="1">
      <c r="B3342" s="43">
        <v>44407</v>
      </c>
      <c r="C3342" t="s">
        <v>130</v>
      </c>
      <c r="D3342" s="48">
        <v>44434</v>
      </c>
      <c r="E3342">
        <v>520</v>
      </c>
      <c r="F3342" t="s">
        <v>515</v>
      </c>
      <c r="G3342">
        <v>105.55</v>
      </c>
    </row>
    <row r="3343" spans="2:7" hidden="1">
      <c r="B3343" s="43">
        <v>44403</v>
      </c>
      <c r="C3343" t="s">
        <v>130</v>
      </c>
      <c r="D3343" s="48">
        <v>44434</v>
      </c>
      <c r="E3343">
        <v>525</v>
      </c>
      <c r="F3343" t="s">
        <v>514</v>
      </c>
      <c r="G3343">
        <v>1</v>
      </c>
    </row>
    <row r="3344" spans="2:7" hidden="1">
      <c r="B3344" s="43">
        <v>44403</v>
      </c>
      <c r="C3344" t="s">
        <v>130</v>
      </c>
      <c r="D3344" s="48">
        <v>44434</v>
      </c>
      <c r="E3344">
        <v>525</v>
      </c>
      <c r="F3344" t="s">
        <v>515</v>
      </c>
      <c r="G3344">
        <v>109.6</v>
      </c>
    </row>
    <row r="3345" spans="2:7" hidden="1">
      <c r="B3345" s="43">
        <v>44404</v>
      </c>
      <c r="C3345" t="s">
        <v>130</v>
      </c>
      <c r="D3345" s="48">
        <v>44434</v>
      </c>
      <c r="E3345">
        <v>525</v>
      </c>
      <c r="F3345" t="s">
        <v>514</v>
      </c>
      <c r="G3345">
        <v>0.7</v>
      </c>
    </row>
    <row r="3346" spans="2:7" hidden="1">
      <c r="B3346" s="43">
        <v>44404</v>
      </c>
      <c r="C3346" t="s">
        <v>130</v>
      </c>
      <c r="D3346" s="48">
        <v>44434</v>
      </c>
      <c r="E3346">
        <v>525</v>
      </c>
      <c r="F3346" t="s">
        <v>515</v>
      </c>
      <c r="G3346">
        <v>109.6</v>
      </c>
    </row>
    <row r="3347" spans="2:7" hidden="1">
      <c r="B3347" s="43">
        <v>44405</v>
      </c>
      <c r="C3347" t="s">
        <v>130</v>
      </c>
      <c r="D3347" s="48">
        <v>44434</v>
      </c>
      <c r="E3347">
        <v>525</v>
      </c>
      <c r="F3347" t="s">
        <v>514</v>
      </c>
      <c r="G3347">
        <v>1.05</v>
      </c>
    </row>
    <row r="3348" spans="2:7" hidden="1">
      <c r="B3348" s="43">
        <v>44405</v>
      </c>
      <c r="C3348" t="s">
        <v>130</v>
      </c>
      <c r="D3348" s="48">
        <v>44434</v>
      </c>
      <c r="E3348">
        <v>525</v>
      </c>
      <c r="F3348" t="s">
        <v>515</v>
      </c>
      <c r="G3348">
        <v>109.6</v>
      </c>
    </row>
    <row r="3349" spans="2:7" hidden="1">
      <c r="B3349" s="43">
        <v>44406</v>
      </c>
      <c r="C3349" t="s">
        <v>130</v>
      </c>
      <c r="D3349" s="48">
        <v>44434</v>
      </c>
      <c r="E3349">
        <v>525</v>
      </c>
      <c r="F3349" t="s">
        <v>514</v>
      </c>
      <c r="G3349">
        <v>1.8</v>
      </c>
    </row>
    <row r="3350" spans="2:7" hidden="1">
      <c r="B3350" s="43">
        <v>44406</v>
      </c>
      <c r="C3350" t="s">
        <v>130</v>
      </c>
      <c r="D3350" s="48">
        <v>44434</v>
      </c>
      <c r="E3350">
        <v>525</v>
      </c>
      <c r="F3350" t="s">
        <v>515</v>
      </c>
      <c r="G3350">
        <v>87</v>
      </c>
    </row>
    <row r="3351" spans="2:7" hidden="1">
      <c r="B3351" s="43">
        <v>44407</v>
      </c>
      <c r="C3351" t="s">
        <v>130</v>
      </c>
      <c r="D3351" s="48">
        <v>44434</v>
      </c>
      <c r="E3351">
        <v>525</v>
      </c>
      <c r="F3351" t="s">
        <v>514</v>
      </c>
      <c r="G3351">
        <v>1.1000000000000001</v>
      </c>
    </row>
    <row r="3352" spans="2:7" hidden="1">
      <c r="B3352" s="43">
        <v>44407</v>
      </c>
      <c r="C3352" t="s">
        <v>130</v>
      </c>
      <c r="D3352" s="48">
        <v>44434</v>
      </c>
      <c r="E3352">
        <v>525</v>
      </c>
      <c r="F3352" t="s">
        <v>515</v>
      </c>
      <c r="G3352">
        <v>87</v>
      </c>
    </row>
    <row r="3353" spans="2:7" hidden="1">
      <c r="B3353" s="43">
        <v>44407</v>
      </c>
      <c r="C3353" t="s">
        <v>130</v>
      </c>
      <c r="D3353" s="48">
        <v>44434</v>
      </c>
      <c r="E3353">
        <v>530</v>
      </c>
      <c r="F3353" t="s">
        <v>514</v>
      </c>
      <c r="G3353">
        <v>1</v>
      </c>
    </row>
    <row r="3354" spans="2:7" hidden="1">
      <c r="B3354" s="43">
        <v>44407</v>
      </c>
      <c r="C3354" t="s">
        <v>130</v>
      </c>
      <c r="D3354" s="48">
        <v>44434</v>
      </c>
      <c r="E3354">
        <v>530</v>
      </c>
      <c r="F3354" t="s">
        <v>515</v>
      </c>
      <c r="G3354">
        <v>113.7</v>
      </c>
    </row>
    <row r="3355" spans="2:7" hidden="1">
      <c r="B3355" s="43">
        <v>44404</v>
      </c>
      <c r="C3355" t="s">
        <v>130</v>
      </c>
      <c r="D3355" s="48">
        <v>44469</v>
      </c>
      <c r="E3355">
        <v>0</v>
      </c>
      <c r="F3355" t="s">
        <v>516</v>
      </c>
      <c r="G3355">
        <v>432.7</v>
      </c>
    </row>
    <row r="3356" spans="2:7" hidden="1">
      <c r="B3356" s="43">
        <v>44405</v>
      </c>
      <c r="C3356" t="s">
        <v>130</v>
      </c>
      <c r="D3356" s="48">
        <v>44469</v>
      </c>
      <c r="E3356">
        <v>0</v>
      </c>
      <c r="F3356" t="s">
        <v>516</v>
      </c>
      <c r="G3356">
        <v>428.85</v>
      </c>
    </row>
    <row r="3357" spans="2:7" hidden="1">
      <c r="B3357" s="43">
        <v>44406</v>
      </c>
      <c r="C3357" t="s">
        <v>130</v>
      </c>
      <c r="D3357" s="48">
        <v>44469</v>
      </c>
      <c r="E3357">
        <v>0</v>
      </c>
      <c r="F3357" t="s">
        <v>516</v>
      </c>
      <c r="G3357">
        <v>445.15</v>
      </c>
    </row>
    <row r="3358" spans="2:7" hidden="1">
      <c r="B3358" s="43">
        <v>44407</v>
      </c>
      <c r="C3358" t="s">
        <v>130</v>
      </c>
      <c r="D3358" s="48">
        <v>44469</v>
      </c>
      <c r="E3358">
        <v>0</v>
      </c>
      <c r="F3358" t="s">
        <v>516</v>
      </c>
      <c r="G3358">
        <v>434.1</v>
      </c>
    </row>
    <row r="3359" spans="2:7" hidden="1">
      <c r="B3359" s="43">
        <v>44410</v>
      </c>
      <c r="C3359" t="s">
        <v>130</v>
      </c>
      <c r="D3359" s="48">
        <v>44469</v>
      </c>
      <c r="E3359">
        <v>0</v>
      </c>
      <c r="F3359" t="s">
        <v>516</v>
      </c>
      <c r="G3359">
        <v>437.35</v>
      </c>
    </row>
    <row r="3360" spans="2:7" hidden="1">
      <c r="B3360" s="43">
        <v>44403</v>
      </c>
      <c r="C3360" t="s">
        <v>130</v>
      </c>
      <c r="D3360" s="48">
        <v>44469</v>
      </c>
      <c r="E3360">
        <v>265</v>
      </c>
      <c r="F3360" t="s">
        <v>514</v>
      </c>
      <c r="G3360">
        <v>156.05000000000001</v>
      </c>
    </row>
    <row r="3361" spans="2:7" hidden="1">
      <c r="B3361" s="43">
        <v>44403</v>
      </c>
      <c r="C3361" t="s">
        <v>130</v>
      </c>
      <c r="D3361" s="48">
        <v>44469</v>
      </c>
      <c r="E3361">
        <v>265</v>
      </c>
      <c r="F3361" t="s">
        <v>515</v>
      </c>
      <c r="G3361">
        <v>1.1499999999999999</v>
      </c>
    </row>
    <row r="3362" spans="2:7" hidden="1">
      <c r="B3362" s="43">
        <v>44404</v>
      </c>
      <c r="C3362" t="s">
        <v>130</v>
      </c>
      <c r="D3362" s="48">
        <v>44469</v>
      </c>
      <c r="E3362">
        <v>265</v>
      </c>
      <c r="F3362" t="s">
        <v>514</v>
      </c>
      <c r="G3362">
        <v>156.05000000000001</v>
      </c>
    </row>
    <row r="3363" spans="2:7" hidden="1">
      <c r="B3363" s="43">
        <v>44404</v>
      </c>
      <c r="C3363" t="s">
        <v>130</v>
      </c>
      <c r="D3363" s="48">
        <v>44469</v>
      </c>
      <c r="E3363">
        <v>265</v>
      </c>
      <c r="F3363" t="s">
        <v>515</v>
      </c>
      <c r="G3363">
        <v>1.1499999999999999</v>
      </c>
    </row>
    <row r="3364" spans="2:7" hidden="1">
      <c r="B3364" s="43">
        <v>44405</v>
      </c>
      <c r="C3364" t="s">
        <v>130</v>
      </c>
      <c r="D3364" s="48">
        <v>44469</v>
      </c>
      <c r="E3364">
        <v>265</v>
      </c>
      <c r="F3364" t="s">
        <v>514</v>
      </c>
      <c r="G3364">
        <v>156.05000000000001</v>
      </c>
    </row>
    <row r="3365" spans="2:7" hidden="1">
      <c r="B3365" s="43">
        <v>44405</v>
      </c>
      <c r="C3365" t="s">
        <v>130</v>
      </c>
      <c r="D3365" s="48">
        <v>44469</v>
      </c>
      <c r="E3365">
        <v>265</v>
      </c>
      <c r="F3365" t="s">
        <v>515</v>
      </c>
      <c r="G3365">
        <v>1.1499999999999999</v>
      </c>
    </row>
    <row r="3366" spans="2:7" hidden="1">
      <c r="B3366" s="43">
        <v>44406</v>
      </c>
      <c r="C3366" t="s">
        <v>130</v>
      </c>
      <c r="D3366" s="48">
        <v>44469</v>
      </c>
      <c r="E3366">
        <v>265</v>
      </c>
      <c r="F3366" t="s">
        <v>514</v>
      </c>
      <c r="G3366">
        <v>156.05000000000001</v>
      </c>
    </row>
    <row r="3367" spans="2:7" hidden="1">
      <c r="B3367" s="43">
        <v>44406</v>
      </c>
      <c r="C3367" t="s">
        <v>130</v>
      </c>
      <c r="D3367" s="48">
        <v>44469</v>
      </c>
      <c r="E3367">
        <v>265</v>
      </c>
      <c r="F3367" t="s">
        <v>515</v>
      </c>
      <c r="G3367">
        <v>1.1499999999999999</v>
      </c>
    </row>
    <row r="3368" spans="2:7" hidden="1">
      <c r="B3368" s="43">
        <v>44407</v>
      </c>
      <c r="C3368" t="s">
        <v>130</v>
      </c>
      <c r="D3368" s="48">
        <v>44469</v>
      </c>
      <c r="E3368">
        <v>265</v>
      </c>
      <c r="F3368" t="s">
        <v>514</v>
      </c>
      <c r="G3368">
        <v>156.05000000000001</v>
      </c>
    </row>
    <row r="3369" spans="2:7" hidden="1">
      <c r="B3369" s="43">
        <v>44407</v>
      </c>
      <c r="C3369" t="s">
        <v>130</v>
      </c>
      <c r="D3369" s="48">
        <v>44469</v>
      </c>
      <c r="E3369">
        <v>265</v>
      </c>
      <c r="F3369" t="s">
        <v>515</v>
      </c>
      <c r="G3369">
        <v>1.1499999999999999</v>
      </c>
    </row>
    <row r="3370" spans="2:7" hidden="1">
      <c r="B3370" s="43">
        <v>44403</v>
      </c>
      <c r="C3370" t="s">
        <v>130</v>
      </c>
      <c r="D3370" s="48">
        <v>44469</v>
      </c>
      <c r="E3370">
        <v>270</v>
      </c>
      <c r="F3370" t="s">
        <v>514</v>
      </c>
      <c r="G3370">
        <v>151.35</v>
      </c>
    </row>
    <row r="3371" spans="2:7" hidden="1">
      <c r="B3371" s="43">
        <v>44403</v>
      </c>
      <c r="C3371" t="s">
        <v>130</v>
      </c>
      <c r="D3371" s="48">
        <v>44469</v>
      </c>
      <c r="E3371">
        <v>270</v>
      </c>
      <c r="F3371" t="s">
        <v>515</v>
      </c>
      <c r="G3371">
        <v>1.4</v>
      </c>
    </row>
    <row r="3372" spans="2:7" hidden="1">
      <c r="B3372" s="43">
        <v>44404</v>
      </c>
      <c r="C3372" t="s">
        <v>130</v>
      </c>
      <c r="D3372" s="48">
        <v>44469</v>
      </c>
      <c r="E3372">
        <v>270</v>
      </c>
      <c r="F3372" t="s">
        <v>514</v>
      </c>
      <c r="G3372">
        <v>151.35</v>
      </c>
    </row>
    <row r="3373" spans="2:7" hidden="1">
      <c r="B3373" s="43">
        <v>44404</v>
      </c>
      <c r="C3373" t="s">
        <v>130</v>
      </c>
      <c r="D3373" s="48">
        <v>44469</v>
      </c>
      <c r="E3373">
        <v>270</v>
      </c>
      <c r="F3373" t="s">
        <v>515</v>
      </c>
      <c r="G3373">
        <v>1.4</v>
      </c>
    </row>
    <row r="3374" spans="2:7" hidden="1">
      <c r="B3374" s="43">
        <v>44405</v>
      </c>
      <c r="C3374" t="s">
        <v>130</v>
      </c>
      <c r="D3374" s="48">
        <v>44469</v>
      </c>
      <c r="E3374">
        <v>270</v>
      </c>
      <c r="F3374" t="s">
        <v>514</v>
      </c>
      <c r="G3374">
        <v>151.35</v>
      </c>
    </row>
    <row r="3375" spans="2:7" hidden="1">
      <c r="B3375" s="43">
        <v>44405</v>
      </c>
      <c r="C3375" t="s">
        <v>130</v>
      </c>
      <c r="D3375" s="48">
        <v>44469</v>
      </c>
      <c r="E3375">
        <v>270</v>
      </c>
      <c r="F3375" t="s">
        <v>515</v>
      </c>
      <c r="G3375">
        <v>1.4</v>
      </c>
    </row>
    <row r="3376" spans="2:7" hidden="1">
      <c r="B3376" s="43">
        <v>44406</v>
      </c>
      <c r="C3376" t="s">
        <v>130</v>
      </c>
      <c r="D3376" s="48">
        <v>44469</v>
      </c>
      <c r="E3376">
        <v>270</v>
      </c>
      <c r="F3376" t="s">
        <v>514</v>
      </c>
      <c r="G3376">
        <v>151.35</v>
      </c>
    </row>
    <row r="3377" spans="2:7" hidden="1">
      <c r="B3377" s="43">
        <v>44406</v>
      </c>
      <c r="C3377" t="s">
        <v>130</v>
      </c>
      <c r="D3377" s="48">
        <v>44469</v>
      </c>
      <c r="E3377">
        <v>270</v>
      </c>
      <c r="F3377" t="s">
        <v>515</v>
      </c>
      <c r="G3377">
        <v>1.4</v>
      </c>
    </row>
    <row r="3378" spans="2:7" hidden="1">
      <c r="B3378" s="43">
        <v>44407</v>
      </c>
      <c r="C3378" t="s">
        <v>130</v>
      </c>
      <c r="D3378" s="48">
        <v>44469</v>
      </c>
      <c r="E3378">
        <v>270</v>
      </c>
      <c r="F3378" t="s">
        <v>514</v>
      </c>
      <c r="G3378">
        <v>151.35</v>
      </c>
    </row>
    <row r="3379" spans="2:7" hidden="1">
      <c r="B3379" s="43">
        <v>44407</v>
      </c>
      <c r="C3379" t="s">
        <v>130</v>
      </c>
      <c r="D3379" s="48">
        <v>44469</v>
      </c>
      <c r="E3379">
        <v>270</v>
      </c>
      <c r="F3379" t="s">
        <v>515</v>
      </c>
      <c r="G3379">
        <v>1.4</v>
      </c>
    </row>
    <row r="3380" spans="2:7" hidden="1">
      <c r="B3380" s="43">
        <v>44403</v>
      </c>
      <c r="C3380" t="s">
        <v>130</v>
      </c>
      <c r="D3380" s="48">
        <v>44469</v>
      </c>
      <c r="E3380">
        <v>275</v>
      </c>
      <c r="F3380" t="s">
        <v>514</v>
      </c>
      <c r="G3380">
        <v>146.65</v>
      </c>
    </row>
    <row r="3381" spans="2:7" hidden="1">
      <c r="B3381" s="43">
        <v>44403</v>
      </c>
      <c r="C3381" t="s">
        <v>130</v>
      </c>
      <c r="D3381" s="48">
        <v>44469</v>
      </c>
      <c r="E3381">
        <v>275</v>
      </c>
      <c r="F3381" t="s">
        <v>515</v>
      </c>
      <c r="G3381">
        <v>1.7</v>
      </c>
    </row>
    <row r="3382" spans="2:7" hidden="1">
      <c r="B3382" s="43">
        <v>44404</v>
      </c>
      <c r="C3382" t="s">
        <v>130</v>
      </c>
      <c r="D3382" s="48">
        <v>44469</v>
      </c>
      <c r="E3382">
        <v>275</v>
      </c>
      <c r="F3382" t="s">
        <v>514</v>
      </c>
      <c r="G3382">
        <v>146.65</v>
      </c>
    </row>
    <row r="3383" spans="2:7" hidden="1">
      <c r="B3383" s="43">
        <v>44404</v>
      </c>
      <c r="C3383" t="s">
        <v>130</v>
      </c>
      <c r="D3383" s="48">
        <v>44469</v>
      </c>
      <c r="E3383">
        <v>275</v>
      </c>
      <c r="F3383" t="s">
        <v>515</v>
      </c>
      <c r="G3383">
        <v>1.7</v>
      </c>
    </row>
    <row r="3384" spans="2:7" hidden="1">
      <c r="B3384" s="43">
        <v>44405</v>
      </c>
      <c r="C3384" t="s">
        <v>130</v>
      </c>
      <c r="D3384" s="48">
        <v>44469</v>
      </c>
      <c r="E3384">
        <v>275</v>
      </c>
      <c r="F3384" t="s">
        <v>514</v>
      </c>
      <c r="G3384">
        <v>146.65</v>
      </c>
    </row>
    <row r="3385" spans="2:7" hidden="1">
      <c r="B3385" s="43">
        <v>44405</v>
      </c>
      <c r="C3385" t="s">
        <v>130</v>
      </c>
      <c r="D3385" s="48">
        <v>44469</v>
      </c>
      <c r="E3385">
        <v>275</v>
      </c>
      <c r="F3385" t="s">
        <v>515</v>
      </c>
      <c r="G3385">
        <v>1.7</v>
      </c>
    </row>
    <row r="3386" spans="2:7" hidden="1">
      <c r="B3386" s="43">
        <v>44406</v>
      </c>
      <c r="C3386" t="s">
        <v>130</v>
      </c>
      <c r="D3386" s="48">
        <v>44469</v>
      </c>
      <c r="E3386">
        <v>275</v>
      </c>
      <c r="F3386" t="s">
        <v>514</v>
      </c>
      <c r="G3386">
        <v>146.65</v>
      </c>
    </row>
    <row r="3387" spans="2:7" hidden="1">
      <c r="B3387" s="43">
        <v>44406</v>
      </c>
      <c r="C3387" t="s">
        <v>130</v>
      </c>
      <c r="D3387" s="48">
        <v>44469</v>
      </c>
      <c r="E3387">
        <v>275</v>
      </c>
      <c r="F3387" t="s">
        <v>515</v>
      </c>
      <c r="G3387">
        <v>1.7</v>
      </c>
    </row>
    <row r="3388" spans="2:7" hidden="1">
      <c r="B3388" s="43">
        <v>44407</v>
      </c>
      <c r="C3388" t="s">
        <v>130</v>
      </c>
      <c r="D3388" s="48">
        <v>44469</v>
      </c>
      <c r="E3388">
        <v>275</v>
      </c>
      <c r="F3388" t="s">
        <v>514</v>
      </c>
      <c r="G3388">
        <v>146.65</v>
      </c>
    </row>
    <row r="3389" spans="2:7" hidden="1">
      <c r="B3389" s="43">
        <v>44407</v>
      </c>
      <c r="C3389" t="s">
        <v>130</v>
      </c>
      <c r="D3389" s="48">
        <v>44469</v>
      </c>
      <c r="E3389">
        <v>275</v>
      </c>
      <c r="F3389" t="s">
        <v>515</v>
      </c>
      <c r="G3389">
        <v>1.7</v>
      </c>
    </row>
    <row r="3390" spans="2:7" hidden="1">
      <c r="B3390" s="43">
        <v>44403</v>
      </c>
      <c r="C3390" t="s">
        <v>130</v>
      </c>
      <c r="D3390" s="48">
        <v>44469</v>
      </c>
      <c r="E3390">
        <v>280</v>
      </c>
      <c r="F3390" t="s">
        <v>514</v>
      </c>
      <c r="G3390">
        <v>142.05000000000001</v>
      </c>
    </row>
    <row r="3391" spans="2:7" hidden="1">
      <c r="B3391" s="43">
        <v>44403</v>
      </c>
      <c r="C3391" t="s">
        <v>130</v>
      </c>
      <c r="D3391" s="48">
        <v>44469</v>
      </c>
      <c r="E3391">
        <v>280</v>
      </c>
      <c r="F3391" t="s">
        <v>515</v>
      </c>
      <c r="G3391">
        <v>2</v>
      </c>
    </row>
    <row r="3392" spans="2:7" hidden="1">
      <c r="B3392" s="43">
        <v>44404</v>
      </c>
      <c r="C3392" t="s">
        <v>130</v>
      </c>
      <c r="D3392" s="48">
        <v>44469</v>
      </c>
      <c r="E3392">
        <v>280</v>
      </c>
      <c r="F3392" t="s">
        <v>514</v>
      </c>
      <c r="G3392">
        <v>142.05000000000001</v>
      </c>
    </row>
    <row r="3393" spans="2:7" hidden="1">
      <c r="B3393" s="43">
        <v>44404</v>
      </c>
      <c r="C3393" t="s">
        <v>130</v>
      </c>
      <c r="D3393" s="48">
        <v>44469</v>
      </c>
      <c r="E3393">
        <v>280</v>
      </c>
      <c r="F3393" t="s">
        <v>515</v>
      </c>
      <c r="G3393">
        <v>2</v>
      </c>
    </row>
    <row r="3394" spans="2:7" hidden="1">
      <c r="B3394" s="43">
        <v>44405</v>
      </c>
      <c r="C3394" t="s">
        <v>130</v>
      </c>
      <c r="D3394" s="48">
        <v>44469</v>
      </c>
      <c r="E3394">
        <v>280</v>
      </c>
      <c r="F3394" t="s">
        <v>514</v>
      </c>
      <c r="G3394">
        <v>142.05000000000001</v>
      </c>
    </row>
    <row r="3395" spans="2:7" hidden="1">
      <c r="B3395" s="43">
        <v>44405</v>
      </c>
      <c r="C3395" t="s">
        <v>130</v>
      </c>
      <c r="D3395" s="48">
        <v>44469</v>
      </c>
      <c r="E3395">
        <v>280</v>
      </c>
      <c r="F3395" t="s">
        <v>515</v>
      </c>
      <c r="G3395">
        <v>2</v>
      </c>
    </row>
    <row r="3396" spans="2:7" hidden="1">
      <c r="B3396" s="43">
        <v>44406</v>
      </c>
      <c r="C3396" t="s">
        <v>130</v>
      </c>
      <c r="D3396" s="48">
        <v>44469</v>
      </c>
      <c r="E3396">
        <v>280</v>
      </c>
      <c r="F3396" t="s">
        <v>514</v>
      </c>
      <c r="G3396">
        <v>142.05000000000001</v>
      </c>
    </row>
    <row r="3397" spans="2:7" hidden="1">
      <c r="B3397" s="43">
        <v>44406</v>
      </c>
      <c r="C3397" t="s">
        <v>130</v>
      </c>
      <c r="D3397" s="48">
        <v>44469</v>
      </c>
      <c r="E3397">
        <v>280</v>
      </c>
      <c r="F3397" t="s">
        <v>515</v>
      </c>
      <c r="G3397">
        <v>2</v>
      </c>
    </row>
    <row r="3398" spans="2:7" hidden="1">
      <c r="B3398" s="43">
        <v>44407</v>
      </c>
      <c r="C3398" t="s">
        <v>130</v>
      </c>
      <c r="D3398" s="48">
        <v>44469</v>
      </c>
      <c r="E3398">
        <v>280</v>
      </c>
      <c r="F3398" t="s">
        <v>514</v>
      </c>
      <c r="G3398">
        <v>142.05000000000001</v>
      </c>
    </row>
    <row r="3399" spans="2:7" hidden="1">
      <c r="B3399" s="43">
        <v>44407</v>
      </c>
      <c r="C3399" t="s">
        <v>130</v>
      </c>
      <c r="D3399" s="48">
        <v>44469</v>
      </c>
      <c r="E3399">
        <v>280</v>
      </c>
      <c r="F3399" t="s">
        <v>515</v>
      </c>
      <c r="G3399">
        <v>2</v>
      </c>
    </row>
    <row r="3400" spans="2:7" hidden="1">
      <c r="B3400" s="43">
        <v>44403</v>
      </c>
      <c r="C3400" t="s">
        <v>130</v>
      </c>
      <c r="D3400" s="48">
        <v>44469</v>
      </c>
      <c r="E3400">
        <v>285</v>
      </c>
      <c r="F3400" t="s">
        <v>514</v>
      </c>
      <c r="G3400">
        <v>137.44999999999999</v>
      </c>
    </row>
    <row r="3401" spans="2:7" hidden="1">
      <c r="B3401" s="43">
        <v>44403</v>
      </c>
      <c r="C3401" t="s">
        <v>130</v>
      </c>
      <c r="D3401" s="48">
        <v>44469</v>
      </c>
      <c r="E3401">
        <v>285</v>
      </c>
      <c r="F3401" t="s">
        <v>515</v>
      </c>
      <c r="G3401">
        <v>2.35</v>
      </c>
    </row>
    <row r="3402" spans="2:7" hidden="1">
      <c r="B3402" s="43">
        <v>44404</v>
      </c>
      <c r="C3402" t="s">
        <v>130</v>
      </c>
      <c r="D3402" s="48">
        <v>44469</v>
      </c>
      <c r="E3402">
        <v>285</v>
      </c>
      <c r="F3402" t="s">
        <v>514</v>
      </c>
      <c r="G3402">
        <v>137.44999999999999</v>
      </c>
    </row>
    <row r="3403" spans="2:7" hidden="1">
      <c r="B3403" s="43">
        <v>44404</v>
      </c>
      <c r="C3403" t="s">
        <v>130</v>
      </c>
      <c r="D3403" s="48">
        <v>44469</v>
      </c>
      <c r="E3403">
        <v>285</v>
      </c>
      <c r="F3403" t="s">
        <v>515</v>
      </c>
      <c r="G3403">
        <v>2.35</v>
      </c>
    </row>
    <row r="3404" spans="2:7" hidden="1">
      <c r="B3404" s="43">
        <v>44405</v>
      </c>
      <c r="C3404" t="s">
        <v>130</v>
      </c>
      <c r="D3404" s="48">
        <v>44469</v>
      </c>
      <c r="E3404">
        <v>285</v>
      </c>
      <c r="F3404" t="s">
        <v>514</v>
      </c>
      <c r="G3404">
        <v>137.44999999999999</v>
      </c>
    </row>
    <row r="3405" spans="2:7" hidden="1">
      <c r="B3405" s="43">
        <v>44405</v>
      </c>
      <c r="C3405" t="s">
        <v>130</v>
      </c>
      <c r="D3405" s="48">
        <v>44469</v>
      </c>
      <c r="E3405">
        <v>285</v>
      </c>
      <c r="F3405" t="s">
        <v>515</v>
      </c>
      <c r="G3405">
        <v>2.35</v>
      </c>
    </row>
    <row r="3406" spans="2:7" hidden="1">
      <c r="B3406" s="43">
        <v>44406</v>
      </c>
      <c r="C3406" t="s">
        <v>130</v>
      </c>
      <c r="D3406" s="48">
        <v>44469</v>
      </c>
      <c r="E3406">
        <v>285</v>
      </c>
      <c r="F3406" t="s">
        <v>514</v>
      </c>
      <c r="G3406">
        <v>137.44999999999999</v>
      </c>
    </row>
    <row r="3407" spans="2:7" hidden="1">
      <c r="B3407" s="43">
        <v>44406</v>
      </c>
      <c r="C3407" t="s">
        <v>130</v>
      </c>
      <c r="D3407" s="48">
        <v>44469</v>
      </c>
      <c r="E3407">
        <v>285</v>
      </c>
      <c r="F3407" t="s">
        <v>515</v>
      </c>
      <c r="G3407">
        <v>2.35</v>
      </c>
    </row>
    <row r="3408" spans="2:7" hidden="1">
      <c r="B3408" s="43">
        <v>44407</v>
      </c>
      <c r="C3408" t="s">
        <v>130</v>
      </c>
      <c r="D3408" s="48">
        <v>44469</v>
      </c>
      <c r="E3408">
        <v>285</v>
      </c>
      <c r="F3408" t="s">
        <v>514</v>
      </c>
      <c r="G3408">
        <v>137.44999999999999</v>
      </c>
    </row>
    <row r="3409" spans="2:7" hidden="1">
      <c r="B3409" s="43">
        <v>44407</v>
      </c>
      <c r="C3409" t="s">
        <v>130</v>
      </c>
      <c r="D3409" s="48">
        <v>44469</v>
      </c>
      <c r="E3409">
        <v>285</v>
      </c>
      <c r="F3409" t="s">
        <v>515</v>
      </c>
      <c r="G3409">
        <v>2.35</v>
      </c>
    </row>
    <row r="3410" spans="2:7" hidden="1">
      <c r="B3410" s="43">
        <v>44403</v>
      </c>
      <c r="C3410" t="s">
        <v>130</v>
      </c>
      <c r="D3410" s="48">
        <v>44469</v>
      </c>
      <c r="E3410">
        <v>290</v>
      </c>
      <c r="F3410" t="s">
        <v>514</v>
      </c>
      <c r="G3410">
        <v>132.9</v>
      </c>
    </row>
    <row r="3411" spans="2:7" hidden="1">
      <c r="B3411" s="43">
        <v>44403</v>
      </c>
      <c r="C3411" t="s">
        <v>130</v>
      </c>
      <c r="D3411" s="48">
        <v>44469</v>
      </c>
      <c r="E3411">
        <v>290</v>
      </c>
      <c r="F3411" t="s">
        <v>515</v>
      </c>
      <c r="G3411">
        <v>2.8</v>
      </c>
    </row>
    <row r="3412" spans="2:7" hidden="1">
      <c r="B3412" s="43">
        <v>44404</v>
      </c>
      <c r="C3412" t="s">
        <v>130</v>
      </c>
      <c r="D3412" s="48">
        <v>44469</v>
      </c>
      <c r="E3412">
        <v>290</v>
      </c>
      <c r="F3412" t="s">
        <v>514</v>
      </c>
      <c r="G3412">
        <v>132.9</v>
      </c>
    </row>
    <row r="3413" spans="2:7" hidden="1">
      <c r="B3413" s="43">
        <v>44404</v>
      </c>
      <c r="C3413" t="s">
        <v>130</v>
      </c>
      <c r="D3413" s="48">
        <v>44469</v>
      </c>
      <c r="E3413">
        <v>290</v>
      </c>
      <c r="F3413" t="s">
        <v>515</v>
      </c>
      <c r="G3413">
        <v>2.8</v>
      </c>
    </row>
    <row r="3414" spans="2:7" hidden="1">
      <c r="B3414" s="43">
        <v>44405</v>
      </c>
      <c r="C3414" t="s">
        <v>130</v>
      </c>
      <c r="D3414" s="48">
        <v>44469</v>
      </c>
      <c r="E3414">
        <v>290</v>
      </c>
      <c r="F3414" t="s">
        <v>514</v>
      </c>
      <c r="G3414">
        <v>132.9</v>
      </c>
    </row>
    <row r="3415" spans="2:7" hidden="1">
      <c r="B3415" s="43">
        <v>44405</v>
      </c>
      <c r="C3415" t="s">
        <v>130</v>
      </c>
      <c r="D3415" s="48">
        <v>44469</v>
      </c>
      <c r="E3415">
        <v>290</v>
      </c>
      <c r="F3415" t="s">
        <v>515</v>
      </c>
      <c r="G3415">
        <v>2.8</v>
      </c>
    </row>
    <row r="3416" spans="2:7" hidden="1">
      <c r="B3416" s="43">
        <v>44406</v>
      </c>
      <c r="C3416" t="s">
        <v>130</v>
      </c>
      <c r="D3416" s="48">
        <v>44469</v>
      </c>
      <c r="E3416">
        <v>290</v>
      </c>
      <c r="F3416" t="s">
        <v>514</v>
      </c>
      <c r="G3416">
        <v>132.9</v>
      </c>
    </row>
    <row r="3417" spans="2:7" hidden="1">
      <c r="B3417" s="43">
        <v>44406</v>
      </c>
      <c r="C3417" t="s">
        <v>130</v>
      </c>
      <c r="D3417" s="48">
        <v>44469</v>
      </c>
      <c r="E3417">
        <v>290</v>
      </c>
      <c r="F3417" t="s">
        <v>515</v>
      </c>
      <c r="G3417">
        <v>2.8</v>
      </c>
    </row>
    <row r="3418" spans="2:7" hidden="1">
      <c r="B3418" s="43">
        <v>44407</v>
      </c>
      <c r="C3418" t="s">
        <v>130</v>
      </c>
      <c r="D3418" s="48">
        <v>44469</v>
      </c>
      <c r="E3418">
        <v>290</v>
      </c>
      <c r="F3418" t="s">
        <v>514</v>
      </c>
      <c r="G3418">
        <v>132.9</v>
      </c>
    </row>
    <row r="3419" spans="2:7" hidden="1">
      <c r="B3419" s="43">
        <v>44407</v>
      </c>
      <c r="C3419" t="s">
        <v>130</v>
      </c>
      <c r="D3419" s="48">
        <v>44469</v>
      </c>
      <c r="E3419">
        <v>290</v>
      </c>
      <c r="F3419" t="s">
        <v>515</v>
      </c>
      <c r="G3419">
        <v>2.8</v>
      </c>
    </row>
    <row r="3420" spans="2:7" hidden="1">
      <c r="B3420" s="43">
        <v>44403</v>
      </c>
      <c r="C3420" t="s">
        <v>130</v>
      </c>
      <c r="D3420" s="48">
        <v>44469</v>
      </c>
      <c r="E3420">
        <v>295</v>
      </c>
      <c r="F3420" t="s">
        <v>514</v>
      </c>
      <c r="G3420">
        <v>128.44999999999999</v>
      </c>
    </row>
    <row r="3421" spans="2:7" hidden="1">
      <c r="B3421" s="43">
        <v>44403</v>
      </c>
      <c r="C3421" t="s">
        <v>130</v>
      </c>
      <c r="D3421" s="48">
        <v>44469</v>
      </c>
      <c r="E3421">
        <v>295</v>
      </c>
      <c r="F3421" t="s">
        <v>515</v>
      </c>
      <c r="G3421">
        <v>3.25</v>
      </c>
    </row>
    <row r="3422" spans="2:7" hidden="1">
      <c r="B3422" s="43">
        <v>44404</v>
      </c>
      <c r="C3422" t="s">
        <v>130</v>
      </c>
      <c r="D3422" s="48">
        <v>44469</v>
      </c>
      <c r="E3422">
        <v>295</v>
      </c>
      <c r="F3422" t="s">
        <v>514</v>
      </c>
      <c r="G3422">
        <v>128.44999999999999</v>
      </c>
    </row>
    <row r="3423" spans="2:7" hidden="1">
      <c r="B3423" s="43">
        <v>44404</v>
      </c>
      <c r="C3423" t="s">
        <v>130</v>
      </c>
      <c r="D3423" s="48">
        <v>44469</v>
      </c>
      <c r="E3423">
        <v>295</v>
      </c>
      <c r="F3423" t="s">
        <v>515</v>
      </c>
      <c r="G3423">
        <v>3.25</v>
      </c>
    </row>
    <row r="3424" spans="2:7" hidden="1">
      <c r="B3424" s="43">
        <v>44405</v>
      </c>
      <c r="C3424" t="s">
        <v>130</v>
      </c>
      <c r="D3424" s="48">
        <v>44469</v>
      </c>
      <c r="E3424">
        <v>295</v>
      </c>
      <c r="F3424" t="s">
        <v>514</v>
      </c>
      <c r="G3424">
        <v>128.44999999999999</v>
      </c>
    </row>
    <row r="3425" spans="2:7" hidden="1">
      <c r="B3425" s="43">
        <v>44405</v>
      </c>
      <c r="C3425" t="s">
        <v>130</v>
      </c>
      <c r="D3425" s="48">
        <v>44469</v>
      </c>
      <c r="E3425">
        <v>295</v>
      </c>
      <c r="F3425" t="s">
        <v>515</v>
      </c>
      <c r="G3425">
        <v>3.25</v>
      </c>
    </row>
    <row r="3426" spans="2:7" hidden="1">
      <c r="B3426" s="43">
        <v>44406</v>
      </c>
      <c r="C3426" t="s">
        <v>130</v>
      </c>
      <c r="D3426" s="48">
        <v>44469</v>
      </c>
      <c r="E3426">
        <v>295</v>
      </c>
      <c r="F3426" t="s">
        <v>514</v>
      </c>
      <c r="G3426">
        <v>128.44999999999999</v>
      </c>
    </row>
    <row r="3427" spans="2:7" hidden="1">
      <c r="B3427" s="43">
        <v>44406</v>
      </c>
      <c r="C3427" t="s">
        <v>130</v>
      </c>
      <c r="D3427" s="48">
        <v>44469</v>
      </c>
      <c r="E3427">
        <v>295</v>
      </c>
      <c r="F3427" t="s">
        <v>515</v>
      </c>
      <c r="G3427">
        <v>3.25</v>
      </c>
    </row>
    <row r="3428" spans="2:7" hidden="1">
      <c r="B3428" s="43">
        <v>44407</v>
      </c>
      <c r="C3428" t="s">
        <v>130</v>
      </c>
      <c r="D3428" s="48">
        <v>44469</v>
      </c>
      <c r="E3428">
        <v>295</v>
      </c>
      <c r="F3428" t="s">
        <v>514</v>
      </c>
      <c r="G3428">
        <v>128.44999999999999</v>
      </c>
    </row>
    <row r="3429" spans="2:7" hidden="1">
      <c r="B3429" s="43">
        <v>44407</v>
      </c>
      <c r="C3429" t="s">
        <v>130</v>
      </c>
      <c r="D3429" s="48">
        <v>44469</v>
      </c>
      <c r="E3429">
        <v>295</v>
      </c>
      <c r="F3429" t="s">
        <v>515</v>
      </c>
      <c r="G3429">
        <v>3.25</v>
      </c>
    </row>
    <row r="3430" spans="2:7" hidden="1">
      <c r="B3430" s="43">
        <v>44403</v>
      </c>
      <c r="C3430" t="s">
        <v>130</v>
      </c>
      <c r="D3430" s="48">
        <v>44469</v>
      </c>
      <c r="E3430">
        <v>300</v>
      </c>
      <c r="F3430" t="s">
        <v>514</v>
      </c>
      <c r="G3430">
        <v>124.05</v>
      </c>
    </row>
    <row r="3431" spans="2:7" hidden="1">
      <c r="B3431" s="43">
        <v>44403</v>
      </c>
      <c r="C3431" t="s">
        <v>130</v>
      </c>
      <c r="D3431" s="48">
        <v>44469</v>
      </c>
      <c r="E3431">
        <v>300</v>
      </c>
      <c r="F3431" t="s">
        <v>515</v>
      </c>
      <c r="G3431">
        <v>3.8</v>
      </c>
    </row>
    <row r="3432" spans="2:7" hidden="1">
      <c r="B3432" s="43">
        <v>44404</v>
      </c>
      <c r="C3432" t="s">
        <v>130</v>
      </c>
      <c r="D3432" s="48">
        <v>44469</v>
      </c>
      <c r="E3432">
        <v>300</v>
      </c>
      <c r="F3432" t="s">
        <v>514</v>
      </c>
      <c r="G3432">
        <v>124.05</v>
      </c>
    </row>
    <row r="3433" spans="2:7" hidden="1">
      <c r="B3433" s="43">
        <v>44404</v>
      </c>
      <c r="C3433" t="s">
        <v>130</v>
      </c>
      <c r="D3433" s="48">
        <v>44469</v>
      </c>
      <c r="E3433">
        <v>300</v>
      </c>
      <c r="F3433" t="s">
        <v>515</v>
      </c>
      <c r="G3433">
        <v>3.8</v>
      </c>
    </row>
    <row r="3434" spans="2:7" hidden="1">
      <c r="B3434" s="43">
        <v>44405</v>
      </c>
      <c r="C3434" t="s">
        <v>130</v>
      </c>
      <c r="D3434" s="48">
        <v>44469</v>
      </c>
      <c r="E3434">
        <v>300</v>
      </c>
      <c r="F3434" t="s">
        <v>514</v>
      </c>
      <c r="G3434">
        <v>124.05</v>
      </c>
    </row>
    <row r="3435" spans="2:7" hidden="1">
      <c r="B3435" s="43">
        <v>44405</v>
      </c>
      <c r="C3435" t="s">
        <v>130</v>
      </c>
      <c r="D3435" s="48">
        <v>44469</v>
      </c>
      <c r="E3435">
        <v>300</v>
      </c>
      <c r="F3435" t="s">
        <v>515</v>
      </c>
      <c r="G3435">
        <v>3.8</v>
      </c>
    </row>
    <row r="3436" spans="2:7" hidden="1">
      <c r="B3436" s="43">
        <v>44406</v>
      </c>
      <c r="C3436" t="s">
        <v>130</v>
      </c>
      <c r="D3436" s="48">
        <v>44469</v>
      </c>
      <c r="E3436">
        <v>300</v>
      </c>
      <c r="F3436" t="s">
        <v>514</v>
      </c>
      <c r="G3436">
        <v>124.05</v>
      </c>
    </row>
    <row r="3437" spans="2:7" hidden="1">
      <c r="B3437" s="43">
        <v>44406</v>
      </c>
      <c r="C3437" t="s">
        <v>130</v>
      </c>
      <c r="D3437" s="48">
        <v>44469</v>
      </c>
      <c r="E3437">
        <v>300</v>
      </c>
      <c r="F3437" t="s">
        <v>515</v>
      </c>
      <c r="G3437">
        <v>3.8</v>
      </c>
    </row>
    <row r="3438" spans="2:7" hidden="1">
      <c r="B3438" s="43">
        <v>44407</v>
      </c>
      <c r="C3438" t="s">
        <v>130</v>
      </c>
      <c r="D3438" s="48">
        <v>44469</v>
      </c>
      <c r="E3438">
        <v>300</v>
      </c>
      <c r="F3438" t="s">
        <v>514</v>
      </c>
      <c r="G3438">
        <v>124.05</v>
      </c>
    </row>
    <row r="3439" spans="2:7" hidden="1">
      <c r="B3439" s="43">
        <v>44407</v>
      </c>
      <c r="C3439" t="s">
        <v>130</v>
      </c>
      <c r="D3439" s="48">
        <v>44469</v>
      </c>
      <c r="E3439">
        <v>300</v>
      </c>
      <c r="F3439" t="s">
        <v>515</v>
      </c>
      <c r="G3439">
        <v>3.8</v>
      </c>
    </row>
    <row r="3440" spans="2:7" hidden="1">
      <c r="B3440" s="43">
        <v>44403</v>
      </c>
      <c r="C3440" t="s">
        <v>130</v>
      </c>
      <c r="D3440" s="48">
        <v>44469</v>
      </c>
      <c r="E3440">
        <v>305</v>
      </c>
      <c r="F3440" t="s">
        <v>514</v>
      </c>
      <c r="G3440">
        <v>119.7</v>
      </c>
    </row>
    <row r="3441" spans="2:7" hidden="1">
      <c r="B3441" s="43">
        <v>44403</v>
      </c>
      <c r="C3441" t="s">
        <v>130</v>
      </c>
      <c r="D3441" s="48">
        <v>44469</v>
      </c>
      <c r="E3441">
        <v>305</v>
      </c>
      <c r="F3441" t="s">
        <v>515</v>
      </c>
      <c r="G3441">
        <v>4.4000000000000004</v>
      </c>
    </row>
    <row r="3442" spans="2:7" hidden="1">
      <c r="B3442" s="43">
        <v>44404</v>
      </c>
      <c r="C3442" t="s">
        <v>130</v>
      </c>
      <c r="D3442" s="48">
        <v>44469</v>
      </c>
      <c r="E3442">
        <v>305</v>
      </c>
      <c r="F3442" t="s">
        <v>514</v>
      </c>
      <c r="G3442">
        <v>119.7</v>
      </c>
    </row>
    <row r="3443" spans="2:7" hidden="1">
      <c r="B3443" s="43">
        <v>44404</v>
      </c>
      <c r="C3443" t="s">
        <v>130</v>
      </c>
      <c r="D3443" s="48">
        <v>44469</v>
      </c>
      <c r="E3443">
        <v>305</v>
      </c>
      <c r="F3443" t="s">
        <v>515</v>
      </c>
      <c r="G3443">
        <v>4.4000000000000004</v>
      </c>
    </row>
    <row r="3444" spans="2:7" hidden="1">
      <c r="B3444" s="43">
        <v>44405</v>
      </c>
      <c r="C3444" t="s">
        <v>130</v>
      </c>
      <c r="D3444" s="48">
        <v>44469</v>
      </c>
      <c r="E3444">
        <v>305</v>
      </c>
      <c r="F3444" t="s">
        <v>514</v>
      </c>
      <c r="G3444">
        <v>119.7</v>
      </c>
    </row>
    <row r="3445" spans="2:7" hidden="1">
      <c r="B3445" s="43">
        <v>44405</v>
      </c>
      <c r="C3445" t="s">
        <v>130</v>
      </c>
      <c r="D3445" s="48">
        <v>44469</v>
      </c>
      <c r="E3445">
        <v>305</v>
      </c>
      <c r="F3445" t="s">
        <v>515</v>
      </c>
      <c r="G3445">
        <v>4.4000000000000004</v>
      </c>
    </row>
    <row r="3446" spans="2:7" hidden="1">
      <c r="B3446" s="43">
        <v>44406</v>
      </c>
      <c r="C3446" t="s">
        <v>130</v>
      </c>
      <c r="D3446" s="48">
        <v>44469</v>
      </c>
      <c r="E3446">
        <v>305</v>
      </c>
      <c r="F3446" t="s">
        <v>514</v>
      </c>
      <c r="G3446">
        <v>119.7</v>
      </c>
    </row>
    <row r="3447" spans="2:7" hidden="1">
      <c r="B3447" s="43">
        <v>44406</v>
      </c>
      <c r="C3447" t="s">
        <v>130</v>
      </c>
      <c r="D3447" s="48">
        <v>44469</v>
      </c>
      <c r="E3447">
        <v>305</v>
      </c>
      <c r="F3447" t="s">
        <v>515</v>
      </c>
      <c r="G3447">
        <v>4.4000000000000004</v>
      </c>
    </row>
    <row r="3448" spans="2:7" hidden="1">
      <c r="B3448" s="43">
        <v>44407</v>
      </c>
      <c r="C3448" t="s">
        <v>130</v>
      </c>
      <c r="D3448" s="48">
        <v>44469</v>
      </c>
      <c r="E3448">
        <v>305</v>
      </c>
      <c r="F3448" t="s">
        <v>514</v>
      </c>
      <c r="G3448">
        <v>119.7</v>
      </c>
    </row>
    <row r="3449" spans="2:7" hidden="1">
      <c r="B3449" s="43">
        <v>44407</v>
      </c>
      <c r="C3449" t="s">
        <v>130</v>
      </c>
      <c r="D3449" s="48">
        <v>44469</v>
      </c>
      <c r="E3449">
        <v>305</v>
      </c>
      <c r="F3449" t="s">
        <v>515</v>
      </c>
      <c r="G3449">
        <v>4.4000000000000004</v>
      </c>
    </row>
    <row r="3450" spans="2:7" hidden="1">
      <c r="B3450" s="43">
        <v>44403</v>
      </c>
      <c r="C3450" t="s">
        <v>130</v>
      </c>
      <c r="D3450" s="48">
        <v>44469</v>
      </c>
      <c r="E3450">
        <v>310</v>
      </c>
      <c r="F3450" t="s">
        <v>514</v>
      </c>
      <c r="G3450">
        <v>115.4</v>
      </c>
    </row>
    <row r="3451" spans="2:7" hidden="1">
      <c r="B3451" s="43">
        <v>44403</v>
      </c>
      <c r="C3451" t="s">
        <v>130</v>
      </c>
      <c r="D3451" s="48">
        <v>44469</v>
      </c>
      <c r="E3451">
        <v>310</v>
      </c>
      <c r="F3451" t="s">
        <v>515</v>
      </c>
      <c r="G3451">
        <v>5.05</v>
      </c>
    </row>
    <row r="3452" spans="2:7" hidden="1">
      <c r="B3452" s="43">
        <v>44404</v>
      </c>
      <c r="C3452" t="s">
        <v>130</v>
      </c>
      <c r="D3452" s="48">
        <v>44469</v>
      </c>
      <c r="E3452">
        <v>310</v>
      </c>
      <c r="F3452" t="s">
        <v>514</v>
      </c>
      <c r="G3452">
        <v>115.4</v>
      </c>
    </row>
    <row r="3453" spans="2:7" hidden="1">
      <c r="B3453" s="43">
        <v>44404</v>
      </c>
      <c r="C3453" t="s">
        <v>130</v>
      </c>
      <c r="D3453" s="48">
        <v>44469</v>
      </c>
      <c r="E3453">
        <v>310</v>
      </c>
      <c r="F3453" t="s">
        <v>515</v>
      </c>
      <c r="G3453">
        <v>5.05</v>
      </c>
    </row>
    <row r="3454" spans="2:7" hidden="1">
      <c r="B3454" s="43">
        <v>44405</v>
      </c>
      <c r="C3454" t="s">
        <v>130</v>
      </c>
      <c r="D3454" s="48">
        <v>44469</v>
      </c>
      <c r="E3454">
        <v>310</v>
      </c>
      <c r="F3454" t="s">
        <v>514</v>
      </c>
      <c r="G3454">
        <v>115.4</v>
      </c>
    </row>
    <row r="3455" spans="2:7" hidden="1">
      <c r="B3455" s="43">
        <v>44405</v>
      </c>
      <c r="C3455" t="s">
        <v>130</v>
      </c>
      <c r="D3455" s="48">
        <v>44469</v>
      </c>
      <c r="E3455">
        <v>310</v>
      </c>
      <c r="F3455" t="s">
        <v>515</v>
      </c>
      <c r="G3455">
        <v>5.05</v>
      </c>
    </row>
    <row r="3456" spans="2:7" hidden="1">
      <c r="B3456" s="43">
        <v>44406</v>
      </c>
      <c r="C3456" t="s">
        <v>130</v>
      </c>
      <c r="D3456" s="48">
        <v>44469</v>
      </c>
      <c r="E3456">
        <v>310</v>
      </c>
      <c r="F3456" t="s">
        <v>514</v>
      </c>
      <c r="G3456">
        <v>115.4</v>
      </c>
    </row>
    <row r="3457" spans="2:7" hidden="1">
      <c r="B3457" s="43">
        <v>44406</v>
      </c>
      <c r="C3457" t="s">
        <v>130</v>
      </c>
      <c r="D3457" s="48">
        <v>44469</v>
      </c>
      <c r="E3457">
        <v>310</v>
      </c>
      <c r="F3457" t="s">
        <v>515</v>
      </c>
      <c r="G3457">
        <v>5.05</v>
      </c>
    </row>
    <row r="3458" spans="2:7" hidden="1">
      <c r="B3458" s="43">
        <v>44407</v>
      </c>
      <c r="C3458" t="s">
        <v>130</v>
      </c>
      <c r="D3458" s="48">
        <v>44469</v>
      </c>
      <c r="E3458">
        <v>310</v>
      </c>
      <c r="F3458" t="s">
        <v>514</v>
      </c>
      <c r="G3458">
        <v>115.4</v>
      </c>
    </row>
    <row r="3459" spans="2:7" hidden="1">
      <c r="B3459" s="43">
        <v>44407</v>
      </c>
      <c r="C3459" t="s">
        <v>130</v>
      </c>
      <c r="D3459" s="48">
        <v>44469</v>
      </c>
      <c r="E3459">
        <v>310</v>
      </c>
      <c r="F3459" t="s">
        <v>515</v>
      </c>
      <c r="G3459">
        <v>5.05</v>
      </c>
    </row>
    <row r="3460" spans="2:7" hidden="1">
      <c r="B3460" s="43">
        <v>44403</v>
      </c>
      <c r="C3460" t="s">
        <v>130</v>
      </c>
      <c r="D3460" s="48">
        <v>44469</v>
      </c>
      <c r="E3460">
        <v>315</v>
      </c>
      <c r="F3460" t="s">
        <v>514</v>
      </c>
      <c r="G3460">
        <v>111.15</v>
      </c>
    </row>
    <row r="3461" spans="2:7" hidden="1">
      <c r="B3461" s="43">
        <v>44403</v>
      </c>
      <c r="C3461" t="s">
        <v>130</v>
      </c>
      <c r="D3461" s="48">
        <v>44469</v>
      </c>
      <c r="E3461">
        <v>315</v>
      </c>
      <c r="F3461" t="s">
        <v>515</v>
      </c>
      <c r="G3461">
        <v>5.8</v>
      </c>
    </row>
    <row r="3462" spans="2:7" hidden="1">
      <c r="B3462" s="43">
        <v>44404</v>
      </c>
      <c r="C3462" t="s">
        <v>130</v>
      </c>
      <c r="D3462" s="48">
        <v>44469</v>
      </c>
      <c r="E3462">
        <v>315</v>
      </c>
      <c r="F3462" t="s">
        <v>514</v>
      </c>
      <c r="G3462">
        <v>111.15</v>
      </c>
    </row>
    <row r="3463" spans="2:7" hidden="1">
      <c r="B3463" s="43">
        <v>44404</v>
      </c>
      <c r="C3463" t="s">
        <v>130</v>
      </c>
      <c r="D3463" s="48">
        <v>44469</v>
      </c>
      <c r="E3463">
        <v>315</v>
      </c>
      <c r="F3463" t="s">
        <v>515</v>
      </c>
      <c r="G3463">
        <v>5.8</v>
      </c>
    </row>
    <row r="3464" spans="2:7" hidden="1">
      <c r="B3464" s="43">
        <v>44405</v>
      </c>
      <c r="C3464" t="s">
        <v>130</v>
      </c>
      <c r="D3464" s="48">
        <v>44469</v>
      </c>
      <c r="E3464">
        <v>315</v>
      </c>
      <c r="F3464" t="s">
        <v>514</v>
      </c>
      <c r="G3464">
        <v>111.15</v>
      </c>
    </row>
    <row r="3465" spans="2:7" hidden="1">
      <c r="B3465" s="43">
        <v>44405</v>
      </c>
      <c r="C3465" t="s">
        <v>130</v>
      </c>
      <c r="D3465" s="48">
        <v>44469</v>
      </c>
      <c r="E3465">
        <v>315</v>
      </c>
      <c r="F3465" t="s">
        <v>515</v>
      </c>
      <c r="G3465">
        <v>5.8</v>
      </c>
    </row>
    <row r="3466" spans="2:7" hidden="1">
      <c r="B3466" s="43">
        <v>44406</v>
      </c>
      <c r="C3466" t="s">
        <v>130</v>
      </c>
      <c r="D3466" s="48">
        <v>44469</v>
      </c>
      <c r="E3466">
        <v>315</v>
      </c>
      <c r="F3466" t="s">
        <v>514</v>
      </c>
      <c r="G3466">
        <v>111.15</v>
      </c>
    </row>
    <row r="3467" spans="2:7" hidden="1">
      <c r="B3467" s="43">
        <v>44406</v>
      </c>
      <c r="C3467" t="s">
        <v>130</v>
      </c>
      <c r="D3467" s="48">
        <v>44469</v>
      </c>
      <c r="E3467">
        <v>315</v>
      </c>
      <c r="F3467" t="s">
        <v>515</v>
      </c>
      <c r="G3467">
        <v>5.8</v>
      </c>
    </row>
    <row r="3468" spans="2:7" hidden="1">
      <c r="B3468" s="43">
        <v>44407</v>
      </c>
      <c r="C3468" t="s">
        <v>130</v>
      </c>
      <c r="D3468" s="48">
        <v>44469</v>
      </c>
      <c r="E3468">
        <v>315</v>
      </c>
      <c r="F3468" t="s">
        <v>514</v>
      </c>
      <c r="G3468">
        <v>111.15</v>
      </c>
    </row>
    <row r="3469" spans="2:7" hidden="1">
      <c r="B3469" s="43">
        <v>44407</v>
      </c>
      <c r="C3469" t="s">
        <v>130</v>
      </c>
      <c r="D3469" s="48">
        <v>44469</v>
      </c>
      <c r="E3469">
        <v>315</v>
      </c>
      <c r="F3469" t="s">
        <v>515</v>
      </c>
      <c r="G3469">
        <v>5.8</v>
      </c>
    </row>
    <row r="3470" spans="2:7" hidden="1">
      <c r="B3470" s="43">
        <v>44403</v>
      </c>
      <c r="C3470" t="s">
        <v>130</v>
      </c>
      <c r="D3470" s="48">
        <v>44469</v>
      </c>
      <c r="E3470">
        <v>320</v>
      </c>
      <c r="F3470" t="s">
        <v>514</v>
      </c>
      <c r="G3470">
        <v>107.05</v>
      </c>
    </row>
    <row r="3471" spans="2:7" hidden="1">
      <c r="B3471" s="43">
        <v>44403</v>
      </c>
      <c r="C3471" t="s">
        <v>130</v>
      </c>
      <c r="D3471" s="48">
        <v>44469</v>
      </c>
      <c r="E3471">
        <v>320</v>
      </c>
      <c r="F3471" t="s">
        <v>515</v>
      </c>
      <c r="G3471">
        <v>6.6</v>
      </c>
    </row>
    <row r="3472" spans="2:7" hidden="1">
      <c r="B3472" s="43">
        <v>44404</v>
      </c>
      <c r="C3472" t="s">
        <v>130</v>
      </c>
      <c r="D3472" s="48">
        <v>44469</v>
      </c>
      <c r="E3472">
        <v>320</v>
      </c>
      <c r="F3472" t="s">
        <v>514</v>
      </c>
      <c r="G3472">
        <v>107.05</v>
      </c>
    </row>
    <row r="3473" spans="2:7" hidden="1">
      <c r="B3473" s="43">
        <v>44404</v>
      </c>
      <c r="C3473" t="s">
        <v>130</v>
      </c>
      <c r="D3473" s="48">
        <v>44469</v>
      </c>
      <c r="E3473">
        <v>320</v>
      </c>
      <c r="F3473" t="s">
        <v>515</v>
      </c>
      <c r="G3473">
        <v>6.6</v>
      </c>
    </row>
    <row r="3474" spans="2:7" hidden="1">
      <c r="B3474" s="43">
        <v>44405</v>
      </c>
      <c r="C3474" t="s">
        <v>130</v>
      </c>
      <c r="D3474" s="48">
        <v>44469</v>
      </c>
      <c r="E3474">
        <v>320</v>
      </c>
      <c r="F3474" t="s">
        <v>514</v>
      </c>
      <c r="G3474">
        <v>107.05</v>
      </c>
    </row>
    <row r="3475" spans="2:7" hidden="1">
      <c r="B3475" s="43">
        <v>44405</v>
      </c>
      <c r="C3475" t="s">
        <v>130</v>
      </c>
      <c r="D3475" s="48">
        <v>44469</v>
      </c>
      <c r="E3475">
        <v>320</v>
      </c>
      <c r="F3475" t="s">
        <v>515</v>
      </c>
      <c r="G3475">
        <v>6.6</v>
      </c>
    </row>
    <row r="3476" spans="2:7" hidden="1">
      <c r="B3476" s="43">
        <v>44406</v>
      </c>
      <c r="C3476" t="s">
        <v>130</v>
      </c>
      <c r="D3476" s="48">
        <v>44469</v>
      </c>
      <c r="E3476">
        <v>320</v>
      </c>
      <c r="F3476" t="s">
        <v>514</v>
      </c>
      <c r="G3476">
        <v>107.05</v>
      </c>
    </row>
    <row r="3477" spans="2:7" hidden="1">
      <c r="B3477" s="43">
        <v>44406</v>
      </c>
      <c r="C3477" t="s">
        <v>130</v>
      </c>
      <c r="D3477" s="48">
        <v>44469</v>
      </c>
      <c r="E3477">
        <v>320</v>
      </c>
      <c r="F3477" t="s">
        <v>515</v>
      </c>
      <c r="G3477">
        <v>6.6</v>
      </c>
    </row>
    <row r="3478" spans="2:7" hidden="1">
      <c r="B3478" s="43">
        <v>44407</v>
      </c>
      <c r="C3478" t="s">
        <v>130</v>
      </c>
      <c r="D3478" s="48">
        <v>44469</v>
      </c>
      <c r="E3478">
        <v>320</v>
      </c>
      <c r="F3478" t="s">
        <v>514</v>
      </c>
      <c r="G3478">
        <v>107.05</v>
      </c>
    </row>
    <row r="3479" spans="2:7" hidden="1">
      <c r="B3479" s="43">
        <v>44407</v>
      </c>
      <c r="C3479" t="s">
        <v>130</v>
      </c>
      <c r="D3479" s="48">
        <v>44469</v>
      </c>
      <c r="E3479">
        <v>320</v>
      </c>
      <c r="F3479" t="s">
        <v>515</v>
      </c>
      <c r="G3479">
        <v>6.6</v>
      </c>
    </row>
    <row r="3480" spans="2:7" hidden="1">
      <c r="B3480" s="43">
        <v>44403</v>
      </c>
      <c r="C3480" t="s">
        <v>130</v>
      </c>
      <c r="D3480" s="48">
        <v>44469</v>
      </c>
      <c r="E3480">
        <v>325</v>
      </c>
      <c r="F3480" t="s">
        <v>514</v>
      </c>
      <c r="G3480">
        <v>102.95</v>
      </c>
    </row>
    <row r="3481" spans="2:7" hidden="1">
      <c r="B3481" s="43">
        <v>44403</v>
      </c>
      <c r="C3481" t="s">
        <v>130</v>
      </c>
      <c r="D3481" s="48">
        <v>44469</v>
      </c>
      <c r="E3481">
        <v>325</v>
      </c>
      <c r="F3481" t="s">
        <v>515</v>
      </c>
      <c r="G3481">
        <v>7.5</v>
      </c>
    </row>
    <row r="3482" spans="2:7" hidden="1">
      <c r="B3482" s="43">
        <v>44404</v>
      </c>
      <c r="C3482" t="s">
        <v>130</v>
      </c>
      <c r="D3482" s="48">
        <v>44469</v>
      </c>
      <c r="E3482">
        <v>325</v>
      </c>
      <c r="F3482" t="s">
        <v>514</v>
      </c>
      <c r="G3482">
        <v>102.95</v>
      </c>
    </row>
    <row r="3483" spans="2:7" hidden="1">
      <c r="B3483" s="43">
        <v>44404</v>
      </c>
      <c r="C3483" t="s">
        <v>130</v>
      </c>
      <c r="D3483" s="48">
        <v>44469</v>
      </c>
      <c r="E3483">
        <v>325</v>
      </c>
      <c r="F3483" t="s">
        <v>515</v>
      </c>
      <c r="G3483">
        <v>7.5</v>
      </c>
    </row>
    <row r="3484" spans="2:7" hidden="1">
      <c r="B3484" s="43">
        <v>44405</v>
      </c>
      <c r="C3484" t="s">
        <v>130</v>
      </c>
      <c r="D3484" s="48">
        <v>44469</v>
      </c>
      <c r="E3484">
        <v>325</v>
      </c>
      <c r="F3484" t="s">
        <v>514</v>
      </c>
      <c r="G3484">
        <v>102.95</v>
      </c>
    </row>
    <row r="3485" spans="2:7" hidden="1">
      <c r="B3485" s="43">
        <v>44405</v>
      </c>
      <c r="C3485" t="s">
        <v>130</v>
      </c>
      <c r="D3485" s="48">
        <v>44469</v>
      </c>
      <c r="E3485">
        <v>325</v>
      </c>
      <c r="F3485" t="s">
        <v>515</v>
      </c>
      <c r="G3485">
        <v>7.5</v>
      </c>
    </row>
    <row r="3486" spans="2:7" hidden="1">
      <c r="B3486" s="43">
        <v>44406</v>
      </c>
      <c r="C3486" t="s">
        <v>130</v>
      </c>
      <c r="D3486" s="48">
        <v>44469</v>
      </c>
      <c r="E3486">
        <v>325</v>
      </c>
      <c r="F3486" t="s">
        <v>514</v>
      </c>
      <c r="G3486">
        <v>102.95</v>
      </c>
    </row>
    <row r="3487" spans="2:7" hidden="1">
      <c r="B3487" s="43">
        <v>44406</v>
      </c>
      <c r="C3487" t="s">
        <v>130</v>
      </c>
      <c r="D3487" s="48">
        <v>44469</v>
      </c>
      <c r="E3487">
        <v>325</v>
      </c>
      <c r="F3487" t="s">
        <v>515</v>
      </c>
      <c r="G3487">
        <v>7.5</v>
      </c>
    </row>
    <row r="3488" spans="2:7" hidden="1">
      <c r="B3488" s="43">
        <v>44407</v>
      </c>
      <c r="C3488" t="s">
        <v>130</v>
      </c>
      <c r="D3488" s="48">
        <v>44469</v>
      </c>
      <c r="E3488">
        <v>325</v>
      </c>
      <c r="F3488" t="s">
        <v>514</v>
      </c>
      <c r="G3488">
        <v>102.95</v>
      </c>
    </row>
    <row r="3489" spans="2:7" hidden="1">
      <c r="B3489" s="43">
        <v>44407</v>
      </c>
      <c r="C3489" t="s">
        <v>130</v>
      </c>
      <c r="D3489" s="48">
        <v>44469</v>
      </c>
      <c r="E3489">
        <v>325</v>
      </c>
      <c r="F3489" t="s">
        <v>515</v>
      </c>
      <c r="G3489">
        <v>7.5</v>
      </c>
    </row>
    <row r="3490" spans="2:7" hidden="1">
      <c r="B3490" s="43">
        <v>44403</v>
      </c>
      <c r="C3490" t="s">
        <v>130</v>
      </c>
      <c r="D3490" s="48">
        <v>44469</v>
      </c>
      <c r="E3490">
        <v>330</v>
      </c>
      <c r="F3490" t="s">
        <v>514</v>
      </c>
      <c r="G3490">
        <v>98.95</v>
      </c>
    </row>
    <row r="3491" spans="2:7" hidden="1">
      <c r="B3491" s="43">
        <v>44403</v>
      </c>
      <c r="C3491" t="s">
        <v>130</v>
      </c>
      <c r="D3491" s="48">
        <v>44469</v>
      </c>
      <c r="E3491">
        <v>330</v>
      </c>
      <c r="F3491" t="s">
        <v>515</v>
      </c>
      <c r="G3491">
        <v>8.4499999999999993</v>
      </c>
    </row>
    <row r="3492" spans="2:7" hidden="1">
      <c r="B3492" s="43">
        <v>44404</v>
      </c>
      <c r="C3492" t="s">
        <v>130</v>
      </c>
      <c r="D3492" s="48">
        <v>44469</v>
      </c>
      <c r="E3492">
        <v>330</v>
      </c>
      <c r="F3492" t="s">
        <v>514</v>
      </c>
      <c r="G3492">
        <v>98.95</v>
      </c>
    </row>
    <row r="3493" spans="2:7" hidden="1">
      <c r="B3493" s="43">
        <v>44404</v>
      </c>
      <c r="C3493" t="s">
        <v>130</v>
      </c>
      <c r="D3493" s="48">
        <v>44469</v>
      </c>
      <c r="E3493">
        <v>330</v>
      </c>
      <c r="F3493" t="s">
        <v>515</v>
      </c>
      <c r="G3493">
        <v>8.4499999999999993</v>
      </c>
    </row>
    <row r="3494" spans="2:7" hidden="1">
      <c r="B3494" s="43">
        <v>44405</v>
      </c>
      <c r="C3494" t="s">
        <v>130</v>
      </c>
      <c r="D3494" s="48">
        <v>44469</v>
      </c>
      <c r="E3494">
        <v>330</v>
      </c>
      <c r="F3494" t="s">
        <v>514</v>
      </c>
      <c r="G3494">
        <v>98.95</v>
      </c>
    </row>
    <row r="3495" spans="2:7" hidden="1">
      <c r="B3495" s="43">
        <v>44405</v>
      </c>
      <c r="C3495" t="s">
        <v>130</v>
      </c>
      <c r="D3495" s="48">
        <v>44469</v>
      </c>
      <c r="E3495">
        <v>330</v>
      </c>
      <c r="F3495" t="s">
        <v>515</v>
      </c>
      <c r="G3495">
        <v>8.4499999999999993</v>
      </c>
    </row>
    <row r="3496" spans="2:7" hidden="1">
      <c r="B3496" s="43">
        <v>44406</v>
      </c>
      <c r="C3496" t="s">
        <v>130</v>
      </c>
      <c r="D3496" s="48">
        <v>44469</v>
      </c>
      <c r="E3496">
        <v>330</v>
      </c>
      <c r="F3496" t="s">
        <v>514</v>
      </c>
      <c r="G3496">
        <v>98.95</v>
      </c>
    </row>
    <row r="3497" spans="2:7" hidden="1">
      <c r="B3497" s="43">
        <v>44406</v>
      </c>
      <c r="C3497" t="s">
        <v>130</v>
      </c>
      <c r="D3497" s="48">
        <v>44469</v>
      </c>
      <c r="E3497">
        <v>330</v>
      </c>
      <c r="F3497" t="s">
        <v>515</v>
      </c>
      <c r="G3497">
        <v>8.4499999999999993</v>
      </c>
    </row>
    <row r="3498" spans="2:7" hidden="1">
      <c r="B3498" s="43">
        <v>44407</v>
      </c>
      <c r="C3498" t="s">
        <v>130</v>
      </c>
      <c r="D3498" s="48">
        <v>44469</v>
      </c>
      <c r="E3498">
        <v>330</v>
      </c>
      <c r="F3498" t="s">
        <v>514</v>
      </c>
      <c r="G3498">
        <v>98.95</v>
      </c>
    </row>
    <row r="3499" spans="2:7" hidden="1">
      <c r="B3499" s="43">
        <v>44407</v>
      </c>
      <c r="C3499" t="s">
        <v>130</v>
      </c>
      <c r="D3499" s="48">
        <v>44469</v>
      </c>
      <c r="E3499">
        <v>330</v>
      </c>
      <c r="F3499" t="s">
        <v>515</v>
      </c>
      <c r="G3499">
        <v>8.4499999999999993</v>
      </c>
    </row>
    <row r="3500" spans="2:7" hidden="1">
      <c r="B3500" s="43">
        <v>44403</v>
      </c>
      <c r="C3500" t="s">
        <v>130</v>
      </c>
      <c r="D3500" s="48">
        <v>44469</v>
      </c>
      <c r="E3500">
        <v>335</v>
      </c>
      <c r="F3500" t="s">
        <v>514</v>
      </c>
      <c r="G3500">
        <v>95.05</v>
      </c>
    </row>
    <row r="3501" spans="2:7" hidden="1">
      <c r="B3501" s="43">
        <v>44403</v>
      </c>
      <c r="C3501" t="s">
        <v>130</v>
      </c>
      <c r="D3501" s="48">
        <v>44469</v>
      </c>
      <c r="E3501">
        <v>335</v>
      </c>
      <c r="F3501" t="s">
        <v>515</v>
      </c>
      <c r="G3501">
        <v>9.5</v>
      </c>
    </row>
    <row r="3502" spans="2:7" hidden="1">
      <c r="B3502" s="43">
        <v>44404</v>
      </c>
      <c r="C3502" t="s">
        <v>130</v>
      </c>
      <c r="D3502" s="48">
        <v>44469</v>
      </c>
      <c r="E3502">
        <v>335</v>
      </c>
      <c r="F3502" t="s">
        <v>514</v>
      </c>
      <c r="G3502">
        <v>95.05</v>
      </c>
    </row>
    <row r="3503" spans="2:7" hidden="1">
      <c r="B3503" s="43">
        <v>44404</v>
      </c>
      <c r="C3503" t="s">
        <v>130</v>
      </c>
      <c r="D3503" s="48">
        <v>44469</v>
      </c>
      <c r="E3503">
        <v>335</v>
      </c>
      <c r="F3503" t="s">
        <v>515</v>
      </c>
      <c r="G3503">
        <v>9.5</v>
      </c>
    </row>
    <row r="3504" spans="2:7" hidden="1">
      <c r="B3504" s="43">
        <v>44405</v>
      </c>
      <c r="C3504" t="s">
        <v>130</v>
      </c>
      <c r="D3504" s="48">
        <v>44469</v>
      </c>
      <c r="E3504">
        <v>335</v>
      </c>
      <c r="F3504" t="s">
        <v>514</v>
      </c>
      <c r="G3504">
        <v>95.05</v>
      </c>
    </row>
    <row r="3505" spans="2:7" hidden="1">
      <c r="B3505" s="43">
        <v>44405</v>
      </c>
      <c r="C3505" t="s">
        <v>130</v>
      </c>
      <c r="D3505" s="48">
        <v>44469</v>
      </c>
      <c r="E3505">
        <v>335</v>
      </c>
      <c r="F3505" t="s">
        <v>515</v>
      </c>
      <c r="G3505">
        <v>9.5</v>
      </c>
    </row>
    <row r="3506" spans="2:7" hidden="1">
      <c r="B3506" s="43">
        <v>44406</v>
      </c>
      <c r="C3506" t="s">
        <v>130</v>
      </c>
      <c r="D3506" s="48">
        <v>44469</v>
      </c>
      <c r="E3506">
        <v>335</v>
      </c>
      <c r="F3506" t="s">
        <v>514</v>
      </c>
      <c r="G3506">
        <v>95.05</v>
      </c>
    </row>
    <row r="3507" spans="2:7" hidden="1">
      <c r="B3507" s="43">
        <v>44406</v>
      </c>
      <c r="C3507" t="s">
        <v>130</v>
      </c>
      <c r="D3507" s="48">
        <v>44469</v>
      </c>
      <c r="E3507">
        <v>335</v>
      </c>
      <c r="F3507" t="s">
        <v>515</v>
      </c>
      <c r="G3507">
        <v>9.5</v>
      </c>
    </row>
    <row r="3508" spans="2:7" hidden="1">
      <c r="B3508" s="43">
        <v>44407</v>
      </c>
      <c r="C3508" t="s">
        <v>130</v>
      </c>
      <c r="D3508" s="48">
        <v>44469</v>
      </c>
      <c r="E3508">
        <v>335</v>
      </c>
      <c r="F3508" t="s">
        <v>514</v>
      </c>
      <c r="G3508">
        <v>95.05</v>
      </c>
    </row>
    <row r="3509" spans="2:7" hidden="1">
      <c r="B3509" s="43">
        <v>44407</v>
      </c>
      <c r="C3509" t="s">
        <v>130</v>
      </c>
      <c r="D3509" s="48">
        <v>44469</v>
      </c>
      <c r="E3509">
        <v>335</v>
      </c>
      <c r="F3509" t="s">
        <v>515</v>
      </c>
      <c r="G3509">
        <v>9.5</v>
      </c>
    </row>
    <row r="3510" spans="2:7" hidden="1">
      <c r="B3510" s="43">
        <v>44403</v>
      </c>
      <c r="C3510" t="s">
        <v>130</v>
      </c>
      <c r="D3510" s="48">
        <v>44469</v>
      </c>
      <c r="E3510">
        <v>340</v>
      </c>
      <c r="F3510" t="s">
        <v>514</v>
      </c>
      <c r="G3510">
        <v>91.25</v>
      </c>
    </row>
    <row r="3511" spans="2:7" hidden="1">
      <c r="B3511" s="43">
        <v>44403</v>
      </c>
      <c r="C3511" t="s">
        <v>130</v>
      </c>
      <c r="D3511" s="48">
        <v>44469</v>
      </c>
      <c r="E3511">
        <v>340</v>
      </c>
      <c r="F3511" t="s">
        <v>515</v>
      </c>
      <c r="G3511">
        <v>10.6</v>
      </c>
    </row>
    <row r="3512" spans="2:7" hidden="1">
      <c r="B3512" s="43">
        <v>44404</v>
      </c>
      <c r="C3512" t="s">
        <v>130</v>
      </c>
      <c r="D3512" s="48">
        <v>44469</v>
      </c>
      <c r="E3512">
        <v>340</v>
      </c>
      <c r="F3512" t="s">
        <v>514</v>
      </c>
      <c r="G3512">
        <v>91.25</v>
      </c>
    </row>
    <row r="3513" spans="2:7" hidden="1">
      <c r="B3513" s="43">
        <v>44404</v>
      </c>
      <c r="C3513" t="s">
        <v>130</v>
      </c>
      <c r="D3513" s="48">
        <v>44469</v>
      </c>
      <c r="E3513">
        <v>340</v>
      </c>
      <c r="F3513" t="s">
        <v>515</v>
      </c>
      <c r="G3513">
        <v>10.6</v>
      </c>
    </row>
    <row r="3514" spans="2:7" hidden="1">
      <c r="B3514" s="43">
        <v>44405</v>
      </c>
      <c r="C3514" t="s">
        <v>130</v>
      </c>
      <c r="D3514" s="48">
        <v>44469</v>
      </c>
      <c r="E3514">
        <v>340</v>
      </c>
      <c r="F3514" t="s">
        <v>514</v>
      </c>
      <c r="G3514">
        <v>91.25</v>
      </c>
    </row>
    <row r="3515" spans="2:7" hidden="1">
      <c r="B3515" s="43">
        <v>44405</v>
      </c>
      <c r="C3515" t="s">
        <v>130</v>
      </c>
      <c r="D3515" s="48">
        <v>44469</v>
      </c>
      <c r="E3515">
        <v>340</v>
      </c>
      <c r="F3515" t="s">
        <v>515</v>
      </c>
      <c r="G3515">
        <v>10.6</v>
      </c>
    </row>
    <row r="3516" spans="2:7" hidden="1">
      <c r="B3516" s="43">
        <v>44406</v>
      </c>
      <c r="C3516" t="s">
        <v>130</v>
      </c>
      <c r="D3516" s="48">
        <v>44469</v>
      </c>
      <c r="E3516">
        <v>340</v>
      </c>
      <c r="F3516" t="s">
        <v>514</v>
      </c>
      <c r="G3516">
        <v>91.25</v>
      </c>
    </row>
    <row r="3517" spans="2:7" hidden="1">
      <c r="B3517" s="43">
        <v>44406</v>
      </c>
      <c r="C3517" t="s">
        <v>130</v>
      </c>
      <c r="D3517" s="48">
        <v>44469</v>
      </c>
      <c r="E3517">
        <v>340</v>
      </c>
      <c r="F3517" t="s">
        <v>515</v>
      </c>
      <c r="G3517">
        <v>10.6</v>
      </c>
    </row>
    <row r="3518" spans="2:7" hidden="1">
      <c r="B3518" s="43">
        <v>44407</v>
      </c>
      <c r="C3518" t="s">
        <v>130</v>
      </c>
      <c r="D3518" s="48">
        <v>44469</v>
      </c>
      <c r="E3518">
        <v>340</v>
      </c>
      <c r="F3518" t="s">
        <v>514</v>
      </c>
      <c r="G3518">
        <v>91.25</v>
      </c>
    </row>
    <row r="3519" spans="2:7" hidden="1">
      <c r="B3519" s="43">
        <v>44407</v>
      </c>
      <c r="C3519" t="s">
        <v>130</v>
      </c>
      <c r="D3519" s="48">
        <v>44469</v>
      </c>
      <c r="E3519">
        <v>340</v>
      </c>
      <c r="F3519" t="s">
        <v>515</v>
      </c>
      <c r="G3519">
        <v>10.6</v>
      </c>
    </row>
    <row r="3520" spans="2:7" hidden="1">
      <c r="B3520" s="43">
        <v>44403</v>
      </c>
      <c r="C3520" t="s">
        <v>130</v>
      </c>
      <c r="D3520" s="48">
        <v>44469</v>
      </c>
      <c r="E3520">
        <v>345</v>
      </c>
      <c r="F3520" t="s">
        <v>514</v>
      </c>
      <c r="G3520">
        <v>87.5</v>
      </c>
    </row>
    <row r="3521" spans="2:7" hidden="1">
      <c r="B3521" s="43">
        <v>44403</v>
      </c>
      <c r="C3521" t="s">
        <v>130</v>
      </c>
      <c r="D3521" s="48">
        <v>44469</v>
      </c>
      <c r="E3521">
        <v>345</v>
      </c>
      <c r="F3521" t="s">
        <v>515</v>
      </c>
      <c r="G3521">
        <v>11.85</v>
      </c>
    </row>
    <row r="3522" spans="2:7" hidden="1">
      <c r="B3522" s="43">
        <v>44404</v>
      </c>
      <c r="C3522" t="s">
        <v>130</v>
      </c>
      <c r="D3522" s="48">
        <v>44469</v>
      </c>
      <c r="E3522">
        <v>345</v>
      </c>
      <c r="F3522" t="s">
        <v>514</v>
      </c>
      <c r="G3522">
        <v>87.5</v>
      </c>
    </row>
    <row r="3523" spans="2:7" hidden="1">
      <c r="B3523" s="43">
        <v>44404</v>
      </c>
      <c r="C3523" t="s">
        <v>130</v>
      </c>
      <c r="D3523" s="48">
        <v>44469</v>
      </c>
      <c r="E3523">
        <v>345</v>
      </c>
      <c r="F3523" t="s">
        <v>515</v>
      </c>
      <c r="G3523">
        <v>11.85</v>
      </c>
    </row>
    <row r="3524" spans="2:7" hidden="1">
      <c r="B3524" s="43">
        <v>44405</v>
      </c>
      <c r="C3524" t="s">
        <v>130</v>
      </c>
      <c r="D3524" s="48">
        <v>44469</v>
      </c>
      <c r="E3524">
        <v>345</v>
      </c>
      <c r="F3524" t="s">
        <v>514</v>
      </c>
      <c r="G3524">
        <v>87.5</v>
      </c>
    </row>
    <row r="3525" spans="2:7" hidden="1">
      <c r="B3525" s="43">
        <v>44405</v>
      </c>
      <c r="C3525" t="s">
        <v>130</v>
      </c>
      <c r="D3525" s="48">
        <v>44469</v>
      </c>
      <c r="E3525">
        <v>345</v>
      </c>
      <c r="F3525" t="s">
        <v>515</v>
      </c>
      <c r="G3525">
        <v>11.85</v>
      </c>
    </row>
    <row r="3526" spans="2:7" hidden="1">
      <c r="B3526" s="43">
        <v>44406</v>
      </c>
      <c r="C3526" t="s">
        <v>130</v>
      </c>
      <c r="D3526" s="48">
        <v>44469</v>
      </c>
      <c r="E3526">
        <v>345</v>
      </c>
      <c r="F3526" t="s">
        <v>514</v>
      </c>
      <c r="G3526">
        <v>87.5</v>
      </c>
    </row>
    <row r="3527" spans="2:7" hidden="1">
      <c r="B3527" s="43">
        <v>44406</v>
      </c>
      <c r="C3527" t="s">
        <v>130</v>
      </c>
      <c r="D3527" s="48">
        <v>44469</v>
      </c>
      <c r="E3527">
        <v>345</v>
      </c>
      <c r="F3527" t="s">
        <v>515</v>
      </c>
      <c r="G3527">
        <v>11.85</v>
      </c>
    </row>
    <row r="3528" spans="2:7" hidden="1">
      <c r="B3528" s="43">
        <v>44407</v>
      </c>
      <c r="C3528" t="s">
        <v>130</v>
      </c>
      <c r="D3528" s="48">
        <v>44469</v>
      </c>
      <c r="E3528">
        <v>345</v>
      </c>
      <c r="F3528" t="s">
        <v>514</v>
      </c>
      <c r="G3528">
        <v>87.5</v>
      </c>
    </row>
    <row r="3529" spans="2:7" hidden="1">
      <c r="B3529" s="43">
        <v>44407</v>
      </c>
      <c r="C3529" t="s">
        <v>130</v>
      </c>
      <c r="D3529" s="48">
        <v>44469</v>
      </c>
      <c r="E3529">
        <v>345</v>
      </c>
      <c r="F3529" t="s">
        <v>515</v>
      </c>
      <c r="G3529">
        <v>11.85</v>
      </c>
    </row>
    <row r="3530" spans="2:7" hidden="1">
      <c r="B3530" s="43">
        <v>44403</v>
      </c>
      <c r="C3530" t="s">
        <v>130</v>
      </c>
      <c r="D3530" s="48">
        <v>44469</v>
      </c>
      <c r="E3530">
        <v>350</v>
      </c>
      <c r="F3530" t="s">
        <v>514</v>
      </c>
      <c r="G3530">
        <v>83.9</v>
      </c>
    </row>
    <row r="3531" spans="2:7" hidden="1">
      <c r="B3531" s="43">
        <v>44403</v>
      </c>
      <c r="C3531" t="s">
        <v>130</v>
      </c>
      <c r="D3531" s="48">
        <v>44469</v>
      </c>
      <c r="E3531">
        <v>350</v>
      </c>
      <c r="F3531" t="s">
        <v>515</v>
      </c>
      <c r="G3531">
        <v>2.75</v>
      </c>
    </row>
    <row r="3532" spans="2:7" hidden="1">
      <c r="B3532" s="43">
        <v>44404</v>
      </c>
      <c r="C3532" t="s">
        <v>130</v>
      </c>
      <c r="D3532" s="48">
        <v>44469</v>
      </c>
      <c r="E3532">
        <v>350</v>
      </c>
      <c r="F3532" t="s">
        <v>514</v>
      </c>
      <c r="G3532">
        <v>83.9</v>
      </c>
    </row>
    <row r="3533" spans="2:7" hidden="1">
      <c r="B3533" s="43">
        <v>44404</v>
      </c>
      <c r="C3533" t="s">
        <v>130</v>
      </c>
      <c r="D3533" s="48">
        <v>44469</v>
      </c>
      <c r="E3533">
        <v>350</v>
      </c>
      <c r="F3533" t="s">
        <v>515</v>
      </c>
      <c r="G3533">
        <v>2.75</v>
      </c>
    </row>
    <row r="3534" spans="2:7" hidden="1">
      <c r="B3534" s="43">
        <v>44405</v>
      </c>
      <c r="C3534" t="s">
        <v>130</v>
      </c>
      <c r="D3534" s="48">
        <v>44469</v>
      </c>
      <c r="E3534">
        <v>350</v>
      </c>
      <c r="F3534" t="s">
        <v>514</v>
      </c>
      <c r="G3534">
        <v>83.9</v>
      </c>
    </row>
    <row r="3535" spans="2:7" hidden="1">
      <c r="B3535" s="43">
        <v>44405</v>
      </c>
      <c r="C3535" t="s">
        <v>130</v>
      </c>
      <c r="D3535" s="48">
        <v>44469</v>
      </c>
      <c r="E3535">
        <v>350</v>
      </c>
      <c r="F3535" t="s">
        <v>515</v>
      </c>
      <c r="G3535">
        <v>2.75</v>
      </c>
    </row>
    <row r="3536" spans="2:7" hidden="1">
      <c r="B3536" s="43">
        <v>44406</v>
      </c>
      <c r="C3536" t="s">
        <v>130</v>
      </c>
      <c r="D3536" s="48">
        <v>44469</v>
      </c>
      <c r="E3536">
        <v>350</v>
      </c>
      <c r="F3536" t="s">
        <v>514</v>
      </c>
      <c r="G3536">
        <v>82.5</v>
      </c>
    </row>
    <row r="3537" spans="2:7" hidden="1">
      <c r="B3537" s="43">
        <v>44406</v>
      </c>
      <c r="C3537" t="s">
        <v>130</v>
      </c>
      <c r="D3537" s="48">
        <v>44469</v>
      </c>
      <c r="E3537">
        <v>350</v>
      </c>
      <c r="F3537" t="s">
        <v>515</v>
      </c>
      <c r="G3537">
        <v>1.75</v>
      </c>
    </row>
    <row r="3538" spans="2:7" hidden="1">
      <c r="B3538" s="43">
        <v>44407</v>
      </c>
      <c r="C3538" t="s">
        <v>130</v>
      </c>
      <c r="D3538" s="48">
        <v>44469</v>
      </c>
      <c r="E3538">
        <v>350</v>
      </c>
      <c r="F3538" t="s">
        <v>514</v>
      </c>
      <c r="G3538">
        <v>82.5</v>
      </c>
    </row>
    <row r="3539" spans="2:7" hidden="1">
      <c r="B3539" s="43">
        <v>44407</v>
      </c>
      <c r="C3539" t="s">
        <v>130</v>
      </c>
      <c r="D3539" s="48">
        <v>44469</v>
      </c>
      <c r="E3539">
        <v>350</v>
      </c>
      <c r="F3539" t="s">
        <v>515</v>
      </c>
      <c r="G3539">
        <v>2</v>
      </c>
    </row>
    <row r="3540" spans="2:7" hidden="1">
      <c r="B3540" s="43">
        <v>44403</v>
      </c>
      <c r="C3540" t="s">
        <v>130</v>
      </c>
      <c r="D3540" s="48">
        <v>44469</v>
      </c>
      <c r="E3540">
        <v>355</v>
      </c>
      <c r="F3540" t="s">
        <v>514</v>
      </c>
      <c r="G3540">
        <v>80.349999999999994</v>
      </c>
    </row>
    <row r="3541" spans="2:7" hidden="1">
      <c r="B3541" s="43">
        <v>44403</v>
      </c>
      <c r="C3541" t="s">
        <v>130</v>
      </c>
      <c r="D3541" s="48">
        <v>44469</v>
      </c>
      <c r="E3541">
        <v>355</v>
      </c>
      <c r="F3541" t="s">
        <v>515</v>
      </c>
      <c r="G3541">
        <v>14.55</v>
      </c>
    </row>
    <row r="3542" spans="2:7" hidden="1">
      <c r="B3542" s="43">
        <v>44404</v>
      </c>
      <c r="C3542" t="s">
        <v>130</v>
      </c>
      <c r="D3542" s="48">
        <v>44469</v>
      </c>
      <c r="E3542">
        <v>355</v>
      </c>
      <c r="F3542" t="s">
        <v>514</v>
      </c>
      <c r="G3542">
        <v>80.349999999999994</v>
      </c>
    </row>
    <row r="3543" spans="2:7" hidden="1">
      <c r="B3543" s="43">
        <v>44404</v>
      </c>
      <c r="C3543" t="s">
        <v>130</v>
      </c>
      <c r="D3543" s="48">
        <v>44469</v>
      </c>
      <c r="E3543">
        <v>355</v>
      </c>
      <c r="F3543" t="s">
        <v>515</v>
      </c>
      <c r="G3543">
        <v>14.55</v>
      </c>
    </row>
    <row r="3544" spans="2:7" hidden="1">
      <c r="B3544" s="43">
        <v>44405</v>
      </c>
      <c r="C3544" t="s">
        <v>130</v>
      </c>
      <c r="D3544" s="48">
        <v>44469</v>
      </c>
      <c r="E3544">
        <v>355</v>
      </c>
      <c r="F3544" t="s">
        <v>514</v>
      </c>
      <c r="G3544">
        <v>80.349999999999994</v>
      </c>
    </row>
    <row r="3545" spans="2:7" hidden="1">
      <c r="B3545" s="43">
        <v>44405</v>
      </c>
      <c r="C3545" t="s">
        <v>130</v>
      </c>
      <c r="D3545" s="48">
        <v>44469</v>
      </c>
      <c r="E3545">
        <v>355</v>
      </c>
      <c r="F3545" t="s">
        <v>515</v>
      </c>
      <c r="G3545">
        <v>14.55</v>
      </c>
    </row>
    <row r="3546" spans="2:7" hidden="1">
      <c r="B3546" s="43">
        <v>44406</v>
      </c>
      <c r="C3546" t="s">
        <v>130</v>
      </c>
      <c r="D3546" s="48">
        <v>44469</v>
      </c>
      <c r="E3546">
        <v>355</v>
      </c>
      <c r="F3546" t="s">
        <v>514</v>
      </c>
      <c r="G3546">
        <v>80.349999999999994</v>
      </c>
    </row>
    <row r="3547" spans="2:7" hidden="1">
      <c r="B3547" s="43">
        <v>44406</v>
      </c>
      <c r="C3547" t="s">
        <v>130</v>
      </c>
      <c r="D3547" s="48">
        <v>44469</v>
      </c>
      <c r="E3547">
        <v>355</v>
      </c>
      <c r="F3547" t="s">
        <v>515</v>
      </c>
      <c r="G3547">
        <v>14.55</v>
      </c>
    </row>
    <row r="3548" spans="2:7" hidden="1">
      <c r="B3548" s="43">
        <v>44407</v>
      </c>
      <c r="C3548" t="s">
        <v>130</v>
      </c>
      <c r="D3548" s="48">
        <v>44469</v>
      </c>
      <c r="E3548">
        <v>355</v>
      </c>
      <c r="F3548" t="s">
        <v>514</v>
      </c>
      <c r="G3548">
        <v>80.349999999999994</v>
      </c>
    </row>
    <row r="3549" spans="2:7" hidden="1">
      <c r="B3549" s="43">
        <v>44407</v>
      </c>
      <c r="C3549" t="s">
        <v>130</v>
      </c>
      <c r="D3549" s="48">
        <v>44469</v>
      </c>
      <c r="E3549">
        <v>355</v>
      </c>
      <c r="F3549" t="s">
        <v>515</v>
      </c>
      <c r="G3549">
        <v>14.55</v>
      </c>
    </row>
    <row r="3550" spans="2:7" hidden="1">
      <c r="B3550" s="43">
        <v>44403</v>
      </c>
      <c r="C3550" t="s">
        <v>130</v>
      </c>
      <c r="D3550" s="48">
        <v>44469</v>
      </c>
      <c r="E3550">
        <v>360</v>
      </c>
      <c r="F3550" t="s">
        <v>514</v>
      </c>
      <c r="G3550">
        <v>76.849999999999994</v>
      </c>
    </row>
    <row r="3551" spans="2:7" hidden="1">
      <c r="B3551" s="43">
        <v>44403</v>
      </c>
      <c r="C3551" t="s">
        <v>130</v>
      </c>
      <c r="D3551" s="48">
        <v>44469</v>
      </c>
      <c r="E3551">
        <v>360</v>
      </c>
      <c r="F3551" t="s">
        <v>515</v>
      </c>
      <c r="G3551">
        <v>16.05</v>
      </c>
    </row>
    <row r="3552" spans="2:7" hidden="1">
      <c r="B3552" s="43">
        <v>44404</v>
      </c>
      <c r="C3552" t="s">
        <v>130</v>
      </c>
      <c r="D3552" s="48">
        <v>44469</v>
      </c>
      <c r="E3552">
        <v>360</v>
      </c>
      <c r="F3552" t="s">
        <v>514</v>
      </c>
      <c r="G3552">
        <v>76.849999999999994</v>
      </c>
    </row>
    <row r="3553" spans="2:7" hidden="1">
      <c r="B3553" s="43">
        <v>44404</v>
      </c>
      <c r="C3553" t="s">
        <v>130</v>
      </c>
      <c r="D3553" s="48">
        <v>44469</v>
      </c>
      <c r="E3553">
        <v>360</v>
      </c>
      <c r="F3553" t="s">
        <v>515</v>
      </c>
      <c r="G3553">
        <v>16.05</v>
      </c>
    </row>
    <row r="3554" spans="2:7" hidden="1">
      <c r="B3554" s="43">
        <v>44405</v>
      </c>
      <c r="C3554" t="s">
        <v>130</v>
      </c>
      <c r="D3554" s="48">
        <v>44469</v>
      </c>
      <c r="E3554">
        <v>360</v>
      </c>
      <c r="F3554" t="s">
        <v>514</v>
      </c>
      <c r="G3554">
        <v>76.849999999999994</v>
      </c>
    </row>
    <row r="3555" spans="2:7" hidden="1">
      <c r="B3555" s="43">
        <v>44405</v>
      </c>
      <c r="C3555" t="s">
        <v>130</v>
      </c>
      <c r="D3555" s="48">
        <v>44469</v>
      </c>
      <c r="E3555">
        <v>360</v>
      </c>
      <c r="F3555" t="s">
        <v>515</v>
      </c>
      <c r="G3555">
        <v>16.05</v>
      </c>
    </row>
    <row r="3556" spans="2:7" hidden="1">
      <c r="B3556" s="43">
        <v>44406</v>
      </c>
      <c r="C3556" t="s">
        <v>130</v>
      </c>
      <c r="D3556" s="48">
        <v>44469</v>
      </c>
      <c r="E3556">
        <v>360</v>
      </c>
      <c r="F3556" t="s">
        <v>514</v>
      </c>
      <c r="G3556">
        <v>76.849999999999994</v>
      </c>
    </row>
    <row r="3557" spans="2:7" hidden="1">
      <c r="B3557" s="43">
        <v>44406</v>
      </c>
      <c r="C3557" t="s">
        <v>130</v>
      </c>
      <c r="D3557" s="48">
        <v>44469</v>
      </c>
      <c r="E3557">
        <v>360</v>
      </c>
      <c r="F3557" t="s">
        <v>515</v>
      </c>
      <c r="G3557">
        <v>16.05</v>
      </c>
    </row>
    <row r="3558" spans="2:7" hidden="1">
      <c r="B3558" s="43">
        <v>44407</v>
      </c>
      <c r="C3558" t="s">
        <v>130</v>
      </c>
      <c r="D3558" s="48">
        <v>44469</v>
      </c>
      <c r="E3558">
        <v>360</v>
      </c>
      <c r="F3558" t="s">
        <v>514</v>
      </c>
      <c r="G3558">
        <v>76.849999999999994</v>
      </c>
    </row>
    <row r="3559" spans="2:7" hidden="1">
      <c r="B3559" s="43">
        <v>44407</v>
      </c>
      <c r="C3559" t="s">
        <v>130</v>
      </c>
      <c r="D3559" s="48">
        <v>44469</v>
      </c>
      <c r="E3559">
        <v>360</v>
      </c>
      <c r="F3559" t="s">
        <v>515</v>
      </c>
      <c r="G3559">
        <v>16.05</v>
      </c>
    </row>
    <row r="3560" spans="2:7" hidden="1">
      <c r="B3560" s="43">
        <v>44403</v>
      </c>
      <c r="C3560" t="s">
        <v>130</v>
      </c>
      <c r="D3560" s="48">
        <v>44469</v>
      </c>
      <c r="E3560">
        <v>365</v>
      </c>
      <c r="F3560" t="s">
        <v>514</v>
      </c>
      <c r="G3560">
        <v>73.5</v>
      </c>
    </row>
    <row r="3561" spans="2:7" hidden="1">
      <c r="B3561" s="43">
        <v>44403</v>
      </c>
      <c r="C3561" t="s">
        <v>130</v>
      </c>
      <c r="D3561" s="48">
        <v>44469</v>
      </c>
      <c r="E3561">
        <v>365</v>
      </c>
      <c r="F3561" t="s">
        <v>515</v>
      </c>
      <c r="G3561">
        <v>17.600000000000001</v>
      </c>
    </row>
    <row r="3562" spans="2:7" hidden="1">
      <c r="B3562" s="43">
        <v>44404</v>
      </c>
      <c r="C3562" t="s">
        <v>130</v>
      </c>
      <c r="D3562" s="48">
        <v>44469</v>
      </c>
      <c r="E3562">
        <v>365</v>
      </c>
      <c r="F3562" t="s">
        <v>514</v>
      </c>
      <c r="G3562">
        <v>73.5</v>
      </c>
    </row>
    <row r="3563" spans="2:7" hidden="1">
      <c r="B3563" s="43">
        <v>44404</v>
      </c>
      <c r="C3563" t="s">
        <v>130</v>
      </c>
      <c r="D3563" s="48">
        <v>44469</v>
      </c>
      <c r="E3563">
        <v>365</v>
      </c>
      <c r="F3563" t="s">
        <v>515</v>
      </c>
      <c r="G3563">
        <v>17.600000000000001</v>
      </c>
    </row>
    <row r="3564" spans="2:7" hidden="1">
      <c r="B3564" s="43">
        <v>44405</v>
      </c>
      <c r="C3564" t="s">
        <v>130</v>
      </c>
      <c r="D3564" s="48">
        <v>44469</v>
      </c>
      <c r="E3564">
        <v>365</v>
      </c>
      <c r="F3564" t="s">
        <v>514</v>
      </c>
      <c r="G3564">
        <v>73.5</v>
      </c>
    </row>
    <row r="3565" spans="2:7" hidden="1">
      <c r="B3565" s="43">
        <v>44405</v>
      </c>
      <c r="C3565" t="s">
        <v>130</v>
      </c>
      <c r="D3565" s="48">
        <v>44469</v>
      </c>
      <c r="E3565">
        <v>365</v>
      </c>
      <c r="F3565" t="s">
        <v>515</v>
      </c>
      <c r="G3565">
        <v>17.600000000000001</v>
      </c>
    </row>
    <row r="3566" spans="2:7" hidden="1">
      <c r="B3566" s="43">
        <v>44406</v>
      </c>
      <c r="C3566" t="s">
        <v>130</v>
      </c>
      <c r="D3566" s="48">
        <v>44469</v>
      </c>
      <c r="E3566">
        <v>365</v>
      </c>
      <c r="F3566" t="s">
        <v>514</v>
      </c>
      <c r="G3566">
        <v>73.5</v>
      </c>
    </row>
    <row r="3567" spans="2:7" hidden="1">
      <c r="B3567" s="43">
        <v>44406</v>
      </c>
      <c r="C3567" t="s">
        <v>130</v>
      </c>
      <c r="D3567" s="48">
        <v>44469</v>
      </c>
      <c r="E3567">
        <v>365</v>
      </c>
      <c r="F3567" t="s">
        <v>515</v>
      </c>
      <c r="G3567">
        <v>17.600000000000001</v>
      </c>
    </row>
    <row r="3568" spans="2:7" hidden="1">
      <c r="B3568" s="43">
        <v>44407</v>
      </c>
      <c r="C3568" t="s">
        <v>130</v>
      </c>
      <c r="D3568" s="48">
        <v>44469</v>
      </c>
      <c r="E3568">
        <v>365</v>
      </c>
      <c r="F3568" t="s">
        <v>514</v>
      </c>
      <c r="G3568">
        <v>73.5</v>
      </c>
    </row>
    <row r="3569" spans="2:7" hidden="1">
      <c r="B3569" s="43">
        <v>44407</v>
      </c>
      <c r="C3569" t="s">
        <v>130</v>
      </c>
      <c r="D3569" s="48">
        <v>44469</v>
      </c>
      <c r="E3569">
        <v>365</v>
      </c>
      <c r="F3569" t="s">
        <v>515</v>
      </c>
      <c r="G3569">
        <v>17.600000000000001</v>
      </c>
    </row>
    <row r="3570" spans="2:7" hidden="1">
      <c r="B3570" s="43">
        <v>44403</v>
      </c>
      <c r="C3570" t="s">
        <v>130</v>
      </c>
      <c r="D3570" s="48">
        <v>44469</v>
      </c>
      <c r="E3570">
        <v>370</v>
      </c>
      <c r="F3570" t="s">
        <v>514</v>
      </c>
      <c r="G3570">
        <v>70.2</v>
      </c>
    </row>
    <row r="3571" spans="2:7" hidden="1">
      <c r="B3571" s="43">
        <v>44403</v>
      </c>
      <c r="C3571" t="s">
        <v>130</v>
      </c>
      <c r="D3571" s="48">
        <v>44469</v>
      </c>
      <c r="E3571">
        <v>370</v>
      </c>
      <c r="F3571" t="s">
        <v>515</v>
      </c>
      <c r="G3571">
        <v>19.3</v>
      </c>
    </row>
    <row r="3572" spans="2:7" hidden="1">
      <c r="B3572" s="43">
        <v>44404</v>
      </c>
      <c r="C3572" t="s">
        <v>130</v>
      </c>
      <c r="D3572" s="48">
        <v>44469</v>
      </c>
      <c r="E3572">
        <v>370</v>
      </c>
      <c r="F3572" t="s">
        <v>514</v>
      </c>
      <c r="G3572">
        <v>70.2</v>
      </c>
    </row>
    <row r="3573" spans="2:7" hidden="1">
      <c r="B3573" s="43">
        <v>44404</v>
      </c>
      <c r="C3573" t="s">
        <v>130</v>
      </c>
      <c r="D3573" s="48">
        <v>44469</v>
      </c>
      <c r="E3573">
        <v>370</v>
      </c>
      <c r="F3573" t="s">
        <v>515</v>
      </c>
      <c r="G3573">
        <v>19.3</v>
      </c>
    </row>
    <row r="3574" spans="2:7" hidden="1">
      <c r="B3574" s="43">
        <v>44405</v>
      </c>
      <c r="C3574" t="s">
        <v>130</v>
      </c>
      <c r="D3574" s="48">
        <v>44469</v>
      </c>
      <c r="E3574">
        <v>370</v>
      </c>
      <c r="F3574" t="s">
        <v>514</v>
      </c>
      <c r="G3574">
        <v>70.2</v>
      </c>
    </row>
    <row r="3575" spans="2:7" hidden="1">
      <c r="B3575" s="43">
        <v>44405</v>
      </c>
      <c r="C3575" t="s">
        <v>130</v>
      </c>
      <c r="D3575" s="48">
        <v>44469</v>
      </c>
      <c r="E3575">
        <v>370</v>
      </c>
      <c r="F3575" t="s">
        <v>515</v>
      </c>
      <c r="G3575">
        <v>19.3</v>
      </c>
    </row>
    <row r="3576" spans="2:7" hidden="1">
      <c r="B3576" s="43">
        <v>44406</v>
      </c>
      <c r="C3576" t="s">
        <v>130</v>
      </c>
      <c r="D3576" s="48">
        <v>44469</v>
      </c>
      <c r="E3576">
        <v>370</v>
      </c>
      <c r="F3576" t="s">
        <v>514</v>
      </c>
      <c r="G3576">
        <v>70.2</v>
      </c>
    </row>
    <row r="3577" spans="2:7" hidden="1">
      <c r="B3577" s="43">
        <v>44406</v>
      </c>
      <c r="C3577" t="s">
        <v>130</v>
      </c>
      <c r="D3577" s="48">
        <v>44469</v>
      </c>
      <c r="E3577">
        <v>370</v>
      </c>
      <c r="F3577" t="s">
        <v>515</v>
      </c>
      <c r="G3577">
        <v>19.3</v>
      </c>
    </row>
    <row r="3578" spans="2:7" hidden="1">
      <c r="B3578" s="43">
        <v>44407</v>
      </c>
      <c r="C3578" t="s">
        <v>130</v>
      </c>
      <c r="D3578" s="48">
        <v>44469</v>
      </c>
      <c r="E3578">
        <v>370</v>
      </c>
      <c r="F3578" t="s">
        <v>514</v>
      </c>
      <c r="G3578">
        <v>70.2</v>
      </c>
    </row>
    <row r="3579" spans="2:7" hidden="1">
      <c r="B3579" s="43">
        <v>44407</v>
      </c>
      <c r="C3579" t="s">
        <v>130</v>
      </c>
      <c r="D3579" s="48">
        <v>44469</v>
      </c>
      <c r="E3579">
        <v>370</v>
      </c>
      <c r="F3579" t="s">
        <v>515</v>
      </c>
      <c r="G3579">
        <v>19.3</v>
      </c>
    </row>
    <row r="3580" spans="2:7" hidden="1">
      <c r="B3580" s="43">
        <v>44403</v>
      </c>
      <c r="C3580" t="s">
        <v>130</v>
      </c>
      <c r="D3580" s="48">
        <v>44469</v>
      </c>
      <c r="E3580">
        <v>375</v>
      </c>
      <c r="F3580" t="s">
        <v>514</v>
      </c>
      <c r="G3580">
        <v>67.05</v>
      </c>
    </row>
    <row r="3581" spans="2:7" hidden="1">
      <c r="B3581" s="43">
        <v>44403</v>
      </c>
      <c r="C3581" t="s">
        <v>130</v>
      </c>
      <c r="D3581" s="48">
        <v>44469</v>
      </c>
      <c r="E3581">
        <v>375</v>
      </c>
      <c r="F3581" t="s">
        <v>515</v>
      </c>
      <c r="G3581">
        <v>21.05</v>
      </c>
    </row>
    <row r="3582" spans="2:7" hidden="1">
      <c r="B3582" s="43">
        <v>44404</v>
      </c>
      <c r="C3582" t="s">
        <v>130</v>
      </c>
      <c r="D3582" s="48">
        <v>44469</v>
      </c>
      <c r="E3582">
        <v>375</v>
      </c>
      <c r="F3582" t="s">
        <v>514</v>
      </c>
      <c r="G3582">
        <v>67.05</v>
      </c>
    </row>
    <row r="3583" spans="2:7" hidden="1">
      <c r="B3583" s="43">
        <v>44404</v>
      </c>
      <c r="C3583" t="s">
        <v>130</v>
      </c>
      <c r="D3583" s="48">
        <v>44469</v>
      </c>
      <c r="E3583">
        <v>375</v>
      </c>
      <c r="F3583" t="s">
        <v>515</v>
      </c>
      <c r="G3583">
        <v>21.05</v>
      </c>
    </row>
    <row r="3584" spans="2:7" hidden="1">
      <c r="B3584" s="43">
        <v>44405</v>
      </c>
      <c r="C3584" t="s">
        <v>130</v>
      </c>
      <c r="D3584" s="48">
        <v>44469</v>
      </c>
      <c r="E3584">
        <v>375</v>
      </c>
      <c r="F3584" t="s">
        <v>514</v>
      </c>
      <c r="G3584">
        <v>67.05</v>
      </c>
    </row>
    <row r="3585" spans="2:7" hidden="1">
      <c r="B3585" s="43">
        <v>44405</v>
      </c>
      <c r="C3585" t="s">
        <v>130</v>
      </c>
      <c r="D3585" s="48">
        <v>44469</v>
      </c>
      <c r="E3585">
        <v>375</v>
      </c>
      <c r="F3585" t="s">
        <v>515</v>
      </c>
      <c r="G3585">
        <v>21.05</v>
      </c>
    </row>
    <row r="3586" spans="2:7" hidden="1">
      <c r="B3586" s="43">
        <v>44406</v>
      </c>
      <c r="C3586" t="s">
        <v>130</v>
      </c>
      <c r="D3586" s="48">
        <v>44469</v>
      </c>
      <c r="E3586">
        <v>375</v>
      </c>
      <c r="F3586" t="s">
        <v>514</v>
      </c>
      <c r="G3586">
        <v>67.05</v>
      </c>
    </row>
    <row r="3587" spans="2:7" hidden="1">
      <c r="B3587" s="43">
        <v>44406</v>
      </c>
      <c r="C3587" t="s">
        <v>130</v>
      </c>
      <c r="D3587" s="48">
        <v>44469</v>
      </c>
      <c r="E3587">
        <v>375</v>
      </c>
      <c r="F3587" t="s">
        <v>515</v>
      </c>
      <c r="G3587">
        <v>21.05</v>
      </c>
    </row>
    <row r="3588" spans="2:7" hidden="1">
      <c r="B3588" s="43">
        <v>44407</v>
      </c>
      <c r="C3588" t="s">
        <v>130</v>
      </c>
      <c r="D3588" s="48">
        <v>44469</v>
      </c>
      <c r="E3588">
        <v>375</v>
      </c>
      <c r="F3588" t="s">
        <v>514</v>
      </c>
      <c r="G3588">
        <v>67.05</v>
      </c>
    </row>
    <row r="3589" spans="2:7" hidden="1">
      <c r="B3589" s="43">
        <v>44407</v>
      </c>
      <c r="C3589" t="s">
        <v>130</v>
      </c>
      <c r="D3589" s="48">
        <v>44469</v>
      </c>
      <c r="E3589">
        <v>375</v>
      </c>
      <c r="F3589" t="s">
        <v>515</v>
      </c>
      <c r="G3589">
        <v>21.05</v>
      </c>
    </row>
    <row r="3590" spans="2:7" hidden="1">
      <c r="B3590" s="43">
        <v>44403</v>
      </c>
      <c r="C3590" t="s">
        <v>130</v>
      </c>
      <c r="D3590" s="48">
        <v>44469</v>
      </c>
      <c r="E3590">
        <v>380</v>
      </c>
      <c r="F3590" t="s">
        <v>514</v>
      </c>
      <c r="G3590">
        <v>64</v>
      </c>
    </row>
    <row r="3591" spans="2:7" hidden="1">
      <c r="B3591" s="43">
        <v>44403</v>
      </c>
      <c r="C3591" t="s">
        <v>130</v>
      </c>
      <c r="D3591" s="48">
        <v>44469</v>
      </c>
      <c r="E3591">
        <v>380</v>
      </c>
      <c r="F3591" t="s">
        <v>515</v>
      </c>
      <c r="G3591">
        <v>5.45</v>
      </c>
    </row>
    <row r="3592" spans="2:7" hidden="1">
      <c r="B3592" s="43">
        <v>44404</v>
      </c>
      <c r="C3592" t="s">
        <v>130</v>
      </c>
      <c r="D3592" s="48">
        <v>44469</v>
      </c>
      <c r="E3592">
        <v>380</v>
      </c>
      <c r="F3592" t="s">
        <v>514</v>
      </c>
      <c r="G3592">
        <v>64</v>
      </c>
    </row>
    <row r="3593" spans="2:7" hidden="1">
      <c r="B3593" s="43">
        <v>44404</v>
      </c>
      <c r="C3593" t="s">
        <v>130</v>
      </c>
      <c r="D3593" s="48">
        <v>44469</v>
      </c>
      <c r="E3593">
        <v>380</v>
      </c>
      <c r="F3593" t="s">
        <v>515</v>
      </c>
      <c r="G3593">
        <v>5.45</v>
      </c>
    </row>
    <row r="3594" spans="2:7" hidden="1">
      <c r="B3594" s="43">
        <v>44405</v>
      </c>
      <c r="C3594" t="s">
        <v>130</v>
      </c>
      <c r="D3594" s="48">
        <v>44469</v>
      </c>
      <c r="E3594">
        <v>380</v>
      </c>
      <c r="F3594" t="s">
        <v>514</v>
      </c>
      <c r="G3594">
        <v>64</v>
      </c>
    </row>
    <row r="3595" spans="2:7" hidden="1">
      <c r="B3595" s="43">
        <v>44405</v>
      </c>
      <c r="C3595" t="s">
        <v>130</v>
      </c>
      <c r="D3595" s="48">
        <v>44469</v>
      </c>
      <c r="E3595">
        <v>380</v>
      </c>
      <c r="F3595" t="s">
        <v>515</v>
      </c>
      <c r="G3595">
        <v>3.9</v>
      </c>
    </row>
    <row r="3596" spans="2:7" hidden="1">
      <c r="B3596" s="43">
        <v>44406</v>
      </c>
      <c r="C3596" t="s">
        <v>130</v>
      </c>
      <c r="D3596" s="48">
        <v>44469</v>
      </c>
      <c r="E3596">
        <v>380</v>
      </c>
      <c r="F3596" t="s">
        <v>514</v>
      </c>
      <c r="G3596">
        <v>64</v>
      </c>
    </row>
    <row r="3597" spans="2:7" hidden="1">
      <c r="B3597" s="43">
        <v>44406</v>
      </c>
      <c r="C3597" t="s">
        <v>130</v>
      </c>
      <c r="D3597" s="48">
        <v>44469</v>
      </c>
      <c r="E3597">
        <v>380</v>
      </c>
      <c r="F3597" t="s">
        <v>515</v>
      </c>
      <c r="G3597">
        <v>3.2</v>
      </c>
    </row>
    <row r="3598" spans="2:7" hidden="1">
      <c r="B3598" s="43">
        <v>44407</v>
      </c>
      <c r="C3598" t="s">
        <v>130</v>
      </c>
      <c r="D3598" s="48">
        <v>44469</v>
      </c>
      <c r="E3598">
        <v>380</v>
      </c>
      <c r="F3598" t="s">
        <v>514</v>
      </c>
      <c r="G3598">
        <v>64</v>
      </c>
    </row>
    <row r="3599" spans="2:7" hidden="1">
      <c r="B3599" s="43">
        <v>44407</v>
      </c>
      <c r="C3599" t="s">
        <v>130</v>
      </c>
      <c r="D3599" s="48">
        <v>44469</v>
      </c>
      <c r="E3599">
        <v>380</v>
      </c>
      <c r="F3599" t="s">
        <v>515</v>
      </c>
      <c r="G3599">
        <v>4.0999999999999996</v>
      </c>
    </row>
    <row r="3600" spans="2:7" hidden="1">
      <c r="B3600" s="43">
        <v>44403</v>
      </c>
      <c r="C3600" t="s">
        <v>130</v>
      </c>
      <c r="D3600" s="48">
        <v>44469</v>
      </c>
      <c r="E3600">
        <v>385</v>
      </c>
      <c r="F3600" t="s">
        <v>514</v>
      </c>
      <c r="G3600">
        <v>61</v>
      </c>
    </row>
    <row r="3601" spans="2:7" hidden="1">
      <c r="B3601" s="43">
        <v>44403</v>
      </c>
      <c r="C3601" t="s">
        <v>130</v>
      </c>
      <c r="D3601" s="48">
        <v>44469</v>
      </c>
      <c r="E3601">
        <v>385</v>
      </c>
      <c r="F3601" t="s">
        <v>515</v>
      </c>
      <c r="G3601">
        <v>24.95</v>
      </c>
    </row>
    <row r="3602" spans="2:7" hidden="1">
      <c r="B3602" s="43">
        <v>44404</v>
      </c>
      <c r="C3602" t="s">
        <v>130</v>
      </c>
      <c r="D3602" s="48">
        <v>44469</v>
      </c>
      <c r="E3602">
        <v>385</v>
      </c>
      <c r="F3602" t="s">
        <v>514</v>
      </c>
      <c r="G3602">
        <v>61</v>
      </c>
    </row>
    <row r="3603" spans="2:7" hidden="1">
      <c r="B3603" s="43">
        <v>44404</v>
      </c>
      <c r="C3603" t="s">
        <v>130</v>
      </c>
      <c r="D3603" s="48">
        <v>44469</v>
      </c>
      <c r="E3603">
        <v>385</v>
      </c>
      <c r="F3603" t="s">
        <v>515</v>
      </c>
      <c r="G3603">
        <v>24.95</v>
      </c>
    </row>
    <row r="3604" spans="2:7" hidden="1">
      <c r="B3604" s="43">
        <v>44405</v>
      </c>
      <c r="C3604" t="s">
        <v>130</v>
      </c>
      <c r="D3604" s="48">
        <v>44469</v>
      </c>
      <c r="E3604">
        <v>385</v>
      </c>
      <c r="F3604" t="s">
        <v>514</v>
      </c>
      <c r="G3604">
        <v>61</v>
      </c>
    </row>
    <row r="3605" spans="2:7" hidden="1">
      <c r="B3605" s="43">
        <v>44405</v>
      </c>
      <c r="C3605" t="s">
        <v>130</v>
      </c>
      <c r="D3605" s="48">
        <v>44469</v>
      </c>
      <c r="E3605">
        <v>385</v>
      </c>
      <c r="F3605" t="s">
        <v>515</v>
      </c>
      <c r="G3605">
        <v>24.95</v>
      </c>
    </row>
    <row r="3606" spans="2:7" hidden="1">
      <c r="B3606" s="43">
        <v>44406</v>
      </c>
      <c r="C3606" t="s">
        <v>130</v>
      </c>
      <c r="D3606" s="48">
        <v>44469</v>
      </c>
      <c r="E3606">
        <v>385</v>
      </c>
      <c r="F3606" t="s">
        <v>514</v>
      </c>
      <c r="G3606">
        <v>61</v>
      </c>
    </row>
    <row r="3607" spans="2:7" hidden="1">
      <c r="B3607" s="43">
        <v>44406</v>
      </c>
      <c r="C3607" t="s">
        <v>130</v>
      </c>
      <c r="D3607" s="48">
        <v>44469</v>
      </c>
      <c r="E3607">
        <v>385</v>
      </c>
      <c r="F3607" t="s">
        <v>515</v>
      </c>
      <c r="G3607">
        <v>24.95</v>
      </c>
    </row>
    <row r="3608" spans="2:7" hidden="1">
      <c r="B3608" s="43">
        <v>44407</v>
      </c>
      <c r="C3608" t="s">
        <v>130</v>
      </c>
      <c r="D3608" s="48">
        <v>44469</v>
      </c>
      <c r="E3608">
        <v>385</v>
      </c>
      <c r="F3608" t="s">
        <v>514</v>
      </c>
      <c r="G3608">
        <v>61</v>
      </c>
    </row>
    <row r="3609" spans="2:7" hidden="1">
      <c r="B3609" s="43">
        <v>44407</v>
      </c>
      <c r="C3609" t="s">
        <v>130</v>
      </c>
      <c r="D3609" s="48">
        <v>44469</v>
      </c>
      <c r="E3609">
        <v>385</v>
      </c>
      <c r="F3609" t="s">
        <v>515</v>
      </c>
      <c r="G3609">
        <v>24.95</v>
      </c>
    </row>
    <row r="3610" spans="2:7" hidden="1">
      <c r="B3610" s="43">
        <v>44403</v>
      </c>
      <c r="C3610" t="s">
        <v>130</v>
      </c>
      <c r="D3610" s="48">
        <v>44469</v>
      </c>
      <c r="E3610">
        <v>390</v>
      </c>
      <c r="F3610" t="s">
        <v>514</v>
      </c>
      <c r="G3610">
        <v>58.15</v>
      </c>
    </row>
    <row r="3611" spans="2:7" hidden="1">
      <c r="B3611" s="43">
        <v>44403</v>
      </c>
      <c r="C3611" t="s">
        <v>130</v>
      </c>
      <c r="D3611" s="48">
        <v>44469</v>
      </c>
      <c r="E3611">
        <v>390</v>
      </c>
      <c r="F3611" t="s">
        <v>515</v>
      </c>
      <c r="G3611">
        <v>27</v>
      </c>
    </row>
    <row r="3612" spans="2:7" hidden="1">
      <c r="B3612" s="43">
        <v>44404</v>
      </c>
      <c r="C3612" t="s">
        <v>130</v>
      </c>
      <c r="D3612" s="48">
        <v>44469</v>
      </c>
      <c r="E3612">
        <v>390</v>
      </c>
      <c r="F3612" t="s">
        <v>514</v>
      </c>
      <c r="G3612">
        <v>58.15</v>
      </c>
    </row>
    <row r="3613" spans="2:7" hidden="1">
      <c r="B3613" s="43">
        <v>44404</v>
      </c>
      <c r="C3613" t="s">
        <v>130</v>
      </c>
      <c r="D3613" s="48">
        <v>44469</v>
      </c>
      <c r="E3613">
        <v>390</v>
      </c>
      <c r="F3613" t="s">
        <v>515</v>
      </c>
      <c r="G3613">
        <v>27</v>
      </c>
    </row>
    <row r="3614" spans="2:7" hidden="1">
      <c r="B3614" s="43">
        <v>44405</v>
      </c>
      <c r="C3614" t="s">
        <v>130</v>
      </c>
      <c r="D3614" s="48">
        <v>44469</v>
      </c>
      <c r="E3614">
        <v>390</v>
      </c>
      <c r="F3614" t="s">
        <v>514</v>
      </c>
      <c r="G3614">
        <v>58.15</v>
      </c>
    </row>
    <row r="3615" spans="2:7" hidden="1">
      <c r="B3615" s="43">
        <v>44405</v>
      </c>
      <c r="C3615" t="s">
        <v>130</v>
      </c>
      <c r="D3615" s="48">
        <v>44469</v>
      </c>
      <c r="E3615">
        <v>390</v>
      </c>
      <c r="F3615" t="s">
        <v>515</v>
      </c>
      <c r="G3615">
        <v>27</v>
      </c>
    </row>
    <row r="3616" spans="2:7" hidden="1">
      <c r="B3616" s="43">
        <v>44406</v>
      </c>
      <c r="C3616" t="s">
        <v>130</v>
      </c>
      <c r="D3616" s="48">
        <v>44469</v>
      </c>
      <c r="E3616">
        <v>390</v>
      </c>
      <c r="F3616" t="s">
        <v>514</v>
      </c>
      <c r="G3616">
        <v>58.15</v>
      </c>
    </row>
    <row r="3617" spans="2:7" hidden="1">
      <c r="B3617" s="43">
        <v>44406</v>
      </c>
      <c r="C3617" t="s">
        <v>130</v>
      </c>
      <c r="D3617" s="48">
        <v>44469</v>
      </c>
      <c r="E3617">
        <v>390</v>
      </c>
      <c r="F3617" t="s">
        <v>515</v>
      </c>
      <c r="G3617">
        <v>27</v>
      </c>
    </row>
    <row r="3618" spans="2:7" hidden="1">
      <c r="B3618" s="43">
        <v>44407</v>
      </c>
      <c r="C3618" t="s">
        <v>130</v>
      </c>
      <c r="D3618" s="48">
        <v>44469</v>
      </c>
      <c r="E3618">
        <v>390</v>
      </c>
      <c r="F3618" t="s">
        <v>514</v>
      </c>
      <c r="G3618">
        <v>58.15</v>
      </c>
    </row>
    <row r="3619" spans="2:7" hidden="1">
      <c r="B3619" s="43">
        <v>44407</v>
      </c>
      <c r="C3619" t="s">
        <v>130</v>
      </c>
      <c r="D3619" s="48">
        <v>44469</v>
      </c>
      <c r="E3619">
        <v>390</v>
      </c>
      <c r="F3619" t="s">
        <v>515</v>
      </c>
      <c r="G3619">
        <v>27</v>
      </c>
    </row>
    <row r="3620" spans="2:7" hidden="1">
      <c r="B3620" s="43">
        <v>44403</v>
      </c>
      <c r="C3620" t="s">
        <v>130</v>
      </c>
      <c r="D3620" s="48">
        <v>44469</v>
      </c>
      <c r="E3620">
        <v>395</v>
      </c>
      <c r="F3620" t="s">
        <v>514</v>
      </c>
      <c r="G3620">
        <v>55.35</v>
      </c>
    </row>
    <row r="3621" spans="2:7" hidden="1">
      <c r="B3621" s="43">
        <v>44403</v>
      </c>
      <c r="C3621" t="s">
        <v>130</v>
      </c>
      <c r="D3621" s="48">
        <v>44469</v>
      </c>
      <c r="E3621">
        <v>395</v>
      </c>
      <c r="F3621" t="s">
        <v>515</v>
      </c>
      <c r="G3621">
        <v>29.2</v>
      </c>
    </row>
    <row r="3622" spans="2:7" hidden="1">
      <c r="B3622" s="43">
        <v>44404</v>
      </c>
      <c r="C3622" t="s">
        <v>130</v>
      </c>
      <c r="D3622" s="48">
        <v>44469</v>
      </c>
      <c r="E3622">
        <v>395</v>
      </c>
      <c r="F3622" t="s">
        <v>514</v>
      </c>
      <c r="G3622">
        <v>55.35</v>
      </c>
    </row>
    <row r="3623" spans="2:7" hidden="1">
      <c r="B3623" s="43">
        <v>44404</v>
      </c>
      <c r="C3623" t="s">
        <v>130</v>
      </c>
      <c r="D3623" s="48">
        <v>44469</v>
      </c>
      <c r="E3623">
        <v>395</v>
      </c>
      <c r="F3623" t="s">
        <v>515</v>
      </c>
      <c r="G3623">
        <v>29.2</v>
      </c>
    </row>
    <row r="3624" spans="2:7" hidden="1">
      <c r="B3624" s="43">
        <v>44405</v>
      </c>
      <c r="C3624" t="s">
        <v>130</v>
      </c>
      <c r="D3624" s="48">
        <v>44469</v>
      </c>
      <c r="E3624">
        <v>395</v>
      </c>
      <c r="F3624" t="s">
        <v>514</v>
      </c>
      <c r="G3624">
        <v>55.35</v>
      </c>
    </row>
    <row r="3625" spans="2:7" hidden="1">
      <c r="B3625" s="43">
        <v>44405</v>
      </c>
      <c r="C3625" t="s">
        <v>130</v>
      </c>
      <c r="D3625" s="48">
        <v>44469</v>
      </c>
      <c r="E3625">
        <v>395</v>
      </c>
      <c r="F3625" t="s">
        <v>515</v>
      </c>
      <c r="G3625">
        <v>29.2</v>
      </c>
    </row>
    <row r="3626" spans="2:7" hidden="1">
      <c r="B3626" s="43">
        <v>44406</v>
      </c>
      <c r="C3626" t="s">
        <v>130</v>
      </c>
      <c r="D3626" s="48">
        <v>44469</v>
      </c>
      <c r="E3626">
        <v>395</v>
      </c>
      <c r="F3626" t="s">
        <v>514</v>
      </c>
      <c r="G3626">
        <v>55.35</v>
      </c>
    </row>
    <row r="3627" spans="2:7" hidden="1">
      <c r="B3627" s="43">
        <v>44406</v>
      </c>
      <c r="C3627" t="s">
        <v>130</v>
      </c>
      <c r="D3627" s="48">
        <v>44469</v>
      </c>
      <c r="E3627">
        <v>395</v>
      </c>
      <c r="F3627" t="s">
        <v>515</v>
      </c>
      <c r="G3627">
        <v>29.2</v>
      </c>
    </row>
    <row r="3628" spans="2:7" hidden="1">
      <c r="B3628" s="43">
        <v>44407</v>
      </c>
      <c r="C3628" t="s">
        <v>130</v>
      </c>
      <c r="D3628" s="48">
        <v>44469</v>
      </c>
      <c r="E3628">
        <v>395</v>
      </c>
      <c r="F3628" t="s">
        <v>514</v>
      </c>
      <c r="G3628">
        <v>55.35</v>
      </c>
    </row>
    <row r="3629" spans="2:7" hidden="1">
      <c r="B3629" s="43">
        <v>44407</v>
      </c>
      <c r="C3629" t="s">
        <v>130</v>
      </c>
      <c r="D3629" s="48">
        <v>44469</v>
      </c>
      <c r="E3629">
        <v>395</v>
      </c>
      <c r="F3629" t="s">
        <v>515</v>
      </c>
      <c r="G3629">
        <v>29.2</v>
      </c>
    </row>
    <row r="3630" spans="2:7" hidden="1">
      <c r="B3630" s="43">
        <v>44403</v>
      </c>
      <c r="C3630" t="s">
        <v>130</v>
      </c>
      <c r="D3630" s="48">
        <v>44469</v>
      </c>
      <c r="E3630">
        <v>400</v>
      </c>
      <c r="F3630" t="s">
        <v>514</v>
      </c>
      <c r="G3630">
        <v>35.5</v>
      </c>
    </row>
    <row r="3631" spans="2:7" hidden="1">
      <c r="B3631" s="43">
        <v>44403</v>
      </c>
      <c r="C3631" t="s">
        <v>130</v>
      </c>
      <c r="D3631" s="48">
        <v>44469</v>
      </c>
      <c r="E3631">
        <v>400</v>
      </c>
      <c r="F3631" t="s">
        <v>515</v>
      </c>
      <c r="G3631">
        <v>8.5</v>
      </c>
    </row>
    <row r="3632" spans="2:7" hidden="1">
      <c r="B3632" s="43">
        <v>44404</v>
      </c>
      <c r="C3632" t="s">
        <v>130</v>
      </c>
      <c r="D3632" s="48">
        <v>44469</v>
      </c>
      <c r="E3632">
        <v>400</v>
      </c>
      <c r="F3632" t="s">
        <v>514</v>
      </c>
      <c r="G3632">
        <v>35.5</v>
      </c>
    </row>
    <row r="3633" spans="2:7" hidden="1">
      <c r="B3633" s="43">
        <v>44404</v>
      </c>
      <c r="C3633" t="s">
        <v>130</v>
      </c>
      <c r="D3633" s="48">
        <v>44469</v>
      </c>
      <c r="E3633">
        <v>400</v>
      </c>
      <c r="F3633" t="s">
        <v>515</v>
      </c>
      <c r="G3633">
        <v>7.95</v>
      </c>
    </row>
    <row r="3634" spans="2:7" hidden="1">
      <c r="B3634" s="43">
        <v>44405</v>
      </c>
      <c r="C3634" t="s">
        <v>130</v>
      </c>
      <c r="D3634" s="48">
        <v>44469</v>
      </c>
      <c r="E3634">
        <v>400</v>
      </c>
      <c r="F3634" t="s">
        <v>514</v>
      </c>
      <c r="G3634">
        <v>34.5</v>
      </c>
    </row>
    <row r="3635" spans="2:7" hidden="1">
      <c r="B3635" s="43">
        <v>44405</v>
      </c>
      <c r="C3635" t="s">
        <v>130</v>
      </c>
      <c r="D3635" s="48">
        <v>44469</v>
      </c>
      <c r="E3635">
        <v>400</v>
      </c>
      <c r="F3635" t="s">
        <v>515</v>
      </c>
      <c r="G3635">
        <v>9.25</v>
      </c>
    </row>
    <row r="3636" spans="2:7" hidden="1">
      <c r="B3636" s="43">
        <v>44406</v>
      </c>
      <c r="C3636" t="s">
        <v>130</v>
      </c>
      <c r="D3636" s="48">
        <v>44469</v>
      </c>
      <c r="E3636">
        <v>400</v>
      </c>
      <c r="F3636" t="s">
        <v>514</v>
      </c>
      <c r="G3636">
        <v>34.5</v>
      </c>
    </row>
    <row r="3637" spans="2:7" hidden="1">
      <c r="B3637" s="43">
        <v>44406</v>
      </c>
      <c r="C3637" t="s">
        <v>130</v>
      </c>
      <c r="D3637" s="48">
        <v>44469</v>
      </c>
      <c r="E3637">
        <v>400</v>
      </c>
      <c r="F3637" t="s">
        <v>515</v>
      </c>
      <c r="G3637">
        <v>6.2</v>
      </c>
    </row>
    <row r="3638" spans="2:7" hidden="1">
      <c r="B3638" s="43">
        <v>44407</v>
      </c>
      <c r="C3638" t="s">
        <v>130</v>
      </c>
      <c r="D3638" s="48">
        <v>44469</v>
      </c>
      <c r="E3638">
        <v>400</v>
      </c>
      <c r="F3638" t="s">
        <v>514</v>
      </c>
      <c r="G3638">
        <v>34.5</v>
      </c>
    </row>
    <row r="3639" spans="2:7" hidden="1">
      <c r="B3639" s="43">
        <v>44407</v>
      </c>
      <c r="C3639" t="s">
        <v>130</v>
      </c>
      <c r="D3639" s="48">
        <v>44469</v>
      </c>
      <c r="E3639">
        <v>400</v>
      </c>
      <c r="F3639" t="s">
        <v>515</v>
      </c>
      <c r="G3639">
        <v>8.3000000000000007</v>
      </c>
    </row>
    <row r="3640" spans="2:7" hidden="1">
      <c r="B3640" s="43">
        <v>44403</v>
      </c>
      <c r="C3640" t="s">
        <v>130</v>
      </c>
      <c r="D3640" s="48">
        <v>44469</v>
      </c>
      <c r="E3640">
        <v>405</v>
      </c>
      <c r="F3640" t="s">
        <v>514</v>
      </c>
      <c r="G3640">
        <v>50.1</v>
      </c>
    </row>
    <row r="3641" spans="2:7" hidden="1">
      <c r="B3641" s="43">
        <v>44403</v>
      </c>
      <c r="C3641" t="s">
        <v>130</v>
      </c>
      <c r="D3641" s="48">
        <v>44469</v>
      </c>
      <c r="E3641">
        <v>405</v>
      </c>
      <c r="F3641" t="s">
        <v>515</v>
      </c>
      <c r="G3641">
        <v>33.85</v>
      </c>
    </row>
    <row r="3642" spans="2:7" hidden="1">
      <c r="B3642" s="43">
        <v>44404</v>
      </c>
      <c r="C3642" t="s">
        <v>130</v>
      </c>
      <c r="D3642" s="48">
        <v>44469</v>
      </c>
      <c r="E3642">
        <v>405</v>
      </c>
      <c r="F3642" t="s">
        <v>514</v>
      </c>
      <c r="G3642">
        <v>50.1</v>
      </c>
    </row>
    <row r="3643" spans="2:7" hidden="1">
      <c r="B3643" s="43">
        <v>44404</v>
      </c>
      <c r="C3643" t="s">
        <v>130</v>
      </c>
      <c r="D3643" s="48">
        <v>44469</v>
      </c>
      <c r="E3643">
        <v>405</v>
      </c>
      <c r="F3643" t="s">
        <v>515</v>
      </c>
      <c r="G3643">
        <v>33.85</v>
      </c>
    </row>
    <row r="3644" spans="2:7" hidden="1">
      <c r="B3644" s="43">
        <v>44405</v>
      </c>
      <c r="C3644" t="s">
        <v>130</v>
      </c>
      <c r="D3644" s="48">
        <v>44469</v>
      </c>
      <c r="E3644">
        <v>405</v>
      </c>
      <c r="F3644" t="s">
        <v>514</v>
      </c>
      <c r="G3644">
        <v>50.1</v>
      </c>
    </row>
    <row r="3645" spans="2:7" hidden="1">
      <c r="B3645" s="43">
        <v>44405</v>
      </c>
      <c r="C3645" t="s">
        <v>130</v>
      </c>
      <c r="D3645" s="48">
        <v>44469</v>
      </c>
      <c r="E3645">
        <v>405</v>
      </c>
      <c r="F3645" t="s">
        <v>515</v>
      </c>
      <c r="G3645">
        <v>33.85</v>
      </c>
    </row>
    <row r="3646" spans="2:7" hidden="1">
      <c r="B3646" s="43">
        <v>44406</v>
      </c>
      <c r="C3646" t="s">
        <v>130</v>
      </c>
      <c r="D3646" s="48">
        <v>44469</v>
      </c>
      <c r="E3646">
        <v>405</v>
      </c>
      <c r="F3646" t="s">
        <v>514</v>
      </c>
      <c r="G3646">
        <v>50.1</v>
      </c>
    </row>
    <row r="3647" spans="2:7" hidden="1">
      <c r="B3647" s="43">
        <v>44406</v>
      </c>
      <c r="C3647" t="s">
        <v>130</v>
      </c>
      <c r="D3647" s="48">
        <v>44469</v>
      </c>
      <c r="E3647">
        <v>405</v>
      </c>
      <c r="F3647" t="s">
        <v>515</v>
      </c>
      <c r="G3647">
        <v>33.85</v>
      </c>
    </row>
    <row r="3648" spans="2:7" hidden="1">
      <c r="B3648" s="43">
        <v>44407</v>
      </c>
      <c r="C3648" t="s">
        <v>130</v>
      </c>
      <c r="D3648" s="48">
        <v>44469</v>
      </c>
      <c r="E3648">
        <v>405</v>
      </c>
      <c r="F3648" t="s">
        <v>514</v>
      </c>
      <c r="G3648">
        <v>50.1</v>
      </c>
    </row>
    <row r="3649" spans="2:7" hidden="1">
      <c r="B3649" s="43">
        <v>44407</v>
      </c>
      <c r="C3649" t="s">
        <v>130</v>
      </c>
      <c r="D3649" s="48">
        <v>44469</v>
      </c>
      <c r="E3649">
        <v>405</v>
      </c>
      <c r="F3649" t="s">
        <v>515</v>
      </c>
      <c r="G3649">
        <v>33.85</v>
      </c>
    </row>
    <row r="3650" spans="2:7" hidden="1">
      <c r="B3650" s="43">
        <v>44403</v>
      </c>
      <c r="C3650" t="s">
        <v>130</v>
      </c>
      <c r="D3650" s="48">
        <v>44469</v>
      </c>
      <c r="E3650">
        <v>410</v>
      </c>
      <c r="F3650" t="s">
        <v>514</v>
      </c>
      <c r="G3650">
        <v>47.65</v>
      </c>
    </row>
    <row r="3651" spans="2:7" hidden="1">
      <c r="B3651" s="43">
        <v>44403</v>
      </c>
      <c r="C3651" t="s">
        <v>130</v>
      </c>
      <c r="D3651" s="48">
        <v>44469</v>
      </c>
      <c r="E3651">
        <v>410</v>
      </c>
      <c r="F3651" t="s">
        <v>515</v>
      </c>
      <c r="G3651">
        <v>36.299999999999997</v>
      </c>
    </row>
    <row r="3652" spans="2:7" hidden="1">
      <c r="B3652" s="43">
        <v>44404</v>
      </c>
      <c r="C3652" t="s">
        <v>130</v>
      </c>
      <c r="D3652" s="48">
        <v>44469</v>
      </c>
      <c r="E3652">
        <v>410</v>
      </c>
      <c r="F3652" t="s">
        <v>514</v>
      </c>
      <c r="G3652">
        <v>47.65</v>
      </c>
    </row>
    <row r="3653" spans="2:7" hidden="1">
      <c r="B3653" s="43">
        <v>44404</v>
      </c>
      <c r="C3653" t="s">
        <v>130</v>
      </c>
      <c r="D3653" s="48">
        <v>44469</v>
      </c>
      <c r="E3653">
        <v>410</v>
      </c>
      <c r="F3653" t="s">
        <v>515</v>
      </c>
      <c r="G3653">
        <v>36.299999999999997</v>
      </c>
    </row>
    <row r="3654" spans="2:7" hidden="1">
      <c r="B3654" s="43">
        <v>44405</v>
      </c>
      <c r="C3654" t="s">
        <v>130</v>
      </c>
      <c r="D3654" s="48">
        <v>44469</v>
      </c>
      <c r="E3654">
        <v>410</v>
      </c>
      <c r="F3654" t="s">
        <v>514</v>
      </c>
      <c r="G3654">
        <v>47.65</v>
      </c>
    </row>
    <row r="3655" spans="2:7" hidden="1">
      <c r="B3655" s="43">
        <v>44405</v>
      </c>
      <c r="C3655" t="s">
        <v>130</v>
      </c>
      <c r="D3655" s="48">
        <v>44469</v>
      </c>
      <c r="E3655">
        <v>410</v>
      </c>
      <c r="F3655" t="s">
        <v>515</v>
      </c>
      <c r="G3655">
        <v>36.299999999999997</v>
      </c>
    </row>
    <row r="3656" spans="2:7" hidden="1">
      <c r="B3656" s="43">
        <v>44406</v>
      </c>
      <c r="C3656" t="s">
        <v>130</v>
      </c>
      <c r="D3656" s="48">
        <v>44469</v>
      </c>
      <c r="E3656">
        <v>410</v>
      </c>
      <c r="F3656" t="s">
        <v>514</v>
      </c>
      <c r="G3656">
        <v>47.65</v>
      </c>
    </row>
    <row r="3657" spans="2:7" hidden="1">
      <c r="B3657" s="43">
        <v>44406</v>
      </c>
      <c r="C3657" t="s">
        <v>130</v>
      </c>
      <c r="D3657" s="48">
        <v>44469</v>
      </c>
      <c r="E3657">
        <v>410</v>
      </c>
      <c r="F3657" t="s">
        <v>515</v>
      </c>
      <c r="G3657">
        <v>36.299999999999997</v>
      </c>
    </row>
    <row r="3658" spans="2:7" hidden="1">
      <c r="B3658" s="43">
        <v>44407</v>
      </c>
      <c r="C3658" t="s">
        <v>130</v>
      </c>
      <c r="D3658" s="48">
        <v>44469</v>
      </c>
      <c r="E3658">
        <v>410</v>
      </c>
      <c r="F3658" t="s">
        <v>514</v>
      </c>
      <c r="G3658">
        <v>47.65</v>
      </c>
    </row>
    <row r="3659" spans="2:7" hidden="1">
      <c r="B3659" s="43">
        <v>44407</v>
      </c>
      <c r="C3659" t="s">
        <v>130</v>
      </c>
      <c r="D3659" s="48">
        <v>44469</v>
      </c>
      <c r="E3659">
        <v>410</v>
      </c>
      <c r="F3659" t="s">
        <v>515</v>
      </c>
      <c r="G3659">
        <v>8.8000000000000007</v>
      </c>
    </row>
    <row r="3660" spans="2:7" hidden="1">
      <c r="B3660" s="43">
        <v>44403</v>
      </c>
      <c r="C3660" t="s">
        <v>130</v>
      </c>
      <c r="D3660" s="48">
        <v>44469</v>
      </c>
      <c r="E3660">
        <v>415</v>
      </c>
      <c r="F3660" t="s">
        <v>514</v>
      </c>
      <c r="G3660">
        <v>45.25</v>
      </c>
    </row>
    <row r="3661" spans="2:7" hidden="1">
      <c r="B3661" s="43">
        <v>44403</v>
      </c>
      <c r="C3661" t="s">
        <v>130</v>
      </c>
      <c r="D3661" s="48">
        <v>44469</v>
      </c>
      <c r="E3661">
        <v>415</v>
      </c>
      <c r="F3661" t="s">
        <v>515</v>
      </c>
      <c r="G3661">
        <v>38.85</v>
      </c>
    </row>
    <row r="3662" spans="2:7" hidden="1">
      <c r="B3662" s="43">
        <v>44404</v>
      </c>
      <c r="C3662" t="s">
        <v>130</v>
      </c>
      <c r="D3662" s="48">
        <v>44469</v>
      </c>
      <c r="E3662">
        <v>415</v>
      </c>
      <c r="F3662" t="s">
        <v>514</v>
      </c>
      <c r="G3662">
        <v>45.25</v>
      </c>
    </row>
    <row r="3663" spans="2:7" hidden="1">
      <c r="B3663" s="43">
        <v>44404</v>
      </c>
      <c r="C3663" t="s">
        <v>130</v>
      </c>
      <c r="D3663" s="48">
        <v>44469</v>
      </c>
      <c r="E3663">
        <v>415</v>
      </c>
      <c r="F3663" t="s">
        <v>515</v>
      </c>
      <c r="G3663">
        <v>38.85</v>
      </c>
    </row>
    <row r="3664" spans="2:7" hidden="1">
      <c r="B3664" s="43">
        <v>44405</v>
      </c>
      <c r="C3664" t="s">
        <v>130</v>
      </c>
      <c r="D3664" s="48">
        <v>44469</v>
      </c>
      <c r="E3664">
        <v>415</v>
      </c>
      <c r="F3664" t="s">
        <v>514</v>
      </c>
      <c r="G3664">
        <v>45.25</v>
      </c>
    </row>
    <row r="3665" spans="2:7" hidden="1">
      <c r="B3665" s="43">
        <v>44405</v>
      </c>
      <c r="C3665" t="s">
        <v>130</v>
      </c>
      <c r="D3665" s="48">
        <v>44469</v>
      </c>
      <c r="E3665">
        <v>415</v>
      </c>
      <c r="F3665" t="s">
        <v>515</v>
      </c>
      <c r="G3665">
        <v>38.85</v>
      </c>
    </row>
    <row r="3666" spans="2:7" hidden="1">
      <c r="B3666" s="43">
        <v>44406</v>
      </c>
      <c r="C3666" t="s">
        <v>130</v>
      </c>
      <c r="D3666" s="48">
        <v>44469</v>
      </c>
      <c r="E3666">
        <v>415</v>
      </c>
      <c r="F3666" t="s">
        <v>514</v>
      </c>
      <c r="G3666">
        <v>45.25</v>
      </c>
    </row>
    <row r="3667" spans="2:7" hidden="1">
      <c r="B3667" s="43">
        <v>44406</v>
      </c>
      <c r="C3667" t="s">
        <v>130</v>
      </c>
      <c r="D3667" s="48">
        <v>44469</v>
      </c>
      <c r="E3667">
        <v>415</v>
      </c>
      <c r="F3667" t="s">
        <v>515</v>
      </c>
      <c r="G3667">
        <v>38.85</v>
      </c>
    </row>
    <row r="3668" spans="2:7" hidden="1">
      <c r="B3668" s="43">
        <v>44407</v>
      </c>
      <c r="C3668" t="s">
        <v>130</v>
      </c>
      <c r="D3668" s="48">
        <v>44469</v>
      </c>
      <c r="E3668">
        <v>415</v>
      </c>
      <c r="F3668" t="s">
        <v>514</v>
      </c>
      <c r="G3668">
        <v>45.25</v>
      </c>
    </row>
    <row r="3669" spans="2:7" hidden="1">
      <c r="B3669" s="43">
        <v>44407</v>
      </c>
      <c r="C3669" t="s">
        <v>130</v>
      </c>
      <c r="D3669" s="48">
        <v>44469</v>
      </c>
      <c r="E3669">
        <v>415</v>
      </c>
      <c r="F3669" t="s">
        <v>515</v>
      </c>
      <c r="G3669">
        <v>38.85</v>
      </c>
    </row>
    <row r="3670" spans="2:7" hidden="1">
      <c r="B3670" s="43">
        <v>44403</v>
      </c>
      <c r="C3670" t="s">
        <v>130</v>
      </c>
      <c r="D3670" s="48">
        <v>44469</v>
      </c>
      <c r="E3670">
        <v>420</v>
      </c>
      <c r="F3670" t="s">
        <v>514</v>
      </c>
      <c r="G3670">
        <v>25.1</v>
      </c>
    </row>
    <row r="3671" spans="2:7" hidden="1">
      <c r="B3671" s="43">
        <v>44403</v>
      </c>
      <c r="C3671" t="s">
        <v>130</v>
      </c>
      <c r="D3671" s="48">
        <v>44469</v>
      </c>
      <c r="E3671">
        <v>420</v>
      </c>
      <c r="F3671" t="s">
        <v>515</v>
      </c>
      <c r="G3671">
        <v>15.5</v>
      </c>
    </row>
    <row r="3672" spans="2:7" hidden="1">
      <c r="B3672" s="43">
        <v>44404</v>
      </c>
      <c r="C3672" t="s">
        <v>130</v>
      </c>
      <c r="D3672" s="48">
        <v>44469</v>
      </c>
      <c r="E3672">
        <v>420</v>
      </c>
      <c r="F3672" t="s">
        <v>514</v>
      </c>
      <c r="G3672">
        <v>25.8</v>
      </c>
    </row>
    <row r="3673" spans="2:7" hidden="1">
      <c r="B3673" s="43">
        <v>44404</v>
      </c>
      <c r="C3673" t="s">
        <v>130</v>
      </c>
      <c r="D3673" s="48">
        <v>44469</v>
      </c>
      <c r="E3673">
        <v>420</v>
      </c>
      <c r="F3673" t="s">
        <v>515</v>
      </c>
      <c r="G3673">
        <v>14.15</v>
      </c>
    </row>
    <row r="3674" spans="2:7" hidden="1">
      <c r="B3674" s="43">
        <v>44405</v>
      </c>
      <c r="C3674" t="s">
        <v>130</v>
      </c>
      <c r="D3674" s="48">
        <v>44469</v>
      </c>
      <c r="E3674">
        <v>420</v>
      </c>
      <c r="F3674" t="s">
        <v>514</v>
      </c>
      <c r="G3674">
        <v>25</v>
      </c>
    </row>
    <row r="3675" spans="2:7" hidden="1">
      <c r="B3675" s="43">
        <v>44405</v>
      </c>
      <c r="C3675" t="s">
        <v>130</v>
      </c>
      <c r="D3675" s="48">
        <v>44469</v>
      </c>
      <c r="E3675">
        <v>420</v>
      </c>
      <c r="F3675" t="s">
        <v>515</v>
      </c>
      <c r="G3675">
        <v>13.8</v>
      </c>
    </row>
    <row r="3676" spans="2:7" hidden="1">
      <c r="B3676" s="43">
        <v>44406</v>
      </c>
      <c r="C3676" t="s">
        <v>130</v>
      </c>
      <c r="D3676" s="48">
        <v>44469</v>
      </c>
      <c r="E3676">
        <v>420</v>
      </c>
      <c r="F3676" t="s">
        <v>514</v>
      </c>
      <c r="G3676">
        <v>28</v>
      </c>
    </row>
    <row r="3677" spans="2:7" hidden="1">
      <c r="B3677" s="43">
        <v>44406</v>
      </c>
      <c r="C3677" t="s">
        <v>130</v>
      </c>
      <c r="D3677" s="48">
        <v>44469</v>
      </c>
      <c r="E3677">
        <v>420</v>
      </c>
      <c r="F3677" t="s">
        <v>515</v>
      </c>
      <c r="G3677">
        <v>11.5</v>
      </c>
    </row>
    <row r="3678" spans="2:7" hidden="1">
      <c r="B3678" s="43">
        <v>44407</v>
      </c>
      <c r="C3678" t="s">
        <v>130</v>
      </c>
      <c r="D3678" s="48">
        <v>44469</v>
      </c>
      <c r="E3678">
        <v>420</v>
      </c>
      <c r="F3678" t="s">
        <v>514</v>
      </c>
      <c r="G3678">
        <v>30.3</v>
      </c>
    </row>
    <row r="3679" spans="2:7" hidden="1">
      <c r="B3679" s="43">
        <v>44407</v>
      </c>
      <c r="C3679" t="s">
        <v>130</v>
      </c>
      <c r="D3679" s="48">
        <v>44469</v>
      </c>
      <c r="E3679">
        <v>420</v>
      </c>
      <c r="F3679" t="s">
        <v>515</v>
      </c>
      <c r="G3679">
        <v>14.9</v>
      </c>
    </row>
    <row r="3680" spans="2:7" hidden="1">
      <c r="B3680" s="43">
        <v>44403</v>
      </c>
      <c r="C3680" t="s">
        <v>130</v>
      </c>
      <c r="D3680" s="48">
        <v>44469</v>
      </c>
      <c r="E3680">
        <v>425</v>
      </c>
      <c r="F3680" t="s">
        <v>514</v>
      </c>
      <c r="G3680">
        <v>40.75</v>
      </c>
    </row>
    <row r="3681" spans="2:7" hidden="1">
      <c r="B3681" s="43">
        <v>44403</v>
      </c>
      <c r="C3681" t="s">
        <v>130</v>
      </c>
      <c r="D3681" s="48">
        <v>44469</v>
      </c>
      <c r="E3681">
        <v>425</v>
      </c>
      <c r="F3681" t="s">
        <v>515</v>
      </c>
      <c r="G3681">
        <v>44.25</v>
      </c>
    </row>
    <row r="3682" spans="2:7" hidden="1">
      <c r="B3682" s="43">
        <v>44404</v>
      </c>
      <c r="C3682" t="s">
        <v>130</v>
      </c>
      <c r="D3682" s="48">
        <v>44469</v>
      </c>
      <c r="E3682">
        <v>425</v>
      </c>
      <c r="F3682" t="s">
        <v>514</v>
      </c>
      <c r="G3682">
        <v>40.75</v>
      </c>
    </row>
    <row r="3683" spans="2:7" hidden="1">
      <c r="B3683" s="43">
        <v>44404</v>
      </c>
      <c r="C3683" t="s">
        <v>130</v>
      </c>
      <c r="D3683" s="48">
        <v>44469</v>
      </c>
      <c r="E3683">
        <v>425</v>
      </c>
      <c r="F3683" t="s">
        <v>515</v>
      </c>
      <c r="G3683">
        <v>44.25</v>
      </c>
    </row>
    <row r="3684" spans="2:7" hidden="1">
      <c r="B3684" s="43">
        <v>44405</v>
      </c>
      <c r="C3684" t="s">
        <v>130</v>
      </c>
      <c r="D3684" s="48">
        <v>44469</v>
      </c>
      <c r="E3684">
        <v>425</v>
      </c>
      <c r="F3684" t="s">
        <v>514</v>
      </c>
      <c r="G3684">
        <v>40.75</v>
      </c>
    </row>
    <row r="3685" spans="2:7" hidden="1">
      <c r="B3685" s="43">
        <v>44405</v>
      </c>
      <c r="C3685" t="s">
        <v>130</v>
      </c>
      <c r="D3685" s="48">
        <v>44469</v>
      </c>
      <c r="E3685">
        <v>425</v>
      </c>
      <c r="F3685" t="s">
        <v>515</v>
      </c>
      <c r="G3685">
        <v>44.25</v>
      </c>
    </row>
    <row r="3686" spans="2:7" hidden="1">
      <c r="B3686" s="43">
        <v>44406</v>
      </c>
      <c r="C3686" t="s">
        <v>130</v>
      </c>
      <c r="D3686" s="48">
        <v>44469</v>
      </c>
      <c r="E3686">
        <v>425</v>
      </c>
      <c r="F3686" t="s">
        <v>514</v>
      </c>
      <c r="G3686">
        <v>40.75</v>
      </c>
    </row>
    <row r="3687" spans="2:7" hidden="1">
      <c r="B3687" s="43">
        <v>44406</v>
      </c>
      <c r="C3687" t="s">
        <v>130</v>
      </c>
      <c r="D3687" s="48">
        <v>44469</v>
      </c>
      <c r="E3687">
        <v>425</v>
      </c>
      <c r="F3687" t="s">
        <v>515</v>
      </c>
      <c r="G3687">
        <v>44.25</v>
      </c>
    </row>
    <row r="3688" spans="2:7" hidden="1">
      <c r="B3688" s="43">
        <v>44407</v>
      </c>
      <c r="C3688" t="s">
        <v>130</v>
      </c>
      <c r="D3688" s="48">
        <v>44469</v>
      </c>
      <c r="E3688">
        <v>425</v>
      </c>
      <c r="F3688" t="s">
        <v>514</v>
      </c>
      <c r="G3688">
        <v>40.75</v>
      </c>
    </row>
    <row r="3689" spans="2:7" hidden="1">
      <c r="B3689" s="43">
        <v>44407</v>
      </c>
      <c r="C3689" t="s">
        <v>130</v>
      </c>
      <c r="D3689" s="48">
        <v>44469</v>
      </c>
      <c r="E3689">
        <v>425</v>
      </c>
      <c r="F3689" t="s">
        <v>515</v>
      </c>
      <c r="G3689">
        <v>44.25</v>
      </c>
    </row>
    <row r="3690" spans="2:7" hidden="1">
      <c r="B3690" s="43">
        <v>44403</v>
      </c>
      <c r="C3690" t="s">
        <v>130</v>
      </c>
      <c r="D3690" s="48">
        <v>44469</v>
      </c>
      <c r="E3690">
        <v>430</v>
      </c>
      <c r="F3690" t="s">
        <v>514</v>
      </c>
      <c r="G3690">
        <v>20.75</v>
      </c>
    </row>
    <row r="3691" spans="2:7" hidden="1">
      <c r="B3691" s="43">
        <v>44403</v>
      </c>
      <c r="C3691" t="s">
        <v>130</v>
      </c>
      <c r="D3691" s="48">
        <v>44469</v>
      </c>
      <c r="E3691">
        <v>430</v>
      </c>
      <c r="F3691" t="s">
        <v>515</v>
      </c>
      <c r="G3691">
        <v>20.8</v>
      </c>
    </row>
    <row r="3692" spans="2:7" hidden="1">
      <c r="B3692" s="43">
        <v>44404</v>
      </c>
      <c r="C3692" t="s">
        <v>130</v>
      </c>
      <c r="D3692" s="48">
        <v>44469</v>
      </c>
      <c r="E3692">
        <v>430</v>
      </c>
      <c r="F3692" t="s">
        <v>514</v>
      </c>
      <c r="G3692">
        <v>22.8</v>
      </c>
    </row>
    <row r="3693" spans="2:7" hidden="1">
      <c r="B3693" s="43">
        <v>44404</v>
      </c>
      <c r="C3693" t="s">
        <v>130</v>
      </c>
      <c r="D3693" s="48">
        <v>44469</v>
      </c>
      <c r="E3693">
        <v>430</v>
      </c>
      <c r="F3693" t="s">
        <v>515</v>
      </c>
      <c r="G3693">
        <v>20.8</v>
      </c>
    </row>
    <row r="3694" spans="2:7" hidden="1">
      <c r="B3694" s="43">
        <v>44405</v>
      </c>
      <c r="C3694" t="s">
        <v>130</v>
      </c>
      <c r="D3694" s="48">
        <v>44469</v>
      </c>
      <c r="E3694">
        <v>430</v>
      </c>
      <c r="F3694" t="s">
        <v>514</v>
      </c>
      <c r="G3694">
        <v>20.55</v>
      </c>
    </row>
    <row r="3695" spans="2:7" hidden="1">
      <c r="B3695" s="43">
        <v>44405</v>
      </c>
      <c r="C3695" t="s">
        <v>130</v>
      </c>
      <c r="D3695" s="48">
        <v>44469</v>
      </c>
      <c r="E3695">
        <v>430</v>
      </c>
      <c r="F3695" t="s">
        <v>515</v>
      </c>
      <c r="G3695">
        <v>21.2</v>
      </c>
    </row>
    <row r="3696" spans="2:7" hidden="1">
      <c r="B3696" s="43">
        <v>44406</v>
      </c>
      <c r="C3696" t="s">
        <v>130</v>
      </c>
      <c r="D3696" s="48">
        <v>44469</v>
      </c>
      <c r="E3696">
        <v>430</v>
      </c>
      <c r="F3696" t="s">
        <v>514</v>
      </c>
      <c r="G3696">
        <v>30.45</v>
      </c>
    </row>
    <row r="3697" spans="2:7" hidden="1">
      <c r="B3697" s="43">
        <v>44406</v>
      </c>
      <c r="C3697" t="s">
        <v>130</v>
      </c>
      <c r="D3697" s="48">
        <v>44469</v>
      </c>
      <c r="E3697">
        <v>430</v>
      </c>
      <c r="F3697" t="s">
        <v>515</v>
      </c>
      <c r="G3697">
        <v>15.4</v>
      </c>
    </row>
    <row r="3698" spans="2:7" hidden="1">
      <c r="B3698" s="43">
        <v>44407</v>
      </c>
      <c r="C3698" t="s">
        <v>130</v>
      </c>
      <c r="D3698" s="48">
        <v>44469</v>
      </c>
      <c r="E3698">
        <v>430</v>
      </c>
      <c r="F3698" t="s">
        <v>514</v>
      </c>
      <c r="G3698">
        <v>25.15</v>
      </c>
    </row>
    <row r="3699" spans="2:7" hidden="1">
      <c r="B3699" s="43">
        <v>44407</v>
      </c>
      <c r="C3699" t="s">
        <v>130</v>
      </c>
      <c r="D3699" s="48">
        <v>44469</v>
      </c>
      <c r="E3699">
        <v>430</v>
      </c>
      <c r="F3699" t="s">
        <v>515</v>
      </c>
      <c r="G3699">
        <v>18.95</v>
      </c>
    </row>
    <row r="3700" spans="2:7" hidden="1">
      <c r="B3700" s="43">
        <v>44403</v>
      </c>
      <c r="C3700" t="s">
        <v>130</v>
      </c>
      <c r="D3700" s="48">
        <v>44469</v>
      </c>
      <c r="E3700">
        <v>435</v>
      </c>
      <c r="F3700" t="s">
        <v>514</v>
      </c>
      <c r="G3700">
        <v>36.6</v>
      </c>
    </row>
    <row r="3701" spans="2:7" hidden="1">
      <c r="B3701" s="43">
        <v>44403</v>
      </c>
      <c r="C3701" t="s">
        <v>130</v>
      </c>
      <c r="D3701" s="48">
        <v>44469</v>
      </c>
      <c r="E3701">
        <v>435</v>
      </c>
      <c r="F3701" t="s">
        <v>515</v>
      </c>
      <c r="G3701">
        <v>50</v>
      </c>
    </row>
    <row r="3702" spans="2:7" hidden="1">
      <c r="B3702" s="43">
        <v>44404</v>
      </c>
      <c r="C3702" t="s">
        <v>130</v>
      </c>
      <c r="D3702" s="48">
        <v>44469</v>
      </c>
      <c r="E3702">
        <v>435</v>
      </c>
      <c r="F3702" t="s">
        <v>514</v>
      </c>
      <c r="G3702">
        <v>36.6</v>
      </c>
    </row>
    <row r="3703" spans="2:7" hidden="1">
      <c r="B3703" s="43">
        <v>44404</v>
      </c>
      <c r="C3703" t="s">
        <v>130</v>
      </c>
      <c r="D3703" s="48">
        <v>44469</v>
      </c>
      <c r="E3703">
        <v>435</v>
      </c>
      <c r="F3703" t="s">
        <v>515</v>
      </c>
      <c r="G3703">
        <v>50</v>
      </c>
    </row>
    <row r="3704" spans="2:7" hidden="1">
      <c r="B3704" s="43">
        <v>44405</v>
      </c>
      <c r="C3704" t="s">
        <v>130</v>
      </c>
      <c r="D3704" s="48">
        <v>44469</v>
      </c>
      <c r="E3704">
        <v>435</v>
      </c>
      <c r="F3704" t="s">
        <v>514</v>
      </c>
      <c r="G3704">
        <v>36.6</v>
      </c>
    </row>
    <row r="3705" spans="2:7" hidden="1">
      <c r="B3705" s="43">
        <v>44405</v>
      </c>
      <c r="C3705" t="s">
        <v>130</v>
      </c>
      <c r="D3705" s="48">
        <v>44469</v>
      </c>
      <c r="E3705">
        <v>435</v>
      </c>
      <c r="F3705" t="s">
        <v>515</v>
      </c>
      <c r="G3705">
        <v>50</v>
      </c>
    </row>
    <row r="3706" spans="2:7" hidden="1">
      <c r="B3706" s="43">
        <v>44406</v>
      </c>
      <c r="C3706" t="s">
        <v>130</v>
      </c>
      <c r="D3706" s="48">
        <v>44469</v>
      </c>
      <c r="E3706">
        <v>435</v>
      </c>
      <c r="F3706" t="s">
        <v>514</v>
      </c>
      <c r="G3706">
        <v>36.6</v>
      </c>
    </row>
    <row r="3707" spans="2:7" hidden="1">
      <c r="B3707" s="43">
        <v>44406</v>
      </c>
      <c r="C3707" t="s">
        <v>130</v>
      </c>
      <c r="D3707" s="48">
        <v>44469</v>
      </c>
      <c r="E3707">
        <v>435</v>
      </c>
      <c r="F3707" t="s">
        <v>515</v>
      </c>
      <c r="G3707">
        <v>50</v>
      </c>
    </row>
    <row r="3708" spans="2:7" hidden="1">
      <c r="B3708" s="43">
        <v>44407</v>
      </c>
      <c r="C3708" t="s">
        <v>130</v>
      </c>
      <c r="D3708" s="48">
        <v>44469</v>
      </c>
      <c r="E3708">
        <v>435</v>
      </c>
      <c r="F3708" t="s">
        <v>514</v>
      </c>
      <c r="G3708">
        <v>36.6</v>
      </c>
    </row>
    <row r="3709" spans="2:7" hidden="1">
      <c r="B3709" s="43">
        <v>44407</v>
      </c>
      <c r="C3709" t="s">
        <v>130</v>
      </c>
      <c r="D3709" s="48">
        <v>44469</v>
      </c>
      <c r="E3709">
        <v>435</v>
      </c>
      <c r="F3709" t="s">
        <v>515</v>
      </c>
      <c r="G3709">
        <v>50</v>
      </c>
    </row>
    <row r="3710" spans="2:7" hidden="1">
      <c r="B3710" s="43">
        <v>44403</v>
      </c>
      <c r="C3710" t="s">
        <v>130</v>
      </c>
      <c r="D3710" s="48">
        <v>44469</v>
      </c>
      <c r="E3710">
        <v>440</v>
      </c>
      <c r="F3710" t="s">
        <v>514</v>
      </c>
      <c r="G3710">
        <v>20.05</v>
      </c>
    </row>
    <row r="3711" spans="2:7" hidden="1">
      <c r="B3711" s="43">
        <v>44403</v>
      </c>
      <c r="C3711" t="s">
        <v>130</v>
      </c>
      <c r="D3711" s="48">
        <v>44469</v>
      </c>
      <c r="E3711">
        <v>440</v>
      </c>
      <c r="F3711" t="s">
        <v>515</v>
      </c>
      <c r="G3711">
        <v>53</v>
      </c>
    </row>
    <row r="3712" spans="2:7" hidden="1">
      <c r="B3712" s="43">
        <v>44404</v>
      </c>
      <c r="C3712" t="s">
        <v>130</v>
      </c>
      <c r="D3712" s="48">
        <v>44469</v>
      </c>
      <c r="E3712">
        <v>440</v>
      </c>
      <c r="F3712" t="s">
        <v>514</v>
      </c>
      <c r="G3712">
        <v>20.05</v>
      </c>
    </row>
    <row r="3713" spans="2:7" hidden="1">
      <c r="B3713" s="43">
        <v>44404</v>
      </c>
      <c r="C3713" t="s">
        <v>130</v>
      </c>
      <c r="D3713" s="48">
        <v>44469</v>
      </c>
      <c r="E3713">
        <v>440</v>
      </c>
      <c r="F3713" t="s">
        <v>515</v>
      </c>
      <c r="G3713">
        <v>53</v>
      </c>
    </row>
    <row r="3714" spans="2:7" hidden="1">
      <c r="B3714" s="43">
        <v>44405</v>
      </c>
      <c r="C3714" t="s">
        <v>130</v>
      </c>
      <c r="D3714" s="48">
        <v>44469</v>
      </c>
      <c r="E3714">
        <v>440</v>
      </c>
      <c r="F3714" t="s">
        <v>514</v>
      </c>
      <c r="G3714">
        <v>20.05</v>
      </c>
    </row>
    <row r="3715" spans="2:7" hidden="1">
      <c r="B3715" s="43">
        <v>44405</v>
      </c>
      <c r="C3715" t="s">
        <v>130</v>
      </c>
      <c r="D3715" s="48">
        <v>44469</v>
      </c>
      <c r="E3715">
        <v>440</v>
      </c>
      <c r="F3715" t="s">
        <v>515</v>
      </c>
      <c r="G3715">
        <v>53</v>
      </c>
    </row>
    <row r="3716" spans="2:7" hidden="1">
      <c r="B3716" s="43">
        <v>44406</v>
      </c>
      <c r="C3716" t="s">
        <v>130</v>
      </c>
      <c r="D3716" s="48">
        <v>44469</v>
      </c>
      <c r="E3716">
        <v>440</v>
      </c>
      <c r="F3716" t="s">
        <v>514</v>
      </c>
      <c r="G3716">
        <v>24.85</v>
      </c>
    </row>
    <row r="3717" spans="2:7" hidden="1">
      <c r="B3717" s="43">
        <v>44406</v>
      </c>
      <c r="C3717" t="s">
        <v>130</v>
      </c>
      <c r="D3717" s="48">
        <v>44469</v>
      </c>
      <c r="E3717">
        <v>440</v>
      </c>
      <c r="F3717" t="s">
        <v>515</v>
      </c>
      <c r="G3717">
        <v>53</v>
      </c>
    </row>
    <row r="3718" spans="2:7" hidden="1">
      <c r="B3718" s="43">
        <v>44407</v>
      </c>
      <c r="C3718" t="s">
        <v>130</v>
      </c>
      <c r="D3718" s="48">
        <v>44469</v>
      </c>
      <c r="E3718">
        <v>440</v>
      </c>
      <c r="F3718" t="s">
        <v>514</v>
      </c>
      <c r="G3718">
        <v>21.3</v>
      </c>
    </row>
    <row r="3719" spans="2:7" hidden="1">
      <c r="B3719" s="43">
        <v>44407</v>
      </c>
      <c r="C3719" t="s">
        <v>130</v>
      </c>
      <c r="D3719" s="48">
        <v>44469</v>
      </c>
      <c r="E3719">
        <v>440</v>
      </c>
      <c r="F3719" t="s">
        <v>515</v>
      </c>
      <c r="G3719">
        <v>53</v>
      </c>
    </row>
    <row r="3720" spans="2:7" hidden="1">
      <c r="B3720" s="43">
        <v>44403</v>
      </c>
      <c r="C3720" t="s">
        <v>130</v>
      </c>
      <c r="D3720" s="48">
        <v>44469</v>
      </c>
      <c r="E3720">
        <v>445</v>
      </c>
      <c r="F3720" t="s">
        <v>514</v>
      </c>
      <c r="G3720">
        <v>32.799999999999997</v>
      </c>
    </row>
    <row r="3721" spans="2:7" hidden="1">
      <c r="B3721" s="43">
        <v>44403</v>
      </c>
      <c r="C3721" t="s">
        <v>130</v>
      </c>
      <c r="D3721" s="48">
        <v>44469</v>
      </c>
      <c r="E3721">
        <v>445</v>
      </c>
      <c r="F3721" t="s">
        <v>515</v>
      </c>
      <c r="G3721">
        <v>56.1</v>
      </c>
    </row>
    <row r="3722" spans="2:7" hidden="1">
      <c r="B3722" s="43">
        <v>44404</v>
      </c>
      <c r="C3722" t="s">
        <v>130</v>
      </c>
      <c r="D3722" s="48">
        <v>44469</v>
      </c>
      <c r="E3722">
        <v>445</v>
      </c>
      <c r="F3722" t="s">
        <v>514</v>
      </c>
      <c r="G3722">
        <v>32.799999999999997</v>
      </c>
    </row>
    <row r="3723" spans="2:7" hidden="1">
      <c r="B3723" s="43">
        <v>44404</v>
      </c>
      <c r="C3723" t="s">
        <v>130</v>
      </c>
      <c r="D3723" s="48">
        <v>44469</v>
      </c>
      <c r="E3723">
        <v>445</v>
      </c>
      <c r="F3723" t="s">
        <v>515</v>
      </c>
      <c r="G3723">
        <v>56.1</v>
      </c>
    </row>
    <row r="3724" spans="2:7" hidden="1">
      <c r="B3724" s="43">
        <v>44405</v>
      </c>
      <c r="C3724" t="s">
        <v>130</v>
      </c>
      <c r="D3724" s="48">
        <v>44469</v>
      </c>
      <c r="E3724">
        <v>445</v>
      </c>
      <c r="F3724" t="s">
        <v>514</v>
      </c>
      <c r="G3724">
        <v>32.799999999999997</v>
      </c>
    </row>
    <row r="3725" spans="2:7" hidden="1">
      <c r="B3725" s="43">
        <v>44405</v>
      </c>
      <c r="C3725" t="s">
        <v>130</v>
      </c>
      <c r="D3725" s="48">
        <v>44469</v>
      </c>
      <c r="E3725">
        <v>445</v>
      </c>
      <c r="F3725" t="s">
        <v>515</v>
      </c>
      <c r="G3725">
        <v>56.1</v>
      </c>
    </row>
    <row r="3726" spans="2:7" hidden="1">
      <c r="B3726" s="43">
        <v>44406</v>
      </c>
      <c r="C3726" t="s">
        <v>130</v>
      </c>
      <c r="D3726" s="48">
        <v>44469</v>
      </c>
      <c r="E3726">
        <v>445</v>
      </c>
      <c r="F3726" t="s">
        <v>514</v>
      </c>
      <c r="G3726">
        <v>32.799999999999997</v>
      </c>
    </row>
    <row r="3727" spans="2:7" hidden="1">
      <c r="B3727" s="43">
        <v>44406</v>
      </c>
      <c r="C3727" t="s">
        <v>130</v>
      </c>
      <c r="D3727" s="48">
        <v>44469</v>
      </c>
      <c r="E3727">
        <v>445</v>
      </c>
      <c r="F3727" t="s">
        <v>515</v>
      </c>
      <c r="G3727">
        <v>56.1</v>
      </c>
    </row>
    <row r="3728" spans="2:7" hidden="1">
      <c r="B3728" s="43">
        <v>44407</v>
      </c>
      <c r="C3728" t="s">
        <v>130</v>
      </c>
      <c r="D3728" s="48">
        <v>44469</v>
      </c>
      <c r="E3728">
        <v>445</v>
      </c>
      <c r="F3728" t="s">
        <v>514</v>
      </c>
      <c r="G3728">
        <v>32.799999999999997</v>
      </c>
    </row>
    <row r="3729" spans="2:7" hidden="1">
      <c r="B3729" s="43">
        <v>44407</v>
      </c>
      <c r="C3729" t="s">
        <v>130</v>
      </c>
      <c r="D3729" s="48">
        <v>44469</v>
      </c>
      <c r="E3729">
        <v>445</v>
      </c>
      <c r="F3729" t="s">
        <v>515</v>
      </c>
      <c r="G3729">
        <v>56.1</v>
      </c>
    </row>
    <row r="3730" spans="2:7" hidden="1">
      <c r="B3730" s="43">
        <v>44403</v>
      </c>
      <c r="C3730" t="s">
        <v>130</v>
      </c>
      <c r="D3730" s="48">
        <v>44469</v>
      </c>
      <c r="E3730">
        <v>450</v>
      </c>
      <c r="F3730" t="s">
        <v>514</v>
      </c>
      <c r="G3730">
        <v>13.2</v>
      </c>
    </row>
    <row r="3731" spans="2:7" hidden="1">
      <c r="B3731" s="43">
        <v>44403</v>
      </c>
      <c r="C3731" t="s">
        <v>130</v>
      </c>
      <c r="D3731" s="48">
        <v>44469</v>
      </c>
      <c r="E3731">
        <v>450</v>
      </c>
      <c r="F3731" t="s">
        <v>515</v>
      </c>
      <c r="G3731">
        <v>59.3</v>
      </c>
    </row>
    <row r="3732" spans="2:7" hidden="1">
      <c r="B3732" s="43">
        <v>44404</v>
      </c>
      <c r="C3732" t="s">
        <v>130</v>
      </c>
      <c r="D3732" s="48">
        <v>44469</v>
      </c>
      <c r="E3732">
        <v>450</v>
      </c>
      <c r="F3732" t="s">
        <v>514</v>
      </c>
      <c r="G3732">
        <v>14.5</v>
      </c>
    </row>
    <row r="3733" spans="2:7" hidden="1">
      <c r="B3733" s="43">
        <v>44404</v>
      </c>
      <c r="C3733" t="s">
        <v>130</v>
      </c>
      <c r="D3733" s="48">
        <v>44469</v>
      </c>
      <c r="E3733">
        <v>450</v>
      </c>
      <c r="F3733" t="s">
        <v>515</v>
      </c>
      <c r="G3733">
        <v>59.3</v>
      </c>
    </row>
    <row r="3734" spans="2:7" hidden="1">
      <c r="B3734" s="43">
        <v>44405</v>
      </c>
      <c r="C3734" t="s">
        <v>130</v>
      </c>
      <c r="D3734" s="48">
        <v>44469</v>
      </c>
      <c r="E3734">
        <v>450</v>
      </c>
      <c r="F3734" t="s">
        <v>514</v>
      </c>
      <c r="G3734">
        <v>14</v>
      </c>
    </row>
    <row r="3735" spans="2:7" hidden="1">
      <c r="B3735" s="43">
        <v>44405</v>
      </c>
      <c r="C3735" t="s">
        <v>130</v>
      </c>
      <c r="D3735" s="48">
        <v>44469</v>
      </c>
      <c r="E3735">
        <v>450</v>
      </c>
      <c r="F3735" t="s">
        <v>515</v>
      </c>
      <c r="G3735">
        <v>59.3</v>
      </c>
    </row>
    <row r="3736" spans="2:7" hidden="1">
      <c r="B3736" s="43">
        <v>44406</v>
      </c>
      <c r="C3736" t="s">
        <v>130</v>
      </c>
      <c r="D3736" s="48">
        <v>44469</v>
      </c>
      <c r="E3736">
        <v>450</v>
      </c>
      <c r="F3736" t="s">
        <v>514</v>
      </c>
      <c r="G3736">
        <v>20.45</v>
      </c>
    </row>
    <row r="3737" spans="2:7" hidden="1">
      <c r="B3737" s="43">
        <v>44406</v>
      </c>
      <c r="C3737" t="s">
        <v>130</v>
      </c>
      <c r="D3737" s="48">
        <v>44469</v>
      </c>
      <c r="E3737">
        <v>450</v>
      </c>
      <c r="F3737" t="s">
        <v>515</v>
      </c>
      <c r="G3737">
        <v>59.3</v>
      </c>
    </row>
    <row r="3738" spans="2:7" hidden="1">
      <c r="B3738" s="43">
        <v>44407</v>
      </c>
      <c r="C3738" t="s">
        <v>130</v>
      </c>
      <c r="D3738" s="48">
        <v>44469</v>
      </c>
      <c r="E3738">
        <v>450</v>
      </c>
      <c r="F3738" t="s">
        <v>514</v>
      </c>
      <c r="G3738">
        <v>17.149999999999999</v>
      </c>
    </row>
    <row r="3739" spans="2:7" hidden="1">
      <c r="B3739" s="43">
        <v>44407</v>
      </c>
      <c r="C3739" t="s">
        <v>130</v>
      </c>
      <c r="D3739" s="48">
        <v>44469</v>
      </c>
      <c r="E3739">
        <v>450</v>
      </c>
      <c r="F3739" t="s">
        <v>515</v>
      </c>
      <c r="G3739">
        <v>59.3</v>
      </c>
    </row>
    <row r="3740" spans="2:7" hidden="1">
      <c r="B3740" s="43">
        <v>44403</v>
      </c>
      <c r="C3740" t="s">
        <v>130</v>
      </c>
      <c r="D3740" s="48">
        <v>44469</v>
      </c>
      <c r="E3740">
        <v>455</v>
      </c>
      <c r="F3740" t="s">
        <v>514</v>
      </c>
      <c r="G3740">
        <v>29.35</v>
      </c>
    </row>
    <row r="3741" spans="2:7" hidden="1">
      <c r="B3741" s="43">
        <v>44403</v>
      </c>
      <c r="C3741" t="s">
        <v>130</v>
      </c>
      <c r="D3741" s="48">
        <v>44469</v>
      </c>
      <c r="E3741">
        <v>455</v>
      </c>
      <c r="F3741" t="s">
        <v>515</v>
      </c>
      <c r="G3741">
        <v>62.55</v>
      </c>
    </row>
    <row r="3742" spans="2:7" hidden="1">
      <c r="B3742" s="43">
        <v>44404</v>
      </c>
      <c r="C3742" t="s">
        <v>130</v>
      </c>
      <c r="D3742" s="48">
        <v>44469</v>
      </c>
      <c r="E3742">
        <v>455</v>
      </c>
      <c r="F3742" t="s">
        <v>514</v>
      </c>
      <c r="G3742">
        <v>29.35</v>
      </c>
    </row>
    <row r="3743" spans="2:7" hidden="1">
      <c r="B3743" s="43">
        <v>44404</v>
      </c>
      <c r="C3743" t="s">
        <v>130</v>
      </c>
      <c r="D3743" s="48">
        <v>44469</v>
      </c>
      <c r="E3743">
        <v>455</v>
      </c>
      <c r="F3743" t="s">
        <v>515</v>
      </c>
      <c r="G3743">
        <v>62.55</v>
      </c>
    </row>
    <row r="3744" spans="2:7" hidden="1">
      <c r="B3744" s="43">
        <v>44405</v>
      </c>
      <c r="C3744" t="s">
        <v>130</v>
      </c>
      <c r="D3744" s="48">
        <v>44469</v>
      </c>
      <c r="E3744">
        <v>455</v>
      </c>
      <c r="F3744" t="s">
        <v>514</v>
      </c>
      <c r="G3744">
        <v>29.35</v>
      </c>
    </row>
    <row r="3745" spans="2:7" hidden="1">
      <c r="B3745" s="43">
        <v>44405</v>
      </c>
      <c r="C3745" t="s">
        <v>130</v>
      </c>
      <c r="D3745" s="48">
        <v>44469</v>
      </c>
      <c r="E3745">
        <v>455</v>
      </c>
      <c r="F3745" t="s">
        <v>515</v>
      </c>
      <c r="G3745">
        <v>62.55</v>
      </c>
    </row>
    <row r="3746" spans="2:7" hidden="1">
      <c r="B3746" s="43">
        <v>44406</v>
      </c>
      <c r="C3746" t="s">
        <v>130</v>
      </c>
      <c r="D3746" s="48">
        <v>44469</v>
      </c>
      <c r="E3746">
        <v>455</v>
      </c>
      <c r="F3746" t="s">
        <v>514</v>
      </c>
      <c r="G3746">
        <v>29.35</v>
      </c>
    </row>
    <row r="3747" spans="2:7" hidden="1">
      <c r="B3747" s="43">
        <v>44406</v>
      </c>
      <c r="C3747" t="s">
        <v>130</v>
      </c>
      <c r="D3747" s="48">
        <v>44469</v>
      </c>
      <c r="E3747">
        <v>455</v>
      </c>
      <c r="F3747" t="s">
        <v>515</v>
      </c>
      <c r="G3747">
        <v>62.55</v>
      </c>
    </row>
    <row r="3748" spans="2:7" hidden="1">
      <c r="B3748" s="43">
        <v>44407</v>
      </c>
      <c r="C3748" t="s">
        <v>130</v>
      </c>
      <c r="D3748" s="48">
        <v>44469</v>
      </c>
      <c r="E3748">
        <v>455</v>
      </c>
      <c r="F3748" t="s">
        <v>514</v>
      </c>
      <c r="G3748">
        <v>29.35</v>
      </c>
    </row>
    <row r="3749" spans="2:7" hidden="1">
      <c r="B3749" s="43">
        <v>44407</v>
      </c>
      <c r="C3749" t="s">
        <v>130</v>
      </c>
      <c r="D3749" s="48">
        <v>44469</v>
      </c>
      <c r="E3749">
        <v>455</v>
      </c>
      <c r="F3749" t="s">
        <v>515</v>
      </c>
      <c r="G3749">
        <v>62.55</v>
      </c>
    </row>
    <row r="3750" spans="2:7" hidden="1">
      <c r="B3750" s="43">
        <v>44403</v>
      </c>
      <c r="C3750" t="s">
        <v>130</v>
      </c>
      <c r="D3750" s="48">
        <v>44469</v>
      </c>
      <c r="E3750">
        <v>460</v>
      </c>
      <c r="F3750" t="s">
        <v>514</v>
      </c>
      <c r="G3750">
        <v>27.7</v>
      </c>
    </row>
    <row r="3751" spans="2:7" hidden="1">
      <c r="B3751" s="43">
        <v>44403</v>
      </c>
      <c r="C3751" t="s">
        <v>130</v>
      </c>
      <c r="D3751" s="48">
        <v>44469</v>
      </c>
      <c r="E3751">
        <v>460</v>
      </c>
      <c r="F3751" t="s">
        <v>515</v>
      </c>
      <c r="G3751">
        <v>65.849999999999994</v>
      </c>
    </row>
    <row r="3752" spans="2:7" hidden="1">
      <c r="B3752" s="43">
        <v>44404</v>
      </c>
      <c r="C3752" t="s">
        <v>130</v>
      </c>
      <c r="D3752" s="48">
        <v>44469</v>
      </c>
      <c r="E3752">
        <v>460</v>
      </c>
      <c r="F3752" t="s">
        <v>514</v>
      </c>
      <c r="G3752">
        <v>27.7</v>
      </c>
    </row>
    <row r="3753" spans="2:7" hidden="1">
      <c r="B3753" s="43">
        <v>44404</v>
      </c>
      <c r="C3753" t="s">
        <v>130</v>
      </c>
      <c r="D3753" s="48">
        <v>44469</v>
      </c>
      <c r="E3753">
        <v>460</v>
      </c>
      <c r="F3753" t="s">
        <v>515</v>
      </c>
      <c r="G3753">
        <v>65.849999999999994</v>
      </c>
    </row>
    <row r="3754" spans="2:7" hidden="1">
      <c r="B3754" s="43">
        <v>44405</v>
      </c>
      <c r="C3754" t="s">
        <v>130</v>
      </c>
      <c r="D3754" s="48">
        <v>44469</v>
      </c>
      <c r="E3754">
        <v>460</v>
      </c>
      <c r="F3754" t="s">
        <v>514</v>
      </c>
      <c r="G3754">
        <v>27.7</v>
      </c>
    </row>
    <row r="3755" spans="2:7" hidden="1">
      <c r="B3755" s="43">
        <v>44405</v>
      </c>
      <c r="C3755" t="s">
        <v>130</v>
      </c>
      <c r="D3755" s="48">
        <v>44469</v>
      </c>
      <c r="E3755">
        <v>460</v>
      </c>
      <c r="F3755" t="s">
        <v>515</v>
      </c>
      <c r="G3755">
        <v>65.849999999999994</v>
      </c>
    </row>
    <row r="3756" spans="2:7" hidden="1">
      <c r="B3756" s="43">
        <v>44406</v>
      </c>
      <c r="C3756" t="s">
        <v>130</v>
      </c>
      <c r="D3756" s="48">
        <v>44469</v>
      </c>
      <c r="E3756">
        <v>460</v>
      </c>
      <c r="F3756" t="s">
        <v>514</v>
      </c>
      <c r="G3756">
        <v>15.8</v>
      </c>
    </row>
    <row r="3757" spans="2:7" hidden="1">
      <c r="B3757" s="43">
        <v>44406</v>
      </c>
      <c r="C3757" t="s">
        <v>130</v>
      </c>
      <c r="D3757" s="48">
        <v>44469</v>
      </c>
      <c r="E3757">
        <v>460</v>
      </c>
      <c r="F3757" t="s">
        <v>515</v>
      </c>
      <c r="G3757">
        <v>65.849999999999994</v>
      </c>
    </row>
    <row r="3758" spans="2:7" hidden="1">
      <c r="B3758" s="43">
        <v>44407</v>
      </c>
      <c r="C3758" t="s">
        <v>130</v>
      </c>
      <c r="D3758" s="48">
        <v>44469</v>
      </c>
      <c r="E3758">
        <v>460</v>
      </c>
      <c r="F3758" t="s">
        <v>514</v>
      </c>
      <c r="G3758">
        <v>15</v>
      </c>
    </row>
    <row r="3759" spans="2:7" hidden="1">
      <c r="B3759" s="43">
        <v>44407</v>
      </c>
      <c r="C3759" t="s">
        <v>130</v>
      </c>
      <c r="D3759" s="48">
        <v>44469</v>
      </c>
      <c r="E3759">
        <v>460</v>
      </c>
      <c r="F3759" t="s">
        <v>515</v>
      </c>
      <c r="G3759">
        <v>65.849999999999994</v>
      </c>
    </row>
    <row r="3760" spans="2:7" hidden="1">
      <c r="B3760" s="43">
        <v>44403</v>
      </c>
      <c r="C3760" t="s">
        <v>130</v>
      </c>
      <c r="D3760" s="48">
        <v>44469</v>
      </c>
      <c r="E3760">
        <v>465</v>
      </c>
      <c r="F3760" t="s">
        <v>514</v>
      </c>
      <c r="G3760">
        <v>26.2</v>
      </c>
    </row>
    <row r="3761" spans="2:7" hidden="1">
      <c r="B3761" s="43">
        <v>44403</v>
      </c>
      <c r="C3761" t="s">
        <v>130</v>
      </c>
      <c r="D3761" s="48">
        <v>44469</v>
      </c>
      <c r="E3761">
        <v>465</v>
      </c>
      <c r="F3761" t="s">
        <v>515</v>
      </c>
      <c r="G3761">
        <v>69.3</v>
      </c>
    </row>
    <row r="3762" spans="2:7" hidden="1">
      <c r="B3762" s="43">
        <v>44404</v>
      </c>
      <c r="C3762" t="s">
        <v>130</v>
      </c>
      <c r="D3762" s="48">
        <v>44469</v>
      </c>
      <c r="E3762">
        <v>465</v>
      </c>
      <c r="F3762" t="s">
        <v>514</v>
      </c>
      <c r="G3762">
        <v>26.2</v>
      </c>
    </row>
    <row r="3763" spans="2:7" hidden="1">
      <c r="B3763" s="43">
        <v>44404</v>
      </c>
      <c r="C3763" t="s">
        <v>130</v>
      </c>
      <c r="D3763" s="48">
        <v>44469</v>
      </c>
      <c r="E3763">
        <v>465</v>
      </c>
      <c r="F3763" t="s">
        <v>515</v>
      </c>
      <c r="G3763">
        <v>69.3</v>
      </c>
    </row>
    <row r="3764" spans="2:7" hidden="1">
      <c r="B3764" s="43">
        <v>44405</v>
      </c>
      <c r="C3764" t="s">
        <v>130</v>
      </c>
      <c r="D3764" s="48">
        <v>44469</v>
      </c>
      <c r="E3764">
        <v>465</v>
      </c>
      <c r="F3764" t="s">
        <v>514</v>
      </c>
      <c r="G3764">
        <v>26.2</v>
      </c>
    </row>
    <row r="3765" spans="2:7" hidden="1">
      <c r="B3765" s="43">
        <v>44405</v>
      </c>
      <c r="C3765" t="s">
        <v>130</v>
      </c>
      <c r="D3765" s="48">
        <v>44469</v>
      </c>
      <c r="E3765">
        <v>465</v>
      </c>
      <c r="F3765" t="s">
        <v>515</v>
      </c>
      <c r="G3765">
        <v>69.3</v>
      </c>
    </row>
    <row r="3766" spans="2:7" hidden="1">
      <c r="B3766" s="43">
        <v>44406</v>
      </c>
      <c r="C3766" t="s">
        <v>130</v>
      </c>
      <c r="D3766" s="48">
        <v>44469</v>
      </c>
      <c r="E3766">
        <v>465</v>
      </c>
      <c r="F3766" t="s">
        <v>514</v>
      </c>
      <c r="G3766">
        <v>26.2</v>
      </c>
    </row>
    <row r="3767" spans="2:7" hidden="1">
      <c r="B3767" s="43">
        <v>44406</v>
      </c>
      <c r="C3767" t="s">
        <v>130</v>
      </c>
      <c r="D3767" s="48">
        <v>44469</v>
      </c>
      <c r="E3767">
        <v>465</v>
      </c>
      <c r="F3767" t="s">
        <v>515</v>
      </c>
      <c r="G3767">
        <v>69.3</v>
      </c>
    </row>
    <row r="3768" spans="2:7" hidden="1">
      <c r="B3768" s="43">
        <v>44407</v>
      </c>
      <c r="C3768" t="s">
        <v>130</v>
      </c>
      <c r="D3768" s="48">
        <v>44469</v>
      </c>
      <c r="E3768">
        <v>465</v>
      </c>
      <c r="F3768" t="s">
        <v>514</v>
      </c>
      <c r="G3768">
        <v>26.2</v>
      </c>
    </row>
    <row r="3769" spans="2:7" hidden="1">
      <c r="B3769" s="43">
        <v>44407</v>
      </c>
      <c r="C3769" t="s">
        <v>130</v>
      </c>
      <c r="D3769" s="48">
        <v>44469</v>
      </c>
      <c r="E3769">
        <v>465</v>
      </c>
      <c r="F3769" t="s">
        <v>515</v>
      </c>
      <c r="G3769">
        <v>69.3</v>
      </c>
    </row>
    <row r="3770" spans="2:7" hidden="1">
      <c r="B3770" s="43">
        <v>44403</v>
      </c>
      <c r="C3770" t="s">
        <v>130</v>
      </c>
      <c r="D3770" s="48">
        <v>44469</v>
      </c>
      <c r="E3770">
        <v>470</v>
      </c>
      <c r="F3770" t="s">
        <v>514</v>
      </c>
      <c r="G3770">
        <v>24.7</v>
      </c>
    </row>
    <row r="3771" spans="2:7" hidden="1">
      <c r="B3771" s="43">
        <v>44403</v>
      </c>
      <c r="C3771" t="s">
        <v>130</v>
      </c>
      <c r="D3771" s="48">
        <v>44469</v>
      </c>
      <c r="E3771">
        <v>470</v>
      </c>
      <c r="F3771" t="s">
        <v>515</v>
      </c>
      <c r="G3771">
        <v>72.75</v>
      </c>
    </row>
    <row r="3772" spans="2:7" hidden="1">
      <c r="B3772" s="43">
        <v>44404</v>
      </c>
      <c r="C3772" t="s">
        <v>130</v>
      </c>
      <c r="D3772" s="48">
        <v>44469</v>
      </c>
      <c r="E3772">
        <v>470</v>
      </c>
      <c r="F3772" t="s">
        <v>514</v>
      </c>
      <c r="G3772">
        <v>24.7</v>
      </c>
    </row>
    <row r="3773" spans="2:7" hidden="1">
      <c r="B3773" s="43">
        <v>44404</v>
      </c>
      <c r="C3773" t="s">
        <v>130</v>
      </c>
      <c r="D3773" s="48">
        <v>44469</v>
      </c>
      <c r="E3773">
        <v>470</v>
      </c>
      <c r="F3773" t="s">
        <v>515</v>
      </c>
      <c r="G3773">
        <v>72.75</v>
      </c>
    </row>
    <row r="3774" spans="2:7" hidden="1">
      <c r="B3774" s="43">
        <v>44405</v>
      </c>
      <c r="C3774" t="s">
        <v>130</v>
      </c>
      <c r="D3774" s="48">
        <v>44469</v>
      </c>
      <c r="E3774">
        <v>470</v>
      </c>
      <c r="F3774" t="s">
        <v>514</v>
      </c>
      <c r="G3774">
        <v>24.7</v>
      </c>
    </row>
    <row r="3775" spans="2:7" hidden="1">
      <c r="B3775" s="43">
        <v>44405</v>
      </c>
      <c r="C3775" t="s">
        <v>130</v>
      </c>
      <c r="D3775" s="48">
        <v>44469</v>
      </c>
      <c r="E3775">
        <v>470</v>
      </c>
      <c r="F3775" t="s">
        <v>515</v>
      </c>
      <c r="G3775">
        <v>72.75</v>
      </c>
    </row>
    <row r="3776" spans="2:7" hidden="1">
      <c r="B3776" s="43">
        <v>44406</v>
      </c>
      <c r="C3776" t="s">
        <v>130</v>
      </c>
      <c r="D3776" s="48">
        <v>44469</v>
      </c>
      <c r="E3776">
        <v>470</v>
      </c>
      <c r="F3776" t="s">
        <v>514</v>
      </c>
      <c r="G3776">
        <v>24.7</v>
      </c>
    </row>
    <row r="3777" spans="2:7" hidden="1">
      <c r="B3777" s="43">
        <v>44406</v>
      </c>
      <c r="C3777" t="s">
        <v>130</v>
      </c>
      <c r="D3777" s="48">
        <v>44469</v>
      </c>
      <c r="E3777">
        <v>470</v>
      </c>
      <c r="F3777" t="s">
        <v>515</v>
      </c>
      <c r="G3777">
        <v>72.75</v>
      </c>
    </row>
    <row r="3778" spans="2:7" hidden="1">
      <c r="B3778" s="43">
        <v>44407</v>
      </c>
      <c r="C3778" t="s">
        <v>130</v>
      </c>
      <c r="D3778" s="48">
        <v>44469</v>
      </c>
      <c r="E3778">
        <v>470</v>
      </c>
      <c r="F3778" t="s">
        <v>514</v>
      </c>
      <c r="G3778">
        <v>24.7</v>
      </c>
    </row>
    <row r="3779" spans="2:7" hidden="1">
      <c r="B3779" s="43">
        <v>44407</v>
      </c>
      <c r="C3779" t="s">
        <v>130</v>
      </c>
      <c r="D3779" s="48">
        <v>44469</v>
      </c>
      <c r="E3779">
        <v>470</v>
      </c>
      <c r="F3779" t="s">
        <v>515</v>
      </c>
      <c r="G3779">
        <v>72.75</v>
      </c>
    </row>
    <row r="3780" spans="2:7" hidden="1">
      <c r="B3780" s="43">
        <v>44403</v>
      </c>
      <c r="C3780" t="s">
        <v>130</v>
      </c>
      <c r="D3780" s="48">
        <v>44469</v>
      </c>
      <c r="E3780">
        <v>475</v>
      </c>
      <c r="F3780" t="s">
        <v>514</v>
      </c>
      <c r="G3780">
        <v>23.3</v>
      </c>
    </row>
    <row r="3781" spans="2:7" hidden="1">
      <c r="B3781" s="43">
        <v>44403</v>
      </c>
      <c r="C3781" t="s">
        <v>130</v>
      </c>
      <c r="D3781" s="48">
        <v>44469</v>
      </c>
      <c r="E3781">
        <v>475</v>
      </c>
      <c r="F3781" t="s">
        <v>515</v>
      </c>
      <c r="G3781">
        <v>76.3</v>
      </c>
    </row>
    <row r="3782" spans="2:7" hidden="1">
      <c r="B3782" s="43">
        <v>44404</v>
      </c>
      <c r="C3782" t="s">
        <v>130</v>
      </c>
      <c r="D3782" s="48">
        <v>44469</v>
      </c>
      <c r="E3782">
        <v>475</v>
      </c>
      <c r="F3782" t="s">
        <v>514</v>
      </c>
      <c r="G3782">
        <v>23.3</v>
      </c>
    </row>
    <row r="3783" spans="2:7" hidden="1">
      <c r="B3783" s="43">
        <v>44404</v>
      </c>
      <c r="C3783" t="s">
        <v>130</v>
      </c>
      <c r="D3783" s="48">
        <v>44469</v>
      </c>
      <c r="E3783">
        <v>475</v>
      </c>
      <c r="F3783" t="s">
        <v>515</v>
      </c>
      <c r="G3783">
        <v>76.3</v>
      </c>
    </row>
    <row r="3784" spans="2:7" hidden="1">
      <c r="B3784" s="43">
        <v>44405</v>
      </c>
      <c r="C3784" t="s">
        <v>130</v>
      </c>
      <c r="D3784" s="48">
        <v>44469</v>
      </c>
      <c r="E3784">
        <v>475</v>
      </c>
      <c r="F3784" t="s">
        <v>514</v>
      </c>
      <c r="G3784">
        <v>23.3</v>
      </c>
    </row>
    <row r="3785" spans="2:7" hidden="1">
      <c r="B3785" s="43">
        <v>44405</v>
      </c>
      <c r="C3785" t="s">
        <v>130</v>
      </c>
      <c r="D3785" s="48">
        <v>44469</v>
      </c>
      <c r="E3785">
        <v>475</v>
      </c>
      <c r="F3785" t="s">
        <v>515</v>
      </c>
      <c r="G3785">
        <v>76.3</v>
      </c>
    </row>
    <row r="3786" spans="2:7" hidden="1">
      <c r="B3786" s="43">
        <v>44406</v>
      </c>
      <c r="C3786" t="s">
        <v>130</v>
      </c>
      <c r="D3786" s="48">
        <v>44469</v>
      </c>
      <c r="E3786">
        <v>475</v>
      </c>
      <c r="F3786" t="s">
        <v>514</v>
      </c>
      <c r="G3786">
        <v>23.3</v>
      </c>
    </row>
    <row r="3787" spans="2:7" hidden="1">
      <c r="B3787" s="43">
        <v>44406</v>
      </c>
      <c r="C3787" t="s">
        <v>130</v>
      </c>
      <c r="D3787" s="48">
        <v>44469</v>
      </c>
      <c r="E3787">
        <v>475</v>
      </c>
      <c r="F3787" t="s">
        <v>515</v>
      </c>
      <c r="G3787">
        <v>76.3</v>
      </c>
    </row>
    <row r="3788" spans="2:7" hidden="1">
      <c r="B3788" s="43">
        <v>44407</v>
      </c>
      <c r="C3788" t="s">
        <v>130</v>
      </c>
      <c r="D3788" s="48">
        <v>44469</v>
      </c>
      <c r="E3788">
        <v>475</v>
      </c>
      <c r="F3788" t="s">
        <v>514</v>
      </c>
      <c r="G3788">
        <v>23.3</v>
      </c>
    </row>
    <row r="3789" spans="2:7" hidden="1">
      <c r="B3789" s="43">
        <v>44407</v>
      </c>
      <c r="C3789" t="s">
        <v>130</v>
      </c>
      <c r="D3789" s="48">
        <v>44469</v>
      </c>
      <c r="E3789">
        <v>475</v>
      </c>
      <c r="F3789" t="s">
        <v>515</v>
      </c>
      <c r="G3789">
        <v>76.3</v>
      </c>
    </row>
    <row r="3790" spans="2:7" hidden="1">
      <c r="B3790" s="43">
        <v>44403</v>
      </c>
      <c r="C3790" t="s">
        <v>130</v>
      </c>
      <c r="D3790" s="48">
        <v>44469</v>
      </c>
      <c r="E3790">
        <v>480</v>
      </c>
      <c r="F3790" t="s">
        <v>514</v>
      </c>
      <c r="G3790">
        <v>5.25</v>
      </c>
    </row>
    <row r="3791" spans="2:7" hidden="1">
      <c r="B3791" s="43">
        <v>44403</v>
      </c>
      <c r="C3791" t="s">
        <v>130</v>
      </c>
      <c r="D3791" s="48">
        <v>44469</v>
      </c>
      <c r="E3791">
        <v>480</v>
      </c>
      <c r="F3791" t="s">
        <v>515</v>
      </c>
      <c r="G3791">
        <v>79.95</v>
      </c>
    </row>
    <row r="3792" spans="2:7" hidden="1">
      <c r="B3792" s="43">
        <v>44404</v>
      </c>
      <c r="C3792" t="s">
        <v>130</v>
      </c>
      <c r="D3792" s="48">
        <v>44469</v>
      </c>
      <c r="E3792">
        <v>480</v>
      </c>
      <c r="F3792" t="s">
        <v>514</v>
      </c>
      <c r="G3792">
        <v>5.25</v>
      </c>
    </row>
    <row r="3793" spans="2:7" hidden="1">
      <c r="B3793" s="43">
        <v>44404</v>
      </c>
      <c r="C3793" t="s">
        <v>130</v>
      </c>
      <c r="D3793" s="48">
        <v>44469</v>
      </c>
      <c r="E3793">
        <v>480</v>
      </c>
      <c r="F3793" t="s">
        <v>515</v>
      </c>
      <c r="G3793">
        <v>79.95</v>
      </c>
    </row>
    <row r="3794" spans="2:7" hidden="1">
      <c r="B3794" s="43">
        <v>44405</v>
      </c>
      <c r="C3794" t="s">
        <v>130</v>
      </c>
      <c r="D3794" s="48">
        <v>44469</v>
      </c>
      <c r="E3794">
        <v>480</v>
      </c>
      <c r="F3794" t="s">
        <v>514</v>
      </c>
      <c r="G3794">
        <v>5.25</v>
      </c>
    </row>
    <row r="3795" spans="2:7" hidden="1">
      <c r="B3795" s="43">
        <v>44405</v>
      </c>
      <c r="C3795" t="s">
        <v>130</v>
      </c>
      <c r="D3795" s="48">
        <v>44469</v>
      </c>
      <c r="E3795">
        <v>480</v>
      </c>
      <c r="F3795" t="s">
        <v>515</v>
      </c>
      <c r="G3795">
        <v>79.95</v>
      </c>
    </row>
    <row r="3796" spans="2:7" hidden="1">
      <c r="B3796" s="43">
        <v>44406</v>
      </c>
      <c r="C3796" t="s">
        <v>130</v>
      </c>
      <c r="D3796" s="48">
        <v>44469</v>
      </c>
      <c r="E3796">
        <v>480</v>
      </c>
      <c r="F3796" t="s">
        <v>514</v>
      </c>
      <c r="G3796">
        <v>10.050000000000001</v>
      </c>
    </row>
    <row r="3797" spans="2:7" hidden="1">
      <c r="B3797" s="43">
        <v>44406</v>
      </c>
      <c r="C3797" t="s">
        <v>130</v>
      </c>
      <c r="D3797" s="48">
        <v>44469</v>
      </c>
      <c r="E3797">
        <v>480</v>
      </c>
      <c r="F3797" t="s">
        <v>515</v>
      </c>
      <c r="G3797">
        <v>79.95</v>
      </c>
    </row>
    <row r="3798" spans="2:7" hidden="1">
      <c r="B3798" s="43">
        <v>44407</v>
      </c>
      <c r="C3798" t="s">
        <v>130</v>
      </c>
      <c r="D3798" s="48">
        <v>44469</v>
      </c>
      <c r="E3798">
        <v>480</v>
      </c>
      <c r="F3798" t="s">
        <v>514</v>
      </c>
      <c r="G3798">
        <v>6.55</v>
      </c>
    </row>
    <row r="3799" spans="2:7" hidden="1">
      <c r="B3799" s="43">
        <v>44407</v>
      </c>
      <c r="C3799" t="s">
        <v>130</v>
      </c>
      <c r="D3799" s="48">
        <v>44469</v>
      </c>
      <c r="E3799">
        <v>480</v>
      </c>
      <c r="F3799" t="s">
        <v>515</v>
      </c>
      <c r="G3799">
        <v>79.95</v>
      </c>
    </row>
    <row r="3800" spans="2:7" hidden="1">
      <c r="B3800" s="43">
        <v>44403</v>
      </c>
      <c r="C3800" t="s">
        <v>130</v>
      </c>
      <c r="D3800" s="48">
        <v>44469</v>
      </c>
      <c r="E3800">
        <v>485</v>
      </c>
      <c r="F3800" t="s">
        <v>514</v>
      </c>
      <c r="G3800">
        <v>20.75</v>
      </c>
    </row>
    <row r="3801" spans="2:7" hidden="1">
      <c r="B3801" s="43">
        <v>44403</v>
      </c>
      <c r="C3801" t="s">
        <v>130</v>
      </c>
      <c r="D3801" s="48">
        <v>44469</v>
      </c>
      <c r="E3801">
        <v>485</v>
      </c>
      <c r="F3801" t="s">
        <v>515</v>
      </c>
      <c r="G3801">
        <v>83.65</v>
      </c>
    </row>
    <row r="3802" spans="2:7" hidden="1">
      <c r="B3802" s="43">
        <v>44404</v>
      </c>
      <c r="C3802" t="s">
        <v>130</v>
      </c>
      <c r="D3802" s="48">
        <v>44469</v>
      </c>
      <c r="E3802">
        <v>485</v>
      </c>
      <c r="F3802" t="s">
        <v>514</v>
      </c>
      <c r="G3802">
        <v>20.75</v>
      </c>
    </row>
    <row r="3803" spans="2:7" hidden="1">
      <c r="B3803" s="43">
        <v>44404</v>
      </c>
      <c r="C3803" t="s">
        <v>130</v>
      </c>
      <c r="D3803" s="48">
        <v>44469</v>
      </c>
      <c r="E3803">
        <v>485</v>
      </c>
      <c r="F3803" t="s">
        <v>515</v>
      </c>
      <c r="G3803">
        <v>83.65</v>
      </c>
    </row>
    <row r="3804" spans="2:7" hidden="1">
      <c r="B3804" s="43">
        <v>44405</v>
      </c>
      <c r="C3804" t="s">
        <v>130</v>
      </c>
      <c r="D3804" s="48">
        <v>44469</v>
      </c>
      <c r="E3804">
        <v>485</v>
      </c>
      <c r="F3804" t="s">
        <v>514</v>
      </c>
      <c r="G3804">
        <v>20.75</v>
      </c>
    </row>
    <row r="3805" spans="2:7" hidden="1">
      <c r="B3805" s="43">
        <v>44405</v>
      </c>
      <c r="C3805" t="s">
        <v>130</v>
      </c>
      <c r="D3805" s="48">
        <v>44469</v>
      </c>
      <c r="E3805">
        <v>485</v>
      </c>
      <c r="F3805" t="s">
        <v>515</v>
      </c>
      <c r="G3805">
        <v>83.65</v>
      </c>
    </row>
    <row r="3806" spans="2:7" hidden="1">
      <c r="B3806" s="43">
        <v>44406</v>
      </c>
      <c r="C3806" t="s">
        <v>130</v>
      </c>
      <c r="D3806" s="48">
        <v>44469</v>
      </c>
      <c r="E3806">
        <v>485</v>
      </c>
      <c r="F3806" t="s">
        <v>514</v>
      </c>
      <c r="G3806">
        <v>20.75</v>
      </c>
    </row>
    <row r="3807" spans="2:7" hidden="1">
      <c r="B3807" s="43">
        <v>44406</v>
      </c>
      <c r="C3807" t="s">
        <v>130</v>
      </c>
      <c r="D3807" s="48">
        <v>44469</v>
      </c>
      <c r="E3807">
        <v>485</v>
      </c>
      <c r="F3807" t="s">
        <v>515</v>
      </c>
      <c r="G3807">
        <v>83.65</v>
      </c>
    </row>
    <row r="3808" spans="2:7" hidden="1">
      <c r="B3808" s="43">
        <v>44407</v>
      </c>
      <c r="C3808" t="s">
        <v>130</v>
      </c>
      <c r="D3808" s="48">
        <v>44469</v>
      </c>
      <c r="E3808">
        <v>485</v>
      </c>
      <c r="F3808" t="s">
        <v>514</v>
      </c>
      <c r="G3808">
        <v>0.05</v>
      </c>
    </row>
    <row r="3809" spans="2:7" hidden="1">
      <c r="B3809" s="43">
        <v>44407</v>
      </c>
      <c r="C3809" t="s">
        <v>130</v>
      </c>
      <c r="D3809" s="48">
        <v>44469</v>
      </c>
      <c r="E3809">
        <v>485</v>
      </c>
      <c r="F3809" t="s">
        <v>515</v>
      </c>
      <c r="G3809">
        <v>83.65</v>
      </c>
    </row>
    <row r="3810" spans="2:7" hidden="1">
      <c r="B3810" s="43">
        <v>44403</v>
      </c>
      <c r="C3810" t="s">
        <v>130</v>
      </c>
      <c r="D3810" s="48">
        <v>44469</v>
      </c>
      <c r="E3810">
        <v>490</v>
      </c>
      <c r="F3810" t="s">
        <v>514</v>
      </c>
      <c r="G3810">
        <v>19.55</v>
      </c>
    </row>
    <row r="3811" spans="2:7" hidden="1">
      <c r="B3811" s="43">
        <v>44403</v>
      </c>
      <c r="C3811" t="s">
        <v>130</v>
      </c>
      <c r="D3811" s="48">
        <v>44469</v>
      </c>
      <c r="E3811">
        <v>490</v>
      </c>
      <c r="F3811" t="s">
        <v>515</v>
      </c>
      <c r="G3811">
        <v>87.4</v>
      </c>
    </row>
    <row r="3812" spans="2:7" hidden="1">
      <c r="B3812" s="43">
        <v>44404</v>
      </c>
      <c r="C3812" t="s">
        <v>130</v>
      </c>
      <c r="D3812" s="48">
        <v>44469</v>
      </c>
      <c r="E3812">
        <v>490</v>
      </c>
      <c r="F3812" t="s">
        <v>514</v>
      </c>
      <c r="G3812">
        <v>19.55</v>
      </c>
    </row>
    <row r="3813" spans="2:7" hidden="1">
      <c r="B3813" s="43">
        <v>44404</v>
      </c>
      <c r="C3813" t="s">
        <v>130</v>
      </c>
      <c r="D3813" s="48">
        <v>44469</v>
      </c>
      <c r="E3813">
        <v>490</v>
      </c>
      <c r="F3813" t="s">
        <v>515</v>
      </c>
      <c r="G3813">
        <v>87.4</v>
      </c>
    </row>
    <row r="3814" spans="2:7" hidden="1">
      <c r="B3814" s="43">
        <v>44405</v>
      </c>
      <c r="C3814" t="s">
        <v>130</v>
      </c>
      <c r="D3814" s="48">
        <v>44469</v>
      </c>
      <c r="E3814">
        <v>490</v>
      </c>
      <c r="F3814" t="s">
        <v>514</v>
      </c>
      <c r="G3814">
        <v>19.55</v>
      </c>
    </row>
    <row r="3815" spans="2:7" hidden="1">
      <c r="B3815" s="43">
        <v>44405</v>
      </c>
      <c r="C3815" t="s">
        <v>130</v>
      </c>
      <c r="D3815" s="48">
        <v>44469</v>
      </c>
      <c r="E3815">
        <v>490</v>
      </c>
      <c r="F3815" t="s">
        <v>515</v>
      </c>
      <c r="G3815">
        <v>87.4</v>
      </c>
    </row>
    <row r="3816" spans="2:7" hidden="1">
      <c r="B3816" s="43">
        <v>44406</v>
      </c>
      <c r="C3816" t="s">
        <v>130</v>
      </c>
      <c r="D3816" s="48">
        <v>44469</v>
      </c>
      <c r="E3816">
        <v>490</v>
      </c>
      <c r="F3816" t="s">
        <v>514</v>
      </c>
      <c r="G3816">
        <v>19.55</v>
      </c>
    </row>
    <row r="3817" spans="2:7" hidden="1">
      <c r="B3817" s="43">
        <v>44406</v>
      </c>
      <c r="C3817" t="s">
        <v>130</v>
      </c>
      <c r="D3817" s="48">
        <v>44469</v>
      </c>
      <c r="E3817">
        <v>490</v>
      </c>
      <c r="F3817" t="s">
        <v>515</v>
      </c>
      <c r="G3817">
        <v>87.4</v>
      </c>
    </row>
    <row r="3818" spans="2:7" hidden="1">
      <c r="B3818" s="43">
        <v>44407</v>
      </c>
      <c r="C3818" t="s">
        <v>130</v>
      </c>
      <c r="D3818" s="48">
        <v>44469</v>
      </c>
      <c r="E3818">
        <v>490</v>
      </c>
      <c r="F3818" t="s">
        <v>514</v>
      </c>
      <c r="G3818">
        <v>19.55</v>
      </c>
    </row>
    <row r="3819" spans="2:7" hidden="1">
      <c r="B3819" s="43">
        <v>44407</v>
      </c>
      <c r="C3819" t="s">
        <v>130</v>
      </c>
      <c r="D3819" s="48">
        <v>44469</v>
      </c>
      <c r="E3819">
        <v>490</v>
      </c>
      <c r="F3819" t="s">
        <v>515</v>
      </c>
      <c r="G3819">
        <v>87.4</v>
      </c>
    </row>
    <row r="3820" spans="2:7" hidden="1">
      <c r="B3820" s="43">
        <v>44403</v>
      </c>
      <c r="C3820" t="s">
        <v>130</v>
      </c>
      <c r="D3820" s="48">
        <v>44469</v>
      </c>
      <c r="E3820">
        <v>495</v>
      </c>
      <c r="F3820" t="s">
        <v>514</v>
      </c>
      <c r="G3820">
        <v>18.399999999999999</v>
      </c>
    </row>
    <row r="3821" spans="2:7" hidden="1">
      <c r="B3821" s="43">
        <v>44403</v>
      </c>
      <c r="C3821" t="s">
        <v>130</v>
      </c>
      <c r="D3821" s="48">
        <v>44469</v>
      </c>
      <c r="E3821">
        <v>495</v>
      </c>
      <c r="F3821" t="s">
        <v>515</v>
      </c>
      <c r="G3821">
        <v>91.2</v>
      </c>
    </row>
    <row r="3822" spans="2:7" hidden="1">
      <c r="B3822" s="43">
        <v>44404</v>
      </c>
      <c r="C3822" t="s">
        <v>130</v>
      </c>
      <c r="D3822" s="48">
        <v>44469</v>
      </c>
      <c r="E3822">
        <v>495</v>
      </c>
      <c r="F3822" t="s">
        <v>514</v>
      </c>
      <c r="G3822">
        <v>18.399999999999999</v>
      </c>
    </row>
    <row r="3823" spans="2:7" hidden="1">
      <c r="B3823" s="43">
        <v>44404</v>
      </c>
      <c r="C3823" t="s">
        <v>130</v>
      </c>
      <c r="D3823" s="48">
        <v>44469</v>
      </c>
      <c r="E3823">
        <v>495</v>
      </c>
      <c r="F3823" t="s">
        <v>515</v>
      </c>
      <c r="G3823">
        <v>91.2</v>
      </c>
    </row>
    <row r="3824" spans="2:7" hidden="1">
      <c r="B3824" s="43">
        <v>44405</v>
      </c>
      <c r="C3824" t="s">
        <v>130</v>
      </c>
      <c r="D3824" s="48">
        <v>44469</v>
      </c>
      <c r="E3824">
        <v>495</v>
      </c>
      <c r="F3824" t="s">
        <v>514</v>
      </c>
      <c r="G3824">
        <v>18.399999999999999</v>
      </c>
    </row>
    <row r="3825" spans="2:7" hidden="1">
      <c r="B3825" s="43">
        <v>44405</v>
      </c>
      <c r="C3825" t="s">
        <v>130</v>
      </c>
      <c r="D3825" s="48">
        <v>44469</v>
      </c>
      <c r="E3825">
        <v>495</v>
      </c>
      <c r="F3825" t="s">
        <v>515</v>
      </c>
      <c r="G3825">
        <v>91.2</v>
      </c>
    </row>
    <row r="3826" spans="2:7" hidden="1">
      <c r="B3826" s="43">
        <v>44406</v>
      </c>
      <c r="C3826" t="s">
        <v>130</v>
      </c>
      <c r="D3826" s="48">
        <v>44469</v>
      </c>
      <c r="E3826">
        <v>495</v>
      </c>
      <c r="F3826" t="s">
        <v>514</v>
      </c>
      <c r="G3826">
        <v>18.399999999999999</v>
      </c>
    </row>
    <row r="3827" spans="2:7" hidden="1">
      <c r="B3827" s="43">
        <v>44406</v>
      </c>
      <c r="C3827" t="s">
        <v>130</v>
      </c>
      <c r="D3827" s="48">
        <v>44469</v>
      </c>
      <c r="E3827">
        <v>495</v>
      </c>
      <c r="F3827" t="s">
        <v>515</v>
      </c>
      <c r="G3827">
        <v>91.2</v>
      </c>
    </row>
    <row r="3828" spans="2:7" hidden="1">
      <c r="B3828" s="43">
        <v>44407</v>
      </c>
      <c r="C3828" t="s">
        <v>130</v>
      </c>
      <c r="D3828" s="48">
        <v>44469</v>
      </c>
      <c r="E3828">
        <v>495</v>
      </c>
      <c r="F3828" t="s">
        <v>514</v>
      </c>
      <c r="G3828">
        <v>18.399999999999999</v>
      </c>
    </row>
    <row r="3829" spans="2:7" hidden="1">
      <c r="B3829" s="43">
        <v>44407</v>
      </c>
      <c r="C3829" t="s">
        <v>130</v>
      </c>
      <c r="D3829" s="48">
        <v>44469</v>
      </c>
      <c r="E3829">
        <v>495</v>
      </c>
      <c r="F3829" t="s">
        <v>515</v>
      </c>
      <c r="G3829">
        <v>91.2</v>
      </c>
    </row>
    <row r="3830" spans="2:7" hidden="1">
      <c r="B3830" s="43">
        <v>44403</v>
      </c>
      <c r="C3830" t="s">
        <v>130</v>
      </c>
      <c r="D3830" s="48">
        <v>44469</v>
      </c>
      <c r="E3830">
        <v>500</v>
      </c>
      <c r="F3830" t="s">
        <v>514</v>
      </c>
      <c r="G3830">
        <v>4.9000000000000004</v>
      </c>
    </row>
    <row r="3831" spans="2:7" hidden="1">
      <c r="B3831" s="43">
        <v>44403</v>
      </c>
      <c r="C3831" t="s">
        <v>130</v>
      </c>
      <c r="D3831" s="48">
        <v>44469</v>
      </c>
      <c r="E3831">
        <v>500</v>
      </c>
      <c r="F3831" t="s">
        <v>515</v>
      </c>
      <c r="G3831">
        <v>95.1</v>
      </c>
    </row>
    <row r="3832" spans="2:7" hidden="1">
      <c r="B3832" s="43">
        <v>44404</v>
      </c>
      <c r="C3832" t="s">
        <v>130</v>
      </c>
      <c r="D3832" s="48">
        <v>44469</v>
      </c>
      <c r="E3832">
        <v>500</v>
      </c>
      <c r="F3832" t="s">
        <v>514</v>
      </c>
      <c r="G3832">
        <v>4.7</v>
      </c>
    </row>
    <row r="3833" spans="2:7" hidden="1">
      <c r="B3833" s="43">
        <v>44404</v>
      </c>
      <c r="C3833" t="s">
        <v>130</v>
      </c>
      <c r="D3833" s="48">
        <v>44469</v>
      </c>
      <c r="E3833">
        <v>500</v>
      </c>
      <c r="F3833" t="s">
        <v>515</v>
      </c>
      <c r="G3833">
        <v>95.1</v>
      </c>
    </row>
    <row r="3834" spans="2:7" hidden="1">
      <c r="B3834" s="43">
        <v>44405</v>
      </c>
      <c r="C3834" t="s">
        <v>130</v>
      </c>
      <c r="D3834" s="48">
        <v>44469</v>
      </c>
      <c r="E3834">
        <v>500</v>
      </c>
      <c r="F3834" t="s">
        <v>514</v>
      </c>
      <c r="G3834">
        <v>5</v>
      </c>
    </row>
    <row r="3835" spans="2:7" hidden="1">
      <c r="B3835" s="43">
        <v>44405</v>
      </c>
      <c r="C3835" t="s">
        <v>130</v>
      </c>
      <c r="D3835" s="48">
        <v>44469</v>
      </c>
      <c r="E3835">
        <v>500</v>
      </c>
      <c r="F3835" t="s">
        <v>515</v>
      </c>
      <c r="G3835">
        <v>95.1</v>
      </c>
    </row>
    <row r="3836" spans="2:7" hidden="1">
      <c r="B3836" s="43">
        <v>44406</v>
      </c>
      <c r="C3836" t="s">
        <v>130</v>
      </c>
      <c r="D3836" s="48">
        <v>44469</v>
      </c>
      <c r="E3836">
        <v>500</v>
      </c>
      <c r="F3836" t="s">
        <v>514</v>
      </c>
      <c r="G3836">
        <v>6.9</v>
      </c>
    </row>
    <row r="3837" spans="2:7" hidden="1">
      <c r="B3837" s="43">
        <v>44406</v>
      </c>
      <c r="C3837" t="s">
        <v>130</v>
      </c>
      <c r="D3837" s="48">
        <v>44469</v>
      </c>
      <c r="E3837">
        <v>500</v>
      </c>
      <c r="F3837" t="s">
        <v>515</v>
      </c>
      <c r="G3837">
        <v>95.1</v>
      </c>
    </row>
    <row r="3838" spans="2:7" hidden="1">
      <c r="B3838" s="43">
        <v>44407</v>
      </c>
      <c r="C3838" t="s">
        <v>130</v>
      </c>
      <c r="D3838" s="48">
        <v>44469</v>
      </c>
      <c r="E3838">
        <v>500</v>
      </c>
      <c r="F3838" t="s">
        <v>514</v>
      </c>
      <c r="G3838">
        <v>5.4</v>
      </c>
    </row>
    <row r="3839" spans="2:7" hidden="1">
      <c r="B3839" s="43">
        <v>44407</v>
      </c>
      <c r="C3839" t="s">
        <v>130</v>
      </c>
      <c r="D3839" s="48">
        <v>44469</v>
      </c>
      <c r="E3839">
        <v>500</v>
      </c>
      <c r="F3839" t="s">
        <v>515</v>
      </c>
      <c r="G3839">
        <v>95.1</v>
      </c>
    </row>
    <row r="3840" spans="2:7" hidden="1">
      <c r="B3840" s="43">
        <v>44403</v>
      </c>
      <c r="C3840" t="s">
        <v>130</v>
      </c>
      <c r="D3840" s="48">
        <v>44469</v>
      </c>
      <c r="E3840">
        <v>505</v>
      </c>
      <c r="F3840" t="s">
        <v>514</v>
      </c>
      <c r="G3840">
        <v>16.3</v>
      </c>
    </row>
    <row r="3841" spans="2:7" hidden="1">
      <c r="B3841" s="43">
        <v>44403</v>
      </c>
      <c r="C3841" t="s">
        <v>130</v>
      </c>
      <c r="D3841" s="48">
        <v>44469</v>
      </c>
      <c r="E3841">
        <v>505</v>
      </c>
      <c r="F3841" t="s">
        <v>515</v>
      </c>
      <c r="G3841">
        <v>99</v>
      </c>
    </row>
    <row r="3842" spans="2:7" hidden="1">
      <c r="B3842" s="43">
        <v>44404</v>
      </c>
      <c r="C3842" t="s">
        <v>130</v>
      </c>
      <c r="D3842" s="48">
        <v>44469</v>
      </c>
      <c r="E3842">
        <v>505</v>
      </c>
      <c r="F3842" t="s">
        <v>514</v>
      </c>
      <c r="G3842">
        <v>16.3</v>
      </c>
    </row>
    <row r="3843" spans="2:7" hidden="1">
      <c r="B3843" s="43">
        <v>44404</v>
      </c>
      <c r="C3843" t="s">
        <v>130</v>
      </c>
      <c r="D3843" s="48">
        <v>44469</v>
      </c>
      <c r="E3843">
        <v>505</v>
      </c>
      <c r="F3843" t="s">
        <v>515</v>
      </c>
      <c r="G3843">
        <v>99</v>
      </c>
    </row>
    <row r="3844" spans="2:7" hidden="1">
      <c r="B3844" s="43">
        <v>44405</v>
      </c>
      <c r="C3844" t="s">
        <v>130</v>
      </c>
      <c r="D3844" s="48">
        <v>44469</v>
      </c>
      <c r="E3844">
        <v>505</v>
      </c>
      <c r="F3844" t="s">
        <v>514</v>
      </c>
      <c r="G3844">
        <v>16.3</v>
      </c>
    </row>
    <row r="3845" spans="2:7" hidden="1">
      <c r="B3845" s="43">
        <v>44405</v>
      </c>
      <c r="C3845" t="s">
        <v>130</v>
      </c>
      <c r="D3845" s="48">
        <v>44469</v>
      </c>
      <c r="E3845">
        <v>505</v>
      </c>
      <c r="F3845" t="s">
        <v>515</v>
      </c>
      <c r="G3845">
        <v>99</v>
      </c>
    </row>
    <row r="3846" spans="2:7" hidden="1">
      <c r="B3846" s="43">
        <v>44406</v>
      </c>
      <c r="C3846" t="s">
        <v>130</v>
      </c>
      <c r="D3846" s="48">
        <v>44469</v>
      </c>
      <c r="E3846">
        <v>505</v>
      </c>
      <c r="F3846" t="s">
        <v>514</v>
      </c>
      <c r="G3846">
        <v>16.3</v>
      </c>
    </row>
    <row r="3847" spans="2:7" hidden="1">
      <c r="B3847" s="43">
        <v>44406</v>
      </c>
      <c r="C3847" t="s">
        <v>130</v>
      </c>
      <c r="D3847" s="48">
        <v>44469</v>
      </c>
      <c r="E3847">
        <v>505</v>
      </c>
      <c r="F3847" t="s">
        <v>515</v>
      </c>
      <c r="G3847">
        <v>99</v>
      </c>
    </row>
    <row r="3848" spans="2:7" hidden="1">
      <c r="B3848" s="43">
        <v>44407</v>
      </c>
      <c r="C3848" t="s">
        <v>130</v>
      </c>
      <c r="D3848" s="48">
        <v>44469</v>
      </c>
      <c r="E3848">
        <v>505</v>
      </c>
      <c r="F3848" t="s">
        <v>514</v>
      </c>
      <c r="G3848">
        <v>16.3</v>
      </c>
    </row>
    <row r="3849" spans="2:7" hidden="1">
      <c r="B3849" s="43">
        <v>44407</v>
      </c>
      <c r="C3849" t="s">
        <v>130</v>
      </c>
      <c r="D3849" s="48">
        <v>44469</v>
      </c>
      <c r="E3849">
        <v>505</v>
      </c>
      <c r="F3849" t="s">
        <v>515</v>
      </c>
      <c r="G3849">
        <v>99</v>
      </c>
    </row>
    <row r="3850" spans="2:7" hidden="1">
      <c r="B3850" s="43">
        <v>44403</v>
      </c>
      <c r="C3850" t="s">
        <v>130</v>
      </c>
      <c r="D3850" s="48">
        <v>44469</v>
      </c>
      <c r="E3850">
        <v>510</v>
      </c>
      <c r="F3850" t="s">
        <v>514</v>
      </c>
      <c r="G3850">
        <v>15.35</v>
      </c>
    </row>
    <row r="3851" spans="2:7" hidden="1">
      <c r="B3851" s="43">
        <v>44403</v>
      </c>
      <c r="C3851" t="s">
        <v>130</v>
      </c>
      <c r="D3851" s="48">
        <v>44469</v>
      </c>
      <c r="E3851">
        <v>510</v>
      </c>
      <c r="F3851" t="s">
        <v>515</v>
      </c>
      <c r="G3851">
        <v>103</v>
      </c>
    </row>
    <row r="3852" spans="2:7" hidden="1">
      <c r="B3852" s="43">
        <v>44404</v>
      </c>
      <c r="C3852" t="s">
        <v>130</v>
      </c>
      <c r="D3852" s="48">
        <v>44469</v>
      </c>
      <c r="E3852">
        <v>510</v>
      </c>
      <c r="F3852" t="s">
        <v>514</v>
      </c>
      <c r="G3852">
        <v>15.35</v>
      </c>
    </row>
    <row r="3853" spans="2:7" hidden="1">
      <c r="B3853" s="43">
        <v>44404</v>
      </c>
      <c r="C3853" t="s">
        <v>130</v>
      </c>
      <c r="D3853" s="48">
        <v>44469</v>
      </c>
      <c r="E3853">
        <v>510</v>
      </c>
      <c r="F3853" t="s">
        <v>515</v>
      </c>
      <c r="G3853">
        <v>103</v>
      </c>
    </row>
    <row r="3854" spans="2:7" hidden="1">
      <c r="B3854" s="43">
        <v>44405</v>
      </c>
      <c r="C3854" t="s">
        <v>130</v>
      </c>
      <c r="D3854" s="48">
        <v>44469</v>
      </c>
      <c r="E3854">
        <v>510</v>
      </c>
      <c r="F3854" t="s">
        <v>514</v>
      </c>
      <c r="G3854">
        <v>15.35</v>
      </c>
    </row>
    <row r="3855" spans="2:7" hidden="1">
      <c r="B3855" s="43">
        <v>44405</v>
      </c>
      <c r="C3855" t="s">
        <v>130</v>
      </c>
      <c r="D3855" s="48">
        <v>44469</v>
      </c>
      <c r="E3855">
        <v>510</v>
      </c>
      <c r="F3855" t="s">
        <v>515</v>
      </c>
      <c r="G3855">
        <v>103</v>
      </c>
    </row>
    <row r="3856" spans="2:7" hidden="1">
      <c r="B3856" s="43">
        <v>44406</v>
      </c>
      <c r="C3856" t="s">
        <v>130</v>
      </c>
      <c r="D3856" s="48">
        <v>44469</v>
      </c>
      <c r="E3856">
        <v>510</v>
      </c>
      <c r="F3856" t="s">
        <v>514</v>
      </c>
      <c r="G3856">
        <v>15.35</v>
      </c>
    </row>
    <row r="3857" spans="2:7" hidden="1">
      <c r="B3857" s="43">
        <v>44406</v>
      </c>
      <c r="C3857" t="s">
        <v>130</v>
      </c>
      <c r="D3857" s="48">
        <v>44469</v>
      </c>
      <c r="E3857">
        <v>510</v>
      </c>
      <c r="F3857" t="s">
        <v>515</v>
      </c>
      <c r="G3857">
        <v>103</v>
      </c>
    </row>
    <row r="3858" spans="2:7" hidden="1">
      <c r="B3858" s="43">
        <v>44407</v>
      </c>
      <c r="C3858" t="s">
        <v>130</v>
      </c>
      <c r="D3858" s="48">
        <v>44469</v>
      </c>
      <c r="E3858">
        <v>510</v>
      </c>
      <c r="F3858" t="s">
        <v>514</v>
      </c>
      <c r="G3858">
        <v>15.35</v>
      </c>
    </row>
    <row r="3859" spans="2:7" hidden="1">
      <c r="B3859" s="43">
        <v>44407</v>
      </c>
      <c r="C3859" t="s">
        <v>130</v>
      </c>
      <c r="D3859" s="48">
        <v>44469</v>
      </c>
      <c r="E3859">
        <v>510</v>
      </c>
      <c r="F3859" t="s">
        <v>515</v>
      </c>
      <c r="G3859">
        <v>103</v>
      </c>
    </row>
    <row r="3860" spans="2:7" hidden="1">
      <c r="B3860" s="43">
        <v>44403</v>
      </c>
      <c r="C3860" t="s">
        <v>130</v>
      </c>
      <c r="D3860" s="48">
        <v>44469</v>
      </c>
      <c r="E3860">
        <v>515</v>
      </c>
      <c r="F3860" t="s">
        <v>514</v>
      </c>
      <c r="G3860">
        <v>14.45</v>
      </c>
    </row>
    <row r="3861" spans="2:7" hidden="1">
      <c r="B3861" s="43">
        <v>44403</v>
      </c>
      <c r="C3861" t="s">
        <v>130</v>
      </c>
      <c r="D3861" s="48">
        <v>44469</v>
      </c>
      <c r="E3861">
        <v>515</v>
      </c>
      <c r="F3861" t="s">
        <v>515</v>
      </c>
      <c r="G3861">
        <v>107.05</v>
      </c>
    </row>
    <row r="3862" spans="2:7" hidden="1">
      <c r="B3862" s="43">
        <v>44404</v>
      </c>
      <c r="C3862" t="s">
        <v>130</v>
      </c>
      <c r="D3862" s="48">
        <v>44469</v>
      </c>
      <c r="E3862">
        <v>515</v>
      </c>
      <c r="F3862" t="s">
        <v>514</v>
      </c>
      <c r="G3862">
        <v>14.45</v>
      </c>
    </row>
    <row r="3863" spans="2:7" hidden="1">
      <c r="B3863" s="43">
        <v>44404</v>
      </c>
      <c r="C3863" t="s">
        <v>130</v>
      </c>
      <c r="D3863" s="48">
        <v>44469</v>
      </c>
      <c r="E3863">
        <v>515</v>
      </c>
      <c r="F3863" t="s">
        <v>515</v>
      </c>
      <c r="G3863">
        <v>107.05</v>
      </c>
    </row>
    <row r="3864" spans="2:7" hidden="1">
      <c r="B3864" s="43">
        <v>44405</v>
      </c>
      <c r="C3864" t="s">
        <v>130</v>
      </c>
      <c r="D3864" s="48">
        <v>44469</v>
      </c>
      <c r="E3864">
        <v>515</v>
      </c>
      <c r="F3864" t="s">
        <v>514</v>
      </c>
      <c r="G3864">
        <v>14.45</v>
      </c>
    </row>
    <row r="3865" spans="2:7" hidden="1">
      <c r="B3865" s="43">
        <v>44405</v>
      </c>
      <c r="C3865" t="s">
        <v>130</v>
      </c>
      <c r="D3865" s="48">
        <v>44469</v>
      </c>
      <c r="E3865">
        <v>515</v>
      </c>
      <c r="F3865" t="s">
        <v>515</v>
      </c>
      <c r="G3865">
        <v>107.05</v>
      </c>
    </row>
    <row r="3866" spans="2:7" hidden="1">
      <c r="B3866" s="43">
        <v>44406</v>
      </c>
      <c r="C3866" t="s">
        <v>130</v>
      </c>
      <c r="D3866" s="48">
        <v>44469</v>
      </c>
      <c r="E3866">
        <v>515</v>
      </c>
      <c r="F3866" t="s">
        <v>514</v>
      </c>
      <c r="G3866">
        <v>14.45</v>
      </c>
    </row>
    <row r="3867" spans="2:7" hidden="1">
      <c r="B3867" s="43">
        <v>44406</v>
      </c>
      <c r="C3867" t="s">
        <v>130</v>
      </c>
      <c r="D3867" s="48">
        <v>44469</v>
      </c>
      <c r="E3867">
        <v>515</v>
      </c>
      <c r="F3867" t="s">
        <v>515</v>
      </c>
      <c r="G3867">
        <v>107.05</v>
      </c>
    </row>
    <row r="3868" spans="2:7" hidden="1">
      <c r="B3868" s="43">
        <v>44407</v>
      </c>
      <c r="C3868" t="s">
        <v>130</v>
      </c>
      <c r="D3868" s="48">
        <v>44469</v>
      </c>
      <c r="E3868">
        <v>515</v>
      </c>
      <c r="F3868" t="s">
        <v>514</v>
      </c>
      <c r="G3868">
        <v>14.45</v>
      </c>
    </row>
    <row r="3869" spans="2:7" hidden="1">
      <c r="B3869" s="43">
        <v>44407</v>
      </c>
      <c r="C3869" t="s">
        <v>130</v>
      </c>
      <c r="D3869" s="48">
        <v>44469</v>
      </c>
      <c r="E3869">
        <v>515</v>
      </c>
      <c r="F3869" t="s">
        <v>515</v>
      </c>
      <c r="G3869">
        <v>107.05</v>
      </c>
    </row>
    <row r="3870" spans="2:7" hidden="1">
      <c r="B3870" s="43">
        <v>44403</v>
      </c>
      <c r="C3870" t="s">
        <v>130</v>
      </c>
      <c r="D3870" s="48">
        <v>44469</v>
      </c>
      <c r="E3870">
        <v>520</v>
      </c>
      <c r="F3870" t="s">
        <v>514</v>
      </c>
      <c r="G3870">
        <v>13.55</v>
      </c>
    </row>
    <row r="3871" spans="2:7" hidden="1">
      <c r="B3871" s="43">
        <v>44403</v>
      </c>
      <c r="C3871" t="s">
        <v>130</v>
      </c>
      <c r="D3871" s="48">
        <v>44469</v>
      </c>
      <c r="E3871">
        <v>520</v>
      </c>
      <c r="F3871" t="s">
        <v>515</v>
      </c>
      <c r="G3871">
        <v>111.1</v>
      </c>
    </row>
    <row r="3872" spans="2:7" hidden="1">
      <c r="B3872" s="43">
        <v>44404</v>
      </c>
      <c r="C3872" t="s">
        <v>130</v>
      </c>
      <c r="D3872" s="48">
        <v>44469</v>
      </c>
      <c r="E3872">
        <v>520</v>
      </c>
      <c r="F3872" t="s">
        <v>514</v>
      </c>
      <c r="G3872">
        <v>13.55</v>
      </c>
    </row>
    <row r="3873" spans="2:7" hidden="1">
      <c r="B3873" s="43">
        <v>44404</v>
      </c>
      <c r="C3873" t="s">
        <v>130</v>
      </c>
      <c r="D3873" s="48">
        <v>44469</v>
      </c>
      <c r="E3873">
        <v>520</v>
      </c>
      <c r="F3873" t="s">
        <v>515</v>
      </c>
      <c r="G3873">
        <v>111.1</v>
      </c>
    </row>
    <row r="3874" spans="2:7" hidden="1">
      <c r="B3874" s="43">
        <v>44405</v>
      </c>
      <c r="C3874" t="s">
        <v>130</v>
      </c>
      <c r="D3874" s="48">
        <v>44469</v>
      </c>
      <c r="E3874">
        <v>520</v>
      </c>
      <c r="F3874" t="s">
        <v>514</v>
      </c>
      <c r="G3874">
        <v>13.55</v>
      </c>
    </row>
    <row r="3875" spans="2:7" hidden="1">
      <c r="B3875" s="43">
        <v>44405</v>
      </c>
      <c r="C3875" t="s">
        <v>130</v>
      </c>
      <c r="D3875" s="48">
        <v>44469</v>
      </c>
      <c r="E3875">
        <v>520</v>
      </c>
      <c r="F3875" t="s">
        <v>515</v>
      </c>
      <c r="G3875">
        <v>111.1</v>
      </c>
    </row>
    <row r="3876" spans="2:7" hidden="1">
      <c r="B3876" s="43">
        <v>44406</v>
      </c>
      <c r="C3876" t="s">
        <v>130</v>
      </c>
      <c r="D3876" s="48">
        <v>44469</v>
      </c>
      <c r="E3876">
        <v>520</v>
      </c>
      <c r="F3876" t="s">
        <v>514</v>
      </c>
      <c r="G3876">
        <v>3</v>
      </c>
    </row>
    <row r="3877" spans="2:7" hidden="1">
      <c r="B3877" s="43">
        <v>44406</v>
      </c>
      <c r="C3877" t="s">
        <v>130</v>
      </c>
      <c r="D3877" s="48">
        <v>44469</v>
      </c>
      <c r="E3877">
        <v>520</v>
      </c>
      <c r="F3877" t="s">
        <v>515</v>
      </c>
      <c r="G3877">
        <v>111.1</v>
      </c>
    </row>
    <row r="3878" spans="2:7" hidden="1">
      <c r="B3878" s="43">
        <v>44407</v>
      </c>
      <c r="C3878" t="s">
        <v>130</v>
      </c>
      <c r="D3878" s="48">
        <v>44469</v>
      </c>
      <c r="E3878">
        <v>520</v>
      </c>
      <c r="F3878" t="s">
        <v>514</v>
      </c>
      <c r="G3878">
        <v>3</v>
      </c>
    </row>
    <row r="3879" spans="2:7" hidden="1">
      <c r="B3879" s="43">
        <v>44407</v>
      </c>
      <c r="C3879" t="s">
        <v>130</v>
      </c>
      <c r="D3879" s="48">
        <v>44469</v>
      </c>
      <c r="E3879">
        <v>520</v>
      </c>
      <c r="F3879" t="s">
        <v>515</v>
      </c>
      <c r="G3879">
        <v>111.1</v>
      </c>
    </row>
    <row r="3880" spans="2:7" hidden="1">
      <c r="B3880" s="43">
        <v>44403</v>
      </c>
      <c r="C3880" t="s">
        <v>130</v>
      </c>
      <c r="D3880" s="48">
        <v>44469</v>
      </c>
      <c r="E3880">
        <v>525</v>
      </c>
      <c r="F3880" t="s">
        <v>514</v>
      </c>
      <c r="G3880">
        <v>12.75</v>
      </c>
    </row>
    <row r="3881" spans="2:7" hidden="1">
      <c r="B3881" s="43">
        <v>44403</v>
      </c>
      <c r="C3881" t="s">
        <v>130</v>
      </c>
      <c r="D3881" s="48">
        <v>44469</v>
      </c>
      <c r="E3881">
        <v>525</v>
      </c>
      <c r="F3881" t="s">
        <v>515</v>
      </c>
      <c r="G3881">
        <v>115.25</v>
      </c>
    </row>
    <row r="3882" spans="2:7" hidden="1">
      <c r="B3882" s="43">
        <v>44404</v>
      </c>
      <c r="C3882" t="s">
        <v>130</v>
      </c>
      <c r="D3882" s="48">
        <v>44469</v>
      </c>
      <c r="E3882">
        <v>525</v>
      </c>
      <c r="F3882" t="s">
        <v>514</v>
      </c>
      <c r="G3882">
        <v>12.75</v>
      </c>
    </row>
    <row r="3883" spans="2:7" hidden="1">
      <c r="B3883" s="43">
        <v>44404</v>
      </c>
      <c r="C3883" t="s">
        <v>130</v>
      </c>
      <c r="D3883" s="48">
        <v>44469</v>
      </c>
      <c r="E3883">
        <v>525</v>
      </c>
      <c r="F3883" t="s">
        <v>515</v>
      </c>
      <c r="G3883">
        <v>115.25</v>
      </c>
    </row>
    <row r="3884" spans="2:7" hidden="1">
      <c r="B3884" s="43">
        <v>44405</v>
      </c>
      <c r="C3884" t="s">
        <v>130</v>
      </c>
      <c r="D3884" s="48">
        <v>44469</v>
      </c>
      <c r="E3884">
        <v>525</v>
      </c>
      <c r="F3884" t="s">
        <v>514</v>
      </c>
      <c r="G3884">
        <v>12.75</v>
      </c>
    </row>
    <row r="3885" spans="2:7" hidden="1">
      <c r="B3885" s="43">
        <v>44405</v>
      </c>
      <c r="C3885" t="s">
        <v>130</v>
      </c>
      <c r="D3885" s="48">
        <v>44469</v>
      </c>
      <c r="E3885">
        <v>525</v>
      </c>
      <c r="F3885" t="s">
        <v>515</v>
      </c>
      <c r="G3885">
        <v>115.25</v>
      </c>
    </row>
    <row r="3886" spans="2:7" hidden="1">
      <c r="B3886" s="43">
        <v>44406</v>
      </c>
      <c r="C3886" t="s">
        <v>130</v>
      </c>
      <c r="D3886" s="48">
        <v>44469</v>
      </c>
      <c r="E3886">
        <v>525</v>
      </c>
      <c r="F3886" t="s">
        <v>514</v>
      </c>
      <c r="G3886">
        <v>12.75</v>
      </c>
    </row>
    <row r="3887" spans="2:7" hidden="1">
      <c r="B3887" s="43">
        <v>44406</v>
      </c>
      <c r="C3887" t="s">
        <v>130</v>
      </c>
      <c r="D3887" s="48">
        <v>44469</v>
      </c>
      <c r="E3887">
        <v>525</v>
      </c>
      <c r="F3887" t="s">
        <v>515</v>
      </c>
      <c r="G3887">
        <v>115.25</v>
      </c>
    </row>
    <row r="3888" spans="2:7" hidden="1">
      <c r="B3888" s="43">
        <v>44407</v>
      </c>
      <c r="C3888" t="s">
        <v>130</v>
      </c>
      <c r="D3888" s="48">
        <v>44469</v>
      </c>
      <c r="E3888">
        <v>525</v>
      </c>
      <c r="F3888" t="s">
        <v>514</v>
      </c>
      <c r="G3888">
        <v>12.75</v>
      </c>
    </row>
    <row r="3889" spans="2:7" hidden="1">
      <c r="B3889" s="43">
        <v>44407</v>
      </c>
      <c r="C3889" t="s">
        <v>130</v>
      </c>
      <c r="D3889" s="48">
        <v>44469</v>
      </c>
      <c r="E3889">
        <v>525</v>
      </c>
      <c r="F3889" t="s">
        <v>515</v>
      </c>
      <c r="G3889">
        <v>115.25</v>
      </c>
    </row>
    <row r="3890" spans="2:7" hidden="1">
      <c r="B3890" s="43">
        <v>44407</v>
      </c>
      <c r="C3890" t="s">
        <v>130</v>
      </c>
      <c r="D3890" s="48">
        <v>44469</v>
      </c>
      <c r="E3890">
        <v>530</v>
      </c>
      <c r="F3890" t="s">
        <v>514</v>
      </c>
      <c r="G3890">
        <v>11.95</v>
      </c>
    </row>
    <row r="3891" spans="2:7" hidden="1">
      <c r="B3891" s="43">
        <v>44407</v>
      </c>
      <c r="C3891" t="s">
        <v>130</v>
      </c>
      <c r="D3891" s="48">
        <v>44469</v>
      </c>
      <c r="E3891">
        <v>530</v>
      </c>
      <c r="F3891" t="s">
        <v>515</v>
      </c>
      <c r="G3891">
        <v>119.4</v>
      </c>
    </row>
    <row r="3892" spans="2:7" hidden="1">
      <c r="B3892" s="43">
        <v>44407</v>
      </c>
      <c r="C3892" t="s">
        <v>130</v>
      </c>
      <c r="D3892" s="48">
        <v>44497</v>
      </c>
      <c r="E3892">
        <v>0</v>
      </c>
      <c r="F3892" t="s">
        <v>516</v>
      </c>
      <c r="G3892">
        <v>436.2</v>
      </c>
    </row>
    <row r="3893" spans="2:7" hidden="1">
      <c r="B3893" s="43">
        <v>44410</v>
      </c>
      <c r="C3893" t="s">
        <v>130</v>
      </c>
      <c r="D3893" s="48">
        <v>44497</v>
      </c>
      <c r="E3893">
        <v>0</v>
      </c>
      <c r="F3893" t="s">
        <v>516</v>
      </c>
      <c r="G3893">
        <v>439.35</v>
      </c>
    </row>
    <row r="3894" spans="2:7" hidden="1">
      <c r="B3894" s="43">
        <v>44407</v>
      </c>
      <c r="C3894" t="s">
        <v>130</v>
      </c>
      <c r="D3894" s="48">
        <v>44497</v>
      </c>
      <c r="E3894">
        <v>265</v>
      </c>
      <c r="F3894" t="s">
        <v>514</v>
      </c>
      <c r="G3894">
        <v>179.45</v>
      </c>
    </row>
    <row r="3895" spans="2:7" hidden="1">
      <c r="B3895" s="43">
        <v>44407</v>
      </c>
      <c r="C3895" t="s">
        <v>130</v>
      </c>
      <c r="D3895" s="48">
        <v>44497</v>
      </c>
      <c r="E3895">
        <v>265</v>
      </c>
      <c r="F3895" t="s">
        <v>515</v>
      </c>
      <c r="G3895">
        <v>0.4</v>
      </c>
    </row>
    <row r="3896" spans="2:7" hidden="1">
      <c r="B3896" s="43">
        <v>44407</v>
      </c>
      <c r="C3896" t="s">
        <v>130</v>
      </c>
      <c r="D3896" s="48">
        <v>44497</v>
      </c>
      <c r="E3896">
        <v>270</v>
      </c>
      <c r="F3896" t="s">
        <v>514</v>
      </c>
      <c r="G3896">
        <v>174.6</v>
      </c>
    </row>
    <row r="3897" spans="2:7" hidden="1">
      <c r="B3897" s="43">
        <v>44407</v>
      </c>
      <c r="C3897" t="s">
        <v>130</v>
      </c>
      <c r="D3897" s="48">
        <v>44497</v>
      </c>
      <c r="E3897">
        <v>270</v>
      </c>
      <c r="F3897" t="s">
        <v>515</v>
      </c>
      <c r="G3897">
        <v>0.5</v>
      </c>
    </row>
    <row r="3898" spans="2:7" hidden="1">
      <c r="B3898" s="43">
        <v>44407</v>
      </c>
      <c r="C3898" t="s">
        <v>130</v>
      </c>
      <c r="D3898" s="48">
        <v>44497</v>
      </c>
      <c r="E3898">
        <v>275</v>
      </c>
      <c r="F3898" t="s">
        <v>514</v>
      </c>
      <c r="G3898">
        <v>169.75</v>
      </c>
    </row>
    <row r="3899" spans="2:7" hidden="1">
      <c r="B3899" s="43">
        <v>44407</v>
      </c>
      <c r="C3899" t="s">
        <v>130</v>
      </c>
      <c r="D3899" s="48">
        <v>44497</v>
      </c>
      <c r="E3899">
        <v>275</v>
      </c>
      <c r="F3899" t="s">
        <v>515</v>
      </c>
      <c r="G3899">
        <v>0.6</v>
      </c>
    </row>
    <row r="3900" spans="2:7" hidden="1">
      <c r="B3900" s="43">
        <v>44407</v>
      </c>
      <c r="C3900" t="s">
        <v>130</v>
      </c>
      <c r="D3900" s="48">
        <v>44497</v>
      </c>
      <c r="E3900">
        <v>280</v>
      </c>
      <c r="F3900" t="s">
        <v>514</v>
      </c>
      <c r="G3900">
        <v>164.95</v>
      </c>
    </row>
    <row r="3901" spans="2:7" hidden="1">
      <c r="B3901" s="43">
        <v>44407</v>
      </c>
      <c r="C3901" t="s">
        <v>130</v>
      </c>
      <c r="D3901" s="48">
        <v>44497</v>
      </c>
      <c r="E3901">
        <v>280</v>
      </c>
      <c r="F3901" t="s">
        <v>515</v>
      </c>
      <c r="G3901">
        <v>0.75</v>
      </c>
    </row>
    <row r="3902" spans="2:7" hidden="1">
      <c r="B3902" s="43">
        <v>44407</v>
      </c>
      <c r="C3902" t="s">
        <v>130</v>
      </c>
      <c r="D3902" s="48">
        <v>44497</v>
      </c>
      <c r="E3902">
        <v>285</v>
      </c>
      <c r="F3902" t="s">
        <v>514</v>
      </c>
      <c r="G3902">
        <v>160.15</v>
      </c>
    </row>
    <row r="3903" spans="2:7" hidden="1">
      <c r="B3903" s="43">
        <v>44407</v>
      </c>
      <c r="C3903" t="s">
        <v>130</v>
      </c>
      <c r="D3903" s="48">
        <v>44497</v>
      </c>
      <c r="E3903">
        <v>285</v>
      </c>
      <c r="F3903" t="s">
        <v>515</v>
      </c>
      <c r="G3903">
        <v>0.95</v>
      </c>
    </row>
    <row r="3904" spans="2:7" hidden="1">
      <c r="B3904" s="43">
        <v>44407</v>
      </c>
      <c r="C3904" t="s">
        <v>130</v>
      </c>
      <c r="D3904" s="48">
        <v>44497</v>
      </c>
      <c r="E3904">
        <v>290</v>
      </c>
      <c r="F3904" t="s">
        <v>514</v>
      </c>
      <c r="G3904">
        <v>155.4</v>
      </c>
    </row>
    <row r="3905" spans="2:7" hidden="1">
      <c r="B3905" s="43">
        <v>44407</v>
      </c>
      <c r="C3905" t="s">
        <v>130</v>
      </c>
      <c r="D3905" s="48">
        <v>44497</v>
      </c>
      <c r="E3905">
        <v>290</v>
      </c>
      <c r="F3905" t="s">
        <v>515</v>
      </c>
      <c r="G3905">
        <v>1.1499999999999999</v>
      </c>
    </row>
    <row r="3906" spans="2:7" hidden="1">
      <c r="B3906" s="43">
        <v>44407</v>
      </c>
      <c r="C3906" t="s">
        <v>130</v>
      </c>
      <c r="D3906" s="48">
        <v>44497</v>
      </c>
      <c r="E3906">
        <v>295</v>
      </c>
      <c r="F3906" t="s">
        <v>514</v>
      </c>
      <c r="G3906">
        <v>150.69999999999999</v>
      </c>
    </row>
    <row r="3907" spans="2:7" hidden="1">
      <c r="B3907" s="43">
        <v>44407</v>
      </c>
      <c r="C3907" t="s">
        <v>130</v>
      </c>
      <c r="D3907" s="48">
        <v>44497</v>
      </c>
      <c r="E3907">
        <v>295</v>
      </c>
      <c r="F3907" t="s">
        <v>515</v>
      </c>
      <c r="G3907">
        <v>1.35</v>
      </c>
    </row>
    <row r="3908" spans="2:7" hidden="1">
      <c r="B3908" s="43">
        <v>44407</v>
      </c>
      <c r="C3908" t="s">
        <v>130</v>
      </c>
      <c r="D3908" s="48">
        <v>44497</v>
      </c>
      <c r="E3908">
        <v>300</v>
      </c>
      <c r="F3908" t="s">
        <v>514</v>
      </c>
      <c r="G3908">
        <v>146</v>
      </c>
    </row>
    <row r="3909" spans="2:7" hidden="1">
      <c r="B3909" s="43">
        <v>44407</v>
      </c>
      <c r="C3909" t="s">
        <v>130</v>
      </c>
      <c r="D3909" s="48">
        <v>44497</v>
      </c>
      <c r="E3909">
        <v>300</v>
      </c>
      <c r="F3909" t="s">
        <v>515</v>
      </c>
      <c r="G3909">
        <v>1.65</v>
      </c>
    </row>
    <row r="3910" spans="2:7" hidden="1">
      <c r="B3910" s="43">
        <v>44407</v>
      </c>
      <c r="C3910" t="s">
        <v>130</v>
      </c>
      <c r="D3910" s="48">
        <v>44497</v>
      </c>
      <c r="E3910">
        <v>305</v>
      </c>
      <c r="F3910" t="s">
        <v>514</v>
      </c>
      <c r="G3910">
        <v>141.4</v>
      </c>
    </row>
    <row r="3911" spans="2:7" hidden="1">
      <c r="B3911" s="43">
        <v>44407</v>
      </c>
      <c r="C3911" t="s">
        <v>130</v>
      </c>
      <c r="D3911" s="48">
        <v>44497</v>
      </c>
      <c r="E3911">
        <v>305</v>
      </c>
      <c r="F3911" t="s">
        <v>515</v>
      </c>
      <c r="G3911">
        <v>1.95</v>
      </c>
    </row>
    <row r="3912" spans="2:7" hidden="1">
      <c r="B3912" s="43">
        <v>44407</v>
      </c>
      <c r="C3912" t="s">
        <v>130</v>
      </c>
      <c r="D3912" s="48">
        <v>44497</v>
      </c>
      <c r="E3912">
        <v>310</v>
      </c>
      <c r="F3912" t="s">
        <v>514</v>
      </c>
      <c r="G3912">
        <v>136.80000000000001</v>
      </c>
    </row>
    <row r="3913" spans="2:7" hidden="1">
      <c r="B3913" s="43">
        <v>44407</v>
      </c>
      <c r="C3913" t="s">
        <v>130</v>
      </c>
      <c r="D3913" s="48">
        <v>44497</v>
      </c>
      <c r="E3913">
        <v>310</v>
      </c>
      <c r="F3913" t="s">
        <v>515</v>
      </c>
      <c r="G3913">
        <v>2.2999999999999998</v>
      </c>
    </row>
    <row r="3914" spans="2:7" hidden="1">
      <c r="B3914" s="43">
        <v>44407</v>
      </c>
      <c r="C3914" t="s">
        <v>130</v>
      </c>
      <c r="D3914" s="48">
        <v>44497</v>
      </c>
      <c r="E3914">
        <v>315</v>
      </c>
      <c r="F3914" t="s">
        <v>514</v>
      </c>
      <c r="G3914">
        <v>132.25</v>
      </c>
    </row>
    <row r="3915" spans="2:7" hidden="1">
      <c r="B3915" s="43">
        <v>44407</v>
      </c>
      <c r="C3915" t="s">
        <v>130</v>
      </c>
      <c r="D3915" s="48">
        <v>44497</v>
      </c>
      <c r="E3915">
        <v>315</v>
      </c>
      <c r="F3915" t="s">
        <v>515</v>
      </c>
      <c r="G3915">
        <v>2.7</v>
      </c>
    </row>
    <row r="3916" spans="2:7" hidden="1">
      <c r="B3916" s="43">
        <v>44407</v>
      </c>
      <c r="C3916" t="s">
        <v>130</v>
      </c>
      <c r="D3916" s="48">
        <v>44497</v>
      </c>
      <c r="E3916">
        <v>320</v>
      </c>
      <c r="F3916" t="s">
        <v>514</v>
      </c>
      <c r="G3916">
        <v>127.75</v>
      </c>
    </row>
    <row r="3917" spans="2:7" hidden="1">
      <c r="B3917" s="43">
        <v>44407</v>
      </c>
      <c r="C3917" t="s">
        <v>130</v>
      </c>
      <c r="D3917" s="48">
        <v>44497</v>
      </c>
      <c r="E3917">
        <v>320</v>
      </c>
      <c r="F3917" t="s">
        <v>515</v>
      </c>
      <c r="G3917">
        <v>3.2</v>
      </c>
    </row>
    <row r="3918" spans="2:7" hidden="1">
      <c r="B3918" s="43">
        <v>44407</v>
      </c>
      <c r="C3918" t="s">
        <v>130</v>
      </c>
      <c r="D3918" s="48">
        <v>44497</v>
      </c>
      <c r="E3918">
        <v>325</v>
      </c>
      <c r="F3918" t="s">
        <v>514</v>
      </c>
      <c r="G3918">
        <v>123.3</v>
      </c>
    </row>
    <row r="3919" spans="2:7" hidden="1">
      <c r="B3919" s="43">
        <v>44407</v>
      </c>
      <c r="C3919" t="s">
        <v>130</v>
      </c>
      <c r="D3919" s="48">
        <v>44497</v>
      </c>
      <c r="E3919">
        <v>325</v>
      </c>
      <c r="F3919" t="s">
        <v>515</v>
      </c>
      <c r="G3919">
        <v>3.7</v>
      </c>
    </row>
    <row r="3920" spans="2:7" hidden="1">
      <c r="B3920" s="43">
        <v>44407</v>
      </c>
      <c r="C3920" t="s">
        <v>130</v>
      </c>
      <c r="D3920" s="48">
        <v>44497</v>
      </c>
      <c r="E3920">
        <v>330</v>
      </c>
      <c r="F3920" t="s">
        <v>514</v>
      </c>
      <c r="G3920">
        <v>118.95</v>
      </c>
    </row>
    <row r="3921" spans="2:7" hidden="1">
      <c r="B3921" s="43">
        <v>44407</v>
      </c>
      <c r="C3921" t="s">
        <v>130</v>
      </c>
      <c r="D3921" s="48">
        <v>44497</v>
      </c>
      <c r="E3921">
        <v>330</v>
      </c>
      <c r="F3921" t="s">
        <v>515</v>
      </c>
      <c r="G3921">
        <v>4.3</v>
      </c>
    </row>
    <row r="3922" spans="2:7" hidden="1">
      <c r="B3922" s="43">
        <v>44407</v>
      </c>
      <c r="C3922" t="s">
        <v>130</v>
      </c>
      <c r="D3922" s="48">
        <v>44497</v>
      </c>
      <c r="E3922">
        <v>335</v>
      </c>
      <c r="F3922" t="s">
        <v>514</v>
      </c>
      <c r="G3922">
        <v>114.6</v>
      </c>
    </row>
    <row r="3923" spans="2:7" hidden="1">
      <c r="B3923" s="43">
        <v>44407</v>
      </c>
      <c r="C3923" t="s">
        <v>130</v>
      </c>
      <c r="D3923" s="48">
        <v>44497</v>
      </c>
      <c r="E3923">
        <v>335</v>
      </c>
      <c r="F3923" t="s">
        <v>515</v>
      </c>
      <c r="G3923">
        <v>4.9000000000000004</v>
      </c>
    </row>
    <row r="3924" spans="2:7" hidden="1">
      <c r="B3924" s="43">
        <v>44407</v>
      </c>
      <c r="C3924" t="s">
        <v>130</v>
      </c>
      <c r="D3924" s="48">
        <v>44497</v>
      </c>
      <c r="E3924">
        <v>340</v>
      </c>
      <c r="F3924" t="s">
        <v>514</v>
      </c>
      <c r="G3924">
        <v>110.4</v>
      </c>
    </row>
    <row r="3925" spans="2:7" hidden="1">
      <c r="B3925" s="43">
        <v>44407</v>
      </c>
      <c r="C3925" t="s">
        <v>130</v>
      </c>
      <c r="D3925" s="48">
        <v>44497</v>
      </c>
      <c r="E3925">
        <v>340</v>
      </c>
      <c r="F3925" t="s">
        <v>515</v>
      </c>
      <c r="G3925">
        <v>5.65</v>
      </c>
    </row>
    <row r="3926" spans="2:7" hidden="1">
      <c r="B3926" s="43">
        <v>44407</v>
      </c>
      <c r="C3926" t="s">
        <v>130</v>
      </c>
      <c r="D3926" s="48">
        <v>44497</v>
      </c>
      <c r="E3926">
        <v>345</v>
      </c>
      <c r="F3926" t="s">
        <v>514</v>
      </c>
      <c r="G3926">
        <v>106.2</v>
      </c>
    </row>
    <row r="3927" spans="2:7" hidden="1">
      <c r="B3927" s="43">
        <v>44407</v>
      </c>
      <c r="C3927" t="s">
        <v>130</v>
      </c>
      <c r="D3927" s="48">
        <v>44497</v>
      </c>
      <c r="E3927">
        <v>345</v>
      </c>
      <c r="F3927" t="s">
        <v>515</v>
      </c>
      <c r="G3927">
        <v>6.4</v>
      </c>
    </row>
    <row r="3928" spans="2:7" hidden="1">
      <c r="B3928" s="43">
        <v>44407</v>
      </c>
      <c r="C3928" t="s">
        <v>130</v>
      </c>
      <c r="D3928" s="48">
        <v>44497</v>
      </c>
      <c r="E3928">
        <v>350</v>
      </c>
      <c r="F3928" t="s">
        <v>514</v>
      </c>
      <c r="G3928">
        <v>102.1</v>
      </c>
    </row>
    <row r="3929" spans="2:7" hidden="1">
      <c r="B3929" s="43">
        <v>44407</v>
      </c>
      <c r="C3929" t="s">
        <v>130</v>
      </c>
      <c r="D3929" s="48">
        <v>44497</v>
      </c>
      <c r="E3929">
        <v>350</v>
      </c>
      <c r="F3929" t="s">
        <v>515</v>
      </c>
      <c r="G3929">
        <v>7.3</v>
      </c>
    </row>
    <row r="3930" spans="2:7" hidden="1">
      <c r="B3930" s="43">
        <v>44407</v>
      </c>
      <c r="C3930" t="s">
        <v>130</v>
      </c>
      <c r="D3930" s="48">
        <v>44497</v>
      </c>
      <c r="E3930">
        <v>355</v>
      </c>
      <c r="F3930" t="s">
        <v>514</v>
      </c>
      <c r="G3930">
        <v>98.1</v>
      </c>
    </row>
    <row r="3931" spans="2:7" hidden="1">
      <c r="B3931" s="43">
        <v>44407</v>
      </c>
      <c r="C3931" t="s">
        <v>130</v>
      </c>
      <c r="D3931" s="48">
        <v>44497</v>
      </c>
      <c r="E3931">
        <v>355</v>
      </c>
      <c r="F3931" t="s">
        <v>515</v>
      </c>
      <c r="G3931">
        <v>8.1999999999999993</v>
      </c>
    </row>
    <row r="3932" spans="2:7" hidden="1">
      <c r="B3932" s="43">
        <v>44407</v>
      </c>
      <c r="C3932" t="s">
        <v>130</v>
      </c>
      <c r="D3932" s="48">
        <v>44497</v>
      </c>
      <c r="E3932">
        <v>360</v>
      </c>
      <c r="F3932" t="s">
        <v>514</v>
      </c>
      <c r="G3932">
        <v>94.2</v>
      </c>
    </row>
    <row r="3933" spans="2:7" hidden="1">
      <c r="B3933" s="43">
        <v>44407</v>
      </c>
      <c r="C3933" t="s">
        <v>130</v>
      </c>
      <c r="D3933" s="48">
        <v>44497</v>
      </c>
      <c r="E3933">
        <v>360</v>
      </c>
      <c r="F3933" t="s">
        <v>515</v>
      </c>
      <c r="G3933">
        <v>9.25</v>
      </c>
    </row>
    <row r="3934" spans="2:7" hidden="1">
      <c r="B3934" s="43">
        <v>44407</v>
      </c>
      <c r="C3934" t="s">
        <v>130</v>
      </c>
      <c r="D3934" s="48">
        <v>44497</v>
      </c>
      <c r="E3934">
        <v>365</v>
      </c>
      <c r="F3934" t="s">
        <v>514</v>
      </c>
      <c r="G3934">
        <v>90.35</v>
      </c>
    </row>
    <row r="3935" spans="2:7" hidden="1">
      <c r="B3935" s="43">
        <v>44407</v>
      </c>
      <c r="C3935" t="s">
        <v>130</v>
      </c>
      <c r="D3935" s="48">
        <v>44497</v>
      </c>
      <c r="E3935">
        <v>365</v>
      </c>
      <c r="F3935" t="s">
        <v>515</v>
      </c>
      <c r="G3935">
        <v>10.35</v>
      </c>
    </row>
    <row r="3936" spans="2:7" hidden="1">
      <c r="B3936" s="43">
        <v>44407</v>
      </c>
      <c r="C3936" t="s">
        <v>130</v>
      </c>
      <c r="D3936" s="48">
        <v>44497</v>
      </c>
      <c r="E3936">
        <v>370</v>
      </c>
      <c r="F3936" t="s">
        <v>514</v>
      </c>
      <c r="G3936">
        <v>86.55</v>
      </c>
    </row>
    <row r="3937" spans="2:7" hidden="1">
      <c r="B3937" s="43">
        <v>44407</v>
      </c>
      <c r="C3937" t="s">
        <v>130</v>
      </c>
      <c r="D3937" s="48">
        <v>44497</v>
      </c>
      <c r="E3937">
        <v>370</v>
      </c>
      <c r="F3937" t="s">
        <v>515</v>
      </c>
      <c r="G3937">
        <v>11.55</v>
      </c>
    </row>
    <row r="3938" spans="2:7" hidden="1">
      <c r="B3938" s="43">
        <v>44407</v>
      </c>
      <c r="C3938" t="s">
        <v>130</v>
      </c>
      <c r="D3938" s="48">
        <v>44497</v>
      </c>
      <c r="E3938">
        <v>375</v>
      </c>
      <c r="F3938" t="s">
        <v>514</v>
      </c>
      <c r="G3938">
        <v>82.9</v>
      </c>
    </row>
    <row r="3939" spans="2:7" hidden="1">
      <c r="B3939" s="43">
        <v>44407</v>
      </c>
      <c r="C3939" t="s">
        <v>130</v>
      </c>
      <c r="D3939" s="48">
        <v>44497</v>
      </c>
      <c r="E3939">
        <v>375</v>
      </c>
      <c r="F3939" t="s">
        <v>515</v>
      </c>
      <c r="G3939">
        <v>12.85</v>
      </c>
    </row>
    <row r="3940" spans="2:7" hidden="1">
      <c r="B3940" s="43">
        <v>44407</v>
      </c>
      <c r="C3940" t="s">
        <v>130</v>
      </c>
      <c r="D3940" s="48">
        <v>44497</v>
      </c>
      <c r="E3940">
        <v>380</v>
      </c>
      <c r="F3940" t="s">
        <v>514</v>
      </c>
      <c r="G3940">
        <v>79.349999999999994</v>
      </c>
    </row>
    <row r="3941" spans="2:7" hidden="1">
      <c r="B3941" s="43">
        <v>44407</v>
      </c>
      <c r="C3941" t="s">
        <v>130</v>
      </c>
      <c r="D3941" s="48">
        <v>44497</v>
      </c>
      <c r="E3941">
        <v>380</v>
      </c>
      <c r="F3941" t="s">
        <v>515</v>
      </c>
      <c r="G3941">
        <v>5.25</v>
      </c>
    </row>
    <row r="3942" spans="2:7" hidden="1">
      <c r="B3942" s="43">
        <v>44407</v>
      </c>
      <c r="C3942" t="s">
        <v>130</v>
      </c>
      <c r="D3942" s="48">
        <v>44497</v>
      </c>
      <c r="E3942">
        <v>385</v>
      </c>
      <c r="F3942" t="s">
        <v>514</v>
      </c>
      <c r="G3942">
        <v>75.849999999999994</v>
      </c>
    </row>
    <row r="3943" spans="2:7" hidden="1">
      <c r="B3943" s="43">
        <v>44407</v>
      </c>
      <c r="C3943" t="s">
        <v>130</v>
      </c>
      <c r="D3943" s="48">
        <v>44497</v>
      </c>
      <c r="E3943">
        <v>385</v>
      </c>
      <c r="F3943" t="s">
        <v>515</v>
      </c>
      <c r="G3943">
        <v>15.7</v>
      </c>
    </row>
    <row r="3944" spans="2:7" hidden="1">
      <c r="B3944" s="43">
        <v>44407</v>
      </c>
      <c r="C3944" t="s">
        <v>130</v>
      </c>
      <c r="D3944" s="48">
        <v>44497</v>
      </c>
      <c r="E3944">
        <v>390</v>
      </c>
      <c r="F3944" t="s">
        <v>514</v>
      </c>
      <c r="G3944">
        <v>72.45</v>
      </c>
    </row>
    <row r="3945" spans="2:7" hidden="1">
      <c r="B3945" s="43">
        <v>44407</v>
      </c>
      <c r="C3945" t="s">
        <v>130</v>
      </c>
      <c r="D3945" s="48">
        <v>44497</v>
      </c>
      <c r="E3945">
        <v>390</v>
      </c>
      <c r="F3945" t="s">
        <v>515</v>
      </c>
      <c r="G3945">
        <v>17.25</v>
      </c>
    </row>
    <row r="3946" spans="2:7" hidden="1">
      <c r="B3946" s="43">
        <v>44407</v>
      </c>
      <c r="C3946" t="s">
        <v>130</v>
      </c>
      <c r="D3946" s="48">
        <v>44497</v>
      </c>
      <c r="E3946">
        <v>395</v>
      </c>
      <c r="F3946" t="s">
        <v>514</v>
      </c>
      <c r="G3946">
        <v>69.150000000000006</v>
      </c>
    </row>
    <row r="3947" spans="2:7" hidden="1">
      <c r="B3947" s="43">
        <v>44407</v>
      </c>
      <c r="C3947" t="s">
        <v>130</v>
      </c>
      <c r="D3947" s="48">
        <v>44497</v>
      </c>
      <c r="E3947">
        <v>395</v>
      </c>
      <c r="F3947" t="s">
        <v>515</v>
      </c>
      <c r="G3947">
        <v>18.899999999999999</v>
      </c>
    </row>
    <row r="3948" spans="2:7" hidden="1">
      <c r="B3948" s="43">
        <v>44407</v>
      </c>
      <c r="C3948" t="s">
        <v>130</v>
      </c>
      <c r="D3948" s="48">
        <v>44497</v>
      </c>
      <c r="E3948">
        <v>400</v>
      </c>
      <c r="F3948" t="s">
        <v>514</v>
      </c>
      <c r="G3948">
        <v>65.95</v>
      </c>
    </row>
    <row r="3949" spans="2:7" hidden="1">
      <c r="B3949" s="43">
        <v>44407</v>
      </c>
      <c r="C3949" t="s">
        <v>130</v>
      </c>
      <c r="D3949" s="48">
        <v>44497</v>
      </c>
      <c r="E3949">
        <v>400</v>
      </c>
      <c r="F3949" t="s">
        <v>515</v>
      </c>
      <c r="G3949">
        <v>10.5</v>
      </c>
    </row>
    <row r="3950" spans="2:7" hidden="1">
      <c r="B3950" s="43">
        <v>44407</v>
      </c>
      <c r="C3950" t="s">
        <v>130</v>
      </c>
      <c r="D3950" s="48">
        <v>44497</v>
      </c>
      <c r="E3950">
        <v>405</v>
      </c>
      <c r="F3950" t="s">
        <v>514</v>
      </c>
      <c r="G3950">
        <v>62.85</v>
      </c>
    </row>
    <row r="3951" spans="2:7" hidden="1">
      <c r="B3951" s="43">
        <v>44407</v>
      </c>
      <c r="C3951" t="s">
        <v>130</v>
      </c>
      <c r="D3951" s="48">
        <v>44497</v>
      </c>
      <c r="E3951">
        <v>405</v>
      </c>
      <c r="F3951" t="s">
        <v>515</v>
      </c>
      <c r="G3951">
        <v>22.5</v>
      </c>
    </row>
    <row r="3952" spans="2:7" hidden="1">
      <c r="B3952" s="43">
        <v>44407</v>
      </c>
      <c r="C3952" t="s">
        <v>130</v>
      </c>
      <c r="D3952" s="48">
        <v>44497</v>
      </c>
      <c r="E3952">
        <v>410</v>
      </c>
      <c r="F3952" t="s">
        <v>514</v>
      </c>
      <c r="G3952">
        <v>59.9</v>
      </c>
    </row>
    <row r="3953" spans="2:7" hidden="1">
      <c r="B3953" s="43">
        <v>44407</v>
      </c>
      <c r="C3953" t="s">
        <v>130</v>
      </c>
      <c r="D3953" s="48">
        <v>44497</v>
      </c>
      <c r="E3953">
        <v>410</v>
      </c>
      <c r="F3953" t="s">
        <v>515</v>
      </c>
      <c r="G3953">
        <v>24.45</v>
      </c>
    </row>
    <row r="3954" spans="2:7" hidden="1">
      <c r="B3954" s="43">
        <v>44407</v>
      </c>
      <c r="C3954" t="s">
        <v>130</v>
      </c>
      <c r="D3954" s="48">
        <v>44497</v>
      </c>
      <c r="E3954">
        <v>415</v>
      </c>
      <c r="F3954" t="s">
        <v>514</v>
      </c>
      <c r="G3954">
        <v>57</v>
      </c>
    </row>
    <row r="3955" spans="2:7" hidden="1">
      <c r="B3955" s="43">
        <v>44407</v>
      </c>
      <c r="C3955" t="s">
        <v>130</v>
      </c>
      <c r="D3955" s="48">
        <v>44497</v>
      </c>
      <c r="E3955">
        <v>415</v>
      </c>
      <c r="F3955" t="s">
        <v>515</v>
      </c>
      <c r="G3955">
        <v>26.55</v>
      </c>
    </row>
    <row r="3956" spans="2:7" hidden="1">
      <c r="B3956" s="43">
        <v>44407</v>
      </c>
      <c r="C3956" t="s">
        <v>130</v>
      </c>
      <c r="D3956" s="48">
        <v>44497</v>
      </c>
      <c r="E3956">
        <v>420</v>
      </c>
      <c r="F3956" t="s">
        <v>514</v>
      </c>
      <c r="G3956">
        <v>54.2</v>
      </c>
    </row>
    <row r="3957" spans="2:7" hidden="1">
      <c r="B3957" s="43">
        <v>44407</v>
      </c>
      <c r="C3957" t="s">
        <v>130</v>
      </c>
      <c r="D3957" s="48">
        <v>44497</v>
      </c>
      <c r="E3957">
        <v>420</v>
      </c>
      <c r="F3957" t="s">
        <v>515</v>
      </c>
      <c r="G3957">
        <v>28.7</v>
      </c>
    </row>
    <row r="3958" spans="2:7" hidden="1">
      <c r="B3958" s="43">
        <v>44407</v>
      </c>
      <c r="C3958" t="s">
        <v>130</v>
      </c>
      <c r="D3958" s="48">
        <v>44497</v>
      </c>
      <c r="E3958">
        <v>425</v>
      </c>
      <c r="F3958" t="s">
        <v>514</v>
      </c>
      <c r="G3958">
        <v>51.5</v>
      </c>
    </row>
    <row r="3959" spans="2:7" hidden="1">
      <c r="B3959" s="43">
        <v>44407</v>
      </c>
      <c r="C3959" t="s">
        <v>130</v>
      </c>
      <c r="D3959" s="48">
        <v>44497</v>
      </c>
      <c r="E3959">
        <v>425</v>
      </c>
      <c r="F3959" t="s">
        <v>515</v>
      </c>
      <c r="G3959">
        <v>30.95</v>
      </c>
    </row>
    <row r="3960" spans="2:7" hidden="1">
      <c r="B3960" s="43">
        <v>44407</v>
      </c>
      <c r="C3960" t="s">
        <v>130</v>
      </c>
      <c r="D3960" s="48">
        <v>44497</v>
      </c>
      <c r="E3960">
        <v>430</v>
      </c>
      <c r="F3960" t="s">
        <v>514</v>
      </c>
      <c r="G3960">
        <v>48.9</v>
      </c>
    </row>
    <row r="3961" spans="2:7" hidden="1">
      <c r="B3961" s="43">
        <v>44407</v>
      </c>
      <c r="C3961" t="s">
        <v>130</v>
      </c>
      <c r="D3961" s="48">
        <v>44497</v>
      </c>
      <c r="E3961">
        <v>430</v>
      </c>
      <c r="F3961" t="s">
        <v>515</v>
      </c>
      <c r="G3961">
        <v>33.299999999999997</v>
      </c>
    </row>
    <row r="3962" spans="2:7" hidden="1">
      <c r="B3962" s="43">
        <v>44407</v>
      </c>
      <c r="C3962" t="s">
        <v>130</v>
      </c>
      <c r="D3962" s="48">
        <v>44497</v>
      </c>
      <c r="E3962">
        <v>435</v>
      </c>
      <c r="F3962" t="s">
        <v>514</v>
      </c>
      <c r="G3962">
        <v>46.4</v>
      </c>
    </row>
    <row r="3963" spans="2:7" hidden="1">
      <c r="B3963" s="43">
        <v>44407</v>
      </c>
      <c r="C3963" t="s">
        <v>130</v>
      </c>
      <c r="D3963" s="48">
        <v>44497</v>
      </c>
      <c r="E3963">
        <v>435</v>
      </c>
      <c r="F3963" t="s">
        <v>515</v>
      </c>
      <c r="G3963">
        <v>35.75</v>
      </c>
    </row>
    <row r="3964" spans="2:7" hidden="1">
      <c r="B3964" s="43">
        <v>44407</v>
      </c>
      <c r="C3964" t="s">
        <v>130</v>
      </c>
      <c r="D3964" s="48">
        <v>44497</v>
      </c>
      <c r="E3964">
        <v>440</v>
      </c>
      <c r="F3964" t="s">
        <v>514</v>
      </c>
      <c r="G3964">
        <v>44</v>
      </c>
    </row>
    <row r="3965" spans="2:7" hidden="1">
      <c r="B3965" s="43">
        <v>44407</v>
      </c>
      <c r="C3965" t="s">
        <v>130</v>
      </c>
      <c r="D3965" s="48">
        <v>44497</v>
      </c>
      <c r="E3965">
        <v>440</v>
      </c>
      <c r="F3965" t="s">
        <v>515</v>
      </c>
      <c r="G3965">
        <v>38.299999999999997</v>
      </c>
    </row>
    <row r="3966" spans="2:7" hidden="1">
      <c r="B3966" s="43">
        <v>44407</v>
      </c>
      <c r="C3966" t="s">
        <v>130</v>
      </c>
      <c r="D3966" s="48">
        <v>44497</v>
      </c>
      <c r="E3966">
        <v>445</v>
      </c>
      <c r="F3966" t="s">
        <v>514</v>
      </c>
      <c r="G3966">
        <v>41.7</v>
      </c>
    </row>
    <row r="3967" spans="2:7" hidden="1">
      <c r="B3967" s="43">
        <v>44407</v>
      </c>
      <c r="C3967" t="s">
        <v>130</v>
      </c>
      <c r="D3967" s="48">
        <v>44497</v>
      </c>
      <c r="E3967">
        <v>445</v>
      </c>
      <c r="F3967" t="s">
        <v>515</v>
      </c>
      <c r="G3967">
        <v>40.950000000000003</v>
      </c>
    </row>
    <row r="3968" spans="2:7" hidden="1">
      <c r="B3968" s="43">
        <v>44407</v>
      </c>
      <c r="C3968" t="s">
        <v>130</v>
      </c>
      <c r="D3968" s="48">
        <v>44497</v>
      </c>
      <c r="E3968">
        <v>450</v>
      </c>
      <c r="F3968" t="s">
        <v>514</v>
      </c>
      <c r="G3968">
        <v>39.5</v>
      </c>
    </row>
    <row r="3969" spans="2:7" hidden="1">
      <c r="B3969" s="43">
        <v>44407</v>
      </c>
      <c r="C3969" t="s">
        <v>130</v>
      </c>
      <c r="D3969" s="48">
        <v>44497</v>
      </c>
      <c r="E3969">
        <v>450</v>
      </c>
      <c r="F3969" t="s">
        <v>515</v>
      </c>
      <c r="G3969">
        <v>43.7</v>
      </c>
    </row>
    <row r="3970" spans="2:7" hidden="1">
      <c r="B3970" s="43">
        <v>44407</v>
      </c>
      <c r="C3970" t="s">
        <v>130</v>
      </c>
      <c r="D3970" s="48">
        <v>44497</v>
      </c>
      <c r="E3970">
        <v>455</v>
      </c>
      <c r="F3970" t="s">
        <v>514</v>
      </c>
      <c r="G3970">
        <v>37.35</v>
      </c>
    </row>
    <row r="3971" spans="2:7" hidden="1">
      <c r="B3971" s="43">
        <v>44407</v>
      </c>
      <c r="C3971" t="s">
        <v>130</v>
      </c>
      <c r="D3971" s="48">
        <v>44497</v>
      </c>
      <c r="E3971">
        <v>455</v>
      </c>
      <c r="F3971" t="s">
        <v>515</v>
      </c>
      <c r="G3971">
        <v>46.55</v>
      </c>
    </row>
    <row r="3972" spans="2:7" hidden="1">
      <c r="B3972" s="43">
        <v>44407</v>
      </c>
      <c r="C3972" t="s">
        <v>130</v>
      </c>
      <c r="D3972" s="48">
        <v>44497</v>
      </c>
      <c r="E3972">
        <v>460</v>
      </c>
      <c r="F3972" t="s">
        <v>514</v>
      </c>
      <c r="G3972">
        <v>35.35</v>
      </c>
    </row>
    <row r="3973" spans="2:7" hidden="1">
      <c r="B3973" s="43">
        <v>44407</v>
      </c>
      <c r="C3973" t="s">
        <v>130</v>
      </c>
      <c r="D3973" s="48">
        <v>44497</v>
      </c>
      <c r="E3973">
        <v>460</v>
      </c>
      <c r="F3973" t="s">
        <v>515</v>
      </c>
      <c r="G3973">
        <v>49.45</v>
      </c>
    </row>
    <row r="3974" spans="2:7" hidden="1">
      <c r="B3974" s="43">
        <v>44407</v>
      </c>
      <c r="C3974" t="s">
        <v>130</v>
      </c>
      <c r="D3974" s="48">
        <v>44497</v>
      </c>
      <c r="E3974">
        <v>465</v>
      </c>
      <c r="F3974" t="s">
        <v>514</v>
      </c>
      <c r="G3974">
        <v>33.4</v>
      </c>
    </row>
    <row r="3975" spans="2:7" hidden="1">
      <c r="B3975" s="43">
        <v>44407</v>
      </c>
      <c r="C3975" t="s">
        <v>130</v>
      </c>
      <c r="D3975" s="48">
        <v>44497</v>
      </c>
      <c r="E3975">
        <v>465</v>
      </c>
      <c r="F3975" t="s">
        <v>515</v>
      </c>
      <c r="G3975">
        <v>52.5</v>
      </c>
    </row>
    <row r="3976" spans="2:7" hidden="1">
      <c r="B3976" s="43">
        <v>44407</v>
      </c>
      <c r="C3976" t="s">
        <v>130</v>
      </c>
      <c r="D3976" s="48">
        <v>44497</v>
      </c>
      <c r="E3976">
        <v>470</v>
      </c>
      <c r="F3976" t="s">
        <v>514</v>
      </c>
      <c r="G3976">
        <v>31.55</v>
      </c>
    </row>
    <row r="3977" spans="2:7" hidden="1">
      <c r="B3977" s="43">
        <v>44407</v>
      </c>
      <c r="C3977" t="s">
        <v>130</v>
      </c>
      <c r="D3977" s="48">
        <v>44497</v>
      </c>
      <c r="E3977">
        <v>470</v>
      </c>
      <c r="F3977" t="s">
        <v>515</v>
      </c>
      <c r="G3977">
        <v>55.6</v>
      </c>
    </row>
    <row r="3978" spans="2:7" hidden="1">
      <c r="B3978" s="43">
        <v>44407</v>
      </c>
      <c r="C3978" t="s">
        <v>130</v>
      </c>
      <c r="D3978" s="48">
        <v>44497</v>
      </c>
      <c r="E3978">
        <v>475</v>
      </c>
      <c r="F3978" t="s">
        <v>514</v>
      </c>
      <c r="G3978">
        <v>29.8</v>
      </c>
    </row>
    <row r="3979" spans="2:7" hidden="1">
      <c r="B3979" s="43">
        <v>44407</v>
      </c>
      <c r="C3979" t="s">
        <v>130</v>
      </c>
      <c r="D3979" s="48">
        <v>44497</v>
      </c>
      <c r="E3979">
        <v>475</v>
      </c>
      <c r="F3979" t="s">
        <v>515</v>
      </c>
      <c r="G3979">
        <v>58.75</v>
      </c>
    </row>
    <row r="3980" spans="2:7" hidden="1">
      <c r="B3980" s="43">
        <v>44407</v>
      </c>
      <c r="C3980" t="s">
        <v>130</v>
      </c>
      <c r="D3980" s="48">
        <v>44497</v>
      </c>
      <c r="E3980">
        <v>480</v>
      </c>
      <c r="F3980" t="s">
        <v>514</v>
      </c>
      <c r="G3980">
        <v>28.1</v>
      </c>
    </row>
    <row r="3981" spans="2:7" hidden="1">
      <c r="B3981" s="43">
        <v>44407</v>
      </c>
      <c r="C3981" t="s">
        <v>130</v>
      </c>
      <c r="D3981" s="48">
        <v>44497</v>
      </c>
      <c r="E3981">
        <v>480</v>
      </c>
      <c r="F3981" t="s">
        <v>515</v>
      </c>
      <c r="G3981">
        <v>62</v>
      </c>
    </row>
    <row r="3982" spans="2:7" hidden="1">
      <c r="B3982" s="43">
        <v>44407</v>
      </c>
      <c r="C3982" t="s">
        <v>130</v>
      </c>
      <c r="D3982" s="48">
        <v>44497</v>
      </c>
      <c r="E3982">
        <v>485</v>
      </c>
      <c r="F3982" t="s">
        <v>514</v>
      </c>
      <c r="G3982">
        <v>26.5</v>
      </c>
    </row>
    <row r="3983" spans="2:7" hidden="1">
      <c r="B3983" s="43">
        <v>44407</v>
      </c>
      <c r="C3983" t="s">
        <v>130</v>
      </c>
      <c r="D3983" s="48">
        <v>44497</v>
      </c>
      <c r="E3983">
        <v>485</v>
      </c>
      <c r="F3983" t="s">
        <v>515</v>
      </c>
      <c r="G3983">
        <v>65.349999999999994</v>
      </c>
    </row>
    <row r="3984" spans="2:7" hidden="1">
      <c r="B3984" s="43">
        <v>44407</v>
      </c>
      <c r="C3984" t="s">
        <v>130</v>
      </c>
      <c r="D3984" s="48">
        <v>44497</v>
      </c>
      <c r="E3984">
        <v>490</v>
      </c>
      <c r="F3984" t="s">
        <v>514</v>
      </c>
      <c r="G3984">
        <v>24.95</v>
      </c>
    </row>
    <row r="3985" spans="2:7" hidden="1">
      <c r="B3985" s="43">
        <v>44407</v>
      </c>
      <c r="C3985" t="s">
        <v>130</v>
      </c>
      <c r="D3985" s="48">
        <v>44497</v>
      </c>
      <c r="E3985">
        <v>490</v>
      </c>
      <c r="F3985" t="s">
        <v>515</v>
      </c>
      <c r="G3985">
        <v>68.8</v>
      </c>
    </row>
    <row r="3986" spans="2:7" hidden="1">
      <c r="B3986" s="43">
        <v>44407</v>
      </c>
      <c r="C3986" t="s">
        <v>130</v>
      </c>
      <c r="D3986" s="48">
        <v>44497</v>
      </c>
      <c r="E3986">
        <v>495</v>
      </c>
      <c r="F3986" t="s">
        <v>514</v>
      </c>
      <c r="G3986">
        <v>23.5</v>
      </c>
    </row>
    <row r="3987" spans="2:7" hidden="1">
      <c r="B3987" s="43">
        <v>44407</v>
      </c>
      <c r="C3987" t="s">
        <v>130</v>
      </c>
      <c r="D3987" s="48">
        <v>44497</v>
      </c>
      <c r="E3987">
        <v>495</v>
      </c>
      <c r="F3987" t="s">
        <v>515</v>
      </c>
      <c r="G3987">
        <v>72.3</v>
      </c>
    </row>
    <row r="3988" spans="2:7" hidden="1">
      <c r="B3988" s="43">
        <v>44407</v>
      </c>
      <c r="C3988" t="s">
        <v>130</v>
      </c>
      <c r="D3988" s="48">
        <v>44497</v>
      </c>
      <c r="E3988">
        <v>500</v>
      </c>
      <c r="F3988" t="s">
        <v>514</v>
      </c>
      <c r="G3988">
        <v>22.1</v>
      </c>
    </row>
    <row r="3989" spans="2:7" hidden="1">
      <c r="B3989" s="43">
        <v>44407</v>
      </c>
      <c r="C3989" t="s">
        <v>130</v>
      </c>
      <c r="D3989" s="48">
        <v>44497</v>
      </c>
      <c r="E3989">
        <v>500</v>
      </c>
      <c r="F3989" t="s">
        <v>515</v>
      </c>
      <c r="G3989">
        <v>75.849999999999994</v>
      </c>
    </row>
    <row r="3990" spans="2:7" hidden="1">
      <c r="B3990" s="43">
        <v>44407</v>
      </c>
      <c r="C3990" t="s">
        <v>130</v>
      </c>
      <c r="D3990" s="48">
        <v>44497</v>
      </c>
      <c r="E3990">
        <v>505</v>
      </c>
      <c r="F3990" t="s">
        <v>514</v>
      </c>
      <c r="G3990">
        <v>20.8</v>
      </c>
    </row>
    <row r="3991" spans="2:7" hidden="1">
      <c r="B3991" s="43">
        <v>44407</v>
      </c>
      <c r="C3991" t="s">
        <v>130</v>
      </c>
      <c r="D3991" s="48">
        <v>44497</v>
      </c>
      <c r="E3991">
        <v>505</v>
      </c>
      <c r="F3991" t="s">
        <v>515</v>
      </c>
      <c r="G3991">
        <v>79.5</v>
      </c>
    </row>
    <row r="3992" spans="2:7" hidden="1">
      <c r="B3992" s="43">
        <v>44407</v>
      </c>
      <c r="C3992" t="s">
        <v>130</v>
      </c>
      <c r="D3992" s="48">
        <v>44497</v>
      </c>
      <c r="E3992">
        <v>510</v>
      </c>
      <c r="F3992" t="s">
        <v>514</v>
      </c>
      <c r="G3992">
        <v>19.55</v>
      </c>
    </row>
    <row r="3993" spans="2:7" hidden="1">
      <c r="B3993" s="43">
        <v>44407</v>
      </c>
      <c r="C3993" t="s">
        <v>130</v>
      </c>
      <c r="D3993" s="48">
        <v>44497</v>
      </c>
      <c r="E3993">
        <v>510</v>
      </c>
      <c r="F3993" t="s">
        <v>515</v>
      </c>
      <c r="G3993">
        <v>83.2</v>
      </c>
    </row>
    <row r="3994" spans="2:7" hidden="1">
      <c r="B3994" s="43">
        <v>44407</v>
      </c>
      <c r="C3994" t="s">
        <v>130</v>
      </c>
      <c r="D3994" s="48">
        <v>44497</v>
      </c>
      <c r="E3994">
        <v>515</v>
      </c>
      <c r="F3994" t="s">
        <v>514</v>
      </c>
      <c r="G3994">
        <v>18.399999999999999</v>
      </c>
    </row>
    <row r="3995" spans="2:7" hidden="1">
      <c r="B3995" s="43">
        <v>44407</v>
      </c>
      <c r="C3995" t="s">
        <v>130</v>
      </c>
      <c r="D3995" s="48">
        <v>44497</v>
      </c>
      <c r="E3995">
        <v>515</v>
      </c>
      <c r="F3995" t="s">
        <v>515</v>
      </c>
      <c r="G3995">
        <v>87</v>
      </c>
    </row>
    <row r="3996" spans="2:7" hidden="1">
      <c r="B3996" s="43">
        <v>44407</v>
      </c>
      <c r="C3996" t="s">
        <v>130</v>
      </c>
      <c r="D3996" s="48">
        <v>44497</v>
      </c>
      <c r="E3996">
        <v>520</v>
      </c>
      <c r="F3996" t="s">
        <v>514</v>
      </c>
      <c r="G3996">
        <v>17.25</v>
      </c>
    </row>
    <row r="3997" spans="2:7" hidden="1">
      <c r="B3997" s="43">
        <v>44407</v>
      </c>
      <c r="C3997" t="s">
        <v>130</v>
      </c>
      <c r="D3997" s="48">
        <v>44497</v>
      </c>
      <c r="E3997">
        <v>520</v>
      </c>
      <c r="F3997" t="s">
        <v>515</v>
      </c>
      <c r="G3997">
        <v>90.85</v>
      </c>
    </row>
    <row r="3998" spans="2:7" hidden="1">
      <c r="B3998" s="43">
        <v>44407</v>
      </c>
      <c r="C3998" t="s">
        <v>130</v>
      </c>
      <c r="D3998" s="48">
        <v>44497</v>
      </c>
      <c r="E3998">
        <v>525</v>
      </c>
      <c r="F3998" t="s">
        <v>514</v>
      </c>
      <c r="G3998">
        <v>16.2</v>
      </c>
    </row>
    <row r="3999" spans="2:7" hidden="1">
      <c r="B3999" s="43">
        <v>44407</v>
      </c>
      <c r="C3999" t="s">
        <v>130</v>
      </c>
      <c r="D3999" s="48">
        <v>44497</v>
      </c>
      <c r="E3999">
        <v>525</v>
      </c>
      <c r="F3999" t="s">
        <v>515</v>
      </c>
      <c r="G3999">
        <v>94.75</v>
      </c>
    </row>
    <row r="4000" spans="2:7" hidden="1">
      <c r="B4000" s="43">
        <v>44407</v>
      </c>
      <c r="C4000" t="s">
        <v>130</v>
      </c>
      <c r="D4000" s="48">
        <v>44497</v>
      </c>
      <c r="E4000">
        <v>530</v>
      </c>
      <c r="F4000" t="s">
        <v>514</v>
      </c>
      <c r="G4000">
        <v>15.2</v>
      </c>
    </row>
    <row r="4001" spans="2:7" hidden="1">
      <c r="B4001" s="43">
        <v>44407</v>
      </c>
      <c r="C4001" t="s">
        <v>130</v>
      </c>
      <c r="D4001" s="48">
        <v>44497</v>
      </c>
      <c r="E4001">
        <v>530</v>
      </c>
      <c r="F4001" t="s">
        <v>515</v>
      </c>
      <c r="G4001">
        <v>98.7</v>
      </c>
    </row>
  </sheetData>
  <autoFilter ref="B1:H4001">
    <filterColumn colId="1">
      <filters>
        <filter val="JSWSTEEL"/>
      </filters>
    </filterColumn>
    <filterColumn colId="4">
      <filters>
        <filter val="PE"/>
      </filters>
    </filterColumn>
    <sortState ref="B2:H4001">
      <sortCondition ref="C2:C4001"/>
      <sortCondition ref="D2:D4001"/>
      <sortCondition ref="E2:E4001"/>
      <sortCondition ref="B2:B4001"/>
    </sortState>
  </autoFilter>
  <sortState ref="B2:G4001">
    <sortCondition ref="C2:C4001"/>
    <sortCondition ref="D2:D4001"/>
    <sortCondition ref="E2:E4001"/>
    <sortCondition ref="B2:B400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Trade</vt:lpstr>
      <vt:lpstr>Holding Positions</vt:lpstr>
      <vt:lpstr>Intraday Positions</vt:lpstr>
      <vt:lpstr>Market</vt:lpstr>
      <vt:lpstr>Punting -&gt;&gt;</vt:lpstr>
      <vt:lpstr>Option_Traders</vt:lpstr>
      <vt:lpstr>Option Wheel --&gt;</vt:lpstr>
      <vt:lpstr>Stock Fundamentals</vt:lpstr>
      <vt:lpstr>Option_Wheel Analysis</vt:lpstr>
      <vt:lpstr>Bull Put Spread -- &gt;</vt:lpstr>
      <vt:lpstr>BPS Analysis</vt:lpstr>
      <vt:lpstr>Margin Schedule</vt:lpstr>
      <vt:lpstr>Lots</vt:lpstr>
      <vt:lpstr>NIFTY_OC</vt:lpstr>
      <vt:lpstr>BANKNIFTY_OC</vt:lpstr>
      <vt:lpstr>Reference</vt:lpstr>
      <vt:lpstr>Option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Santosh Bag</dc:creator>
  <cp:lastModifiedBy>Santosh Bag</cp:lastModifiedBy>
  <dcterms:created xsi:type="dcterms:W3CDTF">2019-01-10T01:37:15Z</dcterms:created>
  <dcterms:modified xsi:type="dcterms:W3CDTF">2021-09-22T10:13:09Z</dcterms:modified>
</cp:coreProperties>
</file>