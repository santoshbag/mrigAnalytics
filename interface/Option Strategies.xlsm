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3" activeTab="6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ObjectHandler"/>
  </functionGroups>
  <definedNames>
    <definedName name="_xlnm._FilterDatabase" localSheetId="6" hidden="1">'Bear Call Spread'!$B$3:$AC$195</definedName>
    <definedName name="_xlnm._FilterDatabase" localSheetId="4" hidden="1">'Bull Put Spread'!$B$3:$AC$195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getStock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" i="13" l="1"/>
  <c r="AI1" i="13"/>
  <c r="R31" i="13"/>
  <c r="AK1" i="13"/>
  <c r="AJ1" i="13"/>
  <c r="AJ2" i="13"/>
  <c r="AI2" i="13"/>
  <c r="P17" i="13"/>
  <c r="AH2" i="13" l="1"/>
  <c r="AH8" i="13" s="1"/>
  <c r="R236" i="13"/>
  <c r="P236" i="13"/>
  <c r="Q236" i="13" s="1"/>
  <c r="R235" i="13"/>
  <c r="P235" i="13"/>
  <c r="Q235" i="13" s="1"/>
  <c r="R234" i="13"/>
  <c r="S234" i="13" s="1"/>
  <c r="P234" i="13"/>
  <c r="Q234" i="13" s="1"/>
  <c r="R233" i="13"/>
  <c r="P233" i="13"/>
  <c r="Q233" i="13" s="1"/>
  <c r="R232" i="13"/>
  <c r="S232" i="13" s="1"/>
  <c r="P232" i="13"/>
  <c r="Q232" i="13" s="1"/>
  <c r="R231" i="13"/>
  <c r="S231" i="13" s="1"/>
  <c r="P231" i="13"/>
  <c r="Q231" i="13" s="1"/>
  <c r="R230" i="13"/>
  <c r="P230" i="13"/>
  <c r="Q230" i="13" s="1"/>
  <c r="R229" i="13"/>
  <c r="P229" i="13"/>
  <c r="Q229" i="13" s="1"/>
  <c r="R228" i="13"/>
  <c r="S228" i="13" s="1"/>
  <c r="P228" i="13"/>
  <c r="Q228" i="13" s="1"/>
  <c r="R227" i="13"/>
  <c r="S227" i="13" s="1"/>
  <c r="P227" i="13"/>
  <c r="Q227" i="13" s="1"/>
  <c r="R226" i="13"/>
  <c r="S226" i="13" s="1"/>
  <c r="P226" i="13"/>
  <c r="Q226" i="13" s="1"/>
  <c r="R225" i="13"/>
  <c r="P225" i="13"/>
  <c r="Q225" i="13" s="1"/>
  <c r="R224" i="13"/>
  <c r="S224" i="13" s="1"/>
  <c r="P224" i="13"/>
  <c r="Q224" i="13" s="1"/>
  <c r="R223" i="13"/>
  <c r="S223" i="13" s="1"/>
  <c r="P223" i="13"/>
  <c r="Q223" i="13" s="1"/>
  <c r="R222" i="13"/>
  <c r="P222" i="13"/>
  <c r="Q222" i="13" s="1"/>
  <c r="R221" i="13"/>
  <c r="P221" i="13"/>
  <c r="Q221" i="13" s="1"/>
  <c r="R220" i="13"/>
  <c r="S220" i="13" s="1"/>
  <c r="P220" i="13"/>
  <c r="Q220" i="13" s="1"/>
  <c r="R219" i="13"/>
  <c r="P219" i="13"/>
  <c r="Q219" i="13" s="1"/>
  <c r="R218" i="13"/>
  <c r="S218" i="13" s="1"/>
  <c r="P218" i="13"/>
  <c r="Q218" i="13" s="1"/>
  <c r="R217" i="13"/>
  <c r="P217" i="13"/>
  <c r="Q217" i="13" s="1"/>
  <c r="R216" i="13"/>
  <c r="S216" i="13" s="1"/>
  <c r="P216" i="13"/>
  <c r="Q216" i="13" s="1"/>
  <c r="R215" i="13"/>
  <c r="S215" i="13" s="1"/>
  <c r="P215" i="13"/>
  <c r="Q215" i="13" s="1"/>
  <c r="R214" i="13"/>
  <c r="P214" i="13"/>
  <c r="Q214" i="13" s="1"/>
  <c r="R213" i="13"/>
  <c r="S213" i="13" s="1"/>
  <c r="P213" i="13"/>
  <c r="Q213" i="13" s="1"/>
  <c r="R212" i="13"/>
  <c r="P212" i="13"/>
  <c r="Q212" i="13" s="1"/>
  <c r="R211" i="13"/>
  <c r="P211" i="13"/>
  <c r="Q211" i="13" s="1"/>
  <c r="R210" i="13"/>
  <c r="P210" i="13"/>
  <c r="Q210" i="13" s="1"/>
  <c r="R209" i="13"/>
  <c r="S209" i="13" s="1"/>
  <c r="P209" i="13"/>
  <c r="Q209" i="13" s="1"/>
  <c r="R208" i="13"/>
  <c r="P208" i="13"/>
  <c r="Q208" i="13" s="1"/>
  <c r="R207" i="13"/>
  <c r="T207" i="13" s="1"/>
  <c r="P207" i="13"/>
  <c r="Q207" i="13" s="1"/>
  <c r="R206" i="13"/>
  <c r="P206" i="13"/>
  <c r="Q206" i="13" s="1"/>
  <c r="R205" i="13"/>
  <c r="T205" i="13" s="1"/>
  <c r="P205" i="13"/>
  <c r="Q205" i="13" s="1"/>
  <c r="R204" i="13"/>
  <c r="P204" i="13"/>
  <c r="Q204" i="13" s="1"/>
  <c r="R203" i="13"/>
  <c r="P203" i="13"/>
  <c r="Q203" i="13" s="1"/>
  <c r="R202" i="13"/>
  <c r="S202" i="13" s="1"/>
  <c r="P202" i="13"/>
  <c r="Q202" i="13" s="1"/>
  <c r="R201" i="13"/>
  <c r="S201" i="13" s="1"/>
  <c r="P201" i="13"/>
  <c r="Q201" i="13" s="1"/>
  <c r="R200" i="13"/>
  <c r="S200" i="13" s="1"/>
  <c r="P200" i="13"/>
  <c r="Q200" i="13" s="1"/>
  <c r="R199" i="13"/>
  <c r="P199" i="13"/>
  <c r="Q199" i="13" s="1"/>
  <c r="R198" i="13"/>
  <c r="P198" i="13"/>
  <c r="Q198" i="13" s="1"/>
  <c r="R197" i="13"/>
  <c r="T197" i="13" s="1"/>
  <c r="P197" i="13"/>
  <c r="Q197" i="13" s="1"/>
  <c r="R196" i="13"/>
  <c r="S196" i="13" s="1"/>
  <c r="P196" i="13"/>
  <c r="Q196" i="13" s="1"/>
  <c r="R195" i="13"/>
  <c r="T195" i="13" s="1"/>
  <c r="P195" i="13"/>
  <c r="Q195" i="13" s="1"/>
  <c r="R194" i="13"/>
  <c r="T194" i="13" s="1"/>
  <c r="P194" i="13"/>
  <c r="Q194" i="13" s="1"/>
  <c r="R193" i="13"/>
  <c r="T193" i="13" s="1"/>
  <c r="P193" i="13"/>
  <c r="Q193" i="13" s="1"/>
  <c r="R192" i="13"/>
  <c r="T192" i="13" s="1"/>
  <c r="P192" i="13"/>
  <c r="Q192" i="13" s="1"/>
  <c r="R191" i="13"/>
  <c r="T191" i="13" s="1"/>
  <c r="P191" i="13"/>
  <c r="Q191" i="13" s="1"/>
  <c r="R190" i="13"/>
  <c r="P190" i="13"/>
  <c r="Q190" i="13" s="1"/>
  <c r="R189" i="13"/>
  <c r="T189" i="13" s="1"/>
  <c r="P189" i="13"/>
  <c r="Q189" i="13" s="1"/>
  <c r="R188" i="13"/>
  <c r="S188" i="13" s="1"/>
  <c r="P188" i="13"/>
  <c r="Q188" i="13" s="1"/>
  <c r="R187" i="13"/>
  <c r="T187" i="13" s="1"/>
  <c r="P187" i="13"/>
  <c r="Q187" i="13" s="1"/>
  <c r="R186" i="13"/>
  <c r="T186" i="13" s="1"/>
  <c r="P186" i="13"/>
  <c r="Q186" i="13" s="1"/>
  <c r="R185" i="13"/>
  <c r="T185" i="13" s="1"/>
  <c r="P185" i="13"/>
  <c r="Q185" i="13" s="1"/>
  <c r="R184" i="13"/>
  <c r="T184" i="13" s="1"/>
  <c r="P184" i="13"/>
  <c r="Q184" i="13" s="1"/>
  <c r="R183" i="13"/>
  <c r="T183" i="13" s="1"/>
  <c r="P183" i="13"/>
  <c r="Q183" i="13" s="1"/>
  <c r="R182" i="13"/>
  <c r="P182" i="13"/>
  <c r="Q182" i="13" s="1"/>
  <c r="R181" i="13"/>
  <c r="T181" i="13" s="1"/>
  <c r="P181" i="13"/>
  <c r="Q181" i="13" s="1"/>
  <c r="R180" i="13"/>
  <c r="S180" i="13" s="1"/>
  <c r="P180" i="13"/>
  <c r="Q180" i="13" s="1"/>
  <c r="R179" i="13"/>
  <c r="T179" i="13" s="1"/>
  <c r="P179" i="13"/>
  <c r="Q179" i="13" s="1"/>
  <c r="R178" i="13"/>
  <c r="T178" i="13" s="1"/>
  <c r="P178" i="13"/>
  <c r="Q178" i="13" s="1"/>
  <c r="R177" i="13"/>
  <c r="P177" i="13"/>
  <c r="Q177" i="13" s="1"/>
  <c r="R176" i="13"/>
  <c r="T176" i="13" s="1"/>
  <c r="P176" i="13"/>
  <c r="Q176" i="13" s="1"/>
  <c r="R175" i="13"/>
  <c r="P175" i="13"/>
  <c r="Q175" i="13" s="1"/>
  <c r="R174" i="13"/>
  <c r="P174" i="13"/>
  <c r="Q174" i="13" s="1"/>
  <c r="R173" i="13"/>
  <c r="S173" i="13" s="1"/>
  <c r="P173" i="13"/>
  <c r="Q173" i="13" s="1"/>
  <c r="R172" i="13"/>
  <c r="P172" i="13"/>
  <c r="Q172" i="13" s="1"/>
  <c r="R171" i="13"/>
  <c r="S171" i="13" s="1"/>
  <c r="P171" i="13"/>
  <c r="Q171" i="13" s="1"/>
  <c r="R170" i="13"/>
  <c r="T170" i="13" s="1"/>
  <c r="P170" i="13"/>
  <c r="Q170" i="13" s="1"/>
  <c r="R169" i="13"/>
  <c r="S169" i="13" s="1"/>
  <c r="P169" i="13"/>
  <c r="Q169" i="13" s="1"/>
  <c r="R168" i="13"/>
  <c r="S168" i="13" s="1"/>
  <c r="P168" i="13"/>
  <c r="Q168" i="13" s="1"/>
  <c r="R167" i="13"/>
  <c r="P167" i="13"/>
  <c r="Q167" i="13" s="1"/>
  <c r="R166" i="13"/>
  <c r="T166" i="13" s="1"/>
  <c r="P166" i="13"/>
  <c r="Q166" i="13" s="1"/>
  <c r="R165" i="13"/>
  <c r="P165" i="13"/>
  <c r="Q165" i="13" s="1"/>
  <c r="R164" i="13"/>
  <c r="P164" i="13"/>
  <c r="Q164" i="13" s="1"/>
  <c r="R163" i="13"/>
  <c r="S163" i="13" s="1"/>
  <c r="P163" i="13"/>
  <c r="Q163" i="13" s="1"/>
  <c r="R162" i="13"/>
  <c r="P162" i="13"/>
  <c r="Q162" i="13" s="1"/>
  <c r="R161" i="13"/>
  <c r="S161" i="13" s="1"/>
  <c r="P161" i="13"/>
  <c r="Q161" i="13" s="1"/>
  <c r="R160" i="13"/>
  <c r="S160" i="13" s="1"/>
  <c r="P160" i="13"/>
  <c r="Q160" i="13" s="1"/>
  <c r="R159" i="13"/>
  <c r="P159" i="13"/>
  <c r="Q159" i="13" s="1"/>
  <c r="R158" i="13"/>
  <c r="P158" i="13"/>
  <c r="Q158" i="13" s="1"/>
  <c r="R157" i="13"/>
  <c r="S157" i="13" s="1"/>
  <c r="P157" i="13"/>
  <c r="Q157" i="13" s="1"/>
  <c r="R156" i="13"/>
  <c r="S156" i="13" s="1"/>
  <c r="P156" i="13"/>
  <c r="Q156" i="13" s="1"/>
  <c r="R155" i="13"/>
  <c r="P155" i="13"/>
  <c r="Q155" i="13" s="1"/>
  <c r="R154" i="13"/>
  <c r="P154" i="13"/>
  <c r="Q154" i="13" s="1"/>
  <c r="R153" i="13"/>
  <c r="S153" i="13" s="1"/>
  <c r="P153" i="13"/>
  <c r="Q153" i="13" s="1"/>
  <c r="R152" i="13"/>
  <c r="S152" i="13" s="1"/>
  <c r="P152" i="13"/>
  <c r="Q152" i="13" s="1"/>
  <c r="R151" i="13"/>
  <c r="T151" i="13" s="1"/>
  <c r="P151" i="13"/>
  <c r="Q151" i="13" s="1"/>
  <c r="R150" i="13"/>
  <c r="S150" i="13" s="1"/>
  <c r="P150" i="13"/>
  <c r="Q150" i="13" s="1"/>
  <c r="R149" i="13"/>
  <c r="T149" i="13" s="1"/>
  <c r="P149" i="13"/>
  <c r="Q149" i="13" s="1"/>
  <c r="R148" i="13"/>
  <c r="P148" i="13"/>
  <c r="Q148" i="13" s="1"/>
  <c r="R147" i="13"/>
  <c r="T147" i="13" s="1"/>
  <c r="P147" i="13"/>
  <c r="Q147" i="13" s="1"/>
  <c r="R146" i="13"/>
  <c r="P146" i="13"/>
  <c r="Q146" i="13" s="1"/>
  <c r="R145" i="13"/>
  <c r="P145" i="13"/>
  <c r="Q145" i="13" s="1"/>
  <c r="R144" i="13"/>
  <c r="P144" i="13"/>
  <c r="Q144" i="13" s="1"/>
  <c r="R143" i="13"/>
  <c r="T143" i="13" s="1"/>
  <c r="P143" i="13"/>
  <c r="Q143" i="13" s="1"/>
  <c r="R142" i="13"/>
  <c r="P142" i="13"/>
  <c r="Q142" i="13" s="1"/>
  <c r="R141" i="13"/>
  <c r="T141" i="13" s="1"/>
  <c r="P141" i="13"/>
  <c r="Q141" i="13" s="1"/>
  <c r="R140" i="13"/>
  <c r="P140" i="13"/>
  <c r="Q140" i="13" s="1"/>
  <c r="R139" i="13"/>
  <c r="P139" i="13"/>
  <c r="Q139" i="13" s="1"/>
  <c r="R138" i="13"/>
  <c r="P138" i="13"/>
  <c r="Q138" i="13" s="1"/>
  <c r="R137" i="13"/>
  <c r="S137" i="13" s="1"/>
  <c r="P137" i="13"/>
  <c r="Q137" i="13" s="1"/>
  <c r="R136" i="13"/>
  <c r="P136" i="13"/>
  <c r="Q136" i="13" s="1"/>
  <c r="R135" i="13"/>
  <c r="S135" i="13" s="1"/>
  <c r="P135" i="13"/>
  <c r="Q135" i="13" s="1"/>
  <c r="R134" i="13"/>
  <c r="P134" i="13"/>
  <c r="Q134" i="13" s="1"/>
  <c r="R133" i="13"/>
  <c r="T133" i="13" s="1"/>
  <c r="P133" i="13"/>
  <c r="Q133" i="13" s="1"/>
  <c r="R132" i="13"/>
  <c r="P132" i="13"/>
  <c r="Q132" i="13" s="1"/>
  <c r="R131" i="13"/>
  <c r="P131" i="13"/>
  <c r="Q131" i="13" s="1"/>
  <c r="R130" i="13"/>
  <c r="P130" i="13"/>
  <c r="Q130" i="13" s="1"/>
  <c r="R129" i="13"/>
  <c r="T129" i="13" s="1"/>
  <c r="P129" i="13"/>
  <c r="Q129" i="13" s="1"/>
  <c r="R128" i="13"/>
  <c r="P128" i="13"/>
  <c r="Q128" i="13" s="1"/>
  <c r="R127" i="13"/>
  <c r="T127" i="13" s="1"/>
  <c r="P127" i="13"/>
  <c r="Q127" i="13" s="1"/>
  <c r="R126" i="13"/>
  <c r="P126" i="13"/>
  <c r="Q126" i="13" s="1"/>
  <c r="R125" i="13"/>
  <c r="T125" i="13" s="1"/>
  <c r="P125" i="13"/>
  <c r="Q125" i="13" s="1"/>
  <c r="R124" i="13"/>
  <c r="S124" i="13" s="1"/>
  <c r="P124" i="13"/>
  <c r="Q124" i="13" s="1"/>
  <c r="R123" i="13"/>
  <c r="S123" i="13" s="1"/>
  <c r="P123" i="13"/>
  <c r="Q123" i="13" s="1"/>
  <c r="R122" i="13"/>
  <c r="P122" i="13"/>
  <c r="Q122" i="13" s="1"/>
  <c r="R121" i="13"/>
  <c r="T121" i="13" s="1"/>
  <c r="P121" i="13"/>
  <c r="Q121" i="13" s="1"/>
  <c r="R120" i="13"/>
  <c r="S120" i="13" s="1"/>
  <c r="P120" i="13"/>
  <c r="Q120" i="13" s="1"/>
  <c r="R119" i="13"/>
  <c r="P119" i="13"/>
  <c r="Q119" i="13" s="1"/>
  <c r="R118" i="13"/>
  <c r="P118" i="13"/>
  <c r="Q118" i="13" s="1"/>
  <c r="R117" i="13"/>
  <c r="P117" i="13"/>
  <c r="Q117" i="13" s="1"/>
  <c r="R116" i="13"/>
  <c r="S116" i="13" s="1"/>
  <c r="P116" i="13"/>
  <c r="Q116" i="13" s="1"/>
  <c r="R115" i="13"/>
  <c r="S115" i="13" s="1"/>
  <c r="P115" i="13"/>
  <c r="Q115" i="13" s="1"/>
  <c r="R114" i="13"/>
  <c r="P114" i="13"/>
  <c r="Q114" i="13" s="1"/>
  <c r="R113" i="13"/>
  <c r="T113" i="13" s="1"/>
  <c r="P113" i="13"/>
  <c r="Q113" i="13" s="1"/>
  <c r="R112" i="13"/>
  <c r="S112" i="13" s="1"/>
  <c r="P112" i="13"/>
  <c r="Q112" i="13" s="1"/>
  <c r="R111" i="13"/>
  <c r="P111" i="13"/>
  <c r="Q111" i="13" s="1"/>
  <c r="R110" i="13"/>
  <c r="S110" i="13" s="1"/>
  <c r="P110" i="13"/>
  <c r="Q110" i="13" s="1"/>
  <c r="R109" i="13"/>
  <c r="T109" i="13" s="1"/>
  <c r="P109" i="13"/>
  <c r="Q109" i="13" s="1"/>
  <c r="R108" i="13"/>
  <c r="S108" i="13" s="1"/>
  <c r="P108" i="13"/>
  <c r="Q108" i="13" s="1"/>
  <c r="R107" i="13"/>
  <c r="S107" i="13" s="1"/>
  <c r="P107" i="13"/>
  <c r="Q107" i="13" s="1"/>
  <c r="R106" i="13"/>
  <c r="P106" i="13"/>
  <c r="Q106" i="13" s="1"/>
  <c r="R105" i="13"/>
  <c r="T105" i="13" s="1"/>
  <c r="P105" i="13"/>
  <c r="Q105" i="13" s="1"/>
  <c r="R104" i="13"/>
  <c r="P104" i="13"/>
  <c r="Q104" i="13" s="1"/>
  <c r="R103" i="13"/>
  <c r="P103" i="13"/>
  <c r="Q103" i="13" s="1"/>
  <c r="R102" i="13"/>
  <c r="T102" i="13" s="1"/>
  <c r="P102" i="13"/>
  <c r="Q102" i="13" s="1"/>
  <c r="R101" i="13"/>
  <c r="T101" i="13" s="1"/>
  <c r="P101" i="13"/>
  <c r="Q101" i="13" s="1"/>
  <c r="R100" i="13"/>
  <c r="T100" i="13" s="1"/>
  <c r="P100" i="13"/>
  <c r="Q100" i="13" s="1"/>
  <c r="R99" i="13"/>
  <c r="T99" i="13" s="1"/>
  <c r="P99" i="13"/>
  <c r="Q99" i="13" s="1"/>
  <c r="R98" i="13"/>
  <c r="T98" i="13" s="1"/>
  <c r="P98" i="13"/>
  <c r="Q98" i="13" s="1"/>
  <c r="R97" i="13"/>
  <c r="T97" i="13" s="1"/>
  <c r="P97" i="13"/>
  <c r="Q97" i="13" s="1"/>
  <c r="R96" i="13"/>
  <c r="T96" i="13" s="1"/>
  <c r="P96" i="13"/>
  <c r="Q96" i="13" s="1"/>
  <c r="R95" i="13"/>
  <c r="P95" i="13"/>
  <c r="Q95" i="13" s="1"/>
  <c r="R94" i="13"/>
  <c r="T94" i="13" s="1"/>
  <c r="P94" i="13"/>
  <c r="Q94" i="13" s="1"/>
  <c r="R93" i="13"/>
  <c r="T93" i="13" s="1"/>
  <c r="P93" i="13"/>
  <c r="Q93" i="13" s="1"/>
  <c r="R92" i="13"/>
  <c r="T92" i="13" s="1"/>
  <c r="P92" i="13"/>
  <c r="Q92" i="13" s="1"/>
  <c r="R91" i="13"/>
  <c r="T91" i="13" s="1"/>
  <c r="P91" i="13"/>
  <c r="Q91" i="13" s="1"/>
  <c r="R90" i="13"/>
  <c r="T90" i="13" s="1"/>
  <c r="P90" i="13"/>
  <c r="Q90" i="13" s="1"/>
  <c r="R89" i="13"/>
  <c r="T89" i="13" s="1"/>
  <c r="P89" i="13"/>
  <c r="Q89" i="13" s="1"/>
  <c r="R88" i="13"/>
  <c r="T88" i="13" s="1"/>
  <c r="P88" i="13"/>
  <c r="Q88" i="13" s="1"/>
  <c r="R87" i="13"/>
  <c r="P87" i="13"/>
  <c r="Q87" i="13" s="1"/>
  <c r="R86" i="13"/>
  <c r="T86" i="13" s="1"/>
  <c r="P86" i="13"/>
  <c r="Q86" i="13" s="1"/>
  <c r="R85" i="13"/>
  <c r="T85" i="13" s="1"/>
  <c r="P85" i="13"/>
  <c r="Q85" i="13" s="1"/>
  <c r="R84" i="13"/>
  <c r="T84" i="13" s="1"/>
  <c r="P84" i="13"/>
  <c r="Q84" i="13" s="1"/>
  <c r="R83" i="13"/>
  <c r="T83" i="13" s="1"/>
  <c r="P83" i="13"/>
  <c r="Q83" i="13" s="1"/>
  <c r="R82" i="13"/>
  <c r="T82" i="13" s="1"/>
  <c r="P82" i="13"/>
  <c r="Q82" i="13" s="1"/>
  <c r="R81" i="13"/>
  <c r="T81" i="13" s="1"/>
  <c r="P81" i="13"/>
  <c r="Q81" i="13" s="1"/>
  <c r="R80" i="13"/>
  <c r="T80" i="13" s="1"/>
  <c r="P80" i="13"/>
  <c r="Q80" i="13" s="1"/>
  <c r="R79" i="13"/>
  <c r="P79" i="13"/>
  <c r="Q79" i="13" s="1"/>
  <c r="R78" i="13"/>
  <c r="T78" i="13" s="1"/>
  <c r="P78" i="13"/>
  <c r="Q78" i="13" s="1"/>
  <c r="R77" i="13"/>
  <c r="T77" i="13" s="1"/>
  <c r="P77" i="13"/>
  <c r="Q77" i="13" s="1"/>
  <c r="R76" i="13"/>
  <c r="T76" i="13" s="1"/>
  <c r="P76" i="13"/>
  <c r="Q76" i="13" s="1"/>
  <c r="R75" i="13"/>
  <c r="T75" i="13" s="1"/>
  <c r="P75" i="13"/>
  <c r="Q75" i="13" s="1"/>
  <c r="R74" i="13"/>
  <c r="T74" i="13" s="1"/>
  <c r="P74" i="13"/>
  <c r="Q74" i="13" s="1"/>
  <c r="R73" i="13"/>
  <c r="T73" i="13" s="1"/>
  <c r="P73" i="13"/>
  <c r="Q73" i="13" s="1"/>
  <c r="R72" i="13"/>
  <c r="T72" i="13" s="1"/>
  <c r="P72" i="13"/>
  <c r="Q72" i="13" s="1"/>
  <c r="R71" i="13"/>
  <c r="P71" i="13"/>
  <c r="Q71" i="13" s="1"/>
  <c r="R70" i="13"/>
  <c r="T70" i="13" s="1"/>
  <c r="P70" i="13"/>
  <c r="Q70" i="13" s="1"/>
  <c r="R69" i="13"/>
  <c r="T69" i="13" s="1"/>
  <c r="P69" i="13"/>
  <c r="Q69" i="13" s="1"/>
  <c r="R68" i="13"/>
  <c r="T68" i="13" s="1"/>
  <c r="P68" i="13"/>
  <c r="Q68" i="13" s="1"/>
  <c r="R67" i="13"/>
  <c r="T67" i="13" s="1"/>
  <c r="P67" i="13"/>
  <c r="Q67" i="13" s="1"/>
  <c r="R66" i="13"/>
  <c r="T66" i="13" s="1"/>
  <c r="P66" i="13"/>
  <c r="Q66" i="13" s="1"/>
  <c r="R65" i="13"/>
  <c r="T65" i="13" s="1"/>
  <c r="P65" i="13"/>
  <c r="Q65" i="13" s="1"/>
  <c r="R64" i="13"/>
  <c r="T64" i="13" s="1"/>
  <c r="P64" i="13"/>
  <c r="Q64" i="13" s="1"/>
  <c r="R63" i="13"/>
  <c r="P63" i="13"/>
  <c r="Q63" i="13" s="1"/>
  <c r="R62" i="13"/>
  <c r="T62" i="13" s="1"/>
  <c r="P62" i="13"/>
  <c r="Q62" i="13" s="1"/>
  <c r="R61" i="13"/>
  <c r="T61" i="13" s="1"/>
  <c r="P61" i="13"/>
  <c r="Q61" i="13" s="1"/>
  <c r="R60" i="13"/>
  <c r="T60" i="13" s="1"/>
  <c r="P60" i="13"/>
  <c r="Q60" i="13" s="1"/>
  <c r="R59" i="13"/>
  <c r="T59" i="13" s="1"/>
  <c r="P59" i="13"/>
  <c r="Q59" i="13" s="1"/>
  <c r="R58" i="13"/>
  <c r="T58" i="13" s="1"/>
  <c r="P58" i="13"/>
  <c r="Q58" i="13" s="1"/>
  <c r="R57" i="13"/>
  <c r="T57" i="13" s="1"/>
  <c r="P57" i="13"/>
  <c r="Q57" i="13" s="1"/>
  <c r="R56" i="13"/>
  <c r="T56" i="13" s="1"/>
  <c r="P56" i="13"/>
  <c r="Q56" i="13" s="1"/>
  <c r="R55" i="13"/>
  <c r="P55" i="13"/>
  <c r="Q55" i="13" s="1"/>
  <c r="R54" i="13"/>
  <c r="T54" i="13" s="1"/>
  <c r="P54" i="13"/>
  <c r="Q54" i="13" s="1"/>
  <c r="R53" i="13"/>
  <c r="T53" i="13" s="1"/>
  <c r="P53" i="13"/>
  <c r="Q53" i="13" s="1"/>
  <c r="R52" i="13"/>
  <c r="S52" i="13" s="1"/>
  <c r="P52" i="13"/>
  <c r="Q52" i="13" s="1"/>
  <c r="R51" i="13"/>
  <c r="T51" i="13" s="1"/>
  <c r="P51" i="13"/>
  <c r="Q51" i="13" s="1"/>
  <c r="R50" i="13"/>
  <c r="P50" i="13"/>
  <c r="Q50" i="13" s="1"/>
  <c r="R49" i="13"/>
  <c r="T49" i="13" s="1"/>
  <c r="P49" i="13"/>
  <c r="Q49" i="13" s="1"/>
  <c r="R48" i="13"/>
  <c r="S48" i="13" s="1"/>
  <c r="P48" i="13"/>
  <c r="Q48" i="13" s="1"/>
  <c r="R47" i="13"/>
  <c r="S47" i="13" s="1"/>
  <c r="P47" i="13"/>
  <c r="Q47" i="13" s="1"/>
  <c r="R46" i="13"/>
  <c r="S46" i="13" s="1"/>
  <c r="P46" i="13"/>
  <c r="Q46" i="13" s="1"/>
  <c r="R45" i="13"/>
  <c r="P45" i="13"/>
  <c r="Q45" i="13" s="1"/>
  <c r="R44" i="13"/>
  <c r="S44" i="13" s="1"/>
  <c r="P44" i="13"/>
  <c r="Q44" i="13" s="1"/>
  <c r="R43" i="13"/>
  <c r="T43" i="13" s="1"/>
  <c r="P43" i="13"/>
  <c r="Q43" i="13" s="1"/>
  <c r="R42" i="13"/>
  <c r="S42" i="13" s="1"/>
  <c r="P42" i="13"/>
  <c r="Q42" i="13" s="1"/>
  <c r="R41" i="13"/>
  <c r="P41" i="13"/>
  <c r="Q41" i="13" s="1"/>
  <c r="R40" i="13"/>
  <c r="S40" i="13" s="1"/>
  <c r="P40" i="13"/>
  <c r="Q40" i="13" s="1"/>
  <c r="Z236" i="13"/>
  <c r="Z227" i="13"/>
  <c r="V233" i="13"/>
  <c r="V225" i="13"/>
  <c r="V217" i="13"/>
  <c r="Z209" i="13"/>
  <c r="Z205" i="13"/>
  <c r="V236" i="13"/>
  <c r="Z228" i="13"/>
  <c r="Z220" i="13"/>
  <c r="V232" i="13"/>
  <c r="V216" i="13"/>
  <c r="Z208" i="13"/>
  <c r="Z200" i="13"/>
  <c r="V194" i="13"/>
  <c r="V190" i="13"/>
  <c r="V186" i="13"/>
  <c r="V182" i="13"/>
  <c r="V178" i="13"/>
  <c r="V174" i="13"/>
  <c r="Z221" i="13"/>
  <c r="V196" i="13"/>
  <c r="V220" i="13"/>
  <c r="V210" i="13"/>
  <c r="V202" i="13"/>
  <c r="Z195" i="13"/>
  <c r="Z191" i="13"/>
  <c r="Z187" i="13"/>
  <c r="Z183" i="13"/>
  <c r="Z179" i="13"/>
  <c r="V213" i="13"/>
  <c r="Z166" i="13"/>
  <c r="Z158" i="13"/>
  <c r="Z175" i="13"/>
  <c r="Z167" i="13"/>
  <c r="Z159" i="13"/>
  <c r="Z154" i="13"/>
  <c r="Z173" i="13"/>
  <c r="Z165" i="13"/>
  <c r="Z157" i="13"/>
  <c r="Z168" i="13"/>
  <c r="Z235" i="13"/>
  <c r="V221" i="13"/>
  <c r="V211" i="13"/>
  <c r="V205" i="13"/>
  <c r="Z232" i="13"/>
  <c r="V222" i="13"/>
  <c r="V231" i="13"/>
  <c r="Z212" i="13"/>
  <c r="Z202" i="13"/>
  <c r="Z192" i="13"/>
  <c r="V188" i="13"/>
  <c r="Z182" i="13"/>
  <c r="Z176" i="13"/>
  <c r="Z229" i="13"/>
  <c r="Z198" i="13"/>
  <c r="V219" i="13"/>
  <c r="V206" i="13"/>
  <c r="Z196" i="13"/>
  <c r="V191" i="13"/>
  <c r="Z185" i="13"/>
  <c r="V181" i="13"/>
  <c r="V172" i="13"/>
  <c r="Z161" i="13"/>
  <c r="Z177" i="13"/>
  <c r="V165" i="13"/>
  <c r="Z156" i="13"/>
  <c r="Z199" i="13"/>
  <c r="V163" i="13"/>
  <c r="V177" i="13"/>
  <c r="V154" i="13"/>
  <c r="Z147" i="13"/>
  <c r="V166" i="13"/>
  <c r="V146" i="13"/>
  <c r="Z141" i="13"/>
  <c r="Z137" i="13"/>
  <c r="Z133" i="13"/>
  <c r="Z129" i="13"/>
  <c r="Z125" i="13"/>
  <c r="V152" i="13"/>
  <c r="Z151" i="13"/>
  <c r="V134" i="13"/>
  <c r="V122" i="13"/>
  <c r="V114" i="13"/>
  <c r="V106" i="13"/>
  <c r="V101" i="13"/>
  <c r="V97" i="13"/>
  <c r="V93" i="13"/>
  <c r="V89" i="13"/>
  <c r="V85" i="13"/>
  <c r="V81" i="13"/>
  <c r="V77" i="13"/>
  <c r="V73" i="13"/>
  <c r="V69" i="13"/>
  <c r="V65" i="13"/>
  <c r="V61" i="13"/>
  <c r="V57" i="13"/>
  <c r="V53" i="13"/>
  <c r="Z138" i="13"/>
  <c r="V125" i="13"/>
  <c r="V117" i="13"/>
  <c r="V109" i="13"/>
  <c r="V72" i="13"/>
  <c r="V64" i="13"/>
  <c r="Z56" i="13"/>
  <c r="Z140" i="13"/>
  <c r="Z126" i="13"/>
  <c r="Z117" i="13"/>
  <c r="Z109" i="13"/>
  <c r="V102" i="13"/>
  <c r="V98" i="13"/>
  <c r="V94" i="13"/>
  <c r="V90" i="13"/>
  <c r="V86" i="13"/>
  <c r="V82" i="13"/>
  <c r="V78" i="13"/>
  <c r="V74" i="13"/>
  <c r="V66" i="13"/>
  <c r="Z58" i="13"/>
  <c r="Z142" i="13"/>
  <c r="V121" i="13"/>
  <c r="Z45" i="13"/>
  <c r="V108" i="13"/>
  <c r="V44" i="13"/>
  <c r="V47" i="13"/>
  <c r="V113" i="13"/>
  <c r="Z149" i="13"/>
  <c r="V105" i="13"/>
  <c r="Z123" i="13"/>
  <c r="Z42" i="13"/>
  <c r="Z40" i="13"/>
  <c r="V42" i="13"/>
  <c r="Z115" i="13"/>
  <c r="Z211" i="13"/>
  <c r="Z224" i="13"/>
  <c r="Z204" i="13"/>
  <c r="V184" i="13"/>
  <c r="V201" i="13"/>
  <c r="V199" i="13"/>
  <c r="V187" i="13"/>
  <c r="V164" i="13"/>
  <c r="V157" i="13"/>
  <c r="Z226" i="13"/>
  <c r="V175" i="13"/>
  <c r="V139" i="13"/>
  <c r="V127" i="13"/>
  <c r="Z136" i="13"/>
  <c r="Z108" i="13"/>
  <c r="Z93" i="13"/>
  <c r="Z81" i="13"/>
  <c r="Z69" i="13"/>
  <c r="Z61" i="13"/>
  <c r="V144" i="13"/>
  <c r="Z111" i="13"/>
  <c r="V58" i="13"/>
  <c r="V118" i="13"/>
  <c r="Z98" i="13"/>
  <c r="Z86" i="13"/>
  <c r="Z74" i="13"/>
  <c r="Z52" i="13"/>
  <c r="V40" i="13"/>
  <c r="V50" i="13"/>
  <c r="Z110" i="13"/>
  <c r="Z231" i="13"/>
  <c r="Z219" i="13"/>
  <c r="V209" i="13"/>
  <c r="Z203" i="13"/>
  <c r="V230" i="13"/>
  <c r="V218" i="13"/>
  <c r="V224" i="13"/>
  <c r="Z210" i="13"/>
  <c r="V198" i="13"/>
  <c r="V192" i="13"/>
  <c r="Z186" i="13"/>
  <c r="Z180" i="13"/>
  <c r="V176" i="13"/>
  <c r="Z222" i="13"/>
  <c r="V235" i="13"/>
  <c r="Z213" i="13"/>
  <c r="V204" i="13"/>
  <c r="V195" i="13"/>
  <c r="Z189" i="13"/>
  <c r="V185" i="13"/>
  <c r="V179" i="13"/>
  <c r="Z169" i="13"/>
  <c r="V159" i="13"/>
  <c r="V173" i="13"/>
  <c r="Z164" i="13"/>
  <c r="V156" i="13"/>
  <c r="V171" i="13"/>
  <c r="Z162" i="13"/>
  <c r="V169" i="13"/>
  <c r="Z152" i="13"/>
  <c r="V145" i="13"/>
  <c r="Z153" i="13"/>
  <c r="Z145" i="13"/>
  <c r="V141" i="13"/>
  <c r="V137" i="13"/>
  <c r="V133" i="13"/>
  <c r="V129" i="13"/>
  <c r="Z171" i="13"/>
  <c r="V149" i="13"/>
  <c r="Z144" i="13"/>
  <c r="Z128" i="13"/>
  <c r="Z121" i="13"/>
  <c r="Z113" i="13"/>
  <c r="Z105" i="13"/>
  <c r="Z99" i="13"/>
  <c r="Z95" i="13"/>
  <c r="Z91" i="13"/>
  <c r="Z87" i="13"/>
  <c r="Z83" i="13"/>
  <c r="Z79" i="13"/>
  <c r="Z75" i="13"/>
  <c r="Z71" i="13"/>
  <c r="Z67" i="13"/>
  <c r="Z63" i="13"/>
  <c r="Z59" i="13"/>
  <c r="Z55" i="13"/>
  <c r="V155" i="13"/>
  <c r="V136" i="13"/>
  <c r="Z122" i="13"/>
  <c r="Z114" i="13"/>
  <c r="Z106" i="13"/>
  <c r="Z70" i="13"/>
  <c r="Z62" i="13"/>
  <c r="Z54" i="13"/>
  <c r="V138" i="13"/>
  <c r="V123" i="13"/>
  <c r="V115" i="13"/>
  <c r="V107" i="13"/>
  <c r="Z100" i="13"/>
  <c r="Z96" i="13"/>
  <c r="Z92" i="13"/>
  <c r="Z88" i="13"/>
  <c r="Z84" i="13"/>
  <c r="Z80" i="13"/>
  <c r="Z76" i="13"/>
  <c r="Z72" i="13"/>
  <c r="Z64" i="13"/>
  <c r="V56" i="13"/>
  <c r="V140" i="13"/>
  <c r="V51" i="13"/>
  <c r="V43" i="13"/>
  <c r="Z107" i="13"/>
  <c r="Z43" i="13"/>
  <c r="Z44" i="13"/>
  <c r="Z50" i="13"/>
  <c r="V116" i="13"/>
  <c r="Z51" i="13"/>
  <c r="Z118" i="13"/>
  <c r="Z134" i="13"/>
  <c r="V49" i="13"/>
  <c r="V48" i="13"/>
  <c r="Z47" i="13"/>
  <c r="V207" i="13"/>
  <c r="V214" i="13"/>
  <c r="Z194" i="13"/>
  <c r="Z178" i="13"/>
  <c r="V227" i="13"/>
  <c r="V193" i="13"/>
  <c r="Z217" i="13"/>
  <c r="Z218" i="13"/>
  <c r="V200" i="13"/>
  <c r="V158" i="13"/>
  <c r="Z148" i="13"/>
  <c r="V135" i="13"/>
  <c r="Z155" i="13"/>
  <c r="Z124" i="13"/>
  <c r="Z101" i="13"/>
  <c r="Z89" i="13"/>
  <c r="Z77" i="13"/>
  <c r="Z65" i="13"/>
  <c r="Z57" i="13"/>
  <c r="V128" i="13"/>
  <c r="Z103" i="13"/>
  <c r="V147" i="13"/>
  <c r="V110" i="13"/>
  <c r="Z94" i="13"/>
  <c r="Z82" i="13"/>
  <c r="V68" i="13"/>
  <c r="V132" i="13"/>
  <c r="Z46" i="13"/>
  <c r="Z160" i="13"/>
  <c r="Z41" i="13"/>
  <c r="V229" i="13"/>
  <c r="Z215" i="13"/>
  <c r="Z207" i="13"/>
  <c r="V203" i="13"/>
  <c r="V226" i="13"/>
  <c r="Z216" i="13"/>
  <c r="V223" i="13"/>
  <c r="Z206" i="13"/>
  <c r="Z197" i="13"/>
  <c r="Z190" i="13"/>
  <c r="Z184" i="13"/>
  <c r="V180" i="13"/>
  <c r="Z174" i="13"/>
  <c r="Z214" i="13"/>
  <c r="V228" i="13"/>
  <c r="V212" i="13"/>
  <c r="Z201" i="13"/>
  <c r="Z193" i="13"/>
  <c r="V189" i="13"/>
  <c r="V183" i="13"/>
  <c r="Z233" i="13"/>
  <c r="V167" i="13"/>
  <c r="Z234" i="13"/>
  <c r="Z172" i="13"/>
  <c r="V162" i="13"/>
  <c r="Z225" i="13"/>
  <c r="Z170" i="13"/>
  <c r="V160" i="13"/>
  <c r="Z163" i="13"/>
  <c r="Z150" i="13"/>
  <c r="V197" i="13"/>
  <c r="V151" i="13"/>
  <c r="Z143" i="13"/>
  <c r="Z139" i="13"/>
  <c r="Z135" i="13"/>
  <c r="Z131" i="13"/>
  <c r="Z127" i="13"/>
  <c r="V161" i="13"/>
  <c r="Z146" i="13"/>
  <c r="V142" i="13"/>
  <c r="V126" i="13"/>
  <c r="V119" i="13"/>
  <c r="V111" i="13"/>
  <c r="V103" i="13"/>
  <c r="V99" i="13"/>
  <c r="V95" i="13"/>
  <c r="V91" i="13"/>
  <c r="V87" i="13"/>
  <c r="V83" i="13"/>
  <c r="V79" i="13"/>
  <c r="V75" i="13"/>
  <c r="V71" i="13"/>
  <c r="V67" i="13"/>
  <c r="V63" i="13"/>
  <c r="V59" i="13"/>
  <c r="V55" i="13"/>
  <c r="V150" i="13"/>
  <c r="Z130" i="13"/>
  <c r="V120" i="13"/>
  <c r="V112" i="13"/>
  <c r="V104" i="13"/>
  <c r="Z68" i="13"/>
  <c r="V60" i="13"/>
  <c r="V52" i="13"/>
  <c r="Z132" i="13"/>
  <c r="Z120" i="13"/>
  <c r="Z112" i="13"/>
  <c r="Z104" i="13"/>
  <c r="V100" i="13"/>
  <c r="V96" i="13"/>
  <c r="V92" i="13"/>
  <c r="V88" i="13"/>
  <c r="V84" i="13"/>
  <c r="V80" i="13"/>
  <c r="V76" i="13"/>
  <c r="V70" i="13"/>
  <c r="V62" i="13"/>
  <c r="V54" i="13"/>
  <c r="Z48" i="13"/>
  <c r="V41" i="13"/>
  <c r="Z49" i="13"/>
  <c r="Z223" i="13"/>
  <c r="V234" i="13"/>
  <c r="V215" i="13"/>
  <c r="Z188" i="13"/>
  <c r="Z230" i="13"/>
  <c r="V208" i="13"/>
  <c r="Z181" i="13"/>
  <c r="V170" i="13"/>
  <c r="V168" i="13"/>
  <c r="V148" i="13"/>
  <c r="V143" i="13"/>
  <c r="V131" i="13"/>
  <c r="V153" i="13"/>
  <c r="Z116" i="13"/>
  <c r="Z97" i="13"/>
  <c r="Z85" i="13"/>
  <c r="Z73" i="13"/>
  <c r="Z53" i="13"/>
  <c r="Z119" i="13"/>
  <c r="Z66" i="13"/>
  <c r="V130" i="13"/>
  <c r="Z102" i="13"/>
  <c r="Z90" i="13"/>
  <c r="Z78" i="13"/>
  <c r="Z60" i="13"/>
  <c r="V46" i="13"/>
  <c r="V124" i="13"/>
  <c r="V45" i="13"/>
  <c r="AJ8" i="13" l="1"/>
  <c r="AI8" i="13"/>
  <c r="AH9" i="13"/>
  <c r="AJ9" i="13" s="1"/>
  <c r="AK8" i="13"/>
  <c r="S207" i="13"/>
  <c r="U207" i="13" s="1"/>
  <c r="T209" i="13"/>
  <c r="U209" i="13" s="1"/>
  <c r="T135" i="13"/>
  <c r="U135" i="13" s="1"/>
  <c r="T188" i="13"/>
  <c r="U188" i="13" s="1"/>
  <c r="T137" i="13"/>
  <c r="U137" i="13" s="1"/>
  <c r="T153" i="13"/>
  <c r="U153" i="13" s="1"/>
  <c r="T168" i="13"/>
  <c r="U168" i="13" s="1"/>
  <c r="S109" i="13"/>
  <c r="U109" i="13" s="1"/>
  <c r="S186" i="13"/>
  <c r="U186" i="13" s="1"/>
  <c r="T112" i="13"/>
  <c r="U112" i="13" s="1"/>
  <c r="S127" i="13"/>
  <c r="T180" i="13"/>
  <c r="U180" i="13" s="1"/>
  <c r="T201" i="13"/>
  <c r="U201" i="13" s="1"/>
  <c r="S194" i="13"/>
  <c r="U194" i="13" s="1"/>
  <c r="S178" i="13"/>
  <c r="S184" i="13"/>
  <c r="S205" i="13"/>
  <c r="U205" i="13" s="1"/>
  <c r="T107" i="13"/>
  <c r="U107" i="13" s="1"/>
  <c r="T123" i="13"/>
  <c r="U123" i="13" s="1"/>
  <c r="S143" i="13"/>
  <c r="U143" i="13" s="1"/>
  <c r="S192" i="13"/>
  <c r="U192" i="13" s="1"/>
  <c r="T215" i="13"/>
  <c r="U215" i="13" s="1"/>
  <c r="T47" i="13"/>
  <c r="U47" i="13" s="1"/>
  <c r="S69" i="13"/>
  <c r="U69" i="13" s="1"/>
  <c r="S85" i="13"/>
  <c r="U85" i="13" s="1"/>
  <c r="S101" i="13"/>
  <c r="U101" i="13" s="1"/>
  <c r="T120" i="13"/>
  <c r="U120" i="13" s="1"/>
  <c r="S129" i="13"/>
  <c r="U129" i="13" s="1"/>
  <c r="T227" i="13"/>
  <c r="U227" i="13" s="1"/>
  <c r="S49" i="13"/>
  <c r="U49" i="13" s="1"/>
  <c r="T52" i="13"/>
  <c r="U52" i="13" s="1"/>
  <c r="S61" i="13"/>
  <c r="U61" i="13" s="1"/>
  <c r="S77" i="13"/>
  <c r="U77" i="13" s="1"/>
  <c r="S93" i="13"/>
  <c r="U93" i="13" s="1"/>
  <c r="T110" i="13"/>
  <c r="U110" i="13" s="1"/>
  <c r="S147" i="13"/>
  <c r="U147" i="13" s="1"/>
  <c r="T152" i="13"/>
  <c r="U152" i="13" s="1"/>
  <c r="S53" i="13"/>
  <c r="U53" i="13" s="1"/>
  <c r="S59" i="13"/>
  <c r="U59" i="13" s="1"/>
  <c r="S67" i="13"/>
  <c r="U67" i="13" s="1"/>
  <c r="S75" i="13"/>
  <c r="U75" i="13" s="1"/>
  <c r="S83" i="13"/>
  <c r="U83" i="13" s="1"/>
  <c r="S91" i="13"/>
  <c r="U91" i="13" s="1"/>
  <c r="S99" i="13"/>
  <c r="U99" i="13" s="1"/>
  <c r="T115" i="13"/>
  <c r="U115" i="13" s="1"/>
  <c r="S125" i="13"/>
  <c r="S133" i="13"/>
  <c r="U133" i="13" s="1"/>
  <c r="S141" i="13"/>
  <c r="U141" i="13" s="1"/>
  <c r="S149" i="13"/>
  <c r="U149" i="13" s="1"/>
  <c r="S151" i="13"/>
  <c r="U151" i="13" s="1"/>
  <c r="T160" i="13"/>
  <c r="U160" i="13" s="1"/>
  <c r="T161" i="13"/>
  <c r="U161" i="13" s="1"/>
  <c r="T231" i="13"/>
  <c r="U231" i="13" s="1"/>
  <c r="T150" i="13"/>
  <c r="U150" i="13" s="1"/>
  <c r="T156" i="13"/>
  <c r="U156" i="13" s="1"/>
  <c r="T157" i="13"/>
  <c r="U157" i="13" s="1"/>
  <c r="S170" i="13"/>
  <c r="U170" i="13" s="1"/>
  <c r="T173" i="13"/>
  <c r="U173" i="13" s="1"/>
  <c r="S176" i="13"/>
  <c r="U176" i="13" s="1"/>
  <c r="T44" i="13"/>
  <c r="U44" i="13" s="1"/>
  <c r="S57" i="13"/>
  <c r="U57" i="13" s="1"/>
  <c r="S65" i="13"/>
  <c r="U65" i="13" s="1"/>
  <c r="S73" i="13"/>
  <c r="U73" i="13" s="1"/>
  <c r="S81" i="13"/>
  <c r="U81" i="13" s="1"/>
  <c r="S89" i="13"/>
  <c r="U89" i="13" s="1"/>
  <c r="S97" i="13"/>
  <c r="U97" i="13" s="1"/>
  <c r="T196" i="13"/>
  <c r="U196" i="13" s="1"/>
  <c r="T223" i="13"/>
  <c r="U223" i="13" s="1"/>
  <c r="T158" i="13"/>
  <c r="S158" i="13"/>
  <c r="T174" i="13"/>
  <c r="S174" i="13"/>
  <c r="S45" i="13"/>
  <c r="T45" i="13"/>
  <c r="U45" i="13" s="1"/>
  <c r="T55" i="13"/>
  <c r="S55" i="13"/>
  <c r="T63" i="13"/>
  <c r="S63" i="13"/>
  <c r="T71" i="13"/>
  <c r="S71" i="13"/>
  <c r="T79" i="13"/>
  <c r="S79" i="13"/>
  <c r="T87" i="13"/>
  <c r="S87" i="13"/>
  <c r="T95" i="13"/>
  <c r="S95" i="13"/>
  <c r="T103" i="13"/>
  <c r="S103" i="13"/>
  <c r="T117" i="13"/>
  <c r="S117" i="13"/>
  <c r="S154" i="13"/>
  <c r="T154" i="13"/>
  <c r="S165" i="13"/>
  <c r="T165" i="13"/>
  <c r="S199" i="13"/>
  <c r="T199" i="13"/>
  <c r="S235" i="13"/>
  <c r="T235" i="13"/>
  <c r="S50" i="13"/>
  <c r="T50" i="13"/>
  <c r="S146" i="13"/>
  <c r="T146" i="13"/>
  <c r="T190" i="13"/>
  <c r="S190" i="13"/>
  <c r="T211" i="13"/>
  <c r="S211" i="13"/>
  <c r="T42" i="13"/>
  <c r="U42" i="13" s="1"/>
  <c r="S219" i="13"/>
  <c r="T219" i="13"/>
  <c r="T182" i="13"/>
  <c r="S182" i="13"/>
  <c r="T203" i="13"/>
  <c r="S203" i="13"/>
  <c r="T41" i="13"/>
  <c r="S41" i="13"/>
  <c r="S104" i="13"/>
  <c r="T104" i="13"/>
  <c r="S118" i="13"/>
  <c r="T118" i="13"/>
  <c r="T131" i="13"/>
  <c r="S131" i="13"/>
  <c r="T139" i="13"/>
  <c r="S139" i="13"/>
  <c r="T162" i="13"/>
  <c r="S162" i="13"/>
  <c r="AA42" i="13"/>
  <c r="AB42" i="13" s="1"/>
  <c r="AC42" i="13" s="1"/>
  <c r="W45" i="13"/>
  <c r="X45" i="13" s="1"/>
  <c r="AA47" i="13"/>
  <c r="AB47" i="13" s="1"/>
  <c r="AA118" i="13"/>
  <c r="AB118" i="13" s="1"/>
  <c r="AA123" i="13"/>
  <c r="AB123" i="13" s="1"/>
  <c r="AC123" i="13" s="1"/>
  <c r="AA41" i="13"/>
  <c r="AB41" i="13" s="1"/>
  <c r="AA49" i="13"/>
  <c r="AB49" i="13" s="1"/>
  <c r="AA51" i="13"/>
  <c r="AB51" i="13" s="1"/>
  <c r="W105" i="13"/>
  <c r="X105" i="13" s="1"/>
  <c r="AA110" i="13"/>
  <c r="AB110" i="13" s="1"/>
  <c r="AC110" i="13" s="1"/>
  <c r="AA115" i="13"/>
  <c r="AB115" i="13" s="1"/>
  <c r="W116" i="13"/>
  <c r="X116" i="13" s="1"/>
  <c r="AA149" i="13"/>
  <c r="AB149" i="13" s="1"/>
  <c r="AA160" i="13"/>
  <c r="AB160" i="13" s="1"/>
  <c r="W48" i="13"/>
  <c r="X48" i="13" s="1"/>
  <c r="AA50" i="13"/>
  <c r="AB50" i="13" s="1"/>
  <c r="W113" i="13"/>
  <c r="X113" i="13" s="1"/>
  <c r="W124" i="13"/>
  <c r="X124" i="13" s="1"/>
  <c r="W42" i="13"/>
  <c r="X42" i="13" s="1"/>
  <c r="AA44" i="13"/>
  <c r="AB44" i="13" s="1"/>
  <c r="W47" i="13"/>
  <c r="X47" i="13" s="1"/>
  <c r="W50" i="13"/>
  <c r="X50" i="13" s="1"/>
  <c r="W41" i="13"/>
  <c r="X41" i="13" s="1"/>
  <c r="AA43" i="13"/>
  <c r="AB43" i="13" s="1"/>
  <c r="W44" i="13"/>
  <c r="X44" i="13" s="1"/>
  <c r="AA46" i="13"/>
  <c r="AB46" i="13" s="1"/>
  <c r="W49" i="13"/>
  <c r="X49" i="13" s="1"/>
  <c r="AA107" i="13"/>
  <c r="AB107" i="13" s="1"/>
  <c r="W108" i="13"/>
  <c r="X108" i="13" s="1"/>
  <c r="W40" i="13"/>
  <c r="X40" i="13" s="1"/>
  <c r="AA40" i="13"/>
  <c r="AB40" i="13" s="1"/>
  <c r="W43" i="13"/>
  <c r="X43" i="13" s="1"/>
  <c r="AA45" i="13"/>
  <c r="AB45" i="13" s="1"/>
  <c r="W46" i="13"/>
  <c r="X46" i="13" s="1"/>
  <c r="AA48" i="13"/>
  <c r="AB48" i="13" s="1"/>
  <c r="W51" i="13"/>
  <c r="X51" i="13" s="1"/>
  <c r="W121" i="13"/>
  <c r="X121" i="13" s="1"/>
  <c r="W132" i="13"/>
  <c r="X132" i="13" s="1"/>
  <c r="AA134" i="13"/>
  <c r="AB134" i="13" s="1"/>
  <c r="W140" i="13"/>
  <c r="X140" i="13" s="1"/>
  <c r="AA142" i="13"/>
  <c r="AB142" i="13" s="1"/>
  <c r="AA52" i="13"/>
  <c r="AB52" i="13" s="1"/>
  <c r="W54" i="13"/>
  <c r="X54" i="13" s="1"/>
  <c r="W56" i="13"/>
  <c r="X56" i="13" s="1"/>
  <c r="AA58" i="13"/>
  <c r="AB58" i="13" s="1"/>
  <c r="AA60" i="13"/>
  <c r="AB60" i="13" s="1"/>
  <c r="W62" i="13"/>
  <c r="X62" i="13" s="1"/>
  <c r="AA64" i="13"/>
  <c r="AB64" i="13" s="1"/>
  <c r="W66" i="13"/>
  <c r="X66" i="13" s="1"/>
  <c r="W68" i="13"/>
  <c r="X68" i="13" s="1"/>
  <c r="W70" i="13"/>
  <c r="X70" i="13" s="1"/>
  <c r="AA72" i="13"/>
  <c r="AB72" i="13" s="1"/>
  <c r="W74" i="13"/>
  <c r="X74" i="13" s="1"/>
  <c r="AA74" i="13"/>
  <c r="AB74" i="13" s="1"/>
  <c r="W76" i="13"/>
  <c r="X76" i="13" s="1"/>
  <c r="AA76" i="13"/>
  <c r="AB76" i="13" s="1"/>
  <c r="W78" i="13"/>
  <c r="X78" i="13" s="1"/>
  <c r="AA78" i="13"/>
  <c r="AB78" i="13" s="1"/>
  <c r="W80" i="13"/>
  <c r="X80" i="13" s="1"/>
  <c r="AA80" i="13"/>
  <c r="AB80" i="13" s="1"/>
  <c r="W82" i="13"/>
  <c r="X82" i="13" s="1"/>
  <c r="AA82" i="13"/>
  <c r="AB82" i="13" s="1"/>
  <c r="W84" i="13"/>
  <c r="X84" i="13" s="1"/>
  <c r="AA84" i="13"/>
  <c r="AB84" i="13" s="1"/>
  <c r="W86" i="13"/>
  <c r="X86" i="13" s="1"/>
  <c r="AA86" i="13"/>
  <c r="AB86" i="13" s="1"/>
  <c r="W88" i="13"/>
  <c r="X88" i="13" s="1"/>
  <c r="AA88" i="13"/>
  <c r="AB88" i="13" s="1"/>
  <c r="W90" i="13"/>
  <c r="X90" i="13" s="1"/>
  <c r="AA90" i="13"/>
  <c r="AB90" i="13" s="1"/>
  <c r="W92" i="13"/>
  <c r="X92" i="13" s="1"/>
  <c r="AA92" i="13"/>
  <c r="AB92" i="13" s="1"/>
  <c r="W94" i="13"/>
  <c r="X94" i="13" s="1"/>
  <c r="AA94" i="13"/>
  <c r="AB94" i="13" s="1"/>
  <c r="W96" i="13"/>
  <c r="X96" i="13" s="1"/>
  <c r="AA96" i="13"/>
  <c r="AB96" i="13" s="1"/>
  <c r="W98" i="13"/>
  <c r="X98" i="13" s="1"/>
  <c r="AA98" i="13"/>
  <c r="AB98" i="13" s="1"/>
  <c r="W100" i="13"/>
  <c r="X100" i="13" s="1"/>
  <c r="AA100" i="13"/>
  <c r="AB100" i="13" s="1"/>
  <c r="W102" i="13"/>
  <c r="X102" i="13" s="1"/>
  <c r="AA102" i="13"/>
  <c r="AB102" i="13" s="1"/>
  <c r="AA104" i="13"/>
  <c r="AB104" i="13" s="1"/>
  <c r="W107" i="13"/>
  <c r="X107" i="13" s="1"/>
  <c r="AA109" i="13"/>
  <c r="AB109" i="13" s="1"/>
  <c r="W110" i="13"/>
  <c r="X110" i="13" s="1"/>
  <c r="AA112" i="13"/>
  <c r="AB112" i="13" s="1"/>
  <c r="W115" i="13"/>
  <c r="X115" i="13" s="1"/>
  <c r="AA117" i="13"/>
  <c r="AB117" i="13" s="1"/>
  <c r="W118" i="13"/>
  <c r="X118" i="13" s="1"/>
  <c r="AA120" i="13"/>
  <c r="AB120" i="13" s="1"/>
  <c r="W123" i="13"/>
  <c r="X123" i="13" s="1"/>
  <c r="Y123" i="13" s="1"/>
  <c r="AA126" i="13"/>
  <c r="AB126" i="13" s="1"/>
  <c r="W130" i="13"/>
  <c r="X130" i="13" s="1"/>
  <c r="AA132" i="13"/>
  <c r="AB132" i="13" s="1"/>
  <c r="W138" i="13"/>
  <c r="X138" i="13" s="1"/>
  <c r="AA140" i="13"/>
  <c r="AB140" i="13" s="1"/>
  <c r="W147" i="13"/>
  <c r="X147" i="13" s="1"/>
  <c r="W52" i="13"/>
  <c r="X52" i="13" s="1"/>
  <c r="AA54" i="13"/>
  <c r="AB54" i="13" s="1"/>
  <c r="AA56" i="13"/>
  <c r="AB56" i="13" s="1"/>
  <c r="W58" i="13"/>
  <c r="X58" i="13" s="1"/>
  <c r="W60" i="13"/>
  <c r="X60" i="13" s="1"/>
  <c r="AA62" i="13"/>
  <c r="AB62" i="13" s="1"/>
  <c r="W64" i="13"/>
  <c r="X64" i="13" s="1"/>
  <c r="AA66" i="13"/>
  <c r="AB66" i="13" s="1"/>
  <c r="AA68" i="13"/>
  <c r="AB68" i="13" s="1"/>
  <c r="AA70" i="13"/>
  <c r="AB70" i="13" s="1"/>
  <c r="W72" i="13"/>
  <c r="X72" i="13" s="1"/>
  <c r="AA103" i="13"/>
  <c r="AB103" i="13" s="1"/>
  <c r="W104" i="13"/>
  <c r="X104" i="13" s="1"/>
  <c r="AA106" i="13"/>
  <c r="AB106" i="13" s="1"/>
  <c r="W109" i="13"/>
  <c r="X109" i="13" s="1"/>
  <c r="AA111" i="13"/>
  <c r="AB111" i="13" s="1"/>
  <c r="W112" i="13"/>
  <c r="X112" i="13" s="1"/>
  <c r="AA114" i="13"/>
  <c r="AB114" i="13" s="1"/>
  <c r="W117" i="13"/>
  <c r="X117" i="13" s="1"/>
  <c r="AA119" i="13"/>
  <c r="AB119" i="13" s="1"/>
  <c r="W120" i="13"/>
  <c r="X120" i="13" s="1"/>
  <c r="AA122" i="13"/>
  <c r="AB122" i="13" s="1"/>
  <c r="W125" i="13"/>
  <c r="X125" i="13" s="1"/>
  <c r="W128" i="13"/>
  <c r="X128" i="13" s="1"/>
  <c r="AA130" i="13"/>
  <c r="AB130" i="13" s="1"/>
  <c r="W136" i="13"/>
  <c r="X136" i="13" s="1"/>
  <c r="AA138" i="13"/>
  <c r="AB138" i="13" s="1"/>
  <c r="W144" i="13"/>
  <c r="X144" i="13" s="1"/>
  <c r="W150" i="13"/>
  <c r="X150" i="13" s="1"/>
  <c r="W155" i="13"/>
  <c r="X155" i="13" s="1"/>
  <c r="W53" i="13"/>
  <c r="X53" i="13" s="1"/>
  <c r="AA53" i="13"/>
  <c r="AB53" i="13" s="1"/>
  <c r="W55" i="13"/>
  <c r="X55" i="13" s="1"/>
  <c r="AA55" i="13"/>
  <c r="AB55" i="13" s="1"/>
  <c r="W57" i="13"/>
  <c r="X57" i="13" s="1"/>
  <c r="AA57" i="13"/>
  <c r="AB57" i="13" s="1"/>
  <c r="W59" i="13"/>
  <c r="X59" i="13" s="1"/>
  <c r="AA59" i="13"/>
  <c r="AB59" i="13" s="1"/>
  <c r="W61" i="13"/>
  <c r="X61" i="13" s="1"/>
  <c r="AA61" i="13"/>
  <c r="AB61" i="13" s="1"/>
  <c r="W63" i="13"/>
  <c r="X63" i="13" s="1"/>
  <c r="AA63" i="13"/>
  <c r="AB63" i="13" s="1"/>
  <c r="W65" i="13"/>
  <c r="X65" i="13" s="1"/>
  <c r="AA65" i="13"/>
  <c r="AB65" i="13" s="1"/>
  <c r="W67" i="13"/>
  <c r="X67" i="13" s="1"/>
  <c r="AA67" i="13"/>
  <c r="AB67" i="13" s="1"/>
  <c r="W69" i="13"/>
  <c r="X69" i="13" s="1"/>
  <c r="AA69" i="13"/>
  <c r="AB69" i="13" s="1"/>
  <c r="W71" i="13"/>
  <c r="X71" i="13" s="1"/>
  <c r="AA71" i="13"/>
  <c r="AB71" i="13" s="1"/>
  <c r="W73" i="13"/>
  <c r="X73" i="13" s="1"/>
  <c r="AA73" i="13"/>
  <c r="AB73" i="13" s="1"/>
  <c r="W75" i="13"/>
  <c r="X75" i="13" s="1"/>
  <c r="AA75" i="13"/>
  <c r="AB75" i="13" s="1"/>
  <c r="W77" i="13"/>
  <c r="X77" i="13" s="1"/>
  <c r="AA77" i="13"/>
  <c r="AB77" i="13" s="1"/>
  <c r="W79" i="13"/>
  <c r="X79" i="13" s="1"/>
  <c r="AA79" i="13"/>
  <c r="AB79" i="13" s="1"/>
  <c r="W81" i="13"/>
  <c r="X81" i="13" s="1"/>
  <c r="AA81" i="13"/>
  <c r="AB81" i="13" s="1"/>
  <c r="W83" i="13"/>
  <c r="X83" i="13" s="1"/>
  <c r="AA83" i="13"/>
  <c r="AB83" i="13" s="1"/>
  <c r="W85" i="13"/>
  <c r="X85" i="13" s="1"/>
  <c r="AA85" i="13"/>
  <c r="AB85" i="13" s="1"/>
  <c r="W87" i="13"/>
  <c r="X87" i="13" s="1"/>
  <c r="AA87" i="13"/>
  <c r="AB87" i="13" s="1"/>
  <c r="W89" i="13"/>
  <c r="X89" i="13" s="1"/>
  <c r="AA89" i="13"/>
  <c r="AB89" i="13" s="1"/>
  <c r="W91" i="13"/>
  <c r="X91" i="13" s="1"/>
  <c r="AA91" i="13"/>
  <c r="AB91" i="13" s="1"/>
  <c r="W93" i="13"/>
  <c r="X93" i="13" s="1"/>
  <c r="AA93" i="13"/>
  <c r="AB93" i="13" s="1"/>
  <c r="W95" i="13"/>
  <c r="X95" i="13" s="1"/>
  <c r="AA95" i="13"/>
  <c r="AB95" i="13" s="1"/>
  <c r="W97" i="13"/>
  <c r="X97" i="13" s="1"/>
  <c r="AA97" i="13"/>
  <c r="AB97" i="13" s="1"/>
  <c r="W99" i="13"/>
  <c r="X99" i="13" s="1"/>
  <c r="AA99" i="13"/>
  <c r="AB99" i="13" s="1"/>
  <c r="W101" i="13"/>
  <c r="X101" i="13" s="1"/>
  <c r="AA101" i="13"/>
  <c r="AB101" i="13" s="1"/>
  <c r="W103" i="13"/>
  <c r="X103" i="13" s="1"/>
  <c r="AA105" i="13"/>
  <c r="AB105" i="13" s="1"/>
  <c r="W106" i="13"/>
  <c r="X106" i="13" s="1"/>
  <c r="AA108" i="13"/>
  <c r="AB108" i="13" s="1"/>
  <c r="W111" i="13"/>
  <c r="X111" i="13" s="1"/>
  <c r="AA113" i="13"/>
  <c r="AB113" i="13" s="1"/>
  <c r="W114" i="13"/>
  <c r="X114" i="13" s="1"/>
  <c r="AA116" i="13"/>
  <c r="AB116" i="13" s="1"/>
  <c r="W119" i="13"/>
  <c r="X119" i="13" s="1"/>
  <c r="AA121" i="13"/>
  <c r="AB121" i="13" s="1"/>
  <c r="W122" i="13"/>
  <c r="X122" i="13" s="1"/>
  <c r="AA124" i="13"/>
  <c r="AB124" i="13" s="1"/>
  <c r="W126" i="13"/>
  <c r="X126" i="13" s="1"/>
  <c r="AA128" i="13"/>
  <c r="AB128" i="13" s="1"/>
  <c r="W134" i="13"/>
  <c r="X134" i="13" s="1"/>
  <c r="AA136" i="13"/>
  <c r="AB136" i="13" s="1"/>
  <c r="W142" i="13"/>
  <c r="X142" i="13" s="1"/>
  <c r="AA144" i="13"/>
  <c r="AB144" i="13" s="1"/>
  <c r="AA151" i="13"/>
  <c r="AB151" i="13" s="1"/>
  <c r="W153" i="13"/>
  <c r="X153" i="13" s="1"/>
  <c r="AA146" i="13"/>
  <c r="AB146" i="13" s="1"/>
  <c r="W149" i="13"/>
  <c r="X149" i="13" s="1"/>
  <c r="W152" i="13"/>
  <c r="X152" i="13" s="1"/>
  <c r="AA155" i="13"/>
  <c r="AB155" i="13" s="1"/>
  <c r="W161" i="13"/>
  <c r="X161" i="13" s="1"/>
  <c r="AA171" i="13"/>
  <c r="AB171" i="13" s="1"/>
  <c r="AA125" i="13"/>
  <c r="AB125" i="13" s="1"/>
  <c r="W127" i="13"/>
  <c r="X127" i="13" s="1"/>
  <c r="AA127" i="13"/>
  <c r="AB127" i="13" s="1"/>
  <c r="W129" i="13"/>
  <c r="X129" i="13" s="1"/>
  <c r="AA129" i="13"/>
  <c r="AB129" i="13" s="1"/>
  <c r="W131" i="13"/>
  <c r="X131" i="13" s="1"/>
  <c r="AA131" i="13"/>
  <c r="AB131" i="13" s="1"/>
  <c r="W133" i="13"/>
  <c r="X133" i="13" s="1"/>
  <c r="AA133" i="13"/>
  <c r="AB133" i="13" s="1"/>
  <c r="W135" i="13"/>
  <c r="X135" i="13" s="1"/>
  <c r="AA135" i="13"/>
  <c r="AB135" i="13" s="1"/>
  <c r="W137" i="13"/>
  <c r="X137" i="13" s="1"/>
  <c r="AA137" i="13"/>
  <c r="AB137" i="13" s="1"/>
  <c r="W139" i="13"/>
  <c r="X139" i="13" s="1"/>
  <c r="AA139" i="13"/>
  <c r="AB139" i="13" s="1"/>
  <c r="W141" i="13"/>
  <c r="X141" i="13" s="1"/>
  <c r="AA141" i="13"/>
  <c r="AB141" i="13" s="1"/>
  <c r="W143" i="13"/>
  <c r="X143" i="13" s="1"/>
  <c r="AA143" i="13"/>
  <c r="AB143" i="13" s="1"/>
  <c r="AA145" i="13"/>
  <c r="AB145" i="13" s="1"/>
  <c r="W146" i="13"/>
  <c r="X146" i="13" s="1"/>
  <c r="AA148" i="13"/>
  <c r="AB148" i="13" s="1"/>
  <c r="W151" i="13"/>
  <c r="X151" i="13" s="1"/>
  <c r="AA153" i="13"/>
  <c r="AB153" i="13" s="1"/>
  <c r="W166" i="13"/>
  <c r="X166" i="13" s="1"/>
  <c r="W175" i="13"/>
  <c r="X175" i="13" s="1"/>
  <c r="W197" i="13"/>
  <c r="X197" i="13" s="1"/>
  <c r="W145" i="13"/>
  <c r="X145" i="13" s="1"/>
  <c r="AA147" i="13"/>
  <c r="AB147" i="13" s="1"/>
  <c r="W148" i="13"/>
  <c r="X148" i="13" s="1"/>
  <c r="AA150" i="13"/>
  <c r="AB150" i="13" s="1"/>
  <c r="AA152" i="13"/>
  <c r="AB152" i="13" s="1"/>
  <c r="W154" i="13"/>
  <c r="X154" i="13" s="1"/>
  <c r="W158" i="13"/>
  <c r="X158" i="13" s="1"/>
  <c r="AA163" i="13"/>
  <c r="AB163" i="13" s="1"/>
  <c r="AA168" i="13"/>
  <c r="AB168" i="13" s="1"/>
  <c r="AC168" i="13" s="1"/>
  <c r="W169" i="13"/>
  <c r="X169" i="13" s="1"/>
  <c r="W177" i="13"/>
  <c r="X177" i="13" s="1"/>
  <c r="AA226" i="13"/>
  <c r="AB226" i="13" s="1"/>
  <c r="AA157" i="13"/>
  <c r="AB157" i="13" s="1"/>
  <c r="AC157" i="13" s="1"/>
  <c r="W160" i="13"/>
  <c r="X160" i="13" s="1"/>
  <c r="AA162" i="13"/>
  <c r="AB162" i="13" s="1"/>
  <c r="W163" i="13"/>
  <c r="X163" i="13" s="1"/>
  <c r="AA165" i="13"/>
  <c r="AB165" i="13" s="1"/>
  <c r="W168" i="13"/>
  <c r="X168" i="13" s="1"/>
  <c r="Y168" i="13" s="1"/>
  <c r="AA170" i="13"/>
  <c r="AB170" i="13" s="1"/>
  <c r="W171" i="13"/>
  <c r="X171" i="13" s="1"/>
  <c r="AA173" i="13"/>
  <c r="AB173" i="13" s="1"/>
  <c r="AA199" i="13"/>
  <c r="AB199" i="13" s="1"/>
  <c r="W200" i="13"/>
  <c r="X200" i="13" s="1"/>
  <c r="AA225" i="13"/>
  <c r="AB225" i="13" s="1"/>
  <c r="AA154" i="13"/>
  <c r="AB154" i="13" s="1"/>
  <c r="W156" i="13"/>
  <c r="X156" i="13" s="1"/>
  <c r="AA156" i="13"/>
  <c r="AB156" i="13" s="1"/>
  <c r="W157" i="13"/>
  <c r="X157" i="13" s="1"/>
  <c r="AA159" i="13"/>
  <c r="AB159" i="13" s="1"/>
  <c r="W162" i="13"/>
  <c r="X162" i="13" s="1"/>
  <c r="AA164" i="13"/>
  <c r="AB164" i="13" s="1"/>
  <c r="W165" i="13"/>
  <c r="X165" i="13" s="1"/>
  <c r="AA167" i="13"/>
  <c r="AB167" i="13" s="1"/>
  <c r="W170" i="13"/>
  <c r="X170" i="13" s="1"/>
  <c r="AA172" i="13"/>
  <c r="AB172" i="13" s="1"/>
  <c r="W173" i="13"/>
  <c r="X173" i="13" s="1"/>
  <c r="AA175" i="13"/>
  <c r="AB175" i="13" s="1"/>
  <c r="AA177" i="13"/>
  <c r="AB177" i="13" s="1"/>
  <c r="AA218" i="13"/>
  <c r="AB218" i="13" s="1"/>
  <c r="AA234" i="13"/>
  <c r="AB234" i="13" s="1"/>
  <c r="AA158" i="13"/>
  <c r="AB158" i="13" s="1"/>
  <c r="W159" i="13"/>
  <c r="X159" i="13" s="1"/>
  <c r="AA161" i="13"/>
  <c r="AB161" i="13" s="1"/>
  <c r="W164" i="13"/>
  <c r="X164" i="13" s="1"/>
  <c r="AA166" i="13"/>
  <c r="AB166" i="13" s="1"/>
  <c r="W167" i="13"/>
  <c r="X167" i="13" s="1"/>
  <c r="AA169" i="13"/>
  <c r="AB169" i="13" s="1"/>
  <c r="W172" i="13"/>
  <c r="X172" i="13" s="1"/>
  <c r="W213" i="13"/>
  <c r="X213" i="13" s="1"/>
  <c r="AA217" i="13"/>
  <c r="AB217" i="13" s="1"/>
  <c r="AA233" i="13"/>
  <c r="AB233" i="13" s="1"/>
  <c r="W179" i="13"/>
  <c r="X179" i="13" s="1"/>
  <c r="AA179" i="13"/>
  <c r="AB179" i="13" s="1"/>
  <c r="W181" i="13"/>
  <c r="X181" i="13" s="1"/>
  <c r="AA181" i="13"/>
  <c r="AB181" i="13" s="1"/>
  <c r="W183" i="13"/>
  <c r="X183" i="13" s="1"/>
  <c r="AA183" i="13"/>
  <c r="AB183" i="13" s="1"/>
  <c r="W185" i="13"/>
  <c r="X185" i="13" s="1"/>
  <c r="AA185" i="13"/>
  <c r="AB185" i="13" s="1"/>
  <c r="W187" i="13"/>
  <c r="X187" i="13" s="1"/>
  <c r="AA187" i="13"/>
  <c r="AB187" i="13" s="1"/>
  <c r="W189" i="13"/>
  <c r="X189" i="13" s="1"/>
  <c r="AA189" i="13"/>
  <c r="AB189" i="13" s="1"/>
  <c r="W191" i="13"/>
  <c r="X191" i="13" s="1"/>
  <c r="AA191" i="13"/>
  <c r="AB191" i="13" s="1"/>
  <c r="W193" i="13"/>
  <c r="X193" i="13" s="1"/>
  <c r="AA193" i="13"/>
  <c r="AB193" i="13" s="1"/>
  <c r="W195" i="13"/>
  <c r="X195" i="13" s="1"/>
  <c r="AA195" i="13"/>
  <c r="AB195" i="13" s="1"/>
  <c r="AA196" i="13"/>
  <c r="AB196" i="13" s="1"/>
  <c r="W199" i="13"/>
  <c r="X199" i="13" s="1"/>
  <c r="AA201" i="13"/>
  <c r="AB201" i="13" s="1"/>
  <c r="W202" i="13"/>
  <c r="X202" i="13" s="1"/>
  <c r="W204" i="13"/>
  <c r="X204" i="13" s="1"/>
  <c r="W206" i="13"/>
  <c r="X206" i="13" s="1"/>
  <c r="W208" i="13"/>
  <c r="X208" i="13" s="1"/>
  <c r="W210" i="13"/>
  <c r="X210" i="13" s="1"/>
  <c r="W212" i="13"/>
  <c r="X212" i="13" s="1"/>
  <c r="AA213" i="13"/>
  <c r="AB213" i="13" s="1"/>
  <c r="W219" i="13"/>
  <c r="X219" i="13" s="1"/>
  <c r="W220" i="13"/>
  <c r="X220" i="13" s="1"/>
  <c r="W227" i="13"/>
  <c r="X227" i="13" s="1"/>
  <c r="W228" i="13"/>
  <c r="X228" i="13" s="1"/>
  <c r="W235" i="13"/>
  <c r="X235" i="13" s="1"/>
  <c r="W196" i="13"/>
  <c r="X196" i="13" s="1"/>
  <c r="AA198" i="13"/>
  <c r="AB198" i="13" s="1"/>
  <c r="W201" i="13"/>
  <c r="X201" i="13" s="1"/>
  <c r="AA214" i="13"/>
  <c r="AB214" i="13" s="1"/>
  <c r="AA221" i="13"/>
  <c r="AB221" i="13" s="1"/>
  <c r="AA222" i="13"/>
  <c r="AB222" i="13" s="1"/>
  <c r="AA229" i="13"/>
  <c r="AB229" i="13" s="1"/>
  <c r="AA230" i="13"/>
  <c r="AB230" i="13" s="1"/>
  <c r="W174" i="13"/>
  <c r="X174" i="13" s="1"/>
  <c r="AA174" i="13"/>
  <c r="AB174" i="13" s="1"/>
  <c r="W176" i="13"/>
  <c r="X176" i="13" s="1"/>
  <c r="AA176" i="13"/>
  <c r="AB176" i="13" s="1"/>
  <c r="W178" i="13"/>
  <c r="X178" i="13" s="1"/>
  <c r="AA178" i="13"/>
  <c r="AB178" i="13" s="1"/>
  <c r="W180" i="13"/>
  <c r="X180" i="13" s="1"/>
  <c r="AA180" i="13"/>
  <c r="AB180" i="13" s="1"/>
  <c r="W182" i="13"/>
  <c r="X182" i="13" s="1"/>
  <c r="AA182" i="13"/>
  <c r="AB182" i="13" s="1"/>
  <c r="W184" i="13"/>
  <c r="X184" i="13" s="1"/>
  <c r="AA184" i="13"/>
  <c r="AB184" i="13" s="1"/>
  <c r="W186" i="13"/>
  <c r="X186" i="13" s="1"/>
  <c r="AA186" i="13"/>
  <c r="AB186" i="13" s="1"/>
  <c r="W188" i="13"/>
  <c r="X188" i="13" s="1"/>
  <c r="AA188" i="13"/>
  <c r="AB188" i="13" s="1"/>
  <c r="W190" i="13"/>
  <c r="X190" i="13" s="1"/>
  <c r="AA190" i="13"/>
  <c r="AB190" i="13" s="1"/>
  <c r="W192" i="13"/>
  <c r="X192" i="13" s="1"/>
  <c r="AA192" i="13"/>
  <c r="AB192" i="13" s="1"/>
  <c r="W194" i="13"/>
  <c r="X194" i="13" s="1"/>
  <c r="AA194" i="13"/>
  <c r="AB194" i="13" s="1"/>
  <c r="AA197" i="13"/>
  <c r="AB197" i="13" s="1"/>
  <c r="W198" i="13"/>
  <c r="X198" i="13" s="1"/>
  <c r="AA200" i="13"/>
  <c r="AB200" i="13" s="1"/>
  <c r="AA202" i="13"/>
  <c r="AB202" i="13" s="1"/>
  <c r="AA204" i="13"/>
  <c r="AB204" i="13" s="1"/>
  <c r="AA206" i="13"/>
  <c r="AB206" i="13" s="1"/>
  <c r="AA208" i="13"/>
  <c r="AB208" i="13" s="1"/>
  <c r="AA210" i="13"/>
  <c r="AB210" i="13" s="1"/>
  <c r="AA212" i="13"/>
  <c r="AB212" i="13" s="1"/>
  <c r="W215" i="13"/>
  <c r="X215" i="13" s="1"/>
  <c r="W216" i="13"/>
  <c r="X216" i="13" s="1"/>
  <c r="W223" i="13"/>
  <c r="X223" i="13" s="1"/>
  <c r="W224" i="13"/>
  <c r="X224" i="13" s="1"/>
  <c r="W231" i="13"/>
  <c r="X231" i="13" s="1"/>
  <c r="W232" i="13"/>
  <c r="X232" i="13" s="1"/>
  <c r="W214" i="13"/>
  <c r="X214" i="13" s="1"/>
  <c r="AA216" i="13"/>
  <c r="AB216" i="13" s="1"/>
  <c r="W218" i="13"/>
  <c r="X218" i="13" s="1"/>
  <c r="AA220" i="13"/>
  <c r="AB220" i="13" s="1"/>
  <c r="W222" i="13"/>
  <c r="X222" i="13" s="1"/>
  <c r="AA224" i="13"/>
  <c r="AB224" i="13" s="1"/>
  <c r="W226" i="13"/>
  <c r="X226" i="13" s="1"/>
  <c r="AA228" i="13"/>
  <c r="AB228" i="13" s="1"/>
  <c r="W230" i="13"/>
  <c r="X230" i="13" s="1"/>
  <c r="AA232" i="13"/>
  <c r="AB232" i="13" s="1"/>
  <c r="W234" i="13"/>
  <c r="X234" i="13" s="1"/>
  <c r="W236" i="13"/>
  <c r="X236" i="13" s="1"/>
  <c r="W203" i="13"/>
  <c r="X203" i="13" s="1"/>
  <c r="AA203" i="13"/>
  <c r="AB203" i="13" s="1"/>
  <c r="W205" i="13"/>
  <c r="X205" i="13" s="1"/>
  <c r="AA205" i="13"/>
  <c r="AB205" i="13" s="1"/>
  <c r="W207" i="13"/>
  <c r="X207" i="13" s="1"/>
  <c r="AA207" i="13"/>
  <c r="AB207" i="13" s="1"/>
  <c r="W209" i="13"/>
  <c r="X209" i="13" s="1"/>
  <c r="AA209" i="13"/>
  <c r="AB209" i="13" s="1"/>
  <c r="W211" i="13"/>
  <c r="X211" i="13" s="1"/>
  <c r="AA211" i="13"/>
  <c r="AB211" i="13" s="1"/>
  <c r="AA215" i="13"/>
  <c r="AB215" i="13" s="1"/>
  <c r="W217" i="13"/>
  <c r="X217" i="13" s="1"/>
  <c r="AA219" i="13"/>
  <c r="AB219" i="13" s="1"/>
  <c r="W221" i="13"/>
  <c r="X221" i="13" s="1"/>
  <c r="AA223" i="13"/>
  <c r="AB223" i="13" s="1"/>
  <c r="AC223" i="13" s="1"/>
  <c r="W225" i="13"/>
  <c r="X225" i="13" s="1"/>
  <c r="AA227" i="13"/>
  <c r="AB227" i="13" s="1"/>
  <c r="W229" i="13"/>
  <c r="X229" i="13" s="1"/>
  <c r="AA231" i="13"/>
  <c r="AB231" i="13" s="1"/>
  <c r="W233" i="13"/>
  <c r="X233" i="13" s="1"/>
  <c r="AA236" i="13"/>
  <c r="AB236" i="13" s="1"/>
  <c r="AA235" i="13"/>
  <c r="AB235" i="13" s="1"/>
  <c r="S43" i="13"/>
  <c r="U43" i="13" s="1"/>
  <c r="T46" i="13"/>
  <c r="U46" i="13" s="1"/>
  <c r="S51" i="13"/>
  <c r="U51" i="13" s="1"/>
  <c r="T40" i="13"/>
  <c r="U40" i="13" s="1"/>
  <c r="T48" i="13"/>
  <c r="U48" i="13" s="1"/>
  <c r="T119" i="13"/>
  <c r="S119" i="13"/>
  <c r="S122" i="13"/>
  <c r="T122" i="13"/>
  <c r="T130" i="13"/>
  <c r="S130" i="13"/>
  <c r="T138" i="13"/>
  <c r="S138" i="13"/>
  <c r="S106" i="13"/>
  <c r="T106" i="13"/>
  <c r="T111" i="13"/>
  <c r="S111" i="13"/>
  <c r="S114" i="13"/>
  <c r="T114" i="13"/>
  <c r="U125" i="13"/>
  <c r="T126" i="13"/>
  <c r="S126" i="13"/>
  <c r="T128" i="13"/>
  <c r="S128" i="13"/>
  <c r="T136" i="13"/>
  <c r="S136" i="13"/>
  <c r="T144" i="13"/>
  <c r="S144" i="13"/>
  <c r="T145" i="13"/>
  <c r="S145" i="13"/>
  <c r="S148" i="13"/>
  <c r="T148" i="13"/>
  <c r="S54" i="13"/>
  <c r="U54" i="13" s="1"/>
  <c r="S56" i="13"/>
  <c r="U56" i="13" s="1"/>
  <c r="S58" i="13"/>
  <c r="U58" i="13" s="1"/>
  <c r="S60" i="13"/>
  <c r="U60" i="13" s="1"/>
  <c r="S62" i="13"/>
  <c r="U62" i="13" s="1"/>
  <c r="S64" i="13"/>
  <c r="U64" i="13" s="1"/>
  <c r="S66" i="13"/>
  <c r="U66" i="13" s="1"/>
  <c r="S68" i="13"/>
  <c r="U68" i="13" s="1"/>
  <c r="S70" i="13"/>
  <c r="U70" i="13" s="1"/>
  <c r="S72" i="13"/>
  <c r="U72" i="13" s="1"/>
  <c r="S74" i="13"/>
  <c r="U74" i="13" s="1"/>
  <c r="S76" i="13"/>
  <c r="U76" i="13" s="1"/>
  <c r="S78" i="13"/>
  <c r="U78" i="13" s="1"/>
  <c r="S80" i="13"/>
  <c r="U80" i="13" s="1"/>
  <c r="S82" i="13"/>
  <c r="U82" i="13" s="1"/>
  <c r="S84" i="13"/>
  <c r="U84" i="13" s="1"/>
  <c r="S86" i="13"/>
  <c r="U86" i="13" s="1"/>
  <c r="S88" i="13"/>
  <c r="U88" i="13" s="1"/>
  <c r="S90" i="13"/>
  <c r="U90" i="13" s="1"/>
  <c r="S92" i="13"/>
  <c r="U92" i="13" s="1"/>
  <c r="S94" i="13"/>
  <c r="U94" i="13" s="1"/>
  <c r="S96" i="13"/>
  <c r="U96" i="13" s="1"/>
  <c r="S98" i="13"/>
  <c r="U98" i="13" s="1"/>
  <c r="S100" i="13"/>
  <c r="U100" i="13" s="1"/>
  <c r="S102" i="13"/>
  <c r="U102" i="13" s="1"/>
  <c r="S105" i="13"/>
  <c r="U105" i="13" s="1"/>
  <c r="T108" i="13"/>
  <c r="U108" i="13" s="1"/>
  <c r="S113" i="13"/>
  <c r="U113" i="13" s="1"/>
  <c r="T116" i="13"/>
  <c r="U116" i="13" s="1"/>
  <c r="S121" i="13"/>
  <c r="U121" i="13" s="1"/>
  <c r="T124" i="13"/>
  <c r="U124" i="13" s="1"/>
  <c r="U127" i="13"/>
  <c r="T134" i="13"/>
  <c r="S134" i="13"/>
  <c r="T142" i="13"/>
  <c r="S142" i="13"/>
  <c r="T132" i="13"/>
  <c r="S132" i="13"/>
  <c r="T140" i="13"/>
  <c r="S140" i="13"/>
  <c r="T164" i="13"/>
  <c r="S164" i="13"/>
  <c r="S167" i="13"/>
  <c r="T167" i="13"/>
  <c r="S159" i="13"/>
  <c r="T159" i="13"/>
  <c r="T155" i="13"/>
  <c r="S155" i="13"/>
  <c r="T172" i="13"/>
  <c r="S172" i="13"/>
  <c r="U184" i="13"/>
  <c r="S214" i="13"/>
  <c r="T214" i="13"/>
  <c r="S221" i="13"/>
  <c r="T221" i="13"/>
  <c r="S230" i="13"/>
  <c r="T230" i="13"/>
  <c r="S166" i="13"/>
  <c r="U166" i="13" s="1"/>
  <c r="T169" i="13"/>
  <c r="U169" i="13" s="1"/>
  <c r="T175" i="13"/>
  <c r="S175" i="13"/>
  <c r="T177" i="13"/>
  <c r="S177" i="13"/>
  <c r="T163" i="13"/>
  <c r="U163" i="13" s="1"/>
  <c r="T171" i="13"/>
  <c r="U171" i="13" s="1"/>
  <c r="U178" i="13"/>
  <c r="S198" i="13"/>
  <c r="T198" i="13"/>
  <c r="S222" i="13"/>
  <c r="T222" i="13"/>
  <c r="S229" i="13"/>
  <c r="T229" i="13"/>
  <c r="S179" i="13"/>
  <c r="U179" i="13" s="1"/>
  <c r="S181" i="13"/>
  <c r="U181" i="13" s="1"/>
  <c r="S183" i="13"/>
  <c r="U183" i="13" s="1"/>
  <c r="S185" i="13"/>
  <c r="U185" i="13" s="1"/>
  <c r="S187" i="13"/>
  <c r="U187" i="13" s="1"/>
  <c r="S189" i="13"/>
  <c r="U189" i="13" s="1"/>
  <c r="S191" i="13"/>
  <c r="U191" i="13" s="1"/>
  <c r="S193" i="13"/>
  <c r="U193" i="13" s="1"/>
  <c r="S195" i="13"/>
  <c r="U195" i="13" s="1"/>
  <c r="S197" i="13"/>
  <c r="U197" i="13" s="1"/>
  <c r="T200" i="13"/>
  <c r="U200" i="13" s="1"/>
  <c r="S217" i="13"/>
  <c r="T217" i="13"/>
  <c r="S225" i="13"/>
  <c r="T225" i="13"/>
  <c r="S233" i="13"/>
  <c r="T233" i="13"/>
  <c r="T202" i="13"/>
  <c r="U202" i="13" s="1"/>
  <c r="T204" i="13"/>
  <c r="S204" i="13"/>
  <c r="T206" i="13"/>
  <c r="S206" i="13"/>
  <c r="T208" i="13"/>
  <c r="S208" i="13"/>
  <c r="T210" i="13"/>
  <c r="S210" i="13"/>
  <c r="T212" i="13"/>
  <c r="S212" i="13"/>
  <c r="T218" i="13"/>
  <c r="U218" i="13" s="1"/>
  <c r="T226" i="13"/>
  <c r="U226" i="13" s="1"/>
  <c r="T234" i="13"/>
  <c r="U234" i="13" s="1"/>
  <c r="T236" i="13"/>
  <c r="S236" i="13"/>
  <c r="T213" i="13"/>
  <c r="U213" i="13" s="1"/>
  <c r="T216" i="13"/>
  <c r="U216" i="13" s="1"/>
  <c r="T220" i="13"/>
  <c r="U220" i="13" s="1"/>
  <c r="T224" i="13"/>
  <c r="U224" i="13" s="1"/>
  <c r="T228" i="13"/>
  <c r="U228" i="13" s="1"/>
  <c r="T232" i="13"/>
  <c r="U232" i="13" s="1"/>
  <c r="R90" i="10"/>
  <c r="T90" i="10" s="1"/>
  <c r="Q90" i="10"/>
  <c r="P90" i="10"/>
  <c r="R89" i="10"/>
  <c r="T89" i="10" s="1"/>
  <c r="P89" i="10"/>
  <c r="Q89" i="10" s="1"/>
  <c r="R88" i="10"/>
  <c r="S88" i="10" s="1"/>
  <c r="P88" i="10"/>
  <c r="Q88" i="10" s="1"/>
  <c r="R87" i="10"/>
  <c r="T87" i="10" s="1"/>
  <c r="P87" i="10"/>
  <c r="Q87" i="10" s="1"/>
  <c r="T86" i="10"/>
  <c r="U86" i="10" s="1"/>
  <c r="R86" i="10"/>
  <c r="S86" i="10" s="1"/>
  <c r="Q86" i="10"/>
  <c r="P86" i="10"/>
  <c r="T85" i="10"/>
  <c r="R85" i="10"/>
  <c r="S85" i="10" s="1"/>
  <c r="P85" i="10"/>
  <c r="Q85" i="10" s="1"/>
  <c r="R84" i="10"/>
  <c r="S84" i="10" s="1"/>
  <c r="P84" i="10"/>
  <c r="Q84" i="10" s="1"/>
  <c r="R83" i="10"/>
  <c r="T83" i="10" s="1"/>
  <c r="P83" i="10"/>
  <c r="Q83" i="10" s="1"/>
  <c r="T82" i="10"/>
  <c r="U82" i="10" s="1"/>
  <c r="R82" i="10"/>
  <c r="S82" i="10" s="1"/>
  <c r="P82" i="10"/>
  <c r="Q82" i="10" s="1"/>
  <c r="R81" i="10"/>
  <c r="T81" i="10" s="1"/>
  <c r="P81" i="10"/>
  <c r="Q81" i="10" s="1"/>
  <c r="R80" i="10"/>
  <c r="S80" i="10" s="1"/>
  <c r="P80" i="10"/>
  <c r="Q80" i="10" s="1"/>
  <c r="T79" i="10"/>
  <c r="S79" i="10"/>
  <c r="R79" i="10"/>
  <c r="P79" i="10"/>
  <c r="Q79" i="10" s="1"/>
  <c r="T78" i="10"/>
  <c r="U78" i="10" s="1"/>
  <c r="R78" i="10"/>
  <c r="S78" i="10" s="1"/>
  <c r="Q78" i="10"/>
  <c r="P78" i="10"/>
  <c r="T77" i="10"/>
  <c r="R77" i="10"/>
  <c r="S77" i="10" s="1"/>
  <c r="P77" i="10"/>
  <c r="Q77" i="10" s="1"/>
  <c r="R76" i="10"/>
  <c r="S76" i="10" s="1"/>
  <c r="P76" i="10"/>
  <c r="Q76" i="10" s="1"/>
  <c r="S75" i="10"/>
  <c r="R75" i="10"/>
  <c r="T75" i="10" s="1"/>
  <c r="P75" i="10"/>
  <c r="Q75" i="10" s="1"/>
  <c r="T74" i="10"/>
  <c r="U74" i="10" s="1"/>
  <c r="R74" i="10"/>
  <c r="S74" i="10" s="1"/>
  <c r="Q74" i="10"/>
  <c r="P74" i="10"/>
  <c r="R73" i="10"/>
  <c r="T73" i="10" s="1"/>
  <c r="P73" i="10"/>
  <c r="Q73" i="10" s="1"/>
  <c r="R72" i="10"/>
  <c r="S72" i="10" s="1"/>
  <c r="P72" i="10"/>
  <c r="Q72" i="10" s="1"/>
  <c r="T71" i="10"/>
  <c r="S71" i="10"/>
  <c r="R71" i="10"/>
  <c r="P71" i="10"/>
  <c r="Q71" i="10" s="1"/>
  <c r="T70" i="10"/>
  <c r="U70" i="10" s="1"/>
  <c r="R70" i="10"/>
  <c r="S70" i="10" s="1"/>
  <c r="Q70" i="10"/>
  <c r="P70" i="10"/>
  <c r="T69" i="10"/>
  <c r="R69" i="10"/>
  <c r="S69" i="10" s="1"/>
  <c r="P69" i="10"/>
  <c r="Q69" i="10" s="1"/>
  <c r="R68" i="10"/>
  <c r="S68" i="10" s="1"/>
  <c r="P68" i="10"/>
  <c r="Q68" i="10" s="1"/>
  <c r="S67" i="10"/>
  <c r="R67" i="10"/>
  <c r="T67" i="10" s="1"/>
  <c r="P67" i="10"/>
  <c r="Q67" i="10" s="1"/>
  <c r="S66" i="10"/>
  <c r="R66" i="10"/>
  <c r="T66" i="10" s="1"/>
  <c r="Q66" i="10"/>
  <c r="P66" i="10"/>
  <c r="T65" i="10"/>
  <c r="S65" i="10"/>
  <c r="R65" i="10"/>
  <c r="P65" i="10"/>
  <c r="Q65" i="10" s="1"/>
  <c r="R64" i="10"/>
  <c r="T64" i="10" s="1"/>
  <c r="Q64" i="10"/>
  <c r="P64" i="10"/>
  <c r="T63" i="10"/>
  <c r="U63" i="10" s="1"/>
  <c r="S63" i="10"/>
  <c r="R63" i="10"/>
  <c r="P63" i="10"/>
  <c r="Q63" i="10" s="1"/>
  <c r="R62" i="10"/>
  <c r="T62" i="10" s="1"/>
  <c r="Q62" i="10"/>
  <c r="P62" i="10"/>
  <c r="S61" i="10"/>
  <c r="R61" i="10"/>
  <c r="T61" i="10" s="1"/>
  <c r="U61" i="10" s="1"/>
  <c r="P61" i="10"/>
  <c r="Q61" i="10" s="1"/>
  <c r="R60" i="10"/>
  <c r="T60" i="10" s="1"/>
  <c r="Q60" i="10"/>
  <c r="P60" i="10"/>
  <c r="R59" i="10"/>
  <c r="T59" i="10" s="1"/>
  <c r="P59" i="10"/>
  <c r="Q59" i="10" s="1"/>
  <c r="R58" i="10"/>
  <c r="T58" i="10" s="1"/>
  <c r="P58" i="10"/>
  <c r="Q58" i="10" s="1"/>
  <c r="T57" i="10"/>
  <c r="R57" i="10"/>
  <c r="S57" i="10" s="1"/>
  <c r="P57" i="10"/>
  <c r="Q57" i="10" s="1"/>
  <c r="R56" i="10"/>
  <c r="T56" i="10" s="1"/>
  <c r="P56" i="10"/>
  <c r="Q56" i="10" s="1"/>
  <c r="T55" i="10"/>
  <c r="U55" i="10" s="1"/>
  <c r="R55" i="10"/>
  <c r="S55" i="10" s="1"/>
  <c r="P55" i="10"/>
  <c r="Q55" i="10" s="1"/>
  <c r="R54" i="10"/>
  <c r="S54" i="10" s="1"/>
  <c r="P54" i="10"/>
  <c r="Q54" i="10" s="1"/>
  <c r="R53" i="10"/>
  <c r="S53" i="10" s="1"/>
  <c r="P53" i="10"/>
  <c r="Q53" i="10" s="1"/>
  <c r="T52" i="10"/>
  <c r="R52" i="10"/>
  <c r="S52" i="10" s="1"/>
  <c r="P52" i="10"/>
  <c r="Q52" i="10" s="1"/>
  <c r="R51" i="10"/>
  <c r="S51" i="10" s="1"/>
  <c r="P51" i="10"/>
  <c r="Q51" i="10" s="1"/>
  <c r="R50" i="10"/>
  <c r="S50" i="10" s="1"/>
  <c r="Q50" i="10"/>
  <c r="P50" i="10"/>
  <c r="T49" i="10"/>
  <c r="R49" i="10"/>
  <c r="S49" i="10" s="1"/>
  <c r="P49" i="10"/>
  <c r="Q49" i="10" s="1"/>
  <c r="T48" i="10"/>
  <c r="U48" i="10" s="1"/>
  <c r="R48" i="10"/>
  <c r="S48" i="10" s="1"/>
  <c r="P48" i="10"/>
  <c r="Q48" i="10" s="1"/>
  <c r="R47" i="10"/>
  <c r="T47" i="10" s="1"/>
  <c r="P47" i="10"/>
  <c r="Q47" i="10" s="1"/>
  <c r="T46" i="10"/>
  <c r="U46" i="10" s="1"/>
  <c r="R46" i="10"/>
  <c r="S46" i="10" s="1"/>
  <c r="P46" i="10"/>
  <c r="Q46" i="10" s="1"/>
  <c r="R45" i="10"/>
  <c r="T45" i="10" s="1"/>
  <c r="P45" i="10"/>
  <c r="Q45" i="10" s="1"/>
  <c r="R44" i="10"/>
  <c r="S44" i="10" s="1"/>
  <c r="P44" i="10"/>
  <c r="Q44" i="10" s="1"/>
  <c r="R43" i="10"/>
  <c r="T43" i="10" s="1"/>
  <c r="P43" i="10"/>
  <c r="Q43" i="10" s="1"/>
  <c r="T42" i="10"/>
  <c r="R42" i="10"/>
  <c r="S42" i="10" s="1"/>
  <c r="P42" i="10"/>
  <c r="Q42" i="10" s="1"/>
  <c r="R41" i="10"/>
  <c r="T41" i="10" s="1"/>
  <c r="P41" i="10"/>
  <c r="Q41" i="10" s="1"/>
  <c r="T40" i="10"/>
  <c r="R40" i="10"/>
  <c r="S40" i="10" s="1"/>
  <c r="P40" i="10"/>
  <c r="Q40" i="10" s="1"/>
  <c r="R39" i="10"/>
  <c r="T39" i="10" s="1"/>
  <c r="P39" i="10"/>
  <c r="Q39" i="10" s="1"/>
  <c r="T38" i="10"/>
  <c r="R38" i="10"/>
  <c r="S38" i="10" s="1"/>
  <c r="P38" i="10"/>
  <c r="Q38" i="10" s="1"/>
  <c r="R37" i="10"/>
  <c r="T37" i="10" s="1"/>
  <c r="P37" i="10"/>
  <c r="Q37" i="10" s="1"/>
  <c r="R36" i="10"/>
  <c r="S36" i="10" s="1"/>
  <c r="P36" i="10"/>
  <c r="Q36" i="10" s="1"/>
  <c r="R35" i="10"/>
  <c r="T35" i="10" s="1"/>
  <c r="P35" i="10"/>
  <c r="Q35" i="10" s="1"/>
  <c r="T34" i="10"/>
  <c r="R34" i="10"/>
  <c r="S34" i="10" s="1"/>
  <c r="P34" i="10"/>
  <c r="Q34" i="10" s="1"/>
  <c r="R33" i="10"/>
  <c r="T33" i="10" s="1"/>
  <c r="P33" i="10"/>
  <c r="Q33" i="10" s="1"/>
  <c r="Z89" i="10"/>
  <c r="Z90" i="10"/>
  <c r="V90" i="10"/>
  <c r="Z88" i="10"/>
  <c r="V88" i="10"/>
  <c r="V89" i="10"/>
  <c r="V86" i="10"/>
  <c r="Z85" i="10"/>
  <c r="V83" i="10"/>
  <c r="Z80" i="10"/>
  <c r="V78" i="10"/>
  <c r="Z77" i="10"/>
  <c r="V75" i="10"/>
  <c r="Z72" i="10"/>
  <c r="V70" i="10"/>
  <c r="Z69" i="10"/>
  <c r="V67" i="10"/>
  <c r="Z86" i="10"/>
  <c r="V84" i="10"/>
  <c r="Z83" i="10"/>
  <c r="V81" i="10"/>
  <c r="Z78" i="10"/>
  <c r="V76" i="10"/>
  <c r="Z75" i="10"/>
  <c r="V73" i="10"/>
  <c r="Z70" i="10"/>
  <c r="V68" i="10"/>
  <c r="Z67" i="10"/>
  <c r="Z65" i="10"/>
  <c r="V65" i="10"/>
  <c r="Z63" i="10"/>
  <c r="V63" i="10"/>
  <c r="Z61" i="10"/>
  <c r="V61" i="10"/>
  <c r="Z59" i="10"/>
  <c r="V59" i="10"/>
  <c r="Z57" i="10"/>
  <c r="V57" i="10"/>
  <c r="Z55" i="10"/>
  <c r="V55" i="10"/>
  <c r="V87" i="10"/>
  <c r="Z84" i="10"/>
  <c r="V82" i="10"/>
  <c r="Z81" i="10"/>
  <c r="V79" i="10"/>
  <c r="Z76" i="10"/>
  <c r="V74" i="10"/>
  <c r="Z73" i="10"/>
  <c r="V71" i="10"/>
  <c r="Z68" i="10"/>
  <c r="Z87" i="10"/>
  <c r="V85" i="10"/>
  <c r="Z82" i="10"/>
  <c r="V80" i="10"/>
  <c r="Z79" i="10"/>
  <c r="V77" i="10"/>
  <c r="Z74" i="10"/>
  <c r="V72" i="10"/>
  <c r="Z71" i="10"/>
  <c r="V69" i="10"/>
  <c r="Z66" i="10"/>
  <c r="V66" i="10"/>
  <c r="Z64" i="10"/>
  <c r="V64" i="10"/>
  <c r="Z62" i="10"/>
  <c r="V62" i="10"/>
  <c r="Z60" i="10"/>
  <c r="V60" i="10"/>
  <c r="Z58" i="10"/>
  <c r="V58" i="10"/>
  <c r="Z56" i="10"/>
  <c r="V56" i="10"/>
  <c r="Z53" i="10"/>
  <c r="V51" i="10"/>
  <c r="V48" i="10"/>
  <c r="Z47" i="10"/>
  <c r="V45" i="10"/>
  <c r="Z38" i="10"/>
  <c r="Z36" i="10"/>
  <c r="V34" i="10"/>
  <c r="V52" i="10"/>
  <c r="Z50" i="10"/>
  <c r="Z48" i="10"/>
  <c r="V46" i="10"/>
  <c r="Z45" i="10"/>
  <c r="Z44" i="10"/>
  <c r="V44" i="10"/>
  <c r="Z42" i="10"/>
  <c r="V42" i="10"/>
  <c r="Z40" i="10"/>
  <c r="V40" i="10"/>
  <c r="V38" i="10"/>
  <c r="V36" i="10"/>
  <c r="Z34" i="10"/>
  <c r="V33" i="10"/>
  <c r="Z54" i="10"/>
  <c r="V53" i="10"/>
  <c r="Z51" i="10"/>
  <c r="V49" i="10"/>
  <c r="Z46" i="10"/>
  <c r="Z37" i="10"/>
  <c r="V35" i="10"/>
  <c r="V54" i="10"/>
  <c r="Z52" i="10"/>
  <c r="V50" i="10"/>
  <c r="Z49" i="10"/>
  <c r="V47" i="10"/>
  <c r="Z43" i="10"/>
  <c r="V43" i="10"/>
  <c r="Z41" i="10"/>
  <c r="V41" i="10"/>
  <c r="Z39" i="10"/>
  <c r="V39" i="10"/>
  <c r="V37" i="10"/>
  <c r="Z35" i="10"/>
  <c r="Z33" i="10"/>
  <c r="U117" i="13" l="1"/>
  <c r="AC215" i="13"/>
  <c r="Y215" i="13"/>
  <c r="AH10" i="13"/>
  <c r="AJ10" i="13" s="1"/>
  <c r="AC153" i="13"/>
  <c r="AI9" i="13"/>
  <c r="AK9" i="13" s="1"/>
  <c r="U190" i="13"/>
  <c r="AC190" i="13" s="1"/>
  <c r="U182" i="13"/>
  <c r="AC182" i="13" s="1"/>
  <c r="AC115" i="13"/>
  <c r="Y42" i="13"/>
  <c r="AC173" i="13"/>
  <c r="AC227" i="13"/>
  <c r="Y196" i="13"/>
  <c r="AC231" i="13"/>
  <c r="Y231" i="13"/>
  <c r="Y120" i="13"/>
  <c r="AC120" i="13"/>
  <c r="AC44" i="13"/>
  <c r="Y115" i="13"/>
  <c r="AC207" i="13"/>
  <c r="Y207" i="13"/>
  <c r="Y153" i="13"/>
  <c r="Y152" i="13"/>
  <c r="Y133" i="13"/>
  <c r="AC152" i="13"/>
  <c r="Y161" i="13"/>
  <c r="Y112" i="13"/>
  <c r="AC112" i="13"/>
  <c r="Y137" i="13"/>
  <c r="Y173" i="13"/>
  <c r="AC150" i="13"/>
  <c r="Y150" i="13"/>
  <c r="AC209" i="13"/>
  <c r="AC160" i="13"/>
  <c r="Y160" i="13"/>
  <c r="AC133" i="13"/>
  <c r="Y209" i="13"/>
  <c r="AC196" i="13"/>
  <c r="AC137" i="13"/>
  <c r="Y44" i="13"/>
  <c r="AC135" i="13"/>
  <c r="Y157" i="13"/>
  <c r="Y52" i="13"/>
  <c r="Y110" i="13"/>
  <c r="AC52" i="13"/>
  <c r="Y47" i="13"/>
  <c r="AC47" i="13"/>
  <c r="Y223" i="13"/>
  <c r="U148" i="13"/>
  <c r="AC148" i="13" s="1"/>
  <c r="AC143" i="13"/>
  <c r="Y135" i="13"/>
  <c r="Y205" i="13"/>
  <c r="AC205" i="13"/>
  <c r="Y61" i="13"/>
  <c r="AC85" i="13"/>
  <c r="Y143" i="13"/>
  <c r="Y147" i="13"/>
  <c r="Y129" i="13"/>
  <c r="AC147" i="13"/>
  <c r="U146" i="13"/>
  <c r="AC146" i="13" s="1"/>
  <c r="U235" i="13"/>
  <c r="Y235" i="13" s="1"/>
  <c r="Y93" i="13"/>
  <c r="AC49" i="13"/>
  <c r="Y49" i="13"/>
  <c r="AC101" i="13"/>
  <c r="AC93" i="13"/>
  <c r="AC77" i="13"/>
  <c r="AC69" i="13"/>
  <c r="AC61" i="13"/>
  <c r="Y227" i="13"/>
  <c r="Y156" i="13"/>
  <c r="AC129" i="13"/>
  <c r="Y101" i="13"/>
  <c r="Y89" i="13"/>
  <c r="Y85" i="13"/>
  <c r="Y77" i="13"/>
  <c r="Y69" i="13"/>
  <c r="Y57" i="13"/>
  <c r="U118" i="13"/>
  <c r="AC118" i="13" s="1"/>
  <c r="AC81" i="13"/>
  <c r="U236" i="13"/>
  <c r="AC236" i="13" s="1"/>
  <c r="Y73" i="13"/>
  <c r="Y97" i="13"/>
  <c r="Y65" i="13"/>
  <c r="AC59" i="13"/>
  <c r="Y59" i="13"/>
  <c r="AC83" i="13"/>
  <c r="Y83" i="13"/>
  <c r="AC149" i="13"/>
  <c r="Y149" i="13"/>
  <c r="AC75" i="13"/>
  <c r="Y75" i="13"/>
  <c r="AC91" i="13"/>
  <c r="Y91" i="13"/>
  <c r="Y141" i="13"/>
  <c r="AC141" i="13"/>
  <c r="AC99" i="13"/>
  <c r="Y99" i="13"/>
  <c r="AC67" i="13"/>
  <c r="Y67" i="13"/>
  <c r="Y81" i="13"/>
  <c r="U165" i="13"/>
  <c r="AC165" i="13" s="1"/>
  <c r="U114" i="13"/>
  <c r="AC114" i="13" s="1"/>
  <c r="AC161" i="13"/>
  <c r="AC156" i="13"/>
  <c r="AC97" i="13"/>
  <c r="AC89" i="13"/>
  <c r="AC73" i="13"/>
  <c r="AC65" i="13"/>
  <c r="AC57" i="13"/>
  <c r="Y118" i="13"/>
  <c r="U162" i="13"/>
  <c r="AC162" i="13" s="1"/>
  <c r="U131" i="13"/>
  <c r="U203" i="13"/>
  <c r="U50" i="13"/>
  <c r="U199" i="13"/>
  <c r="AC199" i="13" s="1"/>
  <c r="U154" i="13"/>
  <c r="AC154" i="13" s="1"/>
  <c r="U174" i="13"/>
  <c r="AC174" i="13" s="1"/>
  <c r="U103" i="13"/>
  <c r="U87" i="13"/>
  <c r="U71" i="13"/>
  <c r="U55" i="13"/>
  <c r="U175" i="13"/>
  <c r="AC175" i="13" s="1"/>
  <c r="U130" i="13"/>
  <c r="Y130" i="13" s="1"/>
  <c r="Y154" i="13"/>
  <c r="U139" i="13"/>
  <c r="U41" i="13"/>
  <c r="U111" i="13"/>
  <c r="Y111" i="13" s="1"/>
  <c r="U177" i="13"/>
  <c r="AC177" i="13" s="1"/>
  <c r="U172" i="13"/>
  <c r="AC172" i="13" s="1"/>
  <c r="U155" i="13"/>
  <c r="AC155" i="13" s="1"/>
  <c r="U159" i="13"/>
  <c r="AC159" i="13" s="1"/>
  <c r="U138" i="13"/>
  <c r="AC138" i="13" s="1"/>
  <c r="U104" i="13"/>
  <c r="U219" i="13"/>
  <c r="U211" i="13"/>
  <c r="U95" i="13"/>
  <c r="U79" i="13"/>
  <c r="U63" i="13"/>
  <c r="U158" i="13"/>
  <c r="Y100" i="13"/>
  <c r="AC100" i="13"/>
  <c r="Y84" i="13"/>
  <c r="AC84" i="13"/>
  <c r="Y68" i="13"/>
  <c r="AC68" i="13"/>
  <c r="AC183" i="13"/>
  <c r="Y183" i="13"/>
  <c r="AC166" i="13"/>
  <c r="Y166" i="13"/>
  <c r="Y98" i="13"/>
  <c r="AC98" i="13"/>
  <c r="Y90" i="13"/>
  <c r="AC90" i="13"/>
  <c r="Y82" i="13"/>
  <c r="AC82" i="13"/>
  <c r="Y74" i="13"/>
  <c r="AC74" i="13"/>
  <c r="Y66" i="13"/>
  <c r="AC66" i="13"/>
  <c r="Y58" i="13"/>
  <c r="AC58" i="13"/>
  <c r="AC51" i="13"/>
  <c r="Y51" i="13"/>
  <c r="AC197" i="13"/>
  <c r="Y197" i="13"/>
  <c r="AC189" i="13"/>
  <c r="Y189" i="13"/>
  <c r="AC181" i="13"/>
  <c r="Y181" i="13"/>
  <c r="AC121" i="13"/>
  <c r="Y121" i="13"/>
  <c r="AC105" i="13"/>
  <c r="Y105" i="13"/>
  <c r="Y96" i="13"/>
  <c r="AC96" i="13"/>
  <c r="Y88" i="13"/>
  <c r="AC88" i="13"/>
  <c r="Y80" i="13"/>
  <c r="AC80" i="13"/>
  <c r="Y72" i="13"/>
  <c r="AC72" i="13"/>
  <c r="Y64" i="13"/>
  <c r="AC64" i="13"/>
  <c r="Y56" i="13"/>
  <c r="AC56" i="13"/>
  <c r="AC43" i="13"/>
  <c r="Y43" i="13"/>
  <c r="AC185" i="13"/>
  <c r="Y185" i="13"/>
  <c r="AC113" i="13"/>
  <c r="Y113" i="13"/>
  <c r="Y92" i="13"/>
  <c r="AC92" i="13"/>
  <c r="Y76" i="13"/>
  <c r="AC76" i="13"/>
  <c r="Y60" i="13"/>
  <c r="AC60" i="13"/>
  <c r="AC187" i="13"/>
  <c r="Y187" i="13"/>
  <c r="AC179" i="13"/>
  <c r="Y179" i="13"/>
  <c r="Y102" i="13"/>
  <c r="AC102" i="13"/>
  <c r="Y94" i="13"/>
  <c r="AC94" i="13"/>
  <c r="Y86" i="13"/>
  <c r="AC86" i="13"/>
  <c r="Y78" i="13"/>
  <c r="AC78" i="13"/>
  <c r="Y70" i="13"/>
  <c r="AC70" i="13"/>
  <c r="Y62" i="13"/>
  <c r="AC62" i="13"/>
  <c r="Y54" i="13"/>
  <c r="AC54" i="13"/>
  <c r="AC220" i="13"/>
  <c r="Y220" i="13"/>
  <c r="AC192" i="13"/>
  <c r="Y192" i="13"/>
  <c r="AC184" i="13"/>
  <c r="Y184" i="13"/>
  <c r="AC151" i="13"/>
  <c r="Y151" i="13"/>
  <c r="AC109" i="13"/>
  <c r="Y109" i="13"/>
  <c r="AC45" i="13"/>
  <c r="Y45" i="13"/>
  <c r="Y40" i="13"/>
  <c r="AC40" i="13"/>
  <c r="AC232" i="13"/>
  <c r="Y232" i="13"/>
  <c r="AC216" i="13"/>
  <c r="Y216" i="13"/>
  <c r="AC234" i="13"/>
  <c r="Y234" i="13"/>
  <c r="U212" i="13"/>
  <c r="U208" i="13"/>
  <c r="U204" i="13"/>
  <c r="AC195" i="13"/>
  <c r="Y195" i="13"/>
  <c r="Y171" i="13"/>
  <c r="AC171" i="13"/>
  <c r="U221" i="13"/>
  <c r="U214" i="13"/>
  <c r="Y182" i="13"/>
  <c r="U140" i="13"/>
  <c r="U132" i="13"/>
  <c r="Y116" i="13"/>
  <c r="AC116" i="13"/>
  <c r="U145" i="13"/>
  <c r="U126" i="13"/>
  <c r="U106" i="13"/>
  <c r="AC107" i="13"/>
  <c r="Y107" i="13"/>
  <c r="AC228" i="13"/>
  <c r="Y228" i="13"/>
  <c r="Y213" i="13"/>
  <c r="AC213" i="13"/>
  <c r="AC226" i="13"/>
  <c r="Y226" i="13"/>
  <c r="Y202" i="13"/>
  <c r="AC202" i="13"/>
  <c r="AC193" i="13"/>
  <c r="Y193" i="13"/>
  <c r="AC201" i="13"/>
  <c r="Y201" i="13"/>
  <c r="AC178" i="13"/>
  <c r="Y178" i="13"/>
  <c r="Y163" i="13"/>
  <c r="AC163" i="13"/>
  <c r="Y175" i="13"/>
  <c r="AC188" i="13"/>
  <c r="Y188" i="13"/>
  <c r="AC180" i="13"/>
  <c r="Y180" i="13"/>
  <c r="AC127" i="13"/>
  <c r="Y127" i="13"/>
  <c r="AC125" i="13"/>
  <c r="Y125" i="13"/>
  <c r="AC111" i="13"/>
  <c r="Y48" i="13"/>
  <c r="AC48" i="13"/>
  <c r="Y46" i="13"/>
  <c r="AC46" i="13"/>
  <c r="AC224" i="13"/>
  <c r="Y224" i="13"/>
  <c r="AC218" i="13"/>
  <c r="Y218" i="13"/>
  <c r="U210" i="13"/>
  <c r="U206" i="13"/>
  <c r="U233" i="13"/>
  <c r="U225" i="13"/>
  <c r="U217" i="13"/>
  <c r="Y200" i="13"/>
  <c r="AC200" i="13"/>
  <c r="AC191" i="13"/>
  <c r="Y191" i="13"/>
  <c r="U229" i="13"/>
  <c r="U222" i="13"/>
  <c r="U198" i="13"/>
  <c r="AC176" i="13"/>
  <c r="Y176" i="13"/>
  <c r="Y169" i="13"/>
  <c r="AC169" i="13"/>
  <c r="U230" i="13"/>
  <c r="AC194" i="13"/>
  <c r="Y194" i="13"/>
  <c r="AC186" i="13"/>
  <c r="Y186" i="13"/>
  <c r="AC170" i="13"/>
  <c r="Y170" i="13"/>
  <c r="U167" i="13"/>
  <c r="U164" i="13"/>
  <c r="U142" i="13"/>
  <c r="U134" i="13"/>
  <c r="Y124" i="13"/>
  <c r="AC124" i="13"/>
  <c r="Y108" i="13"/>
  <c r="AC108" i="13"/>
  <c r="U144" i="13"/>
  <c r="U136" i="13"/>
  <c r="U128" i="13"/>
  <c r="AC117" i="13"/>
  <c r="Y117" i="13"/>
  <c r="AC53" i="13"/>
  <c r="Y53" i="13"/>
  <c r="U122" i="13"/>
  <c r="U119" i="13"/>
  <c r="AC61" i="10"/>
  <c r="AC55" i="10"/>
  <c r="T44" i="10"/>
  <c r="T53" i="10"/>
  <c r="U53" i="10" s="1"/>
  <c r="S59" i="10"/>
  <c r="U59" i="10" s="1"/>
  <c r="S87" i="10"/>
  <c r="U87" i="10" s="1"/>
  <c r="AC87" i="10" s="1"/>
  <c r="T36" i="10"/>
  <c r="U67" i="10"/>
  <c r="U75" i="10"/>
  <c r="U65" i="10"/>
  <c r="AC65" i="10" s="1"/>
  <c r="U66" i="10"/>
  <c r="AA33" i="10"/>
  <c r="AB33" i="10" s="1"/>
  <c r="AA35" i="10"/>
  <c r="AB35" i="10" s="1"/>
  <c r="W37" i="10"/>
  <c r="W39" i="10"/>
  <c r="AA39" i="10"/>
  <c r="AB39" i="10" s="1"/>
  <c r="W41" i="10"/>
  <c r="AA41" i="10"/>
  <c r="AB41" i="10" s="1"/>
  <c r="W43" i="10"/>
  <c r="AA43" i="10"/>
  <c r="AB43" i="10" s="1"/>
  <c r="W47" i="10"/>
  <c r="AA49" i="10"/>
  <c r="AB49" i="10" s="1"/>
  <c r="W50" i="10"/>
  <c r="X50" i="10" s="1"/>
  <c r="AA52" i="10"/>
  <c r="AB52" i="10" s="1"/>
  <c r="W54" i="10"/>
  <c r="X54" i="10" s="1"/>
  <c r="W35" i="10"/>
  <c r="AA37" i="10"/>
  <c r="AB37" i="10" s="1"/>
  <c r="AA46" i="10"/>
  <c r="AB46" i="10" s="1"/>
  <c r="AC46" i="10" s="1"/>
  <c r="W49" i="10"/>
  <c r="X49" i="10" s="1"/>
  <c r="AA51" i="10"/>
  <c r="AB51" i="10" s="1"/>
  <c r="W53" i="10"/>
  <c r="X53" i="10" s="1"/>
  <c r="Y53" i="10" s="1"/>
  <c r="AA54" i="10"/>
  <c r="AB54" i="10" s="1"/>
  <c r="W33" i="10"/>
  <c r="AA34" i="10"/>
  <c r="AB34" i="10" s="1"/>
  <c r="W36" i="10"/>
  <c r="X36" i="10" s="1"/>
  <c r="W38" i="10"/>
  <c r="X38" i="10" s="1"/>
  <c r="W40" i="10"/>
  <c r="X40" i="10" s="1"/>
  <c r="AA40" i="10"/>
  <c r="AB40" i="10" s="1"/>
  <c r="W42" i="10"/>
  <c r="X42" i="10" s="1"/>
  <c r="AA42" i="10"/>
  <c r="AB42" i="10" s="1"/>
  <c r="W44" i="10"/>
  <c r="X44" i="10" s="1"/>
  <c r="AA44" i="10"/>
  <c r="AB44" i="10" s="1"/>
  <c r="AA45" i="10"/>
  <c r="AB45" i="10" s="1"/>
  <c r="W46" i="10"/>
  <c r="X46" i="10" s="1"/>
  <c r="AA48" i="10"/>
  <c r="AB48" i="10" s="1"/>
  <c r="AC48" i="10" s="1"/>
  <c r="AA50" i="10"/>
  <c r="AB50" i="10" s="1"/>
  <c r="W52" i="10"/>
  <c r="X52" i="10" s="1"/>
  <c r="W34" i="10"/>
  <c r="X34" i="10" s="1"/>
  <c r="AA36" i="10"/>
  <c r="AB36" i="10" s="1"/>
  <c r="AA38" i="10"/>
  <c r="AB38" i="10" s="1"/>
  <c r="W45" i="10"/>
  <c r="AA47" i="10"/>
  <c r="AB47" i="10" s="1"/>
  <c r="W48" i="10"/>
  <c r="X48" i="10" s="1"/>
  <c r="W51" i="10"/>
  <c r="X51" i="10" s="1"/>
  <c r="AA53" i="10"/>
  <c r="AB53" i="10" s="1"/>
  <c r="W56" i="10"/>
  <c r="AA56" i="10"/>
  <c r="AB56" i="10" s="1"/>
  <c r="W58" i="10"/>
  <c r="AA58" i="10"/>
  <c r="AB58" i="10" s="1"/>
  <c r="W60" i="10"/>
  <c r="AA60" i="10"/>
  <c r="AB60" i="10" s="1"/>
  <c r="W62" i="10"/>
  <c r="AA62" i="10"/>
  <c r="AB62" i="10" s="1"/>
  <c r="W64" i="10"/>
  <c r="AA64" i="10"/>
  <c r="AB64" i="10" s="1"/>
  <c r="W66" i="10"/>
  <c r="X66" i="10" s="1"/>
  <c r="Y66" i="10" s="1"/>
  <c r="AA66" i="10"/>
  <c r="AB66" i="10" s="1"/>
  <c r="W69" i="10"/>
  <c r="X69" i="10" s="1"/>
  <c r="AA71" i="10"/>
  <c r="AB71" i="10" s="1"/>
  <c r="W72" i="10"/>
  <c r="X72" i="10" s="1"/>
  <c r="AA74" i="10"/>
  <c r="AB74" i="10" s="1"/>
  <c r="AC74" i="10" s="1"/>
  <c r="W77" i="10"/>
  <c r="X77" i="10" s="1"/>
  <c r="AA79" i="10"/>
  <c r="AB79" i="10" s="1"/>
  <c r="W80" i="10"/>
  <c r="X80" i="10" s="1"/>
  <c r="AA82" i="10"/>
  <c r="AB82" i="10" s="1"/>
  <c r="AC82" i="10" s="1"/>
  <c r="W85" i="10"/>
  <c r="X85" i="10" s="1"/>
  <c r="AA87" i="10"/>
  <c r="AB87" i="10" s="1"/>
  <c r="AA68" i="10"/>
  <c r="AB68" i="10" s="1"/>
  <c r="W71" i="10"/>
  <c r="X71" i="10" s="1"/>
  <c r="AA73" i="10"/>
  <c r="AB73" i="10" s="1"/>
  <c r="W74" i="10"/>
  <c r="X74" i="10" s="1"/>
  <c r="AA76" i="10"/>
  <c r="AB76" i="10" s="1"/>
  <c r="W79" i="10"/>
  <c r="X79" i="10" s="1"/>
  <c r="AA81" i="10"/>
  <c r="AB81" i="10" s="1"/>
  <c r="W82" i="10"/>
  <c r="X82" i="10" s="1"/>
  <c r="AA84" i="10"/>
  <c r="AB84" i="10" s="1"/>
  <c r="W87" i="10"/>
  <c r="W55" i="10"/>
  <c r="X55" i="10" s="1"/>
  <c r="AA55" i="10"/>
  <c r="AB55" i="10" s="1"/>
  <c r="W57" i="10"/>
  <c r="X57" i="10" s="1"/>
  <c r="AA57" i="10"/>
  <c r="AB57" i="10" s="1"/>
  <c r="W59" i="10"/>
  <c r="X59" i="10" s="1"/>
  <c r="AA59" i="10"/>
  <c r="AB59" i="10" s="1"/>
  <c r="W61" i="10"/>
  <c r="X61" i="10" s="1"/>
  <c r="AA61" i="10"/>
  <c r="AB61" i="10" s="1"/>
  <c r="W63" i="10"/>
  <c r="X63" i="10" s="1"/>
  <c r="AA63" i="10"/>
  <c r="AB63" i="10" s="1"/>
  <c r="AC63" i="10" s="1"/>
  <c r="W65" i="10"/>
  <c r="X65" i="10" s="1"/>
  <c r="AA65" i="10"/>
  <c r="AB65" i="10" s="1"/>
  <c r="AA67" i="10"/>
  <c r="AB67" i="10" s="1"/>
  <c r="W68" i="10"/>
  <c r="X68" i="10" s="1"/>
  <c r="AA70" i="10"/>
  <c r="AB70" i="10" s="1"/>
  <c r="AC70" i="10" s="1"/>
  <c r="W73" i="10"/>
  <c r="AA75" i="10"/>
  <c r="AB75" i="10" s="1"/>
  <c r="W76" i="10"/>
  <c r="X76" i="10" s="1"/>
  <c r="AA78" i="10"/>
  <c r="AB78" i="10" s="1"/>
  <c r="AC78" i="10" s="1"/>
  <c r="W81" i="10"/>
  <c r="AA83" i="10"/>
  <c r="AB83" i="10" s="1"/>
  <c r="W84" i="10"/>
  <c r="X84" i="10" s="1"/>
  <c r="AA86" i="10"/>
  <c r="AB86" i="10" s="1"/>
  <c r="AC86" i="10" s="1"/>
  <c r="W67" i="10"/>
  <c r="X67" i="10" s="1"/>
  <c r="AA69" i="10"/>
  <c r="AB69" i="10" s="1"/>
  <c r="W70" i="10"/>
  <c r="X70" i="10" s="1"/>
  <c r="AA72" i="10"/>
  <c r="AB72" i="10" s="1"/>
  <c r="W75" i="10"/>
  <c r="X75" i="10" s="1"/>
  <c r="Y75" i="10" s="1"/>
  <c r="AA77" i="10"/>
  <c r="AB77" i="10" s="1"/>
  <c r="W78" i="10"/>
  <c r="X78" i="10" s="1"/>
  <c r="AA80" i="10"/>
  <c r="AB80" i="10" s="1"/>
  <c r="W83" i="10"/>
  <c r="AA85" i="10"/>
  <c r="AB85" i="10" s="1"/>
  <c r="W86" i="10"/>
  <c r="X86" i="10" s="1"/>
  <c r="W89" i="10"/>
  <c r="W88" i="10"/>
  <c r="X88" i="10" s="1"/>
  <c r="AA88" i="10"/>
  <c r="AB88" i="10" s="1"/>
  <c r="W90" i="10"/>
  <c r="AA90" i="10"/>
  <c r="AB90" i="10" s="1"/>
  <c r="AA89" i="10"/>
  <c r="AB89" i="10" s="1"/>
  <c r="U38" i="10"/>
  <c r="Y46" i="10"/>
  <c r="U40" i="10"/>
  <c r="Y48" i="10"/>
  <c r="U34" i="10"/>
  <c r="AC34" i="10" s="1"/>
  <c r="U42" i="10"/>
  <c r="AC42" i="10" s="1"/>
  <c r="U36" i="10"/>
  <c r="AC36" i="10" s="1"/>
  <c r="U44" i="10"/>
  <c r="AC44" i="10" s="1"/>
  <c r="U49" i="10"/>
  <c r="Y55" i="10"/>
  <c r="Y67" i="10"/>
  <c r="Y86" i="10"/>
  <c r="S33" i="10"/>
  <c r="U33" i="10" s="1"/>
  <c r="AC33" i="10" s="1"/>
  <c r="S35" i="10"/>
  <c r="U35" i="10" s="1"/>
  <c r="AC35" i="10" s="1"/>
  <c r="S37" i="10"/>
  <c r="U37" i="10" s="1"/>
  <c r="AC37" i="10" s="1"/>
  <c r="S39" i="10"/>
  <c r="U39" i="10" s="1"/>
  <c r="AC39" i="10" s="1"/>
  <c r="S41" i="10"/>
  <c r="U41" i="10" s="1"/>
  <c r="S43" i="10"/>
  <c r="U43" i="10" s="1"/>
  <c r="AC43" i="10" s="1"/>
  <c r="S45" i="10"/>
  <c r="U45" i="10" s="1"/>
  <c r="AC45" i="10" s="1"/>
  <c r="U52" i="10"/>
  <c r="AC52" i="10" s="1"/>
  <c r="U57" i="10"/>
  <c r="AC57" i="10" s="1"/>
  <c r="Y65" i="10"/>
  <c r="Y82" i="10"/>
  <c r="S47" i="10"/>
  <c r="U47" i="10" s="1"/>
  <c r="AC47" i="10" s="1"/>
  <c r="T50" i="10"/>
  <c r="U50" i="10" s="1"/>
  <c r="AC50" i="10" s="1"/>
  <c r="T51" i="10"/>
  <c r="U51" i="10" s="1"/>
  <c r="Y63" i="10"/>
  <c r="Y70" i="10"/>
  <c r="Y74" i="10"/>
  <c r="Y78" i="10"/>
  <c r="T54" i="10"/>
  <c r="U54" i="10" s="1"/>
  <c r="AC54" i="10" s="1"/>
  <c r="Y61" i="10"/>
  <c r="T68" i="10"/>
  <c r="U68" i="10" s="1"/>
  <c r="U71" i="10"/>
  <c r="AC71" i="10" s="1"/>
  <c r="S73" i="10"/>
  <c r="U73" i="10" s="1"/>
  <c r="AC73" i="10" s="1"/>
  <c r="T76" i="10"/>
  <c r="U76" i="10" s="1"/>
  <c r="U79" i="10"/>
  <c r="AC79" i="10" s="1"/>
  <c r="S81" i="10"/>
  <c r="U81" i="10" s="1"/>
  <c r="AC81" i="10" s="1"/>
  <c r="T84" i="10"/>
  <c r="U84" i="10" s="1"/>
  <c r="AC84" i="10" s="1"/>
  <c r="S56" i="10"/>
  <c r="U56" i="10" s="1"/>
  <c r="AC56" i="10" s="1"/>
  <c r="S58" i="10"/>
  <c r="U58" i="10" s="1"/>
  <c r="AC58" i="10" s="1"/>
  <c r="S60" i="10"/>
  <c r="U60" i="10" s="1"/>
  <c r="AC60" i="10" s="1"/>
  <c r="S62" i="10"/>
  <c r="U62" i="10" s="1"/>
  <c r="AC62" i="10" s="1"/>
  <c r="S64" i="10"/>
  <c r="U64" i="10" s="1"/>
  <c r="AC64" i="10" s="1"/>
  <c r="S83" i="10"/>
  <c r="U83" i="10" s="1"/>
  <c r="AC83" i="10" s="1"/>
  <c r="T72" i="10"/>
  <c r="U72" i="10" s="1"/>
  <c r="AC72" i="10" s="1"/>
  <c r="T80" i="10"/>
  <c r="U80" i="10" s="1"/>
  <c r="T88" i="10"/>
  <c r="U88" i="10" s="1"/>
  <c r="AC88" i="10" s="1"/>
  <c r="S89" i="10"/>
  <c r="U89" i="10" s="1"/>
  <c r="AC89" i="10" s="1"/>
  <c r="U69" i="10"/>
  <c r="AC69" i="10" s="1"/>
  <c r="U77" i="10"/>
  <c r="AC77" i="10" s="1"/>
  <c r="U85" i="10"/>
  <c r="AC85" i="10" s="1"/>
  <c r="S90" i="10"/>
  <c r="U90" i="10" s="1"/>
  <c r="T7" i="10"/>
  <c r="R7" i="10"/>
  <c r="S7" i="10" s="1"/>
  <c r="P7" i="10"/>
  <c r="Q7" i="10" s="1"/>
  <c r="AH11" i="13" l="1"/>
  <c r="AI10" i="13"/>
  <c r="Y190" i="13"/>
  <c r="Y114" i="13"/>
  <c r="Y155" i="13"/>
  <c r="AJ11" i="13"/>
  <c r="AI11" i="13"/>
  <c r="AK11" i="13" s="1"/>
  <c r="AK10" i="13"/>
  <c r="AC130" i="13"/>
  <c r="Y159" i="13"/>
  <c r="AH12" i="13"/>
  <c r="Y174" i="13"/>
  <c r="Y148" i="13"/>
  <c r="Y236" i="13"/>
  <c r="Y146" i="13"/>
  <c r="AC235" i="13"/>
  <c r="Y138" i="13"/>
  <c r="Y162" i="13"/>
  <c r="Y165" i="13"/>
  <c r="AC131" i="13"/>
  <c r="Y131" i="13"/>
  <c r="AC203" i="13"/>
  <c r="Y203" i="13"/>
  <c r="AC50" i="13"/>
  <c r="Y50" i="13"/>
  <c r="Y199" i="13"/>
  <c r="AC79" i="13"/>
  <c r="Y79" i="13"/>
  <c r="AC139" i="13"/>
  <c r="Y139" i="13"/>
  <c r="Y95" i="13"/>
  <c r="AC95" i="13"/>
  <c r="AC71" i="13"/>
  <c r="Y71" i="13"/>
  <c r="Y172" i="13"/>
  <c r="Y177" i="13"/>
  <c r="AC158" i="13"/>
  <c r="Y158" i="13"/>
  <c r="AC211" i="13"/>
  <c r="Y211" i="13"/>
  <c r="AC87" i="13"/>
  <c r="Y87" i="13"/>
  <c r="AC104" i="13"/>
  <c r="Y104" i="13"/>
  <c r="AC55" i="13"/>
  <c r="Y55" i="13"/>
  <c r="Y63" i="13"/>
  <c r="AC63" i="13"/>
  <c r="AC219" i="13"/>
  <c r="Y219" i="13"/>
  <c r="AC41" i="13"/>
  <c r="Y41" i="13"/>
  <c r="AC103" i="13"/>
  <c r="Y103" i="13"/>
  <c r="Y144" i="13"/>
  <c r="AC144" i="13"/>
  <c r="AC225" i="13"/>
  <c r="Y225" i="13"/>
  <c r="AC140" i="13"/>
  <c r="Y140" i="13"/>
  <c r="Y122" i="13"/>
  <c r="AC122" i="13"/>
  <c r="AC134" i="13"/>
  <c r="Y134" i="13"/>
  <c r="AC222" i="13"/>
  <c r="Y222" i="13"/>
  <c r="AC233" i="13"/>
  <c r="Y233" i="13"/>
  <c r="AC214" i="13"/>
  <c r="Y214" i="13"/>
  <c r="AC212" i="13"/>
  <c r="Y212" i="13"/>
  <c r="Y198" i="13"/>
  <c r="AC198" i="13"/>
  <c r="AC145" i="13"/>
  <c r="Y145" i="13"/>
  <c r="Y208" i="13"/>
  <c r="AC208" i="13"/>
  <c r="AC128" i="13"/>
  <c r="Y128" i="13"/>
  <c r="AC142" i="13"/>
  <c r="Y142" i="13"/>
  <c r="AC229" i="13"/>
  <c r="Y229" i="13"/>
  <c r="Y206" i="13"/>
  <c r="AC206" i="13"/>
  <c r="Y106" i="13"/>
  <c r="AC106" i="13"/>
  <c r="AC221" i="13"/>
  <c r="Y221" i="13"/>
  <c r="AC119" i="13"/>
  <c r="Y119" i="13"/>
  <c r="Y167" i="13"/>
  <c r="AC167" i="13"/>
  <c r="AC136" i="13"/>
  <c r="Y136" i="13"/>
  <c r="AC164" i="13"/>
  <c r="Y164" i="13"/>
  <c r="AC230" i="13"/>
  <c r="Y230" i="13"/>
  <c r="AC217" i="13"/>
  <c r="Y217" i="13"/>
  <c r="Y210" i="13"/>
  <c r="AC210" i="13"/>
  <c r="AC126" i="13"/>
  <c r="Y126" i="13"/>
  <c r="AC132" i="13"/>
  <c r="Y132" i="13"/>
  <c r="Y204" i="13"/>
  <c r="AC204" i="13"/>
  <c r="AC59" i="10"/>
  <c r="Y59" i="10"/>
  <c r="AC90" i="10"/>
  <c r="AC41" i="10"/>
  <c r="AC75" i="10"/>
  <c r="AC68" i="10"/>
  <c r="AC38" i="10"/>
  <c r="AC67" i="10"/>
  <c r="AC53" i="10"/>
  <c r="AC80" i="10"/>
  <c r="AC76" i="10"/>
  <c r="AC51" i="10"/>
  <c r="AC49" i="10"/>
  <c r="AC40" i="10"/>
  <c r="X83" i="10"/>
  <c r="X81" i="10"/>
  <c r="Y81" i="10" s="1"/>
  <c r="X87" i="10"/>
  <c r="X45" i="10"/>
  <c r="X43" i="10"/>
  <c r="AC66" i="10"/>
  <c r="Y37" i="10"/>
  <c r="Y83" i="10"/>
  <c r="Y45" i="10"/>
  <c r="X62" i="10"/>
  <c r="Y62" i="10" s="1"/>
  <c r="X58" i="10"/>
  <c r="Y58" i="10" s="1"/>
  <c r="X35" i="10"/>
  <c r="Y35" i="10" s="1"/>
  <c r="X37" i="10"/>
  <c r="Y36" i="10"/>
  <c r="Y88" i="10"/>
  <c r="Y51" i="10"/>
  <c r="Y49" i="10"/>
  <c r="Y34" i="10"/>
  <c r="Y43" i="10"/>
  <c r="Y77" i="10"/>
  <c r="Y80" i="10"/>
  <c r="Y79" i="10"/>
  <c r="Y68" i="10"/>
  <c r="Y50" i="10"/>
  <c r="Y44" i="10"/>
  <c r="Y38" i="10"/>
  <c r="X90" i="10"/>
  <c r="Y90" i="10" s="1"/>
  <c r="X33" i="10"/>
  <c r="Y33" i="10" s="1"/>
  <c r="X47" i="10"/>
  <c r="Y47" i="10" s="1"/>
  <c r="X41" i="10"/>
  <c r="Y41" i="10" s="1"/>
  <c r="Y84" i="10"/>
  <c r="Y54" i="10"/>
  <c r="Y52" i="10"/>
  <c r="X73" i="10"/>
  <c r="Y73" i="10" s="1"/>
  <c r="X39" i="10"/>
  <c r="Y39" i="10" s="1"/>
  <c r="Y85" i="10"/>
  <c r="Y71" i="10"/>
  <c r="Y40" i="10"/>
  <c r="X89" i="10"/>
  <c r="Y89" i="10" s="1"/>
  <c r="Y69" i="10"/>
  <c r="Y72" i="10"/>
  <c r="Y87" i="10"/>
  <c r="Y76" i="10"/>
  <c r="Y57" i="10"/>
  <c r="Y42" i="10"/>
  <c r="X64" i="10"/>
  <c r="Y64" i="10" s="1"/>
  <c r="X60" i="10"/>
  <c r="Y60" i="10" s="1"/>
  <c r="X56" i="10"/>
  <c r="Y56" i="10" s="1"/>
  <c r="U7" i="10"/>
  <c r="P26" i="10"/>
  <c r="AJ12" i="13" l="1"/>
  <c r="AI12" i="13"/>
  <c r="AH13" i="13"/>
  <c r="R39" i="13"/>
  <c r="S39" i="13" s="1"/>
  <c r="P39" i="13"/>
  <c r="Q39" i="13" s="1"/>
  <c r="R38" i="13"/>
  <c r="T38" i="13" s="1"/>
  <c r="P38" i="13"/>
  <c r="Q38" i="13" s="1"/>
  <c r="R37" i="13"/>
  <c r="S37" i="13" s="1"/>
  <c r="P37" i="13"/>
  <c r="Q37" i="13" s="1"/>
  <c r="R36" i="13"/>
  <c r="T36" i="13" s="1"/>
  <c r="P36" i="13"/>
  <c r="Q36" i="13" s="1"/>
  <c r="R35" i="13"/>
  <c r="P35" i="13"/>
  <c r="Q35" i="13" s="1"/>
  <c r="R34" i="13"/>
  <c r="S34" i="13" s="1"/>
  <c r="P34" i="13"/>
  <c r="Q34" i="13" s="1"/>
  <c r="R33" i="13"/>
  <c r="S33" i="13" s="1"/>
  <c r="P33" i="13"/>
  <c r="Q33" i="13" s="1"/>
  <c r="R32" i="13"/>
  <c r="P32" i="13"/>
  <c r="Q32" i="13" s="1"/>
  <c r="S31" i="13"/>
  <c r="P31" i="13"/>
  <c r="Q31" i="13" s="1"/>
  <c r="R30" i="13"/>
  <c r="T30" i="13" s="1"/>
  <c r="P30" i="13"/>
  <c r="Q30" i="13" s="1"/>
  <c r="R29" i="13"/>
  <c r="S29" i="13" s="1"/>
  <c r="P29" i="13"/>
  <c r="Q29" i="13" s="1"/>
  <c r="R28" i="13"/>
  <c r="S28" i="13" s="1"/>
  <c r="P28" i="13"/>
  <c r="Q28" i="13" s="1"/>
  <c r="R27" i="13"/>
  <c r="P27" i="13"/>
  <c r="Q27" i="13" s="1"/>
  <c r="R26" i="13"/>
  <c r="S26" i="13" s="1"/>
  <c r="P26" i="13"/>
  <c r="Q26" i="13" s="1"/>
  <c r="R25" i="13"/>
  <c r="S25" i="13" s="1"/>
  <c r="P25" i="13"/>
  <c r="Q25" i="13" s="1"/>
  <c r="R24" i="13"/>
  <c r="P24" i="13"/>
  <c r="Q24" i="13" s="1"/>
  <c r="R23" i="13"/>
  <c r="S23" i="13" s="1"/>
  <c r="P23" i="13"/>
  <c r="Q23" i="13" s="1"/>
  <c r="R22" i="13"/>
  <c r="P22" i="13"/>
  <c r="Q22" i="13" s="1"/>
  <c r="R21" i="13"/>
  <c r="S21" i="13" s="1"/>
  <c r="P21" i="13"/>
  <c r="Q21" i="13" s="1"/>
  <c r="R20" i="13"/>
  <c r="S20" i="13" s="1"/>
  <c r="P20" i="13"/>
  <c r="Q20" i="13" s="1"/>
  <c r="R19" i="13"/>
  <c r="P19" i="13"/>
  <c r="Q19" i="13" s="1"/>
  <c r="R18" i="13"/>
  <c r="S18" i="13" s="1"/>
  <c r="P18" i="13"/>
  <c r="Q18" i="13" s="1"/>
  <c r="R17" i="13"/>
  <c r="S17" i="13" s="1"/>
  <c r="Q17" i="13"/>
  <c r="R16" i="13"/>
  <c r="P16" i="13"/>
  <c r="Q16" i="13" s="1"/>
  <c r="R15" i="13"/>
  <c r="P15" i="13"/>
  <c r="Q15" i="13" s="1"/>
  <c r="R14" i="13"/>
  <c r="S14" i="13" s="1"/>
  <c r="P14" i="13"/>
  <c r="Q14" i="13" s="1"/>
  <c r="R13" i="13"/>
  <c r="P13" i="13"/>
  <c r="Q13" i="13" s="1"/>
  <c r="R12" i="13"/>
  <c r="T12" i="13" s="1"/>
  <c r="P12" i="13"/>
  <c r="Q12" i="13" s="1"/>
  <c r="R11" i="13"/>
  <c r="P11" i="13"/>
  <c r="Q11" i="13" s="1"/>
  <c r="R10" i="13"/>
  <c r="S10" i="13" s="1"/>
  <c r="P10" i="13"/>
  <c r="Q10" i="13" s="1"/>
  <c r="R9" i="13"/>
  <c r="P9" i="13"/>
  <c r="Q9" i="13" s="1"/>
  <c r="R8" i="13"/>
  <c r="T8" i="13" s="1"/>
  <c r="P8" i="13"/>
  <c r="Q8" i="13" s="1"/>
  <c r="R7" i="13"/>
  <c r="S7" i="13" s="1"/>
  <c r="P7" i="13"/>
  <c r="Q7" i="13" s="1"/>
  <c r="R6" i="13"/>
  <c r="P6" i="13"/>
  <c r="Q6" i="13" s="1"/>
  <c r="R5" i="13"/>
  <c r="S5" i="13" s="1"/>
  <c r="P5" i="13"/>
  <c r="Q5" i="13" s="1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P23" i="10"/>
  <c r="Q23" i="10" s="1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V4" i="10"/>
  <c r="V23" i="10"/>
  <c r="Z20" i="10"/>
  <c r="Z5" i="10"/>
  <c r="Z25" i="10"/>
  <c r="Z12" i="10"/>
  <c r="Z30" i="10"/>
  <c r="Z9" i="10"/>
  <c r="V32" i="10"/>
  <c r="V15" i="10"/>
  <c r="Z8" i="10"/>
  <c r="Z18" i="10"/>
  <c r="Z28" i="10"/>
  <c r="V25" i="10"/>
  <c r="Z16" i="10"/>
  <c r="V18" i="10"/>
  <c r="V8" i="10"/>
  <c r="Z14" i="10"/>
  <c r="V10" i="10"/>
  <c r="V6" i="10"/>
  <c r="Z21" i="10"/>
  <c r="Z27" i="10"/>
  <c r="V20" i="10"/>
  <c r="V5" i="10"/>
  <c r="Z15" i="10"/>
  <c r="Z6" i="10"/>
  <c r="Z23" i="10"/>
  <c r="Z29" i="10"/>
  <c r="V21" i="10"/>
  <c r="V16" i="10"/>
  <c r="Z4" i="10"/>
  <c r="V7" i="10"/>
  <c r="Z13" i="10"/>
  <c r="V13" i="10"/>
  <c r="Z19" i="10"/>
  <c r="Z22" i="10"/>
  <c r="V30" i="10"/>
  <c r="V24" i="10"/>
  <c r="Z31" i="10"/>
  <c r="Z32" i="10"/>
  <c r="V31" i="10"/>
  <c r="Z10" i="10"/>
  <c r="V14" i="10"/>
  <c r="V9" i="10"/>
  <c r="V28" i="10"/>
  <c r="Z24" i="10"/>
  <c r="V29" i="10"/>
  <c r="V27" i="10"/>
  <c r="Z11" i="10"/>
  <c r="V11" i="10"/>
  <c r="V19" i="10"/>
  <c r="Z7" i="10"/>
  <c r="V17" i="10"/>
  <c r="Z17" i="10"/>
  <c r="V12" i="10"/>
  <c r="V22" i="10"/>
  <c r="V9" i="13"/>
  <c r="Z15" i="13"/>
  <c r="V20" i="13"/>
  <c r="Z33" i="13"/>
  <c r="V18" i="13"/>
  <c r="Z35" i="13"/>
  <c r="Z34" i="13"/>
  <c r="Z8" i="13"/>
  <c r="V29" i="13"/>
  <c r="Z25" i="13"/>
  <c r="V37" i="13"/>
  <c r="Z26" i="13"/>
  <c r="V21" i="13"/>
  <c r="V11" i="13"/>
  <c r="Z31" i="13"/>
  <c r="Z20" i="13"/>
  <c r="V32" i="13"/>
  <c r="Z14" i="13"/>
  <c r="V28" i="13"/>
  <c r="V39" i="13"/>
  <c r="V26" i="13"/>
  <c r="V12" i="13"/>
  <c r="V24" i="13"/>
  <c r="V34" i="13"/>
  <c r="Z23" i="13"/>
  <c r="Z11" i="13"/>
  <c r="V27" i="13"/>
  <c r="Z6" i="13"/>
  <c r="V13" i="13"/>
  <c r="Z21" i="13"/>
  <c r="V7" i="13"/>
  <c r="Z37" i="13"/>
  <c r="V35" i="13"/>
  <c r="Z12" i="13"/>
  <c r="Z16" i="13"/>
  <c r="V30" i="13"/>
  <c r="Z5" i="13"/>
  <c r="V5" i="13"/>
  <c r="V6" i="13"/>
  <c r="V31" i="13"/>
  <c r="Z27" i="13"/>
  <c r="Z30" i="13"/>
  <c r="Z19" i="13"/>
  <c r="V16" i="13"/>
  <c r="Z17" i="13"/>
  <c r="V25" i="13"/>
  <c r="Z32" i="13"/>
  <c r="Z18" i="13"/>
  <c r="Z7" i="13"/>
  <c r="Z28" i="13"/>
  <c r="Z9" i="13"/>
  <c r="V17" i="13"/>
  <c r="Z24" i="13"/>
  <c r="V38" i="13"/>
  <c r="Z29" i="13"/>
  <c r="V15" i="13"/>
  <c r="V22" i="13"/>
  <c r="Z39" i="13"/>
  <c r="Z22" i="13"/>
  <c r="V36" i="13"/>
  <c r="V14" i="13"/>
  <c r="V33" i="13"/>
  <c r="V10" i="13"/>
  <c r="Z38" i="13"/>
  <c r="Z36" i="13"/>
  <c r="V23" i="13"/>
  <c r="Z10" i="13"/>
  <c r="V19" i="13"/>
  <c r="Z13" i="13"/>
  <c r="V8" i="13"/>
  <c r="AJ13" i="13" l="1"/>
  <c r="AI13" i="13"/>
  <c r="AK12" i="13"/>
  <c r="AH14" i="13"/>
  <c r="S36" i="13"/>
  <c r="U36" i="13" s="1"/>
  <c r="T14" i="13"/>
  <c r="S12" i="13"/>
  <c r="U12" i="13" s="1"/>
  <c r="T26" i="13"/>
  <c r="U26" i="13" s="1"/>
  <c r="T18" i="13"/>
  <c r="U18" i="13" s="1"/>
  <c r="T23" i="13"/>
  <c r="U23" i="13" s="1"/>
  <c r="T28" i="13"/>
  <c r="U14" i="13"/>
  <c r="T17" i="13"/>
  <c r="U17" i="13" s="1"/>
  <c r="T7" i="13"/>
  <c r="U7" i="13" s="1"/>
  <c r="T10" i="13"/>
  <c r="U10" i="13" s="1"/>
  <c r="T20" i="13"/>
  <c r="U20" i="13" s="1"/>
  <c r="T21" i="13"/>
  <c r="U21" i="13" s="1"/>
  <c r="T29" i="13"/>
  <c r="U29" i="13" s="1"/>
  <c r="S30" i="13"/>
  <c r="U30" i="13" s="1"/>
  <c r="T33" i="13"/>
  <c r="U33" i="13" s="1"/>
  <c r="S38" i="13"/>
  <c r="U38" i="13" s="1"/>
  <c r="S8" i="13"/>
  <c r="U8" i="13" s="1"/>
  <c r="T31" i="13"/>
  <c r="U31" i="13" s="1"/>
  <c r="T34" i="13"/>
  <c r="U34" i="13" s="1"/>
  <c r="T39" i="13"/>
  <c r="U39" i="13" s="1"/>
  <c r="S15" i="10"/>
  <c r="S22" i="10"/>
  <c r="T18" i="10"/>
  <c r="U18" i="10" s="1"/>
  <c r="T25" i="10"/>
  <c r="U25" i="10" s="1"/>
  <c r="S31" i="10"/>
  <c r="U31" i="10" s="1"/>
  <c r="T9" i="10"/>
  <c r="S8" i="10"/>
  <c r="U8" i="10" s="1"/>
  <c r="S19" i="10"/>
  <c r="U19" i="10" s="1"/>
  <c r="S23" i="10"/>
  <c r="U23" i="10" s="1"/>
  <c r="T5" i="10"/>
  <c r="U5" i="10" s="1"/>
  <c r="U15" i="10"/>
  <c r="AC15" i="10" s="1"/>
  <c r="S21" i="10"/>
  <c r="U21" i="10" s="1"/>
  <c r="S30" i="10"/>
  <c r="U30" i="10" s="1"/>
  <c r="T28" i="10"/>
  <c r="U28" i="10" s="1"/>
  <c r="S32" i="10"/>
  <c r="U32" i="10" s="1"/>
  <c r="AC32" i="10" s="1"/>
  <c r="U22" i="10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AC29" i="13" s="1"/>
  <c r="W32" i="13"/>
  <c r="X32" i="13" s="1"/>
  <c r="W21" i="13"/>
  <c r="X21" i="13" s="1"/>
  <c r="W5" i="13"/>
  <c r="X5" i="13" s="1"/>
  <c r="AA7" i="13"/>
  <c r="AB7" i="13" s="1"/>
  <c r="AC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Y7" i="13" s="1"/>
  <c r="AA9" i="13"/>
  <c r="AB9" i="13" s="1"/>
  <c r="W16" i="13"/>
  <c r="X16" i="13" s="1"/>
  <c r="AA20" i="13"/>
  <c r="AB20" i="13" s="1"/>
  <c r="AA23" i="13"/>
  <c r="AB23" i="13" s="1"/>
  <c r="AC23" i="13" s="1"/>
  <c r="W26" i="13"/>
  <c r="X26" i="13" s="1"/>
  <c r="AA34" i="13"/>
  <c r="AB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AA26" i="13"/>
  <c r="AB26" i="13" s="1"/>
  <c r="W29" i="13"/>
  <c r="X29" i="13" s="1"/>
  <c r="Y29" i="13" s="1"/>
  <c r="W35" i="13"/>
  <c r="X35" i="13" s="1"/>
  <c r="AA39" i="13"/>
  <c r="AB39" i="13" s="1"/>
  <c r="AC39" i="13" s="1"/>
  <c r="AA17" i="13"/>
  <c r="AB17" i="13" s="1"/>
  <c r="W20" i="13"/>
  <c r="X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AA33" i="13"/>
  <c r="AB33" i="13" s="1"/>
  <c r="W36" i="13"/>
  <c r="X36" i="13" s="1"/>
  <c r="AA38" i="13"/>
  <c r="AB38" i="13" s="1"/>
  <c r="W39" i="13"/>
  <c r="X39" i="13" s="1"/>
  <c r="W10" i="13"/>
  <c r="X10" i="13" s="1"/>
  <c r="AA10" i="13"/>
  <c r="AB10" i="13" s="1"/>
  <c r="W12" i="13"/>
  <c r="X12" i="13" s="1"/>
  <c r="AA12" i="13"/>
  <c r="AB12" i="13" s="1"/>
  <c r="W14" i="13"/>
  <c r="X14" i="13" s="1"/>
  <c r="AA14" i="13"/>
  <c r="AB14" i="13" s="1"/>
  <c r="AA16" i="13"/>
  <c r="AB16" i="13" s="1"/>
  <c r="W17" i="13"/>
  <c r="X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AA35" i="13"/>
  <c r="AB35" i="13" s="1"/>
  <c r="W38" i="13"/>
  <c r="X38" i="13" s="1"/>
  <c r="S19" i="13"/>
  <c r="T19" i="13"/>
  <c r="T12" i="10"/>
  <c r="S12" i="10"/>
  <c r="U9" i="10"/>
  <c r="S9" i="13"/>
  <c r="T9" i="13"/>
  <c r="T22" i="13"/>
  <c r="S22" i="13"/>
  <c r="S4" i="10"/>
  <c r="T4" i="10"/>
  <c r="T14" i="10"/>
  <c r="S14" i="10"/>
  <c r="T24" i="13"/>
  <c r="S24" i="13"/>
  <c r="T10" i="10"/>
  <c r="S10" i="10"/>
  <c r="T6" i="13"/>
  <c r="S6" i="13"/>
  <c r="T16" i="13"/>
  <c r="S16" i="13"/>
  <c r="S35" i="13"/>
  <c r="T35" i="13"/>
  <c r="S24" i="10"/>
  <c r="U24" i="10" s="1"/>
  <c r="AC24" i="10" s="1"/>
  <c r="T13" i="10"/>
  <c r="U13" i="10" s="1"/>
  <c r="T5" i="13"/>
  <c r="U5" i="13" s="1"/>
  <c r="T11" i="13"/>
  <c r="S11" i="13"/>
  <c r="T13" i="13"/>
  <c r="S13" i="13"/>
  <c r="T15" i="13"/>
  <c r="S15" i="13"/>
  <c r="T25" i="13"/>
  <c r="U25" i="13" s="1"/>
  <c r="S27" i="13"/>
  <c r="T27" i="13"/>
  <c r="U28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X22" i="10" s="1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W24" i="10"/>
  <c r="AA9" i="10"/>
  <c r="AB9" i="10" s="1"/>
  <c r="AA13" i="10"/>
  <c r="AB13" i="10" s="1"/>
  <c r="W29" i="10"/>
  <c r="W16" i="10"/>
  <c r="AA7" i="10"/>
  <c r="AB7" i="10" s="1"/>
  <c r="AC7" i="10" s="1"/>
  <c r="W30" i="10"/>
  <c r="W27" i="10"/>
  <c r="W15" i="10"/>
  <c r="X15" i="10" s="1"/>
  <c r="AA15" i="10"/>
  <c r="AB15" i="10" s="1"/>
  <c r="W8" i="10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X6" i="10" s="1"/>
  <c r="AA6" i="10"/>
  <c r="AB6" i="10" s="1"/>
  <c r="W21" i="10"/>
  <c r="AA21" i="10"/>
  <c r="AB21" i="10" s="1"/>
  <c r="W5" i="10"/>
  <c r="X5" i="10" s="1"/>
  <c r="Y5" i="10" s="1"/>
  <c r="AA5" i="10"/>
  <c r="AB5" i="10" s="1"/>
  <c r="W9" i="10"/>
  <c r="X9" i="10" s="1"/>
  <c r="Y9" i="10" s="1"/>
  <c r="W13" i="10"/>
  <c r="X13" i="10" s="1"/>
  <c r="AA28" i="10"/>
  <c r="AB28" i="10" s="1"/>
  <c r="AA32" i="10"/>
  <c r="AB32" i="10" s="1"/>
  <c r="W4" i="10"/>
  <c r="AA17" i="10"/>
  <c r="AB17" i="10" s="1"/>
  <c r="W28" i="10"/>
  <c r="X28" i="10" s="1"/>
  <c r="Y28" i="10" s="1"/>
  <c r="AA20" i="10"/>
  <c r="AB20" i="10" s="1"/>
  <c r="W32" i="10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AC11" i="10" s="1"/>
  <c r="T16" i="10"/>
  <c r="S16" i="10"/>
  <c r="S20" i="10"/>
  <c r="T20" i="10"/>
  <c r="T27" i="10"/>
  <c r="S27" i="10"/>
  <c r="P4" i="13"/>
  <c r="AK13" i="13" l="1"/>
  <c r="AJ14" i="13"/>
  <c r="AI14" i="13"/>
  <c r="AK14" i="13" s="1"/>
  <c r="Y39" i="13"/>
  <c r="Y36" i="13"/>
  <c r="AC36" i="13"/>
  <c r="AH15" i="13"/>
  <c r="AC33" i="13"/>
  <c r="AC20" i="13"/>
  <c r="Y14" i="13"/>
  <c r="Y33" i="13"/>
  <c r="Y31" i="13"/>
  <c r="AC14" i="13"/>
  <c r="Y20" i="13"/>
  <c r="AC31" i="13"/>
  <c r="Y34" i="13"/>
  <c r="Y21" i="13"/>
  <c r="AC17" i="13"/>
  <c r="AC18" i="13"/>
  <c r="AC21" i="13"/>
  <c r="Y17" i="13"/>
  <c r="Y18" i="13"/>
  <c r="AC12" i="13"/>
  <c r="AC34" i="13"/>
  <c r="U27" i="13"/>
  <c r="Y27" i="13" s="1"/>
  <c r="U13" i="13"/>
  <c r="Y13" i="13" s="1"/>
  <c r="Y12" i="13"/>
  <c r="AC8" i="10"/>
  <c r="X32" i="10"/>
  <c r="X8" i="10"/>
  <c r="AC28" i="10"/>
  <c r="AC5" i="10"/>
  <c r="AC18" i="10"/>
  <c r="AC6" i="10"/>
  <c r="AC30" i="10"/>
  <c r="AC23" i="10"/>
  <c r="AC31" i="10"/>
  <c r="X24" i="10"/>
  <c r="AC13" i="10"/>
  <c r="AC9" i="10"/>
  <c r="AC22" i="10"/>
  <c r="AC21" i="10"/>
  <c r="AC19" i="10"/>
  <c r="AC25" i="10"/>
  <c r="Y15" i="10"/>
  <c r="X10" i="10"/>
  <c r="AC8" i="13"/>
  <c r="Y8" i="13"/>
  <c r="U22" i="13"/>
  <c r="AC22" i="13" s="1"/>
  <c r="U9" i="13"/>
  <c r="Y9" i="13" s="1"/>
  <c r="Y19" i="10"/>
  <c r="Y22" i="10"/>
  <c r="X30" i="10"/>
  <c r="Y30" i="10" s="1"/>
  <c r="X14" i="10"/>
  <c r="Y23" i="10"/>
  <c r="Y13" i="10"/>
  <c r="Y32" i="10"/>
  <c r="U12" i="10"/>
  <c r="AC12" i="10" s="1"/>
  <c r="X21" i="10"/>
  <c r="Y21" i="10" s="1"/>
  <c r="Y31" i="10"/>
  <c r="Y6" i="10"/>
  <c r="U10" i="10"/>
  <c r="U16" i="10"/>
  <c r="AC16" i="10" s="1"/>
  <c r="Y24" i="10"/>
  <c r="Y25" i="10"/>
  <c r="X4" i="10"/>
  <c r="U32" i="13"/>
  <c r="U16" i="13"/>
  <c r="U6" i="13"/>
  <c r="U24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AC14" i="10" s="1"/>
  <c r="Y18" i="10"/>
  <c r="Y8" i="10"/>
  <c r="Y37" i="13"/>
  <c r="AC37" i="13"/>
  <c r="AC28" i="13"/>
  <c r="Y28" i="13"/>
  <c r="Y5" i="13"/>
  <c r="AC5" i="13"/>
  <c r="U35" i="13"/>
  <c r="AC26" i="13"/>
  <c r="Y26" i="13"/>
  <c r="U4" i="10"/>
  <c r="AC4" i="10" s="1"/>
  <c r="U19" i="13"/>
  <c r="Y7" i="10"/>
  <c r="X17" i="10"/>
  <c r="U17" i="10"/>
  <c r="AC17" i="10" s="1"/>
  <c r="U29" i="10"/>
  <c r="AC29" i="10" s="1"/>
  <c r="X27" i="10"/>
  <c r="X11" i="10"/>
  <c r="Y11" i="10" s="1"/>
  <c r="U27" i="10"/>
  <c r="AC27" i="10" s="1"/>
  <c r="X20" i="10"/>
  <c r="X16" i="10"/>
  <c r="X29" i="10"/>
  <c r="Q4" i="13"/>
  <c r="R4" i="13"/>
  <c r="S4" i="13" s="1"/>
  <c r="Z4" i="13"/>
  <c r="V4" i="13"/>
  <c r="AJ15" i="13" l="1"/>
  <c r="AI15" i="13"/>
  <c r="AH16" i="13"/>
  <c r="AK15" i="13"/>
  <c r="Y22" i="13"/>
  <c r="AC13" i="13"/>
  <c r="AC27" i="13"/>
  <c r="AC9" i="13"/>
  <c r="Y10" i="10"/>
  <c r="AC10" i="10"/>
  <c r="Y16" i="10"/>
  <c r="Y14" i="10"/>
  <c r="T4" i="13"/>
  <c r="U4" i="13" s="1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Y35" i="13"/>
  <c r="AC35" i="13"/>
  <c r="AC32" i="13"/>
  <c r="Y32" i="13"/>
  <c r="Y27" i="10"/>
  <c r="Y29" i="10"/>
  <c r="Y17" i="10"/>
  <c r="W4" i="13"/>
  <c r="X4" i="13" s="1"/>
  <c r="AA4" i="13"/>
  <c r="AB4" i="13" s="1"/>
  <c r="R26" i="10"/>
  <c r="T26" i="10" s="1"/>
  <c r="AJ16" i="13" l="1"/>
  <c r="AI16" i="13"/>
  <c r="AH17" i="13"/>
  <c r="Y4" i="13"/>
  <c r="AC4" i="13"/>
  <c r="S26" i="10"/>
  <c r="U26" i="10" s="1"/>
  <c r="U121" i="11"/>
  <c r="O121" i="11"/>
  <c r="P121" i="11" s="1"/>
  <c r="U120" i="11"/>
  <c r="P120" i="11"/>
  <c r="O120" i="11"/>
  <c r="U119" i="11"/>
  <c r="O119" i="11"/>
  <c r="P119" i="11" s="1"/>
  <c r="U118" i="11"/>
  <c r="O118" i="11"/>
  <c r="P118" i="11" s="1"/>
  <c r="U117" i="11"/>
  <c r="O117" i="11"/>
  <c r="P117" i="11" s="1"/>
  <c r="U116" i="11"/>
  <c r="P116" i="11"/>
  <c r="O116" i="11"/>
  <c r="U115" i="11"/>
  <c r="O115" i="11"/>
  <c r="P115" i="11" s="1"/>
  <c r="U114" i="11"/>
  <c r="O114" i="11"/>
  <c r="P114" i="11" s="1"/>
  <c r="U113" i="11"/>
  <c r="P113" i="11"/>
  <c r="O113" i="11"/>
  <c r="U112" i="11"/>
  <c r="O112" i="11"/>
  <c r="P112" i="11" s="1"/>
  <c r="U111" i="11"/>
  <c r="O111" i="11"/>
  <c r="P111" i="11" s="1"/>
  <c r="U110" i="11"/>
  <c r="O110" i="11"/>
  <c r="P110" i="11" s="1"/>
  <c r="U109" i="11"/>
  <c r="P109" i="11"/>
  <c r="O109" i="11"/>
  <c r="U108" i="11"/>
  <c r="O108" i="11"/>
  <c r="P108" i="11" s="1"/>
  <c r="U107" i="11"/>
  <c r="P107" i="11"/>
  <c r="O107" i="11"/>
  <c r="U106" i="11"/>
  <c r="O106" i="11"/>
  <c r="P106" i="11" s="1"/>
  <c r="U105" i="11"/>
  <c r="O105" i="11"/>
  <c r="P105" i="11" s="1"/>
  <c r="U104" i="11"/>
  <c r="P104" i="11"/>
  <c r="O104" i="11"/>
  <c r="U103" i="11"/>
  <c r="O103" i="11"/>
  <c r="P103" i="11" s="1"/>
  <c r="U102" i="11"/>
  <c r="O102" i="11"/>
  <c r="P102" i="11" s="1"/>
  <c r="U101" i="11"/>
  <c r="O101" i="11"/>
  <c r="P101" i="11" s="1"/>
  <c r="U100" i="11"/>
  <c r="O100" i="11"/>
  <c r="P100" i="11" s="1"/>
  <c r="U99" i="11"/>
  <c r="O99" i="11"/>
  <c r="P99" i="11" s="1"/>
  <c r="U98" i="11"/>
  <c r="O98" i="11"/>
  <c r="P98" i="11" s="1"/>
  <c r="U97" i="11"/>
  <c r="P97" i="11"/>
  <c r="O97" i="11"/>
  <c r="U96" i="11"/>
  <c r="O96" i="11"/>
  <c r="P96" i="11" s="1"/>
  <c r="U95" i="11"/>
  <c r="O95" i="11"/>
  <c r="P95" i="11" s="1"/>
  <c r="U94" i="11"/>
  <c r="O94" i="11"/>
  <c r="P94" i="11" s="1"/>
  <c r="U93" i="11"/>
  <c r="P93" i="11"/>
  <c r="O93" i="11"/>
  <c r="U92" i="11"/>
  <c r="O92" i="11"/>
  <c r="P92" i="11" s="1"/>
  <c r="U91" i="11"/>
  <c r="P91" i="11"/>
  <c r="O91" i="11"/>
  <c r="U90" i="11"/>
  <c r="O90" i="11"/>
  <c r="P90" i="11" s="1"/>
  <c r="U89" i="11"/>
  <c r="O89" i="11"/>
  <c r="P89" i="11" s="1"/>
  <c r="U88" i="11"/>
  <c r="P88" i="11"/>
  <c r="O88" i="11"/>
  <c r="U87" i="11"/>
  <c r="O87" i="11"/>
  <c r="P87" i="11" s="1"/>
  <c r="U86" i="11"/>
  <c r="O86" i="11"/>
  <c r="P86" i="11" s="1"/>
  <c r="U85" i="11"/>
  <c r="O85" i="11"/>
  <c r="P85" i="11" s="1"/>
  <c r="U84" i="11"/>
  <c r="P84" i="11"/>
  <c r="O84" i="11"/>
  <c r="U83" i="11"/>
  <c r="O83" i="11"/>
  <c r="P83" i="11" s="1"/>
  <c r="U82" i="11"/>
  <c r="O82" i="11"/>
  <c r="P82" i="11" s="1"/>
  <c r="U81" i="11"/>
  <c r="P81" i="11"/>
  <c r="O81" i="11"/>
  <c r="U80" i="11"/>
  <c r="O80" i="11"/>
  <c r="P80" i="11" s="1"/>
  <c r="U79" i="11"/>
  <c r="O79" i="11"/>
  <c r="P79" i="11" s="1"/>
  <c r="U78" i="11"/>
  <c r="O78" i="11"/>
  <c r="P78" i="11" s="1"/>
  <c r="U77" i="11"/>
  <c r="P77" i="11"/>
  <c r="O77" i="11"/>
  <c r="U76" i="11"/>
  <c r="O76" i="11"/>
  <c r="P76" i="11" s="1"/>
  <c r="U75" i="11"/>
  <c r="P75" i="11"/>
  <c r="O75" i="11"/>
  <c r="U74" i="11"/>
  <c r="O74" i="11"/>
  <c r="P74" i="11" s="1"/>
  <c r="U73" i="11"/>
  <c r="O73" i="11"/>
  <c r="P73" i="11" s="1"/>
  <c r="U72" i="11"/>
  <c r="P72" i="11"/>
  <c r="O72" i="11"/>
  <c r="U71" i="11"/>
  <c r="O71" i="11"/>
  <c r="P71" i="11" s="1"/>
  <c r="U70" i="11"/>
  <c r="O70" i="11"/>
  <c r="P70" i="11" s="1"/>
  <c r="U69" i="11"/>
  <c r="O69" i="11"/>
  <c r="P69" i="11" s="1"/>
  <c r="U68" i="11"/>
  <c r="O68" i="11"/>
  <c r="P68" i="11" s="1"/>
  <c r="U67" i="11"/>
  <c r="O67" i="11"/>
  <c r="P67" i="11" s="1"/>
  <c r="U66" i="11"/>
  <c r="O66" i="11"/>
  <c r="P66" i="11" s="1"/>
  <c r="U65" i="11"/>
  <c r="O65" i="11"/>
  <c r="P65" i="11" s="1"/>
  <c r="U64" i="11"/>
  <c r="O64" i="11"/>
  <c r="P64" i="11" s="1"/>
  <c r="U63" i="11"/>
  <c r="O63" i="11"/>
  <c r="P63" i="11" s="1"/>
  <c r="U62" i="11"/>
  <c r="O62" i="11"/>
  <c r="P62" i="11" s="1"/>
  <c r="U61" i="11"/>
  <c r="P61" i="11"/>
  <c r="O61" i="11"/>
  <c r="U60" i="11"/>
  <c r="O60" i="11"/>
  <c r="P60" i="11" s="1"/>
  <c r="U59" i="11"/>
  <c r="P59" i="11"/>
  <c r="O59" i="11"/>
  <c r="U58" i="11"/>
  <c r="O58" i="11"/>
  <c r="P58" i="11" s="1"/>
  <c r="U57" i="11"/>
  <c r="O57" i="11"/>
  <c r="P57" i="11" s="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O52" i="11"/>
  <c r="P52" i="11" s="1"/>
  <c r="U51" i="11"/>
  <c r="P51" i="11"/>
  <c r="O51" i="11"/>
  <c r="U50" i="11"/>
  <c r="O50" i="11"/>
  <c r="P50" i="11" s="1"/>
  <c r="U49" i="11"/>
  <c r="O49" i="11"/>
  <c r="P49" i="11" s="1"/>
  <c r="U48" i="11"/>
  <c r="O48" i="11"/>
  <c r="P48" i="11" s="1"/>
  <c r="U47" i="11"/>
  <c r="O47" i="11"/>
  <c r="P47" i="11" s="1"/>
  <c r="U46" i="11"/>
  <c r="P46" i="11"/>
  <c r="O46" i="11"/>
  <c r="U45" i="11"/>
  <c r="O45" i="11"/>
  <c r="P45" i="11" s="1"/>
  <c r="U44" i="11"/>
  <c r="O44" i="11"/>
  <c r="P44" i="11" s="1"/>
  <c r="U43" i="11"/>
  <c r="O43" i="11"/>
  <c r="P43" i="11" s="1"/>
  <c r="U42" i="11"/>
  <c r="P42" i="11"/>
  <c r="O42" i="11"/>
  <c r="U41" i="11"/>
  <c r="O41" i="11"/>
  <c r="P41" i="11" s="1"/>
  <c r="U40" i="11"/>
  <c r="O40" i="11"/>
  <c r="P40" i="11" s="1"/>
  <c r="U39" i="11"/>
  <c r="O39" i="11"/>
  <c r="P39" i="11" s="1"/>
  <c r="U38" i="11"/>
  <c r="O38" i="11"/>
  <c r="P38" i="11" s="1"/>
  <c r="U37" i="11"/>
  <c r="O37" i="11"/>
  <c r="P37" i="11" s="1"/>
  <c r="U36" i="11"/>
  <c r="O36" i="11"/>
  <c r="P36" i="11" s="1"/>
  <c r="U35" i="11"/>
  <c r="O35" i="11"/>
  <c r="P35" i="11" s="1"/>
  <c r="U34" i="11"/>
  <c r="P34" i="11"/>
  <c r="O34" i="11"/>
  <c r="U33" i="11"/>
  <c r="O33" i="11"/>
  <c r="P33" i="11" s="1"/>
  <c r="U32" i="11"/>
  <c r="O32" i="11"/>
  <c r="P32" i="11" s="1"/>
  <c r="U31" i="11"/>
  <c r="O31" i="11"/>
  <c r="P31" i="11" s="1"/>
  <c r="U30" i="11"/>
  <c r="P30" i="11"/>
  <c r="O30" i="11"/>
  <c r="U29" i="11"/>
  <c r="O29" i="11"/>
  <c r="P29" i="11" s="1"/>
  <c r="U28" i="11"/>
  <c r="O28" i="11"/>
  <c r="P28" i="11" s="1"/>
  <c r="U27" i="11"/>
  <c r="O27" i="11"/>
  <c r="P27" i="11" s="1"/>
  <c r="U26" i="11"/>
  <c r="P26" i="11"/>
  <c r="O26" i="11"/>
  <c r="U25" i="11"/>
  <c r="O25" i="11"/>
  <c r="P25" i="11" s="1"/>
  <c r="U24" i="11"/>
  <c r="O24" i="11"/>
  <c r="P24" i="11" s="1"/>
  <c r="U23" i="11"/>
  <c r="O23" i="11"/>
  <c r="P23" i="11" s="1"/>
  <c r="U22" i="11"/>
  <c r="O22" i="11"/>
  <c r="P22" i="11" s="1"/>
  <c r="U21" i="11"/>
  <c r="O21" i="11"/>
  <c r="P21" i="11" s="1"/>
  <c r="U20" i="11"/>
  <c r="O20" i="11"/>
  <c r="P20" i="11" s="1"/>
  <c r="U19" i="11"/>
  <c r="O19" i="11"/>
  <c r="P19" i="11" s="1"/>
  <c r="U18" i="11"/>
  <c r="P18" i="11"/>
  <c r="O18" i="11"/>
  <c r="U17" i="11"/>
  <c r="O17" i="11"/>
  <c r="P17" i="11" s="1"/>
  <c r="U16" i="11"/>
  <c r="O16" i="11"/>
  <c r="P16" i="11" s="1"/>
  <c r="U15" i="11"/>
  <c r="O15" i="11"/>
  <c r="P15" i="11" s="1"/>
  <c r="U14" i="11"/>
  <c r="P14" i="11"/>
  <c r="O14" i="11"/>
  <c r="U13" i="11"/>
  <c r="O13" i="11"/>
  <c r="P13" i="11" s="1"/>
  <c r="U12" i="11"/>
  <c r="O12" i="11"/>
  <c r="P12" i="11" s="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O7" i="11"/>
  <c r="P7" i="11" s="1"/>
  <c r="U6" i="11"/>
  <c r="O6" i="11"/>
  <c r="P6" i="11" s="1"/>
  <c r="U5" i="11"/>
  <c r="P5" i="11"/>
  <c r="O5" i="11"/>
  <c r="U4" i="11"/>
  <c r="O4" i="11"/>
  <c r="P4" i="11" s="1"/>
  <c r="Q26" i="10"/>
  <c r="AG3" i="10"/>
  <c r="R63" i="11"/>
  <c r="R60" i="11"/>
  <c r="R37" i="11"/>
  <c r="R58" i="11"/>
  <c r="R47" i="11"/>
  <c r="R24" i="11"/>
  <c r="R44" i="11"/>
  <c r="R113" i="11"/>
  <c r="R32" i="11"/>
  <c r="R75" i="11"/>
  <c r="R72" i="11"/>
  <c r="R49" i="11"/>
  <c r="R82" i="11"/>
  <c r="R70" i="11"/>
  <c r="R48" i="11"/>
  <c r="R61" i="11"/>
  <c r="R80" i="11"/>
  <c r="R86" i="11"/>
  <c r="R9" i="11"/>
  <c r="R71" i="11"/>
  <c r="R68" i="11"/>
  <c r="R45" i="11"/>
  <c r="R69" i="11"/>
  <c r="R57" i="11"/>
  <c r="R40" i="11"/>
  <c r="R55" i="11"/>
  <c r="R83" i="11"/>
  <c r="R25" i="11"/>
  <c r="R90" i="11"/>
  <c r="R85" i="11"/>
  <c r="R96" i="11"/>
  <c r="R88" i="11"/>
  <c r="R102" i="11"/>
  <c r="R18" i="11"/>
  <c r="R93" i="11"/>
  <c r="R62" i="11"/>
  <c r="R89" i="11"/>
  <c r="R115" i="11"/>
  <c r="R35" i="11"/>
  <c r="R111" i="11"/>
  <c r="R108" i="11"/>
  <c r="R110" i="11"/>
  <c r="R21" i="11"/>
  <c r="R38" i="11"/>
  <c r="R31" i="11"/>
  <c r="R5" i="11"/>
  <c r="R12" i="11"/>
  <c r="R41" i="11"/>
  <c r="R20" i="11"/>
  <c r="R120" i="11"/>
  <c r="R56" i="11"/>
  <c r="R33" i="11"/>
  <c r="R53" i="11"/>
  <c r="R43" i="11"/>
  <c r="R16" i="11"/>
  <c r="R36" i="11"/>
  <c r="R81" i="11"/>
  <c r="R19" i="11"/>
  <c r="R119" i="11"/>
  <c r="R116" i="11"/>
  <c r="R52" i="11"/>
  <c r="R29" i="11"/>
  <c r="R46" i="11"/>
  <c r="R39" i="11"/>
  <c r="R10" i="11"/>
  <c r="R28" i="11"/>
  <c r="R112" i="11"/>
  <c r="R98" i="11"/>
  <c r="R7" i="11"/>
  <c r="R76" i="11"/>
  <c r="R77" i="11"/>
  <c r="R51" i="11"/>
  <c r="R114" i="11"/>
  <c r="R67" i="11"/>
  <c r="R84" i="11"/>
  <c r="R106" i="11"/>
  <c r="R95" i="11"/>
  <c r="R92" i="11"/>
  <c r="R78" i="11"/>
  <c r="R117" i="11"/>
  <c r="R105" i="11"/>
  <c r="R15" i="11"/>
  <c r="R26" i="11"/>
  <c r="R99" i="11"/>
  <c r="R66" i="11"/>
  <c r="R107" i="11"/>
  <c r="R104" i="11"/>
  <c r="R97" i="11"/>
  <c r="R17" i="11"/>
  <c r="R34" i="11"/>
  <c r="R27" i="11"/>
  <c r="R22" i="11"/>
  <c r="R8" i="11"/>
  <c r="R121" i="11"/>
  <c r="R6" i="11"/>
  <c r="R103" i="11"/>
  <c r="R100" i="11"/>
  <c r="R94" i="11"/>
  <c r="R13" i="11"/>
  <c r="R30" i="11"/>
  <c r="R23" i="11"/>
  <c r="R14" i="11"/>
  <c r="R4" i="11"/>
  <c r="R64" i="11"/>
  <c r="R118" i="11"/>
  <c r="R50" i="11"/>
  <c r="R79" i="11"/>
  <c r="R54" i="11"/>
  <c r="R73" i="11"/>
  <c r="R74" i="11"/>
  <c r="R91" i="11"/>
  <c r="R65" i="11"/>
  <c r="R11" i="11"/>
  <c r="R42" i="11"/>
  <c r="R87" i="11"/>
  <c r="R101" i="11"/>
  <c r="R109" i="11"/>
  <c r="R59" i="11"/>
  <c r="Z26" i="10"/>
  <c r="V26" i="10"/>
  <c r="AJ17" i="13" l="1"/>
  <c r="AI17" i="13"/>
  <c r="AK16" i="13"/>
  <c r="AH18" i="13"/>
  <c r="AA26" i="10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AB26" i="10"/>
  <c r="AC26" i="10" s="1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R23" i="7" s="1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R26" i="7" s="1"/>
  <c r="N26" i="7"/>
  <c r="O26" i="7" s="1"/>
  <c r="P73" i="7"/>
  <c r="Q73" i="7"/>
  <c r="N73" i="7"/>
  <c r="O73" i="7" s="1"/>
  <c r="P9" i="7"/>
  <c r="Q9" i="7"/>
  <c r="N9" i="7"/>
  <c r="O9" i="7" s="1"/>
  <c r="P34" i="7"/>
  <c r="Q34" i="7"/>
  <c r="N34" i="7"/>
  <c r="O34" i="7" s="1"/>
  <c r="P14" i="7"/>
  <c r="Q14" i="7"/>
  <c r="R14" i="7" s="1"/>
  <c r="N14" i="7"/>
  <c r="O14" i="7" s="1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N29" i="7"/>
  <c r="O29" i="7" s="1"/>
  <c r="P27" i="7"/>
  <c r="Q27" i="7"/>
  <c r="N27" i="7"/>
  <c r="O27" i="7" s="1"/>
  <c r="P37" i="7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Q77" i="7"/>
  <c r="N77" i="7"/>
  <c r="O77" i="7" s="1"/>
  <c r="P60" i="7"/>
  <c r="Q60" i="7"/>
  <c r="N60" i="7"/>
  <c r="O60" i="7" s="1"/>
  <c r="P5" i="7"/>
  <c r="Q5" i="7"/>
  <c r="R5" i="7" s="1"/>
  <c r="N5" i="7"/>
  <c r="O5" i="7" s="1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R49" i="7" s="1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N28" i="7"/>
  <c r="O28" i="7" s="1"/>
  <c r="P45" i="7"/>
  <c r="Q45" i="7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N55" i="7"/>
  <c r="O55" i="7" s="1"/>
  <c r="P24" i="7"/>
  <c r="Q24" i="7"/>
  <c r="N24" i="7"/>
  <c r="O24" i="7" s="1"/>
  <c r="P38" i="7"/>
  <c r="Q38" i="7"/>
  <c r="R38" i="7" s="1"/>
  <c r="N38" i="7"/>
  <c r="O38" i="7" s="1"/>
  <c r="P40" i="7"/>
  <c r="Q40" i="7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N58" i="7"/>
  <c r="O58" i="7" s="1"/>
  <c r="P41" i="7"/>
  <c r="Q41" i="7"/>
  <c r="N41" i="7"/>
  <c r="O41" i="7" s="1"/>
  <c r="P22" i="7"/>
  <c r="Q22" i="7"/>
  <c r="N22" i="7"/>
  <c r="O22" i="7" s="1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O56" i="7"/>
  <c r="N56" i="7"/>
  <c r="P47" i="7"/>
  <c r="Q47" i="7"/>
  <c r="N47" i="7"/>
  <c r="O47" i="7" s="1"/>
  <c r="P52" i="7"/>
  <c r="Q52" i="7"/>
  <c r="N52" i="7"/>
  <c r="O52" i="7" s="1"/>
  <c r="P59" i="7"/>
  <c r="Q59" i="7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O48" i="7"/>
  <c r="N48" i="7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N76" i="7"/>
  <c r="O76" i="7" s="1"/>
  <c r="P43" i="7"/>
  <c r="Q43" i="7"/>
  <c r="N43" i="7"/>
  <c r="O43" i="7" s="1"/>
  <c r="P74" i="7"/>
  <c r="Q74" i="7"/>
  <c r="N74" i="7"/>
  <c r="O74" i="7" s="1"/>
  <c r="P46" i="7"/>
  <c r="Q46" i="7"/>
  <c r="N46" i="7"/>
  <c r="O46" i="7" s="1"/>
  <c r="W29" i="7"/>
  <c r="S51" i="7"/>
  <c r="W68" i="7"/>
  <c r="S29" i="7"/>
  <c r="W41" i="7"/>
  <c r="S4" i="7"/>
  <c r="W73" i="7"/>
  <c r="S36" i="7"/>
  <c r="S19" i="7"/>
  <c r="S18" i="7"/>
  <c r="W62" i="7"/>
  <c r="W37" i="7"/>
  <c r="S12" i="7"/>
  <c r="W49" i="7"/>
  <c r="W5" i="7"/>
  <c r="W19" i="7"/>
  <c r="W28" i="7"/>
  <c r="W39" i="7"/>
  <c r="S24" i="7"/>
  <c r="S27" i="7"/>
  <c r="W16" i="7"/>
  <c r="S40" i="7"/>
  <c r="S69" i="7"/>
  <c r="W46" i="7"/>
  <c r="S37" i="7"/>
  <c r="S42" i="7"/>
  <c r="W4" i="7"/>
  <c r="W13" i="7"/>
  <c r="W57" i="7"/>
  <c r="S45" i="7"/>
  <c r="W51" i="7"/>
  <c r="W58" i="7"/>
  <c r="S22" i="7"/>
  <c r="S13" i="7"/>
  <c r="S62" i="7"/>
  <c r="S20" i="7"/>
  <c r="W55" i="7"/>
  <c r="W72" i="7"/>
  <c r="W27" i="7"/>
  <c r="S70" i="7"/>
  <c r="W24" i="7"/>
  <c r="S64" i="7"/>
  <c r="S50" i="7"/>
  <c r="S9" i="7"/>
  <c r="W77" i="7"/>
  <c r="S32" i="7"/>
  <c r="S34" i="7"/>
  <c r="S68" i="7"/>
  <c r="S71" i="7"/>
  <c r="S72" i="7"/>
  <c r="S54" i="7"/>
  <c r="W26" i="7"/>
  <c r="W45" i="7"/>
  <c r="W65" i="7"/>
  <c r="S77" i="7"/>
  <c r="S63" i="7"/>
  <c r="S15" i="7"/>
  <c r="S5" i="7"/>
  <c r="W35" i="7"/>
  <c r="S31" i="7"/>
  <c r="W14" i="7"/>
  <c r="S21" i="7"/>
  <c r="W40" i="7"/>
  <c r="W36" i="7"/>
  <c r="W25" i="7"/>
  <c r="S23" i="7"/>
  <c r="W59" i="7"/>
  <c r="S14" i="7"/>
  <c r="S73" i="7"/>
  <c r="W61" i="7"/>
  <c r="W70" i="7"/>
  <c r="W11" i="7"/>
  <c r="W30" i="7"/>
  <c r="S49" i="7"/>
  <c r="W6" i="7"/>
  <c r="S30" i="7"/>
  <c r="W69" i="7"/>
  <c r="W17" i="7"/>
  <c r="W60" i="7"/>
  <c r="S61" i="7"/>
  <c r="S60" i="7"/>
  <c r="S7" i="7"/>
  <c r="W20" i="7"/>
  <c r="S56" i="7"/>
  <c r="W18" i="7"/>
  <c r="W9" i="7"/>
  <c r="S26" i="7"/>
  <c r="S8" i="7"/>
  <c r="S55" i="7"/>
  <c r="S57" i="7"/>
  <c r="W10" i="7"/>
  <c r="W34" i="7"/>
  <c r="S33" i="7"/>
  <c r="S65" i="7"/>
  <c r="W31" i="7"/>
  <c r="S41" i="7"/>
  <c r="W66" i="7"/>
  <c r="S66" i="7"/>
  <c r="S59" i="7"/>
  <c r="W23" i="7"/>
  <c r="W7" i="7"/>
  <c r="W63" i="7"/>
  <c r="S58" i="7"/>
  <c r="W12" i="7"/>
  <c r="S35" i="7"/>
  <c r="W71" i="7"/>
  <c r="W54" i="7"/>
  <c r="S17" i="7"/>
  <c r="W21" i="7"/>
  <c r="S11" i="7"/>
  <c r="W32" i="7"/>
  <c r="S28" i="7"/>
  <c r="W8" i="7"/>
  <c r="S10" i="7"/>
  <c r="S6" i="7"/>
  <c r="W53" i="7"/>
  <c r="S53" i="7"/>
  <c r="S38" i="7"/>
  <c r="W47" i="7"/>
  <c r="S25" i="7"/>
  <c r="W33" i="7"/>
  <c r="S16" i="7"/>
  <c r="AJ18" i="13" l="1"/>
  <c r="AI18" i="13"/>
  <c r="AK17" i="13"/>
  <c r="AH19" i="13"/>
  <c r="R59" i="7"/>
  <c r="R40" i="7"/>
  <c r="R45" i="7"/>
  <c r="R41" i="7"/>
  <c r="R58" i="7"/>
  <c r="R77" i="7"/>
  <c r="R37" i="7"/>
  <c r="R46" i="7"/>
  <c r="R24" i="7"/>
  <c r="R55" i="7"/>
  <c r="R29" i="7"/>
  <c r="R9" i="7"/>
  <c r="R52" i="7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W56" i="7"/>
  <c r="W75" i="7"/>
  <c r="S52" i="7"/>
  <c r="S74" i="7"/>
  <c r="S46" i="7"/>
  <c r="S48" i="7"/>
  <c r="S76" i="7"/>
  <c r="W76" i="7"/>
  <c r="W48" i="7"/>
  <c r="AJ19" i="13" l="1"/>
  <c r="AI19" i="13"/>
  <c r="AK18" i="13"/>
  <c r="AH20" i="13"/>
  <c r="T46" i="7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Z23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P73" i="9" s="1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P30" i="9" s="1"/>
  <c r="O56" i="9"/>
  <c r="O29" i="9"/>
  <c r="P29" i="9" s="1"/>
  <c r="O89" i="9"/>
  <c r="P89" i="9" s="1"/>
  <c r="O117" i="9"/>
  <c r="P117" i="9" s="1"/>
  <c r="O14" i="9"/>
  <c r="P14" i="9" s="1"/>
  <c r="O24" i="9"/>
  <c r="P24" i="9" s="1"/>
  <c r="O5" i="9"/>
  <c r="P5" i="9" s="1"/>
  <c r="O108" i="9"/>
  <c r="P108" i="9" s="1"/>
  <c r="O109" i="9"/>
  <c r="P109" i="9" s="1"/>
  <c r="O58" i="9"/>
  <c r="O78" i="9"/>
  <c r="P78" i="9" s="1"/>
  <c r="O40" i="9"/>
  <c r="P40" i="9" s="1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P43" i="9" s="1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P46" i="9" s="1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U64" i="9"/>
  <c r="U50" i="9"/>
  <c r="U114" i="9"/>
  <c r="U43" i="9"/>
  <c r="U18" i="9"/>
  <c r="U91" i="9"/>
  <c r="U5" i="9"/>
  <c r="U19" i="9"/>
  <c r="U27" i="9"/>
  <c r="U111" i="9"/>
  <c r="P111" i="9"/>
  <c r="U33" i="9"/>
  <c r="U69" i="9"/>
  <c r="P69" i="9"/>
  <c r="U32" i="9"/>
  <c r="U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U20" i="9"/>
  <c r="U79" i="9"/>
  <c r="U66" i="9"/>
  <c r="U22" i="9"/>
  <c r="U85" i="9"/>
  <c r="U119" i="9"/>
  <c r="U120" i="9"/>
  <c r="P120" i="9"/>
  <c r="U7" i="9"/>
  <c r="U6" i="9"/>
  <c r="U40" i="9"/>
  <c r="U35" i="9"/>
  <c r="U53" i="9"/>
  <c r="P53" i="9"/>
  <c r="U55" i="9"/>
  <c r="U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B3" i="9"/>
  <c r="R82" i="9"/>
  <c r="W64" i="7"/>
  <c r="S39" i="7"/>
  <c r="W42" i="7"/>
  <c r="S43" i="7"/>
  <c r="W22" i="7"/>
  <c r="W43" i="7"/>
  <c r="W50" i="7"/>
  <c r="W44" i="7"/>
  <c r="S44" i="7"/>
  <c r="W67" i="7"/>
  <c r="W15" i="7"/>
  <c r="S67" i="7"/>
  <c r="W38" i="7"/>
  <c r="W74" i="7"/>
  <c r="W52" i="7"/>
  <c r="S75" i="7"/>
  <c r="S47" i="7"/>
  <c r="AJ20" i="13" l="1"/>
  <c r="AI20" i="13"/>
  <c r="AK19" i="13"/>
  <c r="AH21" i="13"/>
  <c r="S82" i="9"/>
  <c r="T82" i="9" s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Q82" i="9"/>
  <c r="R80" i="9"/>
  <c r="R18" i="9"/>
  <c r="R78" i="9"/>
  <c r="R111" i="9"/>
  <c r="R118" i="9"/>
  <c r="R4" i="9"/>
  <c r="R105" i="9"/>
  <c r="R76" i="9"/>
  <c r="R49" i="9"/>
  <c r="R29" i="9"/>
  <c r="R33" i="9"/>
  <c r="R121" i="9"/>
  <c r="R66" i="9"/>
  <c r="R114" i="9"/>
  <c r="R108" i="9"/>
  <c r="R79" i="9"/>
  <c r="R14" i="9"/>
  <c r="R39" i="9"/>
  <c r="R62" i="9"/>
  <c r="R17" i="9"/>
  <c r="R100" i="9"/>
  <c r="R112" i="9"/>
  <c r="R35" i="9"/>
  <c r="R36" i="9"/>
  <c r="R88" i="9"/>
  <c r="R71" i="9"/>
  <c r="R113" i="9"/>
  <c r="R70" i="9"/>
  <c r="R41" i="9"/>
  <c r="R120" i="9"/>
  <c r="R55" i="9"/>
  <c r="R5" i="9"/>
  <c r="R91" i="9"/>
  <c r="R50" i="9"/>
  <c r="R104" i="9"/>
  <c r="R92" i="9"/>
  <c r="R8" i="9"/>
  <c r="R51" i="9"/>
  <c r="R30" i="9"/>
  <c r="R37" i="9"/>
  <c r="R21" i="9"/>
  <c r="R99" i="9"/>
  <c r="R63" i="9"/>
  <c r="R56" i="9"/>
  <c r="R26" i="9"/>
  <c r="R38" i="9"/>
  <c r="R24" i="9"/>
  <c r="R47" i="9"/>
  <c r="R9" i="9"/>
  <c r="R31" i="9"/>
  <c r="R94" i="9"/>
  <c r="R45" i="9"/>
  <c r="R87" i="9"/>
  <c r="R20" i="9"/>
  <c r="R77" i="9"/>
  <c r="R40" i="9"/>
  <c r="R116" i="9"/>
  <c r="R119" i="9"/>
  <c r="R54" i="9"/>
  <c r="R25" i="9"/>
  <c r="R12" i="9"/>
  <c r="R10" i="9"/>
  <c r="R109" i="9"/>
  <c r="R106" i="9"/>
  <c r="R67" i="9"/>
  <c r="R86" i="9"/>
  <c r="R110" i="9"/>
  <c r="R59" i="9"/>
  <c r="R72" i="9"/>
  <c r="R58" i="9"/>
  <c r="AJ21" i="13" l="1"/>
  <c r="AI21" i="13"/>
  <c r="AK20" i="13"/>
  <c r="AH22" i="13"/>
  <c r="S94" i="9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74" i="9"/>
  <c r="R27" i="9"/>
  <c r="R98" i="9"/>
  <c r="R101" i="9"/>
  <c r="R75" i="9"/>
  <c r="R7" i="9"/>
  <c r="R96" i="9"/>
  <c r="R34" i="9"/>
  <c r="R85" i="9"/>
  <c r="R60" i="9"/>
  <c r="R95" i="9"/>
  <c r="R73" i="9"/>
  <c r="R81" i="9"/>
  <c r="R107" i="9"/>
  <c r="R53" i="9"/>
  <c r="R15" i="9"/>
  <c r="R43" i="9"/>
  <c r="R6" i="9"/>
  <c r="R44" i="9"/>
  <c r="R69" i="9"/>
  <c r="R16" i="9"/>
  <c r="R42" i="9"/>
  <c r="R90" i="9"/>
  <c r="R117" i="9"/>
  <c r="R115" i="9"/>
  <c r="R102" i="9"/>
  <c r="R23" i="9"/>
  <c r="R46" i="9"/>
  <c r="R64" i="9"/>
  <c r="R68" i="9"/>
  <c r="R32" i="9"/>
  <c r="R103" i="9"/>
  <c r="R11" i="9"/>
  <c r="R93" i="9"/>
  <c r="R97" i="9"/>
  <c r="R22" i="9"/>
  <c r="R52" i="9"/>
  <c r="R65" i="9"/>
  <c r="R61" i="9"/>
  <c r="R13" i="9"/>
  <c r="R83" i="9"/>
  <c r="R19" i="9"/>
  <c r="R57" i="9"/>
  <c r="R48" i="9"/>
  <c r="R89" i="9"/>
  <c r="R84" i="9"/>
  <c r="AJ22" i="13" l="1"/>
  <c r="AI22" i="13"/>
  <c r="AK21" i="13"/>
  <c r="AH23" i="13"/>
  <c r="S43" i="9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AJ23" i="13" l="1"/>
  <c r="AI23" i="13"/>
  <c r="AK22" i="13"/>
  <c r="AH24" i="13"/>
  <c r="T24" i="9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J24" i="13" l="1"/>
  <c r="AI24" i="13"/>
  <c r="AK23" i="13"/>
  <c r="AH25" i="13"/>
  <c r="AD3" i="7"/>
  <c r="B3" i="5"/>
  <c r="AJ25" i="13" l="1"/>
  <c r="AI25" i="13"/>
  <c r="AK24" i="13"/>
  <c r="AH26" i="13"/>
  <c r="AJ26" i="13" l="1"/>
  <c r="AI26" i="13"/>
  <c r="AK25" i="13"/>
  <c r="AH27" i="13"/>
  <c r="AJ27" i="13" l="1"/>
  <c r="AI27" i="13"/>
  <c r="AK26" i="13"/>
  <c r="AH28" i="13"/>
  <c r="AJ28" i="13" l="1"/>
  <c r="AI28" i="13"/>
  <c r="AK27" i="13"/>
  <c r="AH29" i="13"/>
  <c r="AJ29" i="13" l="1"/>
  <c r="AI29" i="13"/>
  <c r="AK28" i="13"/>
  <c r="AH30" i="13"/>
  <c r="AK29" i="13" l="1"/>
  <c r="AJ30" i="13"/>
  <c r="AI30" i="13"/>
  <c r="AK30" i="13" s="1"/>
  <c r="AH31" i="13"/>
  <c r="AJ31" i="13" l="1"/>
  <c r="AI31" i="13"/>
  <c r="AH32" i="13"/>
  <c r="AJ32" i="13" l="1"/>
  <c r="AI32" i="13"/>
  <c r="AK31" i="13"/>
  <c r="AH33" i="13"/>
  <c r="AJ33" i="13" l="1"/>
  <c r="AI33" i="13"/>
  <c r="AK32" i="13"/>
  <c r="AH34" i="13"/>
  <c r="AJ34" i="13" l="1"/>
  <c r="AI34" i="13"/>
  <c r="AK33" i="13"/>
  <c r="AH35" i="13"/>
  <c r="AJ35" i="13" l="1"/>
  <c r="AI35" i="13"/>
  <c r="AK34" i="13"/>
  <c r="AH36" i="13"/>
  <c r="AJ36" i="13" l="1"/>
  <c r="AI36" i="13"/>
  <c r="AK35" i="13"/>
  <c r="AH37" i="13"/>
  <c r="AJ37" i="13" l="1"/>
  <c r="AI37" i="13"/>
  <c r="AK36" i="13"/>
  <c r="AH38" i="13"/>
  <c r="AJ38" i="13" l="1"/>
  <c r="AI38" i="13"/>
  <c r="AK37" i="13"/>
  <c r="AH39" i="13"/>
  <c r="AJ39" i="13" l="1"/>
  <c r="AI39" i="13"/>
  <c r="AK38" i="13"/>
  <c r="AH40" i="13"/>
  <c r="AJ40" i="13" l="1"/>
  <c r="AI40" i="13"/>
  <c r="AK39" i="13"/>
  <c r="AH41" i="13"/>
  <c r="AJ41" i="13" l="1"/>
  <c r="AI41" i="13"/>
  <c r="AK40" i="13"/>
  <c r="AH42" i="13"/>
  <c r="AJ42" i="13" l="1"/>
  <c r="AI42" i="13"/>
  <c r="AK41" i="13"/>
  <c r="AH43" i="13"/>
  <c r="AH44" i="13" s="1"/>
  <c r="AH45" i="13" l="1"/>
  <c r="AJ44" i="13"/>
  <c r="AI44" i="13"/>
  <c r="AK44" i="13" s="1"/>
  <c r="AJ43" i="13"/>
  <c r="AI43" i="13"/>
  <c r="AK42" i="13"/>
  <c r="AH46" i="13" l="1"/>
  <c r="AJ45" i="13"/>
  <c r="AI45" i="13"/>
  <c r="AK45" i="13" s="1"/>
  <c r="AK43" i="13"/>
  <c r="AH47" i="13" l="1"/>
  <c r="AJ46" i="13"/>
  <c r="AI46" i="13"/>
  <c r="AK46" i="13" s="1"/>
  <c r="AH48" i="13" l="1"/>
  <c r="AH49" i="13" s="1"/>
  <c r="AJ47" i="13"/>
  <c r="AI47" i="13"/>
  <c r="AK47" i="13" s="1"/>
  <c r="AJ49" i="13" l="1"/>
  <c r="AH50" i="13"/>
  <c r="AI49" i="13"/>
  <c r="AK49" i="13" s="1"/>
  <c r="AJ48" i="13"/>
  <c r="AI48" i="13"/>
  <c r="AH51" i="13" l="1"/>
  <c r="AJ50" i="13"/>
  <c r="AI50" i="13"/>
  <c r="AK50" i="13" s="1"/>
  <c r="AK48" i="13"/>
  <c r="AJ51" i="13" l="1"/>
  <c r="AH52" i="13"/>
  <c r="AI51" i="13"/>
  <c r="AK51" i="13" s="1"/>
  <c r="AH53" i="13" l="1"/>
  <c r="AJ52" i="13"/>
  <c r="AI52" i="13"/>
  <c r="AK52" i="13" s="1"/>
  <c r="AJ53" i="13" l="1"/>
  <c r="AH54" i="13"/>
  <c r="AI53" i="13"/>
  <c r="AK53" i="13" s="1"/>
  <c r="AH55" i="13" l="1"/>
  <c r="AJ54" i="13"/>
  <c r="AI54" i="13"/>
  <c r="AK54" i="13" s="1"/>
  <c r="AJ55" i="13" l="1"/>
  <c r="AH56" i="13"/>
  <c r="AI55" i="13"/>
  <c r="AK55" i="13" s="1"/>
  <c r="AH57" i="13" l="1"/>
  <c r="AH58" i="13" s="1"/>
  <c r="AJ56" i="13"/>
  <c r="AI56" i="13"/>
  <c r="AK56" i="13" s="1"/>
  <c r="AJ58" i="13" l="1"/>
  <c r="AH59" i="13"/>
  <c r="AI58" i="13"/>
  <c r="AK58" i="13" s="1"/>
  <c r="AJ57" i="13"/>
  <c r="AI57" i="13"/>
  <c r="AK57" i="13" s="1"/>
  <c r="AJ59" i="13" l="1"/>
  <c r="AH60" i="13"/>
  <c r="AI59" i="13"/>
  <c r="AK59" i="13" s="1"/>
  <c r="AJ60" i="13" l="1"/>
  <c r="AH61" i="13"/>
  <c r="AI60" i="13"/>
  <c r="AK60" i="13" s="1"/>
  <c r="AJ61" i="13" l="1"/>
  <c r="AH62" i="13"/>
  <c r="AI61" i="13"/>
  <c r="AK61" i="13" s="1"/>
  <c r="AJ62" i="13" l="1"/>
  <c r="AH63" i="13"/>
  <c r="AI62" i="13"/>
  <c r="AK62" i="13" s="1"/>
  <c r="AJ63" i="13" l="1"/>
  <c r="AH64" i="13"/>
  <c r="AI63" i="13"/>
  <c r="AK63" i="13" s="1"/>
  <c r="AJ64" i="13" l="1"/>
  <c r="AI64" i="13"/>
  <c r="AK64" i="13" s="1"/>
</calcChain>
</file>

<file path=xl/sharedStrings.xml><?xml version="1.0" encoding="utf-8"?>
<sst xmlns="http://schemas.openxmlformats.org/spreadsheetml/2006/main" count="2508" uniqueCount="1899">
  <si>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</si>
  <si>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</si>
  <si>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</si>
  <si>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</si>
  <si>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</si>
  <si>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</si>
  <si>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</si>
  <si>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</si>
  <si>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</si>
  <si>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</si>
  <si>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</si>
  <si>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</si>
  <si>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</si>
  <si>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</si>
  <si>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</si>
  <si>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</si>
  <si>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</si>
  <si>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</si>
  <si>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</si>
  <si>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</si>
  <si>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</si>
  <si>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</si>
  <si>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</si>
  <si>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</si>
  <si>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</si>
  <si>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</si>
  <si>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</si>
  <si>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</si>
  <si>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</si>
  <si>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</si>
  <si>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</si>
  <si>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</si>
  <si>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</si>
  <si>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</si>
  <si>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</si>
  <si>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</si>
  <si>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</si>
  <si>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</si>
  <si>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</si>
  <si>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</si>
  <si>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</si>
  <si>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</si>
  <si>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</si>
  <si>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</si>
  <si>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</si>
  <si>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</si>
  <si>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</si>
  <si>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</si>
  <si>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</si>
  <si>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</si>
  <si>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</si>
  <si>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</si>
  <si>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</si>
  <si>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</si>
  <si>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</si>
  <si>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</si>
  <si>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</si>
  <si>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</si>
  <si>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</si>
  <si>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</si>
  <si>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</si>
  <si>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</si>
  <si>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</si>
  <si>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</si>
  <si>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</si>
  <si>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</si>
  <si>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</si>
  <si>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</si>
  <si>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</si>
  <si>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</si>
  <si>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</si>
  <si>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</si>
  <si>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</si>
  <si>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</si>
  <si>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</si>
  <si>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</si>
  <si>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</si>
  <si>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</si>
  <si>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</si>
  <si>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</si>
  <si>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</si>
  <si>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</si>
  <si>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</si>
  <si>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</si>
  <si>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</si>
  <si>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</si>
  <si>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</si>
  <si>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</si>
  <si>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</si>
  <si>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</si>
  <si>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</si>
  <si>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</si>
  <si>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</si>
  <si>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</si>
  <si>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</si>
  <si>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</si>
  <si>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</si>
  <si>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</si>
  <si>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</si>
  <si>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</si>
  <si>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</si>
  <si>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</si>
  <si>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</si>
  <si>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</si>
  <si>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</si>
  <si>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</si>
  <si>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</si>
  <si>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</si>
  <si>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</si>
  <si>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</si>
  <si>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</si>
  <si>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</si>
  <si>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</si>
  <si>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</si>
  <si>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</si>
  <si>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</si>
  <si>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</si>
  <si>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</si>
  <si>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</si>
  <si>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</si>
  <si>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</si>
  <si>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</si>
  <si>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</si>
  <si>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</si>
  <si>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</si>
  <si>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</si>
  <si>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</si>
  <si>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</si>
  <si>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</si>
  <si>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</si>
  <si>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</si>
  <si>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</si>
  <si>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</si>
  <si>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</si>
  <si>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</si>
  <si>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</si>
  <si>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</si>
  <si>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</si>
  <si>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</si>
  <si>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</si>
  <si>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</si>
  <si>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</si>
  <si>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</si>
  <si>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</si>
  <si>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</si>
  <si>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</si>
  <si>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</si>
  <si>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</si>
  <si>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</si>
  <si>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</si>
  <si>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</si>
  <si>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</si>
  <si>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</si>
  <si>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</si>
  <si>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</si>
  <si>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</si>
  <si>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</si>
  <si>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</si>
  <si>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</si>
  <si>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</si>
  <si>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</si>
  <si>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</si>
  <si>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</si>
  <si>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</si>
  <si>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</si>
  <si>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</si>
  <si>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</si>
  <si>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</si>
  <si>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</si>
  <si>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</si>
  <si>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</si>
  <si>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</si>
  <si>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</si>
  <si>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</si>
  <si>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</si>
  <si>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</si>
  <si>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</si>
  <si>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</si>
  <si>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</si>
  <si>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</si>
  <si>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</si>
  <si>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</si>
  <si>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</si>
  <si>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</si>
  <si>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</si>
  <si>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</si>
  <si>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</si>
  <si>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</si>
  <si>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</si>
  <si>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</si>
  <si>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</si>
  <si>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</si>
  <si>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</si>
  <si>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</si>
  <si>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</si>
  <si>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</si>
  <si>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</si>
  <si>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</si>
  <si>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</si>
  <si>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</si>
  <si>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</si>
  <si>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</si>
  <si>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</si>
  <si>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</si>
  <si>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</si>
  <si>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</si>
  <si>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</si>
  <si>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</si>
  <si>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</si>
  <si>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</si>
  <si>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</si>
  <si>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</si>
  <si>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</si>
  <si>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</si>
  <si>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</si>
  <si>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</si>
  <si>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</si>
  <si>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</si>
  <si>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</si>
  <si>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</si>
  <si>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</si>
  <si>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</si>
  <si>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</si>
  <si>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</si>
  <si>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</si>
  <si>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</si>
  <si>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</si>
  <si>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</si>
  <si>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</si>
  <si>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</si>
  <si>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</si>
  <si>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</si>
  <si>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</si>
  <si>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</si>
  <si>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</si>
  <si>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</si>
  <si>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</si>
  <si>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</si>
  <si>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</si>
  <si>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</si>
  <si>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</si>
  <si>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</si>
  <si>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</si>
  <si>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</si>
  <si>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</si>
  <si>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</si>
  <si>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</si>
  <si>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</si>
  <si>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</si>
  <si>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</si>
  <si>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</si>
  <si>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</si>
  <si>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</si>
  <si>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</si>
  <si>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</si>
  <si>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</si>
  <si>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</si>
  <si>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</si>
  <si>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</si>
  <si>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</si>
  <si>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</si>
  <si>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</si>
  <si>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</si>
  <si>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</si>
  <si>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</si>
  <si>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</si>
  <si>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</si>
  <si>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</si>
  <si>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</si>
  <si>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</si>
  <si>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</si>
  <si>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</si>
  <si>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</si>
  <si>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</si>
  <si>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</si>
  <si>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</si>
  <si>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</si>
  <si>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</si>
  <si>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</si>
  <si>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</si>
  <si>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</si>
  <si>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</si>
  <si>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</si>
  <si>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</si>
  <si>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</si>
  <si>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</si>
  <si>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</si>
  <si>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</si>
  <si>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</si>
  <si>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</si>
  <si>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</si>
  <si>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</si>
  <si>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</si>
  <si>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</si>
  <si>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</si>
  <si>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</si>
  <si>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</si>
  <si>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</si>
  <si>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</si>
  <si>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</si>
  <si>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</si>
  <si>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</si>
  <si>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</si>
  <si>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</si>
  <si>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</si>
  <si>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</si>
  <si>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</si>
  <si>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</si>
  <si>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</si>
  <si>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</si>
  <si>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</si>
  <si>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</si>
  <si>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</si>
  <si>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</si>
  <si>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</si>
  <si>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</si>
  <si>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</si>
  <si>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</si>
  <si>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</si>
  <si>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</si>
  <si>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</si>
  <si>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</si>
  <si>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</si>
  <si>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</si>
  <si>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</si>
  <si>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</si>
  <si>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</si>
  <si>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</si>
  <si>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</si>
  <si>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</si>
  <si>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</si>
  <si>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</si>
  <si>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</si>
  <si>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</si>
  <si>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</si>
  <si>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</si>
  <si>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</si>
  <si>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</si>
  <si>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</si>
  <si>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</si>
  <si>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</si>
  <si>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</si>
  <si>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</si>
  <si>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</si>
  <si>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</si>
  <si>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</si>
  <si>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</si>
  <si>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</si>
  <si>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</si>
  <si>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</si>
  <si>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</si>
  <si>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</si>
  <si>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</si>
  <si>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</si>
  <si>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</si>
  <si>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</si>
  <si>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</si>
  <si>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</si>
  <si>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</si>
  <si>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</si>
  <si>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</si>
  <si>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</si>
  <si>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</si>
  <si>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</si>
  <si>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</si>
  <si>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</si>
  <si>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</si>
  <si>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</si>
  <si>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</si>
  <si>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</si>
  <si>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</si>
  <si>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</si>
  <si>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</si>
  <si>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</si>
  <si>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</si>
  <si>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</si>
  <si>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</si>
  <si>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</si>
  <si>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</si>
  <si>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</si>
  <si>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</si>
  <si>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</si>
  <si>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</si>
  <si>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</si>
  <si>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</si>
  <si>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</si>
  <si>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</si>
  <si>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</si>
  <si>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</si>
  <si>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</si>
  <si>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</si>
  <si>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</si>
  <si>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</si>
  <si>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</si>
  <si>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</si>
  <si>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</si>
  <si>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</si>
  <si>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</si>
  <si>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</si>
  <si>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</si>
  <si>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</si>
  <si>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</si>
  <si>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</si>
  <si>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</si>
  <si>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</si>
  <si>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</si>
  <si>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</si>
  <si>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</si>
  <si>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</si>
  <si>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</si>
  <si>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</si>
  <si>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</si>
  <si>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</si>
  <si>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</si>
  <si>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</si>
  <si>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</si>
  <si>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</si>
  <si>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</si>
  <si>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</si>
  <si>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</si>
  <si>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</si>
  <si>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</si>
  <si>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</si>
  <si>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</si>
  <si>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</si>
  <si>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</si>
  <si>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</si>
  <si>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</si>
  <si>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</si>
  <si>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</si>
  <si>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</si>
  <si>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</si>
  <si>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</si>
  <si>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</si>
  <si>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</si>
  <si>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</si>
  <si>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</si>
  <si>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</si>
  <si>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</si>
  <si>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</si>
  <si>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</si>
  <si>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</si>
  <si>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</si>
  <si>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</si>
  <si>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</si>
  <si>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</si>
  <si>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</si>
  <si>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</si>
  <si>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</si>
  <si>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</si>
  <si>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</si>
  <si>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</si>
  <si>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</si>
  <si>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</si>
  <si>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</si>
  <si>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</si>
  <si>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</si>
  <si>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</si>
  <si>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</si>
  <si>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</si>
  <si>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</si>
  <si>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</si>
  <si>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</si>
  <si>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</si>
  <si>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</si>
  <si>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</si>
  <si>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</si>
  <si>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</si>
  <si>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</si>
  <si>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</si>
  <si>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</si>
  <si>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</si>
  <si>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</si>
  <si>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</si>
  <si>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</si>
  <si>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</si>
  <si>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</si>
  <si>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</si>
  <si>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</si>
  <si>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</si>
  <si>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</si>
  <si>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</si>
  <si>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</si>
  <si>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</si>
  <si>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</si>
  <si>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</si>
  <si>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</si>
  <si>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</si>
  <si>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</si>
  <si>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</si>
  <si>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</si>
  <si>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</si>
  <si>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</si>
  <si>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</si>
  <si>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</si>
  <si>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</si>
  <si>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</si>
  <si>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</si>
  <si>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</si>
  <si>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</si>
  <si>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</si>
  <si>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</si>
  <si>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</si>
  <si>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</si>
  <si>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</si>
  <si>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</si>
  <si>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</si>
  <si>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</si>
  <si>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</si>
  <si>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</si>
  <si>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</si>
  <si>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</si>
  <si>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</si>
  <si>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</si>
  <si>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</si>
  <si>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</si>
  <si>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</si>
  <si>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</si>
  <si>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</si>
  <si>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</si>
  <si>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</si>
  <si>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</si>
  <si>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</si>
  <si>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</si>
  <si>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</si>
  <si>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</si>
  <si>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</si>
  <si>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</si>
  <si>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</si>
  <si>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</si>
  <si>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</si>
  <si>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</si>
  <si>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</si>
  <si>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</si>
  <si>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</si>
  <si>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</si>
  <si>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</si>
  <si>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</si>
  <si>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</si>
  <si>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</si>
  <si>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</si>
  <si>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</si>
  <si>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</si>
  <si>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</si>
  <si>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</si>
  <si>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</si>
  <si>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</si>
  <si>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</si>
  <si>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</si>
  <si>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</si>
  <si>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</si>
  <si>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</si>
  <si>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</si>
  <si>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</si>
  <si>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</si>
  <si>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</si>
  <si>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</si>
  <si>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</si>
  <si>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</si>
  <si>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</si>
  <si>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</si>
  <si>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</si>
  <si>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</si>
  <si>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</si>
  <si>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</si>
  <si>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</si>
  <si>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</si>
  <si>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</si>
  <si>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</si>
  <si>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</si>
  <si>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</si>
  <si>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</si>
  <si>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</si>
  <si>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</si>
  <si>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</si>
  <si>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</si>
  <si>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</si>
  <si>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</si>
  <si>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</si>
  <si>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</si>
  <si>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</si>
  <si>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</si>
  <si>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</si>
  <si>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</si>
  <si>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</si>
  <si>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</si>
  <si>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</si>
  <si>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</si>
  <si>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</si>
  <si>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</si>
  <si>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</si>
  <si>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</si>
  <si>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</si>
  <si>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</si>
  <si>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</si>
  <si>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</si>
  <si>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</si>
  <si>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</si>
  <si>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</si>
  <si>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</si>
  <si>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</si>
  <si>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</si>
  <si>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</si>
  <si>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</si>
  <si>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</si>
  <si>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</si>
  <si>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</si>
  <si>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</si>
  <si>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</si>
  <si>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</si>
  <si>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</si>
  <si>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</si>
  <si>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</si>
  <si>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</si>
  <si>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</si>
  <si>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</si>
  <si>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</si>
  <si>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</si>
  <si>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</si>
  <si>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</si>
  <si>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</si>
  <si>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</si>
  <si>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</si>
  <si>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</si>
  <si>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</si>
  <si>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</si>
  <si>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</si>
  <si>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</si>
  <si>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</si>
  <si>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</si>
  <si>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</si>
  <si>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</si>
  <si>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</si>
  <si>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</si>
  <si>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</si>
  <si>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</si>
  <si>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</si>
  <si>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</si>
  <si>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</si>
  <si>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</si>
  <si>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</si>
  <si>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</si>
  <si>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</si>
  <si>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</si>
  <si>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</si>
  <si>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</si>
  <si>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</si>
  <si>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</si>
  <si>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</si>
  <si>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</si>
  <si>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</si>
  <si>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</si>
  <si>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</si>
  <si>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</si>
  <si>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</si>
  <si>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</si>
  <si>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</si>
  <si>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</si>
  <si>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</si>
  <si>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</si>
  <si>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</si>
  <si>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</si>
  <si>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</si>
  <si>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</si>
  <si>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</si>
  <si>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</si>
  <si>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</si>
  <si>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</si>
  <si>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</si>
  <si>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</si>
  <si>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</si>
  <si>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</si>
  <si>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</si>
  <si>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</si>
  <si>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</si>
  <si>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</si>
  <si>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</si>
  <si>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</si>
  <si>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</si>
  <si>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</si>
  <si>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</si>
  <si>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</si>
  <si>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</si>
  <si>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</si>
  <si>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</si>
  <si>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</si>
  <si>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</si>
  <si>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</si>
  <si>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</si>
  <si>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</si>
  <si>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</si>
  <si>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</si>
  <si>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</si>
  <si>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</si>
  <si>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</si>
  <si>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</si>
  <si>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</si>
  <si>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</si>
  <si>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</si>
  <si>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</si>
  <si>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</si>
  <si>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</si>
  <si>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</si>
  <si>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</si>
  <si>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</si>
  <si>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</si>
  <si>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</si>
  <si>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</si>
  <si>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</si>
  <si>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</si>
  <si>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</si>
  <si>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</si>
  <si>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</si>
  <si>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</si>
  <si>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</si>
  <si>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</si>
  <si>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</si>
  <si>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</si>
  <si>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</si>
  <si>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</si>
  <si>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</si>
  <si>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</si>
  <si>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</si>
  <si>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</si>
  <si>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</si>
  <si>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</si>
  <si>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</si>
  <si>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</si>
  <si>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</si>
  <si>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</si>
  <si>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</si>
  <si>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</si>
  <si>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</si>
  <si>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</si>
  <si>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</si>
  <si>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</si>
  <si>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</si>
  <si>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</si>
  <si>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</si>
  <si>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</si>
  <si>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</si>
  <si>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</si>
  <si>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</si>
  <si>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</si>
  <si>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</si>
  <si>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</si>
  <si>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</si>
  <si>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</si>
  <si>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</si>
  <si>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</si>
  <si>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</si>
  <si>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</si>
  <si>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</si>
  <si>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</si>
  <si>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</si>
  <si>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</si>
  <si>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</si>
  <si>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</si>
  <si>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</si>
  <si>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</si>
  <si>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</si>
  <si>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</si>
  <si>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</si>
  <si>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</si>
  <si>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</si>
  <si>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</si>
  <si>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</si>
  <si>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</si>
  <si>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</si>
  <si>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</si>
  <si>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</si>
  <si>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</si>
  <si>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</si>
  <si>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</si>
  <si>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</si>
  <si>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</si>
  <si>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</si>
  <si>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</si>
  <si>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</si>
  <si>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</si>
  <si>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</si>
  <si>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</si>
  <si>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</si>
  <si>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</si>
  <si>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</si>
  <si>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</si>
  <si>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</si>
  <si>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</si>
  <si>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</si>
  <si>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</si>
  <si>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</si>
  <si>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</si>
  <si>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</si>
  <si>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</si>
  <si>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</si>
  <si>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</si>
  <si>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</si>
  <si>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</si>
  <si>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</si>
  <si>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</si>
  <si>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</si>
  <si>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</si>
  <si>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</si>
  <si>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</si>
  <si>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</si>
  <si>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</si>
  <si>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</si>
  <si>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</si>
  <si>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</si>
  <si>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</si>
  <si>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</si>
  <si>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</si>
  <si>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</si>
  <si>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</si>
  <si>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</si>
  <si>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</si>
  <si>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</si>
  <si>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</si>
  <si>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</si>
  <si>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</si>
  <si>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</si>
  <si>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</si>
  <si>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</si>
  <si>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</si>
  <si>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</si>
  <si>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</si>
  <si>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</si>
  <si>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</si>
  <si>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</si>
  <si>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</si>
  <si>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</si>
  <si>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</si>
  <si>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</si>
  <si>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</si>
  <si>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</si>
  <si>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</si>
  <si>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</si>
  <si>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</si>
  <si>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</si>
  <si>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</si>
  <si>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</si>
  <si>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</si>
  <si>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</si>
  <si>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</si>
  <si>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</si>
  <si>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</si>
  <si>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</si>
  <si>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</si>
  <si>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</si>
  <si>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</si>
  <si>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</si>
  <si>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</si>
  <si>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</si>
  <si>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</si>
  <si>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</si>
  <si>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</si>
  <si>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</si>
  <si>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</si>
  <si>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</si>
  <si>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</si>
  <si>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</si>
  <si>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</si>
  <si>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</si>
  <si>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</si>
  <si>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</si>
  <si>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</si>
  <si>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</si>
  <si>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</si>
  <si>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</si>
  <si>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</si>
  <si>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</si>
  <si>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</si>
  <si>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</si>
  <si>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</si>
  <si>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</si>
  <si>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</si>
  <si>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</si>
  <si>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</si>
  <si>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</si>
  <si>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</si>
  <si>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</si>
  <si>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</si>
  <si>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</si>
  <si>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</si>
  <si>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</si>
  <si>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</si>
  <si>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</si>
  <si>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</si>
  <si>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</si>
  <si>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</si>
  <si>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</si>
  <si>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</si>
  <si>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</si>
  <si>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</si>
  <si>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</si>
  <si>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</si>
  <si>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</si>
  <si>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</si>
  <si>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</si>
  <si>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</si>
  <si>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</si>
  <si>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</si>
  <si>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</si>
  <si>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</si>
  <si>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</si>
  <si>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</si>
  <si>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</si>
  <si>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</si>
  <si>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</si>
  <si>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</si>
  <si>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</si>
  <si>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</si>
  <si>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</si>
  <si>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</si>
  <si>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</si>
  <si>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</si>
  <si>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</si>
  <si>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</si>
  <si>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</si>
  <si>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</si>
  <si>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</si>
  <si>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</si>
  <si>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</si>
  <si>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</si>
  <si>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</si>
  <si>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</si>
  <si>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</si>
  <si>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</si>
  <si>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</si>
  <si>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</si>
  <si>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</si>
  <si>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</si>
  <si>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</si>
  <si>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</si>
  <si>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</si>
  <si>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</si>
  <si>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</si>
  <si>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</si>
  <si>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</si>
  <si>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</si>
  <si>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</si>
  <si>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</si>
  <si>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</si>
  <si>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</si>
  <si>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</si>
  <si>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</si>
  <si>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</si>
  <si>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</si>
  <si>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</si>
  <si>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</si>
  <si>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</si>
  <si>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</si>
  <si>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</si>
  <si>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</si>
  <si>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</si>
  <si>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</si>
  <si>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</si>
  <si>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</si>
  <si>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</si>
  <si>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</si>
  <si>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</si>
  <si>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</si>
  <si>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</si>
  <si>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</si>
  <si>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</si>
  <si>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</si>
  <si>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</si>
  <si>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</si>
  <si>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</si>
  <si>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</si>
  <si>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</si>
  <si>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</si>
  <si>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</si>
  <si>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</si>
  <si>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</si>
  <si>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</si>
  <si>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</si>
  <si>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</si>
  <si>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</si>
  <si>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</si>
  <si>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</si>
  <si>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</si>
  <si>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</si>
  <si>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</si>
  <si>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</si>
  <si>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</si>
  <si>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</si>
  <si>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</si>
  <si>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</si>
  <si>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</si>
  <si>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</si>
  <si>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</si>
  <si>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</si>
  <si>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</si>
  <si>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</si>
  <si>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</si>
  <si>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</si>
  <si>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</si>
  <si>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</si>
  <si>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</si>
  <si>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</si>
  <si>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</si>
  <si>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</si>
  <si>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</si>
  <si>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</si>
  <si>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</si>
  <si>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</si>
  <si>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</si>
  <si>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</si>
  <si>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</si>
  <si>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</si>
  <si>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</si>
  <si>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</si>
  <si>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</si>
  <si>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</si>
  <si>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</si>
  <si>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</si>
  <si>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</si>
  <si>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</si>
  <si>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</si>
  <si>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</si>
  <si>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</si>
  <si>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</si>
  <si>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</si>
  <si>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</si>
  <si>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</si>
  <si>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</si>
  <si>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</si>
  <si>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</si>
  <si>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</si>
  <si>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</si>
  <si>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</si>
  <si>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</si>
  <si>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</si>
  <si>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</si>
  <si>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</si>
  <si>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</si>
  <si>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</si>
  <si>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</si>
  <si>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</si>
  <si>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</si>
  <si>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</si>
  <si>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</si>
  <si>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</si>
  <si>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</si>
  <si>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</si>
  <si>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</si>
  <si>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</si>
  <si>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</si>
  <si>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</si>
  <si>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</si>
  <si>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</si>
  <si>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</si>
  <si>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</si>
  <si>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</si>
  <si>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</si>
  <si>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</si>
  <si>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</si>
  <si>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</si>
  <si>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</si>
  <si>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</si>
  <si>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</si>
  <si>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</si>
  <si>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</si>
  <si>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</si>
  <si>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</si>
  <si>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</si>
  <si>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</si>
  <si>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</si>
  <si>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</si>
  <si>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</si>
  <si>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</si>
  <si>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</si>
  <si>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</si>
  <si>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</si>
  <si>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</si>
  <si>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</si>
  <si>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</si>
  <si>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</si>
  <si>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</si>
  <si>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</si>
  <si>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</si>
  <si>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</si>
  <si>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</si>
  <si>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</si>
  <si>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</si>
  <si>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</si>
  <si>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</si>
  <si>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</si>
  <si>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</si>
  <si>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</si>
  <si>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</si>
  <si>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</si>
  <si>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</si>
  <si>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</si>
  <si>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</si>
  <si>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</si>
  <si>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</si>
  <si>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</si>
  <si>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</si>
  <si>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</si>
  <si>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</si>
  <si>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</si>
  <si>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</si>
  <si>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</si>
  <si>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</si>
  <si>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</si>
  <si>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</si>
  <si>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</si>
  <si>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</si>
  <si>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</si>
  <si>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</si>
  <si>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</si>
  <si>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</si>
  <si>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</si>
  <si>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</si>
  <si>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</si>
  <si>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</si>
  <si>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</si>
  <si>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</si>
  <si>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</si>
  <si>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</si>
  <si>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</si>
  <si>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</si>
  <si>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</si>
  <si>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</si>
  <si>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</si>
  <si>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</si>
  <si>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</si>
  <si>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</si>
  <si>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</si>
  <si>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</si>
  <si>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</si>
  <si>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</si>
  <si>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</si>
  <si>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</si>
  <si>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</si>
  <si>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</si>
  <si>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</si>
  <si>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</si>
  <si>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</si>
  <si>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</si>
  <si>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</si>
  <si>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</si>
  <si>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</si>
  <si>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</si>
  <si>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</si>
  <si>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</si>
  <si>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</si>
  <si>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</si>
  <si>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</si>
  <si>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</si>
  <si>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</si>
  <si>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</si>
  <si>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</si>
  <si>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</si>
  <si>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</si>
  <si>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</si>
  <si>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</si>
  <si>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</si>
  <si>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</si>
  <si>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</si>
  <si>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</si>
  <si>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</si>
  <si>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</si>
  <si>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</si>
  <si>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</si>
  <si>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</si>
  <si>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</si>
  <si>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</si>
  <si>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</si>
  <si>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</si>
  <si>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</si>
  <si>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</si>
  <si>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</si>
  <si>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</si>
  <si>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</si>
  <si>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</si>
  <si>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</si>
  <si>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</si>
  <si>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</si>
  <si>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</si>
  <si>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</si>
  <si>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</si>
  <si>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</si>
  <si>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</si>
  <si>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</si>
  <si>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</si>
  <si>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</si>
  <si>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</si>
  <si>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</si>
  <si>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</si>
  <si>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</si>
  <si>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</si>
  <si>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</si>
  <si>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</si>
  <si>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</si>
  <si>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</si>
  <si>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</si>
  <si>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</si>
  <si>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</si>
  <si>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</si>
  <si>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</si>
  <si>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</si>
  <si>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</si>
  <si>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</si>
  <si>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</si>
  <si>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</si>
  <si>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</si>
  <si>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</si>
  <si>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</si>
  <si>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</si>
  <si>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</si>
  <si>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</si>
  <si>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</si>
  <si>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</si>
  <si>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</si>
  <si>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</si>
  <si>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</si>
  <si>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</si>
  <si>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</si>
  <si>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</si>
  <si>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</si>
  <si>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</si>
  <si>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</si>
  <si>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</si>
  <si>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</si>
  <si>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</si>
  <si>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</si>
  <si>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</si>
  <si>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</si>
  <si>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</si>
  <si>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</si>
  <si>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</si>
  <si>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</si>
  <si>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</si>
  <si>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</si>
  <si>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</si>
  <si>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</si>
  <si>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</si>
  <si>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</si>
  <si>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</si>
  <si>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</si>
  <si>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</si>
  <si>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</si>
  <si>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</si>
  <si>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</si>
  <si>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</si>
  <si>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</si>
  <si>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</si>
  <si>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</si>
  <si>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</si>
  <si>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</si>
  <si>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</si>
  <si>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</si>
  <si>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</si>
  <si>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</si>
  <si>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</si>
  <si>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</si>
  <si>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</si>
  <si>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</si>
  <si>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</si>
  <si>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</si>
  <si>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</si>
  <si>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</si>
  <si>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</si>
  <si>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</si>
  <si>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</si>
  <si>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</si>
  <si>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</si>
  <si>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</si>
  <si>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</si>
  <si>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</si>
  <si>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</si>
  <si>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</si>
  <si>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</si>
  <si>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</si>
  <si>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</si>
  <si>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</si>
  <si>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</si>
  <si>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</si>
  <si>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</si>
  <si>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</si>
  <si>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</si>
  <si>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</si>
  <si>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</si>
  <si>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</si>
  <si>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</si>
  <si>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</si>
  <si>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</si>
  <si>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</si>
  <si>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</si>
  <si>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</si>
  <si>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</si>
  <si>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</si>
  <si>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</si>
  <si>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</si>
  <si>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</si>
  <si>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</si>
  <si>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</si>
  <si>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</si>
  <si>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</si>
  <si>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</si>
  <si>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</si>
  <si>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</si>
  <si>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</si>
  <si>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</si>
  <si>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</si>
  <si>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</si>
  <si>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</si>
  <si>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</si>
  <si>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</si>
  <si>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</si>
  <si>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</si>
  <si>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</si>
  <si>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</si>
  <si>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</si>
  <si>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</si>
  <si>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</si>
  <si>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</si>
  <si>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</si>
  <si>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</si>
  <si>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</si>
  <si>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</si>
  <si>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</si>
  <si>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</si>
  <si>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</si>
  <si>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</si>
  <si>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</si>
  <si>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</si>
  <si>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</si>
  <si>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</si>
  <si>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</si>
  <si>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</si>
  <si>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</si>
  <si>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</si>
  <si>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</si>
  <si>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</si>
  <si>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</si>
  <si>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</si>
  <si>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</si>
  <si>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</si>
  <si>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</si>
  <si>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</si>
  <si>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</si>
  <si>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</si>
  <si>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</si>
  <si>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</si>
  <si>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</si>
  <si>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</si>
  <si>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</si>
  <si>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</si>
  <si>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</si>
  <si>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</si>
  <si>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</si>
  <si>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</si>
  <si>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</si>
  <si>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</si>
  <si>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</si>
  <si>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</si>
  <si>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</si>
  <si>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</si>
  <si>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</si>
  <si>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</si>
  <si>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</si>
  <si>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</si>
  <si>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</si>
  <si>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</si>
  <si>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</si>
  <si>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</si>
  <si>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</si>
  <si>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</si>
  <si>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</si>
  <si>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</si>
  <si>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</si>
  <si>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</si>
  <si>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</si>
  <si>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</si>
  <si>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</si>
  <si>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</si>
  <si>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</si>
  <si>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</si>
  <si>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</si>
  <si>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</si>
  <si>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</si>
  <si>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</si>
  <si>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</si>
  <si>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</si>
  <si>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</si>
  <si>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</si>
  <si>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</si>
  <si>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</si>
  <si>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</si>
  <si>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</si>
  <si>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</si>
  <si>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</si>
  <si>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</si>
  <si>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</si>
  <si>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</si>
  <si>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</si>
  <si>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</si>
  <si>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</si>
  <si>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</si>
  <si>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</si>
  <si>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</si>
  <si>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</si>
  <si>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</si>
  <si>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</si>
  <si>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</si>
  <si>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</si>
  <si>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</si>
  <si>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</si>
  <si>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</si>
  <si>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</si>
  <si>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</si>
  <si>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</si>
  <si>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</si>
  <si>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</si>
  <si>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</si>
  <si>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</si>
  <si>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</si>
  <si>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</si>
  <si>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</si>
  <si>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</si>
  <si>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</si>
  <si>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</si>
  <si>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</si>
  <si>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</si>
  <si>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</si>
  <si>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</si>
  <si>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</si>
  <si>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</si>
  <si>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</si>
  <si>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</si>
  <si>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</si>
  <si>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</si>
  <si>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</si>
  <si>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</si>
  <si>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</si>
  <si>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</si>
  <si>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</si>
  <si>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</si>
  <si>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</si>
  <si>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</si>
  <si>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</si>
  <si>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</si>
  <si>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</si>
  <si>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</si>
  <si>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</si>
  <si>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</si>
  <si>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</si>
  <si>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</si>
  <si>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</si>
  <si>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</si>
  <si>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</si>
  <si>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</si>
  <si>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</si>
  <si>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</si>
  <si>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</si>
  <si>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</si>
  <si>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</si>
  <si>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</si>
  <si>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</si>
  <si>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</si>
  <si>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</si>
  <si>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</si>
  <si>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</si>
  <si>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</si>
  <si>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</si>
  <si>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</si>
  <si>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</si>
  <si>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</si>
  <si>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</si>
  <si>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</si>
  <si>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</si>
  <si>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</si>
  <si>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</si>
  <si>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</si>
  <si>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</si>
  <si>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</si>
  <si>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</si>
  <si>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</si>
  <si>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</si>
  <si>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</si>
  <si>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</si>
  <si>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</si>
  <si>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</si>
  <si>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</si>
  <si>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</si>
  <si>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</si>
  <si>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</si>
  <si>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</si>
  <si>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</si>
  <si>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</si>
  <si>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</si>
  <si>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</si>
  <si>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</si>
  <si>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</si>
  <si>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</si>
  <si>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</si>
  <si>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</si>
  <si>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</si>
  <si>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</si>
  <si>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</si>
  <si>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</si>
  <si>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</si>
  <si>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</si>
  <si>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</si>
  <si>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</si>
  <si>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</si>
  <si>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</si>
  <si>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</si>
  <si>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</si>
  <si>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</si>
  <si>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</si>
  <si>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</si>
  <si>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</si>
  <si>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</si>
  <si>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</si>
  <si>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</si>
  <si>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</si>
  <si>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</si>
  <si>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</si>
  <si>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</si>
  <si>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</si>
  <si>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</si>
  <si>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</si>
  <si>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</si>
  <si>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</si>
  <si>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</si>
  <si>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</si>
  <si>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</si>
  <si>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</si>
  <si>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</si>
  <si>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</si>
  <si>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</si>
  <si>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</si>
  <si>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</si>
  <si>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</si>
  <si>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</si>
  <si>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</si>
  <si>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</si>
  <si>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</si>
  <si>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</si>
  <si>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</si>
  <si>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</si>
  <si>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</si>
  <si>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</si>
  <si>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</si>
  <si>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</si>
  <si>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</si>
  <si>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</si>
  <si>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</si>
  <si>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</si>
  <si>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</si>
  <si>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</si>
  <si>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</si>
  <si>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</si>
  <si>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</si>
  <si>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</si>
  <si>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</si>
  <si>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</si>
  <si>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</si>
  <si>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</si>
  <si>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</si>
  <si>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</si>
  <si>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</si>
  <si>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</si>
  <si>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</si>
  <si>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</si>
  <si>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</si>
  <si>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</si>
  <si>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</si>
  <si>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</si>
  <si>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</si>
  <si>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</si>
  <si>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</si>
  <si>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</si>
  <si>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</si>
  <si>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</si>
  <si>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</si>
  <si>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</si>
  <si>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</si>
  <si>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</si>
  <si>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</si>
  <si>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</si>
  <si>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</si>
  <si>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</si>
  <si>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</si>
  <si>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</si>
  <si>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</si>
  <si>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</si>
  <si>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</si>
  <si>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</si>
  <si>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</si>
  <si>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</si>
  <si>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</si>
  <si>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</si>
  <si>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</si>
  <si>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</si>
  <si>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</si>
  <si>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</si>
  <si>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</si>
  <si>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</si>
  <si>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</si>
  <si>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</si>
  <si>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</si>
  <si>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</si>
  <si>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</si>
  <si>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</si>
  <si>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</si>
  <si>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</si>
  <si>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</si>
  <si>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</si>
  <si>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</si>
  <si>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</si>
  <si>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</si>
  <si>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</si>
  <si>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</si>
  <si>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</si>
  <si>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</si>
  <si>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</si>
  <si>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</si>
  <si>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</si>
  <si>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</si>
  <si>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</si>
  <si>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</si>
  <si>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</si>
  <si>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</si>
  <si>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</si>
  <si>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</si>
  <si>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</si>
  <si>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</si>
  <si>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</si>
  <si>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</si>
  <si>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</si>
  <si>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</si>
  <si>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</si>
  <si>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</si>
  <si>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</si>
  <si>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</si>
  <si>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</si>
  <si>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</si>
  <si>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</si>
  <si>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</si>
  <si>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</si>
  <si>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</si>
  <si>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</si>
  <si>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</si>
  <si>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</si>
  <si>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</si>
  <si>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</si>
  <si>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</si>
  <si>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</si>
  <si>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</si>
  <si>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</si>
  <si>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</si>
  <si>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</si>
  <si>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</si>
  <si>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</si>
  <si>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</si>
  <si>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</si>
  <si>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</si>
  <si>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</si>
  <si>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</si>
  <si>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</si>
  <si>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</si>
  <si>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</si>
  <si>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</si>
  <si>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</si>
  <si>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</si>
  <si>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</si>
  <si>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</si>
  <si>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</si>
  <si>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</si>
  <si>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</si>
  <si>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</si>
  <si>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</si>
  <si>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</si>
  <si>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</si>
  <si>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</si>
  <si>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</si>
  <si>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</si>
  <si>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</si>
  <si>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</si>
  <si>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</si>
  <si>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</si>
  <si>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</si>
  <si>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</si>
  <si>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</si>
  <si>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</si>
  <si>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</si>
  <si>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</si>
  <si>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</si>
  <si>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</si>
  <si>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</si>
  <si>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</si>
  <si>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</si>
  <si>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</si>
  <si>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</si>
  <si>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</si>
  <si>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</si>
  <si>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</si>
  <si>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</si>
  <si>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</si>
  <si>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</si>
  <si>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</si>
  <si>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</si>
  <si>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</si>
  <si>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</si>
  <si>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</si>
  <si>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</si>
  <si>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</si>
  <si>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</si>
  <si>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</si>
  <si>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</si>
  <si>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</si>
  <si>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</si>
  <si>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</si>
  <si>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</si>
  <si>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</si>
  <si>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</si>
  <si>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</si>
  <si>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</si>
  <si>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</si>
  <si>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</si>
  <si>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</si>
  <si>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</si>
  <si>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</si>
  <si>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</si>
  <si>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</si>
  <si>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</si>
  <si>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</si>
  <si>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</si>
  <si>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</si>
  <si>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</si>
  <si>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</si>
  <si>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</si>
  <si>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</si>
  <si>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</si>
  <si>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</si>
  <si>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</si>
  <si>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</si>
  <si>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</si>
  <si>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</si>
  <si>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</si>
  <si>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</si>
  <si>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</si>
  <si>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</si>
  <si>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</si>
  <si>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</si>
  <si>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</si>
  <si>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</si>
  <si>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</si>
  <si>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</si>
  <si>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</si>
  <si>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</si>
  <si>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</si>
  <si>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</si>
  <si>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</si>
  <si>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</si>
  <si>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</si>
  <si>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</si>
  <si>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</si>
  <si>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</si>
  <si>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</si>
  <si>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</si>
  <si>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</si>
  <si>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</si>
  <si>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</si>
  <si>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</si>
  <si>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</si>
  <si>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</si>
  <si>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</si>
  <si>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</si>
  <si>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</si>
  <si>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</si>
  <si>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</si>
  <si>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</si>
  <si>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</si>
  <si>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</si>
  <si>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</si>
  <si>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</si>
  <si>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</si>
  <si>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</si>
  <si>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</si>
  <si>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</si>
  <si>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</si>
  <si>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</si>
  <si>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</si>
  <si>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</si>
  <si>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</si>
  <si>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</si>
  <si>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</si>
  <si>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</si>
  <si>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</si>
  <si>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</si>
  <si>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</si>
  <si>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</si>
  <si>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</si>
  <si>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</si>
  <si>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</si>
  <si>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</si>
  <si>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</si>
  <si>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</si>
  <si>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</si>
  <si>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</si>
  <si>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</si>
  <si>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</si>
  <si>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</si>
  <si>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</si>
  <si>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</si>
  <si>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</si>
  <si>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</si>
  <si>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</si>
  <si>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</si>
  <si>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</si>
  <si>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</si>
  <si>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</si>
  <si>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</si>
  <si>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</si>
  <si>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</si>
  <si>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</si>
  <si>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</si>
  <si>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</si>
  <si>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</si>
  <si>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</si>
  <si>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</si>
  <si>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</si>
  <si>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</si>
  <si>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</si>
  <si>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</si>
  <si>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</si>
  <si>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</si>
  <si>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</si>
  <si>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</si>
  <si>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</si>
  <si>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</si>
  <si>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</si>
  <si>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</si>
  <si>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</si>
  <si>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</si>
  <si>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</si>
  <si>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</si>
  <si>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</si>
  <si>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</si>
  <si>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</si>
  <si>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</si>
  <si>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</si>
  <si>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</si>
  <si>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</si>
  <si>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</si>
  <si>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</si>
  <si>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</si>
  <si>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Net Credit</t>
  </si>
  <si>
    <t>Max Risk</t>
  </si>
  <si>
    <t>Lower_Strike</t>
  </si>
  <si>
    <t>Lower_Strike_LTP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</si>
  <si>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</si>
  <si>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</si>
  <si>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</si>
  <si>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</si>
  <si>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</si>
  <si>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</si>
  <si>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</si>
  <si>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</si>
  <si>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</si>
  <si>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</si>
  <si>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</si>
  <si>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</si>
  <si>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</si>
  <si>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</si>
  <si>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</si>
  <si>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</si>
  <si>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</si>
  <si>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</si>
  <si>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</si>
  <si>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</si>
  <si>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</si>
  <si>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</si>
  <si>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</si>
  <si>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</si>
  <si>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</si>
  <si>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</si>
  <si>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</si>
  <si>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</si>
  <si>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</si>
  <si>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</si>
  <si>
    <t>20MICRONS</t>
  </si>
  <si>
    <t>LIVE</t>
  </si>
  <si>
    <t>IDFCFIRSTB</t>
  </si>
  <si>
    <t xml:space="preserve"> {ABCAPITAL
} {ABFRL
} {ADANIENT
OC Downloaded 
 PCR and IVSKEW test passed 
 Strikes -&gt; [100.0, 105.0, 110.0, 120.0, 125.0, 130.0, 135.0, 140.0, 145.0, 150.0, 155.0, 160.0, 165.0, 170.0, 180.0, 200.0]
Strike Points -&gt; 10.0
Closest Strike -&gt; 165.0
strikes -&gt; [165.0, 175.0, 175.0]
 Expiries  -&gt; [datetime.date(2020, 5, 28)]
 valid expiry of [datetime.date(2020, 5, 28)]
market lot  -&gt; 4000
l_ltp -&gt; 1.3
initial margin test failed 
} {APOLLOHOSP
OC Downloaded 
 PCR and IVSKEW test passed 
 Strikes -&gt; [1200.0, 1240.0, 1260.0, 1280.0, 1300.0, 1320.0, 1340.0, 1360.0, 1380.0, 1400.0, 1420.0, 1440.0, 1460.0, 1480.0, 1500.0, 1560.0, 1600.0, 1640.0, 1660.0, 1700.0, 1740.0]
Strike Points -&gt; 20.0
Closest Strike -&gt; 1500.0
strikes -&gt; [1500.0, 1520.0, 1520.0]
 Expiries  -&gt; [datetime.date(2020, 5, 28), datetime.date(2020, 6, 25)]
 valid expiry of [datetime.date(2020, 5, 28)]
market lot  -&gt; 500
l_ltp -&gt; 16.15
initial margin test passed. OC_length -&gt; 1
expiry filter test passed. OC_length -&gt; 1
OI &gt; 500 filter test passed. OC_length -&gt; 1
 Final OC Accepted 
} {ARVIND
} {ASIANPAINT
OC Downloaded 
 PCR and IVSKEW test passed 
 Strikes -&gt; [1400.0, 1500.0, 1520.0, 1540.0, 1560.0, 1580.0, 1600.0, 1620.0, 1640.0, 1660.0, 1680.0, 1700.0, 1720.0, 1740.0, 1760.0, 1780.0, 1800.0, 1820.0, 1840.0, 1860.0, 1880.0, 1900.0, 1920.0, 1940.0, 1960.0, 1980.0, 2000.0, 2040.0, 2100.0]
Strike Points -&gt; 20.0
Closest Strike -&gt; 1900.0
strikes -&gt; [1900.0, 1920.0, 1920.0]
 Expiries  -&gt; [datetime.date(2020, 5, 28), datetime.date(2020, 6, 25)]
 valid expiry of [datetime.date(2020, 5, 28)]
market lot  -&gt; 300
l_ltp -&gt; 3.0
initial margin test failed 
} {AUBANK
} {AXISBANK
OC Downloaded 
 PCR and IVSKEW test passed 
 Strikes -&gt; [260.0, 280.0, 300.0, 320.0, 340.0, 360.0, 380.0, 400.0, 420.0, 440.0, 460.0, 480.0, 500.0, 520.0, 540.0, 560.0, 580.0, 600.0, 620.0, 640.0, 700.0, 720.0]
Strike Points -&gt; 20.0
Closest Strike -&gt; 480.0
strikes -&gt; [480.0, 500.0, 500.0]
 Expiries  -&gt; [datetime.date(2020, 5, 28), datetime.date(2020, 6, 25), datetime.date(2020, 7, 30)]
 valid expiry of [datetime.date(2020, 5, 28), datetime.date(2020, 7, 30)]
market lot  -&gt; 1200
l_ltp -&gt; 3.5
initial margin test failed 
} {BAJAJFINSV
OC Downloaded 
 PCR and IVSKEW test passed 
 Strikes -&gt; [4000.0, 4200.0, 4300.0, 4500.0, 4600.0, 4700.0, 4800.0, 4900.0, 5000.0, 5100.0, 5200.0, 5300.0, 5400.0, 5500.0, 5600.0, 5700.0, 5800.0, 5900.0, 6000.0, 6200.0, 6500.0, 7000.0]
Strike Points -&gt; 200.0
Closest Strike -&gt; 5000.0
strikes -&gt; [5000.0, 5200.0, 5200.0]
 Expiries  -&gt; [datetime.date(2020, 5, 28)]
 valid expiry of [datetime.date(2020, 5, 28)]
market lot  -&gt; 125
l_ltp -&gt; 148.05
initial margin test passed. OC_length -&gt; 11
expiry filter test passed. OC_length -&gt; 11
OI &gt; 500 filter test passed. OC_length -&gt; 9
 Final OC Accepted 
} {BAJFINANCE
OC Downloaded 
 PCR and IVSKEW test passed 
 Strikes -&gt; [1500.0, 1600.0, 1700.0, 1800.0, 1900.0, 2000.0, 2100.0, 2200.0, 2300.0, 2400.0, 2500.0, 2600.0, 2700.0, 2800.0, 2900.0, 3000.0, 3100.0, 3200.0, 3300.0, 3400.0, 3500.0, 3600.0, 4000.0, 4500.0, 5000.0]
Strike Points -&gt; 100.0
Closest Strike -&gt; 2500.0
strikes -&gt; [2500.0, 2600.0, 2600.0]
 Expiries  -&gt; [datetime.date(2020, 5, 28), datetime.date(2020, 6, 25), datetime.date(2020, 7, 30)]
 valid expiry of [datetime.date(2020, 5, 28), datetime.date(2020, 7, 30)]
market lot  -&gt; 250
l_ltp -&gt; 37.0
initial margin test passed. OC_length -&gt; 2
expiry filter test passed. OC_length -&gt; 3
OI &gt; 500 filter test passed. OC_length -&gt; 2
 Final OC Accepted 
} {BANKBARODA
OC Downloaded 
 PCR and IVSKEW test passed 
 Strikes -&gt; [35.0, 40.0, 42.5, 45.0, 47.5, 50.0, 52.5, 55.0, 57.5, 60.0, 65.0, 67.5, 70.0, 80.0, 85.0]
Strike Points -&gt; 2.5
Closest Strike -&gt; 55.0
strikes -&gt; [55.0, 57.5, 57.5]
 Expiries  -&gt; [datetime.date(2020, 5, 28), datetime.date(2020, 6, 25)]
 valid expiry of [datetime.date(2020, 5, 28)]
market lot  -&gt; 5400
l_ltp -&gt; 0.45
initial margin test failed 
} {BANKBEES
} {BANKINDIA
} {BEL
OC Downloaded 
 PCR and IVSKEW test passed 
 Strikes -&gt; [50.0, 55.0, 57.5, 60.0, 62.5, 65.0, 67.5, 70.0, 72.5, 75.0, 77.5, 80.0, 82.5, 85.0, 90.0, 95.0, 100.0]
Strike Points -&gt; 2.5
Closest Strike -&gt; 77.5
strikes -&gt; [77.5, 80.0, 80.0]
 Expiries  -&gt; [datetime.date(2020, 5, 28), datetime.date(2020, 6, 25)]
 valid expiry of [datetime.date(2020, 5, 28)]
market lot  -&gt; 6000
l_ltp -&gt; 1.15
initial margin test passed. OC_length -&gt; 1
expiry filter test passed. OC_length -&gt; 1
OI &gt; 500 filter test passed. OC_length -&gt; 1
 Final OC Accepted 
} {BHARATFORG
OC Downloaded 
 PCR and IVSKEW test passed 
 Strikes -&gt; [250.0, 260.0, 270.0, 280.0, 290.0, 300.0, 310.0, 320.0, 330.0, 340.0, 350.0, 360.0, 380.0, 400.0]
Strike Points -&gt; 10.0
Closest Strike -&gt; 260.0
strikes -&gt; [260.0, 270.0, 270.0]
 Expiries  -&gt; [datetime.date(2020, 5, 28), datetime.date(2020, 6, 25)]
 valid expiry of [datetime.date(2020, 5, 28)]
market lot  -&gt; 1300
l_ltp -&gt; 35.3
initial margin test passed. OC_length -&gt; 13
expiry filter test passed. OC_length -&gt; 12
OI &gt; 500 filter test passed. OC_length -&gt; 12
 Final OC Accepted 
} {BHEL
OC Downloaded 
 PCR and IVSKEW test passed 
 Strikes -&gt; [18.0, 19.0, 20.0, 21.0, 22.0, 23.0, 24.0, 25.0, 26.0, 27.0, 28.0, 29.0, 30.0, 31.0, 32.0, 33.0, 34.0, 35.0, 36.0, 40.0, 41.0, 45.0]
Strike Points -&gt; 1.0
Closest Strike -&gt; 24.0
strikes -&gt; [24.0, 25.0, 25.0]
 Expiries  -&gt; [datetime.date(2020, 5, 28), datetime.date(2020, 6, 25)]
 valid expiry of [datetime.date(2020, 5, 28)]
market lot  -&gt; 10400
l_ltp -&gt; 3.85
initial margin test passed. OC_length -&gt; 21
expiry filter test passed. OC_length -&gt; 15
OI &gt; 500 filter test passed. OC_length -&gt; 15
 Final OC Accepted 
} {CANBK
OC Downloaded 
 PCR and IVSKEW test passed 
 Strikes -&gt; [60.0, 65.0, 70.0, 75.0, 80.0, 85.0, 90.0, 95.0, 100.0, 105.0, 110.0, 115.0, 120.0, 125.0, 130.0, 140.0, 150.0]
Strike Points -&gt; 5.0
Closest Strike -&gt; 100.0
strikes -&gt; [100.0, 105.0, 105.0]
 Expiries  -&gt; [datetime.date(2020, 5, 28), datetime.date(2020, 6, 25)]
 valid expiry of [datetime.date(2020, 5, 28)]
market lot  -&gt; 2600
l_ltp -&gt; 2.2
initial margin test passed. OC_length -&gt; 3
expiry filter test passed. OC_length -&gt; 3
OI &gt; 500 filter test passed. OC_length -&gt; 3
 Final OC Accepted 
} {CANFINHOME
} {CENTURYTEX
OC Downloaded 
 PCR and IVSKEW test passed 
 Strikes -&gt; [240.0, 260.0, 280.0, 300.0, 320.0, 340.0, 360.0, 380.0, 400.0]
Strike Points -&gt; 20.0
Closest Strike -&gt; 360.0
strikes -&gt; [360.0, 380.0, 380.0]
 Expiries  -&gt; [datetime.date(2020, 5, 28)]
 valid expiry of [datetime.date(2020, 5, 28)]
market lot  -&gt; 600
l_ltp -&gt; 2.2
initial margin test failed 
} {CHOLAFIN
OC Downloaded 
 PCR and IVSKEW test passed 
 Strikes -&gt; [120.0, 130.0, 135.0, 140.0, 145.0, 150.0, 155.0, 160.0, 165.0, 170.0, 175.0, 180.0, 185.0, 190.0, 200.0, 205.0, 210.0, 220.0, 225.0, 230.0, 240.0, 250.0, 270.0, 300.0]
Strike Points -&gt; 5.0
Closest Strike -&gt; 170.0
strikes -&gt; [170.0, 175.0, 175.0]
 Expiries  -&gt; [datetime.date(2020, 5, 28), datetime.date(2020, 6, 25)]
 valid expiry of [datetime.date(2020, 5, 28)]
market lot  -&gt; 2500
l_ltp -&gt; 3.1
initial margin test passed. OC_length -&gt; 3
expiry filter test passed. OC_length -&gt; 3
OI &gt; 500 filter test passed. OC_length -&gt; 3
 Final OC Accepted 
} {COALINDIA
OC Downloaded 
 PCR and IVSKEW test passed 
 Strikes -&gt; [110.0, 120.0, 125.0, 128.0, 130.0, 133.0, 135.0, 138.0, 140.0, 143.0, 145.0, 148.0, 150.0, 153.0, 155.0, 158.0, 160.0, 163.0, 165.0, 168.0, 170.0, 173.0, 175.0, 180.0, 185.0]
Strike Points -&gt; 3.0
Closest Strike -&gt; 165.0
strikes -&gt; [165.0, 168.0, 168.0]
 Expiries  -&gt; [datetime.date(2020, 5, 28), datetime.date(2020, 6, 25)]
 valid expiry of [datetime.date(2020, 5, 28)]
market lot  -&gt; 2700
l_ltp -&gt; 0.2
initial margin test failed 
} {CROMPTON
} {CUB
} {CUMMINSIND
OC Downloaded 
 PCR and IVSKEW test passed 
 Strikes -&gt; [330.0, 340.0, 350.0, 360.0, 370.0, 380.0, 390.0, 400.0, 410.0, 420.0, 430.0, 440.0, 450.0, 460.0, 470.0, 600.0]
Strike Points -&gt; 10.0
Closest Strike -&gt; 410.0
strikes -&gt; [410.0, 420.0, 420.0]
 Expiries  -&gt; [datetime.date(2020, 5, 28)]
 valid expiry of [datetime.date(2020, 5, 28)]
market lot  -&gt; 900
l_ltp -&gt; 7.2
initial margin test passed. OC_length -&gt; 5
expiry filter test passed. OC_length -&gt; 5
OI &gt; 500 filter test passed. OC_length -&gt; 5
 Final OC Accepted 
} {CYIENT
} {DCBBANK
} {DLF
OC Downloaded 
 PCR and IVSKEW test passed 
 Strikes -&gt; [100.0, 120.0, 125.0, 130.0, 135.0, 140.0, 145.0, 150.0, 155.0, 160.0, 165.0, 170.0, 175.0, 180.0, 185.0, 190.0, 195.0, 200.0]
Strike Points -&gt; 5.0
Closest Strike -&gt; 150.0
strikes -&gt; [150.0, 155.0, 155.0]
 Expiries  -&gt; [datetime.date(2020, 5, 28), datetime.date(2020, 6, 25)]
 valid expiry of [datetime.date(2020, 5, 28)]
market lot  -&gt; 3300
l_ltp -&gt; 3.35
initial margin test passed. OC_length -&gt; 5
expiry filter test passed. OC_length -&gt; 5
OI &gt; 500 filter test passed. OC_length -&gt; 5
 Final OC Accepted 
} {EDELWEISS
} {EMAMILTD
} {EQUITAS
OC Downloaded 
 PCR and IVSKEW test passed 
 Strikes -&gt; [35.0, 40.0, 45.0, 47.5, 50.0, 52.5, 55.0, 57.5, 60.0, 62.5, 65.0, 67.5, 70.0, 75.0, 77.5, 80.0, 82.5, 87.5, 90.0, 100.0, 102.5]
Strike Points -&gt; 2.5
Closest Strike -&gt; 45.0
strikes -&gt; [45.0, 47.5, 47.5]
 Expiries  -&gt; [datetime.date(2020, 5, 28), datetime.date(2020, 6, 25)]
 valid expiry of [datetime.date(2020, 5, 28)]
market lot  -&gt; 4900
l_ltp -&gt; 7.0
initial margin test passed. OC_length -&gt; 21
expiry filter test passed. OC_length -&gt; 17
OI &gt; 500 filter test passed. OC_length -&gt; 17
 Final OC Accepted 
} {EXIDEIND
OC Downloaded 
 PCR and IVSKEW test passed 
 Strikes -&gt; [115.0, 120.0, 135.0, 140.0, 145.0, 147.5, 150.0, 152.5, 155.0, 160.0, 165.0, 170.0, 175.0, 180.0, 185.0, 190.0, 200.0]
Strike Points -&gt; 5.0
Closest Strike -&gt; 155.0
strikes -&gt; [155.0, 160.0, 160.0]
 Expiries  -&gt; [datetime.date(2020, 5, 28)]
 valid expiry of [datetime.date(2020, 5, 28)]
market lot  -&gt; 2900
l_ltp -&gt; 6.5
initial margin test passed. OC_length -&gt; 8
expiry filter test passed. OC_length -&gt; 8
OI &gt; 500 filter test passed. OC_length -&gt; 8
 Final OC Accepted 
} {FEDERALBNK
OC Downloaded 
 PCR and IVSKEW test passed 
 Strikes -&gt; [35.0, 40.0, 42.5, 45.0, 47.5, 50.0, 52.5, 55.0, 57.5, 60.0, 62.5, 65.0, 70.0, 75.0]
Strike Points -&gt; 2.5
Closest Strike -&gt; 45.0
strikes -&gt; [45.0, 47.5, 47.5]
 Expiries  -&gt; [datetime.date(2020, 5, 28), datetime.date(2020, 6, 25)]
 valid expiry of [datetime.date(2020, 5, 28)]
market lot  -&gt; 7000
l_ltp -&gt; 2.45
initial margin test passed. OC_length -&gt; 8
expiry filter test passed. OC_length -&gt; 8
OI &gt; 500 filter test passed. OC_length -&gt; 8
 Final OC Accepted 
} {FORTIS
} {FRETAIL
} {GPPL
} {GRASIM
OC Downloaded 
 PCR and IVSKEW test passed 
 Strikes -&gt; [440.0, 460.0, 480.0, 500.0, 520.0, 540.0, 560.0, 580.0, 600.0, 620.0, 640.0, 660.0, 680.0]
Strike Points -&gt; 20.0
Closest Strike -&gt; 620.0
strikes -&gt; [620.0, 640.0, 640.0]
 Expiries  -&gt; [datetime.date(2020, 5, 28), datetime.date(2020, 6, 25)]
 valid expiry of [datetime.date(2020, 5, 28)]
market lot  -&gt; 750
l_ltp -&gt; 1.6
initial margin test failed 
} {HAVELLS
OC Downloaded 
 PCR and IVSKEW test passed 
 Strikes -&gt; [420.0, 430.0, 440.0, 450.0, 460.0, 470.0, 480.0, 490.0, 500.0, 510.0, 520.0, 530.0, 540.0, 550.0, 560.0, 570.0, 580.0, 600.0, 610.0, 620.0, 630.0, 640.0, 650.0]
Strike Points -&gt; 10.0
Closest Strike -&gt; 610.0
strikes -&gt; [610.0, 620.0, 620.0]
 Expiries  -&gt; [datetime.date(2020, 5, 28), datetime.date(2020, 6, 25)]
 valid expiry of [datetime.date(2020, 5, 28)]
market lot  -&gt; 1000
l_ltp -&gt; 3.0
initial margin test passed. OC_length -&gt; 2
expiry filter test passed. OC_length -&gt; 2
OI &gt; 500 filter test passed. OC_length -&gt; 2
 Final OC Accepted 
} {HDFC
OC Downloaded 
 PCR and IVSKEW test passed 
 Strikes -&gt; [1450.0, 1500.0, 1550.0, 1560.0, 1580.0, 1600.0, 1620.0, 1640.0, 1650.0, 1660.0, 1680.0, 1700.0, 1720.0, 1740.0, 1750.0, 1760.0, 1780.0, 1800.0, 1820.0, 1840.0, 1850.0, 1860.0, 1880.0, 1900.0, 1920.0, 1940.0, 1950.0, 1960.0, 2000.0, 2020.0, 2040.0, 2100.0, 2200.0, 2300.0, 2400.0, 2500.0]
Strike Points -&gt; 10.0
Closest Strike -&gt; 1820.0
strikes -&gt; [1820.0, 1830.0, 1830.0]
 Expiries  -&gt; [datetime.date(2020, 5, 28), datetime.date(2020, 6, 25)]
 valid expiry of [datetime.date(2020, 5, 28)]
market lot  -&gt; 250
l_ltp -&gt; 21.5
initial margin test passed. OC_length -&gt; 6
expiry filter test passed. OC_length -&gt; 6
OI &gt; 500 filter test passed. OC_length -&gt; 6
 Final OC Accepted 
} {HINDPETRO
OC Downloaded 
 PCR and IVSKEW test passed 
 Strikes -&gt; [150.0, 170.0, 180.0, 190.0, 195.0, 200.0, 205.0, 210.0, 215.0, 220.0, 225.0, 230.0, 235.0, 240.0, 245.0, 250.0, 255.0, 260.0, 270.0, 280.0, 300.0]
Strike Points -&gt; 10.0
Closest Strike -&gt; 235.0
strikes -&gt; [235.0, 245.0, 245.0]
 Expiries  -&gt; [datetime.date(2020, 5, 28), datetime.date(2020, 6, 25)]
 valid expiry of [datetime.date(2020, 5, 28)]
market lot  -&gt; 2100
l_ltp -&gt; 1.1
initial margin test failed 
} {IBVENTURES
} {ICICIBANK
OC Downloaded 
 PCR and IVSKEW test passed 
 Strikes -&gt; [180.0, 260.0, 270.0, 280.0, 290.0, 300.0, 310.0, 320.0, 330.0, 340.0, 350.0, 360.0, 370.0, 380.0, 390.0, 400.0, 410.0, 420.0, 430.0, 440.0, 450.0, 460.0, 470.0, 480.0, 500.0, 510.0, 520.0, 530.0, 550.0, 570.0, 600.0]
Strike Points -&gt; 10.0
Closest Strike -&gt; 380.0
strikes -&gt; [380.0, 390.0, 390.0]
 Expiries  -&gt; [datetime.date(2020, 5, 28), datetime.date(2020, 6, 25), datetime.date(2020, 7, 30)]
 valid expiry of [datetime.date(2020, 5, 28), datetime.date(2020, 7, 30)]
market lot  -&gt; 1375
l_ltp -&gt; 3.2
initial margin test failed 
} {IDBI
} {IDFC
} {IDFCFIRSTB
OC Downloaded 
 PCR and IVSKEW test passed 
 Strikes -&gt; [19.0, 20.0, 21.0, 22.0, 23.0, 24.0, 25.0, 26.0, 27.0, 28.0, 29.0, 30.0, 31.0, 32.0]
Strike Points -&gt; 1.0
Closest Strike -&gt; 22.0
strikes -&gt; [22.0, 23.0, 23.0]
 Expiries  -&gt; [datetime.date(2020, 5, 28), datetime.date(2020, 6, 25)]
 valid expiry of [datetime.date(2020, 5, 28)]
market lot  -&gt; 12000
l_ltp -&gt; 1.05
initial margin test passed. OC_length -&gt; 9
expiry filter test passed. OC_length -&gt; 9
OI &gt; 500 filter test passed. OC_length -&gt; 9
 Final OC Accepted 
} {INDHOTEL
} {INDIACEM
} {INDIANB
} {INDUSINDBK
OC Downloaded 
 PCR and IVSKEW test passed 
 Strikes -&gt; [50.0, 250.0, 300.0, 320.0, 340.0, 350.0, 360.0, 380.0, 400.0, 420.0, 440.0, 450.0, 460.0, 480.0, 500.0, 520.0, 540.0, 550.0, 560.0, 580.0, 600.0, 620.0, 650.0, 700.0, 750.0, 800.0, 900.0, 950.0, 1000.0, 1200.0, 1300.0, 1500.0]
Strike Points -&gt; 20.0
Closest Strike -&gt; 460.0
strikes -&gt; [460.0, 480.0, 480.0]
 Expiries  -&gt; [datetime.date(2020, 5, 28), datetime.date(2020, 6, 25)]
 valid expiry of [datetime.date(2020, 5, 28)]
market lot  -&gt; 400
l_ltp -&gt; 19.45
initial margin test passed. OC_length -&gt; 9
expiry filter test passed. OC_length -&gt; 9
OI &gt; 500 filter test passed. OC_length -&gt; 9
 Final OC Accepted 
} {INOXLEISUR
} {IOC
OC Downloaded 
 PCR and IVSKEW test passed 
 Strikes -&gt; [65.0, 70.0, 75.0, 77.5, 80.0, 82.5, 85.0, 87.5, 90.0, 92.5, 95.0, 97.5, 100.0, 105.0, 110.0, 115.0, 120.0, 125.0]
Strike Points -&gt; 2.5
Closest Strike -&gt; 92.5
strikes -&gt; [92.5, 95.0, 95.0]
 Expiries  -&gt; [datetime.date(2020, 5, 28), datetime.date(2020, 6, 25)]
 valid expiry of [datetime.date(2020, 5, 28)]
market lot  -&gt; 4000
l_ltp -&gt; 0.4
initial margin test failed 
} {IRCON
} {ITC
OC Downloaded 
 PCR and IVSKEW test passed 
 Strikes -&gt; [120.0, 125.0, 135.0, 140.0, 145.0, 150.0, 155.0, 160.0, 165.0, 170.0, 175.0, 180.0, 185.0, 190.0, 195.0, 200.0, 205.0, 210.0, 215.0, 220.0, 225.0, 230.0, 235.0, 240.0, 245.0, 250.0]
Strike Points -&gt; 5.0
Closest Strike -&gt; 205.0
strikes -&gt; [205.0, 210.0, 210.0]
 Expiries  -&gt; [datetime.date(2020, 5, 28), datetime.date(2020, 6, 25)]
 valid expiry of [datetime.date(2020, 5, 28)]
market lot  -&gt; 2400
l_ltp -&gt; 0.45
initial margin test failed 
} {J&amp;KBANK
} {JAMNAAUTO
} {JINDALSAW
} {JINDALSTEL
OC Downloaded 
 PCR and IVSKEW test passed 
 Strikes -&gt; [60.0, 70.0, 75.0, 80.0, 85.0, 90.0, 95.0, 100.0, 105.0, 110.0, 115.0, 120.0, 125.0, 130.0, 135.0, 140.0, 150.0]
Strike Points -&gt; 5.0
Closest Strike -&gt; 95.0
strikes -&gt; [95.0, 100.0, 100.0]
 Expiries  -&gt; [datetime.date(2020, 5, 28), datetime.date(2020, 6, 25)]
 valid expiry of [datetime.date(2020, 5, 28)]
market lot  -&gt; 5000
l_ltp -&gt; 6.5
initial margin test passed. OC_length -&gt; 13
expiry filter test passed. OC_length -&gt; 10
OI &gt; 500 filter test passed. OC_length -&gt; 10
 Final OC Accepted 
} {JMFINANCIL
} {JSWENERGY
} {JSWSTEEL
OC Downloaded 
 PCR and IVSKEW test passed 
 Strikes -&gt; [140.0, 150.0, 155.0, 160.0, 165.0, 170.0, 175.0, 180.0, 185.0, 190.0, 195.0, 200.0, 205.0, 210.0, 220.0, 230.0, 240.0, 250.0]
Strike Points -&gt; 5.0
Closest Strike -&gt; 190.0
strikes -&gt; [190.0, 195.0, 195.0]
 Expiries  -&gt; [datetime.date(2020, 5, 28), datetime.date(2020, 6, 25)]
 valid expiry of [datetime.date(2020, 5, 28)]
market lot  -&gt; 2300
l_ltp -&gt; 3.95
initial margin test passed. OC_length -&gt; 5
expiry filter test passed. OC_length -&gt; 5
OI &gt; 500 filter test passed. OC_length -&gt; 5
 Final OC Accepted 
} {KARURVYSYA
} {KEC
} {KOTAKBANK
OC Downloaded 
 PCR and IVSKEW test passed 
 Strikes -&gt; [1000.0, 1080.0, 1100.0, 1120.0, 1140.0, 1150.0, 1160.0, 1180.0, 1200.0, 1220.0, 1240.0, 1250.0, 1260.0, 1280.0, 1300.0, 1320.0, 1340.0, 1350.0, 1360.0, 1380.0, 1400.0, 1420.0, 1440.0, 1450.0, 1460.0, 1500.0, 1520.0, 1600.0, 1700.0]
Strike Points -&gt; 20.0
Closest Strike -&gt; 1350.0
strikes -&gt; [1350.0, 1370.0, 1370.0]
 Expiries  -&gt; [datetime.date(2020, 5, 28), datetime.date(2020, 6, 25)]
 valid expiry of [datetime.date(2020, 5, 28)]
market lot  -&gt; 400
l_ltp -&gt; 8.45
initial margin test passed. OC_length -&gt; 1
expiry filter test passed. OC_length -&gt; 1
OI &gt; 500 filter test passed. OC_length -&gt; 1
 Final OC Accepted 
} {KTKBANK
} {L&amp;TFH
} {LEMONTREE
} {LIQUIDBEES
} {LT
OC Downloaded 
 PCR and IVSKEW test passed 
 Strikes -&gt; [600.0, 700.0, 740.0, 760.0, 780.0, 800.0, 820.0, 840.0, 860.0, 880.0, 900.0, 920.0, 940.0, 960.0, 980.0, 1000.0, 1020.0, 1040.0, 1060.0, 1100.0, 1120.0, 1140.0, 1200.0, 1260.0, 1300.0, 1400.0]
Strike Points -&gt; 20.0
Closest Strike -&gt; 1020.0
strikes -&gt; [1020.0, 1040.0, 1040.0]
 Expiries  -&gt; [datetime.date(2020, 5, 28), datetime.date(2020, 6, 25), datetime.date(2020, 7, 30)]
 valid expiry of [datetime.date(2020, 5, 28), datetime.date(2020, 7, 30)]
market lot  -&gt; 375
l_ltp -&gt; 5.25
initial margin test failed 
} {M&amp;MFIN
} {MAGMA
} {MARUTI
OC Downloaded 
 PCR and IVSKEW test passed 
 Strikes -&gt; [4000.0, 4200.0, 4300.0, 4400.0, 4500.0, 4600.0, 4700.0, 4800.0, 4900.0, 5000.0, 5100.0, 5200.0, 5300.0, 5400.0, 5500.0, 5600.0, 5700.0, 5800.0, 5900.0, 6000.0, 6100.0, 6200.0, 6300.0, 6500.0, 6900.0, 7000.0, 7500.0, 8000.0]
Strike Points -&gt; 100.0
Closest Strike -&gt; 5800.0
strikes -&gt; [5800.0, 5900.0, 5900.0]
 Expiries  -&gt; [datetime.date(2020, 5, 28), datetime.date(2020, 6, 25)]
 valid expiry of [datetime.date(2020, 5, 28)]
market lot  -&gt; 100
l_ltp -&gt; 33.0
initial margin test failed 
} {MCDOWELL-N
OC Downloaded 
 PCR and IVSKEW test passed 
 Strikes -&gt; [420.0, 440.0, 450.0, 460.0, 470.0, 480.0, 490.0, 500.0, 510.0, 520.0, 530.0, 540.0, 550.0, 560.0, 570.0, 580.0, 590.0, 600.0, 610.0, 620.0, 630.0, 640.0, 650.0, 660.0, 670.0, 680.0, 700.0, 710.0, 720.0, 730.0, 750.0, 830.0]
Strike Points -&gt; 10.0
Closest Strike -&gt; 610.0
strikes -&gt; [610.0, 620.0, 620.0]
 Expiries  -&gt; [datetime.date(2020, 5, 28), datetime.date(2020, 6, 25)]
 valid expiry of [datetime.date(2020, 5, 28)]
market lot  -&gt; 1250
l_ltp -&gt; 6.5
initial margin test passed. OC_length -&gt; 3
expiry filter test passed. OC_length -&gt; 3
OI &gt; 500 filter test passed. OC_length -&gt; 3
 Final OC Accepted 
} {NAM-INDIA
} {NATIONALUM
OC Downloaded 
 PCR and IVSKEW test passed 
 Strikes -&gt; [27.0, 28.0, 29.0, 30.0, 31.0, 32.0, 33.0, 34.0, 35.0, 36.0, 37.0, 38.0, 40.0]
Strike Points -&gt; 1.0
Closest Strike -&gt; 33.0
strikes -&gt; [33.0, 34.0, 34.0]
 Expiries  -&gt; [datetime.date(2020, 5, 28), datetime.date(2020, 6, 25)]
 valid expiry of [datetime.date(2020, 5, 28)]
market lot  -&gt; 11700
l_ltp -&gt; 0.4
initial margin test passed. OC_length -&gt; 1
expiry filter test passed. OC_length -&gt; 1
OI &gt; 500 filter test passed. OC_length -&gt; 1
 Final OC Accepted 
} {NHPC
} {NLCINDIA
} {OBEROIRLTY
} {PFC
OC Downloaded 
 PCR and IVSKEW test passed 
 Strikes -&gt; [80.0, 82.5, 83.0, 85.0, 85.5, 87.5, 88.0, 90.0, 90.5, 92.5, 93.0, 95.0, 95.5, 97.5, 98.0, 100.0, 102.5, 105.0, 110.0, 110.5, 115.0, 115.5, 120.0]
Strike Points -&gt; 2.0
Closest Strike -&gt; 98.0
strikes -&gt; [98.0, 100.0, 100.0]
 Expiries  -&gt; [datetime.date(2020, 5, 28), datetime.date(2020, 6, 25)]
 valid expiry of [datetime.date(2020, 5, 28)]
market lot  -&gt; 6200
l_ltp -&gt; 3.5
initial margin test passed. OC_length -&gt; 16
expiry filter test passed. OC_length -&gt; 15
OI &gt; 500 filter test passed. OC_length -&gt; 15
 Final OC Accepted 
} {PIDILITIND
OC Downloaded 
 PCR and IVSKEW test passed 
 Strikes -&gt; [1300.0, 1340.0, 1360.0, 1380.0, 1400.0, 1420.0, 1440.0, 1460.0, 1480.0, 1500.0, 1520.0, 1540.0, 1560.0, 1580.0, 1600.0, 1620.0, 1640.0, 1700.0, 1800.0]
Strike Points -&gt; 20.0
Closest Strike -&gt; 1600.0
strikes -&gt; [1600.0, 1620.0, 1620.0]
 Expiries  -&gt; [datetime.date(2020, 5, 28)]
 valid expiry of [datetime.date(2020, 5, 28)]
market lot  -&gt; 500
l_ltp -&gt; 2.8
initial margin test failed 
} {PNB
OC Downloaded 
 PCR and IVSKEW test passed 
 Strikes -&gt; [24.0, 25.0, 27.0, 28.0, 29.0, 30.0, 31.0, 32.0, 33.0, 34.0, 35.0, 36.0, 37.0, 38.0, 39.0, 40.0, 41.0, 42.0, 45.0, 50.0, 57.0, 60.0]
Strike Points -&gt; 1.0
Closest Strike -&gt; 36.0
strikes -&gt; [36.0, 37.0, 37.0]
 Expiries  -&gt; [datetime.date(2020, 5, 28), datetime.date(2020, 6, 25)]
 valid expiry of [datetime.date(2020, 5, 28)]
market lot  -&gt; 8300
l_ltp -&gt; 0.4
initial margin test failed 
} {PNBHOUSING
} {PVR
OC Downloaded 
 PCR and IVSKEW test passed 
 Strikes -&gt; [650.0, 700.0, 750.0, 800.0, 850.0, 900.0, 950.0, 1000.0, 1050.0, 1100.0, 1150.0, 1200.0, 1250.0, 1300.0, 1350.0, 1400.0, 1450.0, 1500.0, 1600.0, 2200.0]
Strike Points -&gt; 50.0
Closest Strike -&gt; 1150.0
strikes -&gt; [1150.0, 1200.0, 1200.0]
 Expiries  -&gt; [datetime.date(2020, 5, 28), datetime.date(2020, 6, 25)]
 valid expiry of [datetime.date(2020, 5, 28)]
market lot  -&gt; 400
l_ltp -&gt; 5.25
initial margin test failed 
} {RADICO
} {RAMCOCEM
OC Downloaded 
 PCR and IVSKEW test passed 
 Strikes -&gt; [530.0, 540.0, 550.0, 560.0, 570.0, 580.0, 590.0, 600.0, 620.0, 650.0]
Strike Points -&gt; 10.0
Closest Strike -&gt; 580.0
strikes -&gt; [580.0, 590.0, 590.0]
 Expiries  -&gt; [datetime.date(2020, 5, 28), datetime.date(2020, 6, 25)]
 valid expiry of [datetime.date(2020, 5, 28)]
market lot  -&gt; 800
l_ltp -&gt; 20.0
initial margin test passed. OC_length -&gt; 4
expiry filter test passed. OC_length -&gt; 4
OI &gt; 500 filter test passed. OC_length -&gt; 4
 Final OC Accepted 
} {RBLBANK
OC Downloaded 
 PCR and IVSKEW test passed 
 Strikes -&gt; [60.0, 80.0, 100.0, 110.0, 120.0, 130.0, 140.0, 150.0, 160.0, 170.0, 180.0, 190.0, 200.0, 210.0, 220.0, 340.0, 440.0]
Strike Points -&gt; 10.0
Closest Strike -&gt; 140.0
strikes -&gt; [140.0, 150.0, 150.0]
 Expiries  -&gt; [datetime.date(2020, 5, 28), datetime.date(2020, 6, 25)]
 valid expiry of [datetime.date(2020, 5, 28)]
market lot  -&gt; 1500
l_ltp -&gt; 4.25
initial margin test passed. OC_length -&gt; 3
expiry filter test passed. OC_length -&gt; 3
OI &gt; 500 filter test passed. OC_length -&gt; 3
 Final OC Accepted 
} {RECLTD
OC Downloaded 
 PCR and IVSKEW test passed 
 Strikes -&gt; [75.0, 80.0, 85.0, 87.5, 90.0, 92.5, 95.0, 97.5, 100.0, 102.5, 105.0, 107.5, 110.0, 112.5, 115.0, 117.5, 120.0, 125.0, 130.0, 140.0, 145.0]
Strike Points -&gt; 2.5
Closest Strike -&gt; 97.5
strikes -&gt; [97.5, 100.0, 100.0]
 Expiries  -&gt; [datetime.date(2020, 5, 28), datetime.date(2020, 6, 25)]
 valid expiry of [datetime.date(2020, 5, 28)]
market lot  -&gt; 6000
l_ltp -&gt; 5.1
initial margin test passed. OC_length -&gt; 16
expiry filter test passed. OC_length -&gt; 13
OI &gt; 500 filter test passed. OC_length -&gt; 13
 Final OC Accepted 
} {RITES
} {SBICARD
} {SBIN
OC Downloaded 
 PCR and IVSKEW test passed 
 Strikes -&gt; [110.0, 120.0, 130.0, 140.0, 150.0, 160.0, 170.0, 180.0, 190.0, 200.0, 210.0, 220.0, 230.0, 240.0, 250.0, 260.0, 270.0, 280.0, 290.0, 300.0, 310.0, 320.0, 330.0, 340.0, 350.0, 410.0]
Strike Points -&gt; 10.0
Closest Strike -&gt; 200.0
strikes -&gt; [200.0, 210.0, 210.0]
 Expiries  -&gt; [datetime.date(2020, 5, 28), datetime.date(2020, 6, 25), datetime.date(2020, 7, 30)]
 valid expiry of [datetime.date(2020, 5, 28), datetime.date(2020, 7, 30)]
market lot  -&gt; 3000
l_ltp -&gt; 1.75
initial margin test failed 
} {TATAPOWER
OC Downloaded 
 PCR and IVSKEW test passed 
 Strikes -&gt; [24.0, 26.0, 27.0, 28.0, 29.0, 30.0, 31.0, 32.0, 33.0, 34.0, 35.0, 36.0, 37.0, 38.0, 39.0, 40.0, 41.0, 42.0, 45.0, 50.0]
Strike Points -&gt; 1.0
Closest Strike -&gt; 40.0
strikes -&gt; [40.0, 41.0, 41.0]
 Expiries  -&gt; [datetime.date(2020, 5, 28), datetime.date(2020, 6, 25)]
 valid expiry of [datetime.date(2020, 5, 28)]
market lot  -&gt; 9000
l_ltp -&gt; 0.35
initial margin test passed. OC_length -&gt; 1
expiry filter test passed. OC_length -&gt; 1
OI &gt; 500 filter test passed. OC_length -&gt; 1
 Final OC Accepted 
} {TATASTEEL
OC Downloaded 
 PCR and IVSKEW test passed 
 Strikes -&gt; [210.0, 220.0, 230.0, 240.0, 250.0, 260.0, 270.0, 280.0, 290.0, 300.0, 310.0, 320.0, 330.0, 340.0, 350.0, 360.0, 370.0, 380.0, 390.0, 400.0, 410.0, 490.0, 500.0]
Strike Points -&gt; 10.0
Closest Strike -&gt; 320.0
strikes -&gt; [320.0, 330.0, 330.0]
 Expiries  -&gt; [datetime.date(2020, 5, 28), datetime.date(2020, 6, 25)]
 valid expiry of [datetime.date(2020, 5, 28)]
market lot  -&gt; 1500
l_ltp -&gt; 3.1
initial margin test passed. OC_length -&gt; 1
expiry filter test passed. OC_length -&gt; 1
OI &gt; 500 filter test passed. OC_length -&gt; 1
 Final OC Accepted 
} {TATASTLBSL
} {TECHM
OC Downloaded 
 PCR and IVSKEW test passed 
 Strikes -&gt; [430.0, 440.0, 450.0, 470.0, 480.0, 490.0, 500.0, 510.0, 520.0, 530.0, 540.0, 550.0, 560.0, 570.0, 580.0, 590.0, 600.0, 610.0, 620.0, 630.0, 640.0, 650.0, 700.0, 800.0]
Strike Points -&gt; 20.0
Closest Strike -&gt; 590.0
strikes -&gt; [590.0, 610.0, 610.0]
 Expiries  -&gt; [datetime.date(2020, 5, 28), datetime.date(2020, 6, 25)]
 valid expiry of [datetime.date(2020, 5, 28)]
market lot  -&gt; 1200
l_ltp -&gt; 1.7
initial margin test failed 
} {TITAN
OC Downloaded 
 PCR and IVSKEW test passed 
 Strikes -&gt; [640.0, 800.0, 820.0, 840.0, 860.0, 880.0, 900.0, 920.0, 940.0, 960.0, 980.0, 1000.0, 1020.0, 1040.0, 1060.0, 1080.0, 1100.0, 1120.0, 1140.0, 1160.0, 1180.0, 1200.0, 1300.0, 1400.0]
Strike Points -&gt; 20.0
Closest Strike -&gt; 1040.0
strikes -&gt; [1040.0, 1060.0, 1060.0]
 Expiries  -&gt; [datetime.date(2020, 5, 28), datetime.date(2020, 6, 25)]
 valid expiry of [datetime.date(2020, 5, 28)]
market lot  -&gt; 750
l_ltp -&gt; 1.75
initial margin test failed 
} {TNPL
} {TRENT
} {TVSMOTOR
OC Downloaded 
 PCR and IVSKEW test passed 
 Strikes -&gt; [250.0, 260.0, 280.0, 300.0, 310.0, 320.0, 330.0, 340.0, 350.0, 360.0, 370.0, 380.0, 390.0, 400.0, 410.0, 420.0]
Strike Points -&gt; 20.0
Closest Strike -&gt; 310.0
strikes -&gt; [310.0, 330.0, 330.0]
 Expiries  -&gt; [datetime.date(2020, 5, 28), datetime.date(2020, 6, 25)]
 valid expiry of [datetime.date(2020, 5, 28)]
market lot  -&gt; 1350
l_ltp -&gt; 39.7
initial margin test passed. OC_length -&gt; 11
expiry filter test passed. OC_length -&gt; 11
OI &gt; 500 filter test passed. OC_length -&gt; 11
 Final OC Accepted 
} {UBL
OC Downloaded 
 PCR and IVSKEW test passed 
 Strikes -&gt; [800.0, 820.0, 860.0, 880.0, 900.0, 920.0, 940.0, 960.0, 980.0, 1000.0, 1020.0, 1040.0, 1060.0, 1100.0, 1180.0, 1200.0]
Strike Points -&gt; 20.0
Closest Strike -&gt; 1020.0
strikes -&gt; [1020.0, 1040.0, 1040.0]
 Expiries  -&gt; [datetime.date(2020, 5, 28)]
 valid expiry of [datetime.date(2020, 5, 28)]
market lot  -&gt; 700
l_ltp -&gt; 17.5
initial margin test passed. OC_length -&gt; 4
expiry filter test passed. OC_length -&gt; 4
OI &gt; 500 filter test passed. OC_length -&gt; 4
 Final OC Accepted 
} {UJJIVAN
OC Downloaded 
 PCR and IVSKEW test passed 
 Strikes -&gt; [140.0, 150.0, 160.0, 170.0, 180.0, 190.0, 200.0, 210.0, 220.0, 230.0, 240.0, 250.0]
Strike Points -&gt; 10.0
Closest Strike -&gt; 170.0
strikes -&gt; [170.0, 180.0, 180.0]
 Expiries  -&gt; [datetime.date(2020, 5, 28), datetime.date(2020, 6, 25)]
 valid expiry of [datetime.date(2020, 5, 28)]
market lot  -&gt; 1700
l_ltp -&gt; 10.8
initial margin test passed. OC_length -&gt; 8
expiry filter test passed. OC_length -&gt; 8
OI &gt; 500 filter test passed. OC_length -&gt; 8
 Final OC Accepted 
} {UJJIVANSFB
} {ULTRACEMCO
OC Downloaded 
 PCR and IVSKEW test passed 
 Strikes -&gt; [3000.0, 3200.0, 3300.0, 3400.0, 3500.0, 3600.0, 3700.0, 3800.0, 3900.0, 4000.0, 4100.0, 4200.0, 4300.0, 4500.0]
Strike Points -&gt; 100.0
Closest Strike -&gt; 3900.0
strikes -&gt; [3900.0, 4000.0, 4000.0]
 Expiries  -&gt; [datetime.date(2020, 5, 28), datetime.date(2020, 6, 25)]
 valid expiry of [datetime.date(2020, 5, 28)]
market lot  -&gt; 200
l_ltp -&gt; 50.0
initial margin test passed. OC_length -&gt; 3
expiry filter test passed. OC_length -&gt; 3
OI &gt; 500 filter test passed. OC_length -&gt; 3
 Final OC Accepted 
} {UNIONBANK
} {USHAMART
} {VAKRANGEE
} {VGUARD
} {VOLTAS
OC Downloaded 
 PCR and IVSKEW test passed 
 Strikes -&gt; [400.0, 420.0, 430.0, 440.0, 450.0, 460.0, 470.0, 480.0, 490.0, 500.0, 510.0, 520.0, 530.0, 540.0, 550.0, 560.0, 570.0, 580.0, 600.0, 650.0]
Strike Points -&gt; 10.0
Closest Strike -&gt; 580.0
strikes -&gt; [580.0, 590.0, 590.0]
 Expiries  -&gt; [datetime.date(2020, 5, 28), datetime.date(2020, 6, 25)]
 valid expiry of [datetime.date(2020, 5, 28)]
market lot  -&gt; 1000
l_ltp -&gt; 1.2
initial margin test failed 
} {WELCORP
} {WELSPUNIND
} {YESBANK
OC Downloaded 
 PCR and IVSKEW test passed 
 Strikes -&gt; [10.0, 15.0, 20.0, 25.0, 30.0, 35.0, 40.0, 45.0, 50.0, 55.0, 60.0, 65.0, 70.0, 75.0, 80.0, 85.0]
Strike Points -&gt; 5.0
Closest Strike -&gt; 30.0
strikes -&gt; [30.0, 35.0, 35.0]
 Expiries  -&gt; [datetime.date(2020, 5, 28)]
 valid expiry of [datetime.date(2020, 5, 28)]
market lot  -&gt; 8800
l_ltp -&gt; 1.8
initial margin test passed. OC_length -&gt; 2
expiry filter test passed. OC_length -&gt; 2
OI &gt; 500 filter test passed. OC_length -&gt; 2
 Final OC Accepted 
} {ZEELEARN
}</t>
  </si>
  <si>
    <t>SELL</t>
  </si>
  <si>
    <t>BUY</t>
  </si>
  <si>
    <t>S</t>
  </si>
  <si>
    <t>S_C</t>
  </si>
  <si>
    <t>L_C</t>
  </si>
  <si>
    <t>CF</t>
  </si>
  <si>
    <t>Strategy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</si>
</sst>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%"/>
    <numFmt numFmtId="166" formatCode="[$-409]d\-mmm\-yy;@"/>
    <numFmt numFmtId="167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2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164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Font="1"/>
    <xf numFmtId="167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164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164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66" fontId="2" fillId="2" borderId="4" xfId="0" applyNumberFormat="1" applyFont="1" applyFill="1" applyBorder="1" applyAlignment="1">
      <alignment horizontal="left"/>
    </xf>
    <xf numFmtId="166" fontId="2" fillId="2" borderId="16" xfId="0" applyNumberFormat="1" applyFont="1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8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 vertical="top" wrapText="1"/>
    </xf>
    <xf numFmtId="0" fontId="8" fillId="2" borderId="10" xfId="0" applyFont="1" applyFill="1" applyBorder="1" applyAlignment="1">
      <alignment horizontal="center" vertical="top" wrapText="1"/>
    </xf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0" fillId="0" borderId="17" xfId="0" applyBorder="1"/>
    <xf numFmtId="0" fontId="0" fillId="0" borderId="17" xfId="0" applyBorder="1" applyAlignme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'Bear Call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23.76</c:v>
                </c:pt>
                <c:pt idx="1">
                  <c:v>23.84</c:v>
                </c:pt>
                <c:pt idx="2">
                  <c:v>23.919999999999998</c:v>
                </c:pt>
                <c:pt idx="3">
                  <c:v>23.999999999999996</c:v>
                </c:pt>
                <c:pt idx="4">
                  <c:v>24.079999999999995</c:v>
                </c:pt>
                <c:pt idx="5">
                  <c:v>24.159999999999993</c:v>
                </c:pt>
                <c:pt idx="6">
                  <c:v>24.239999999999991</c:v>
                </c:pt>
                <c:pt idx="7">
                  <c:v>24.31999999999999</c:v>
                </c:pt>
                <c:pt idx="8">
                  <c:v>24.399999999999988</c:v>
                </c:pt>
                <c:pt idx="9">
                  <c:v>24.479999999999986</c:v>
                </c:pt>
                <c:pt idx="10">
                  <c:v>24.559999999999985</c:v>
                </c:pt>
                <c:pt idx="11">
                  <c:v>24.639999999999983</c:v>
                </c:pt>
                <c:pt idx="12">
                  <c:v>24.719999999999981</c:v>
                </c:pt>
                <c:pt idx="13">
                  <c:v>24.799999999999979</c:v>
                </c:pt>
                <c:pt idx="14">
                  <c:v>24.879999999999978</c:v>
                </c:pt>
                <c:pt idx="15">
                  <c:v>24.959999999999976</c:v>
                </c:pt>
                <c:pt idx="16">
                  <c:v>25.039999999999974</c:v>
                </c:pt>
                <c:pt idx="17">
                  <c:v>25.119999999999973</c:v>
                </c:pt>
                <c:pt idx="18">
                  <c:v>25.199999999999971</c:v>
                </c:pt>
                <c:pt idx="19">
                  <c:v>25.279999999999969</c:v>
                </c:pt>
                <c:pt idx="20">
                  <c:v>25.359999999999967</c:v>
                </c:pt>
                <c:pt idx="21">
                  <c:v>25.439999999999966</c:v>
                </c:pt>
                <c:pt idx="22">
                  <c:v>25.519999999999964</c:v>
                </c:pt>
                <c:pt idx="23">
                  <c:v>25.599999999999962</c:v>
                </c:pt>
                <c:pt idx="24">
                  <c:v>25.679999999999961</c:v>
                </c:pt>
                <c:pt idx="25">
                  <c:v>25.759999999999959</c:v>
                </c:pt>
                <c:pt idx="26">
                  <c:v>25.839999999999957</c:v>
                </c:pt>
                <c:pt idx="27">
                  <c:v>25.919999999999956</c:v>
                </c:pt>
                <c:pt idx="28">
                  <c:v>25.999999999999954</c:v>
                </c:pt>
                <c:pt idx="29">
                  <c:v>26.079999999999952</c:v>
                </c:pt>
                <c:pt idx="30">
                  <c:v>26.15999999999995</c:v>
                </c:pt>
                <c:pt idx="31">
                  <c:v>26.239999999999949</c:v>
                </c:pt>
                <c:pt idx="32">
                  <c:v>26.319999999999947</c:v>
                </c:pt>
                <c:pt idx="33">
                  <c:v>26.399999999999945</c:v>
                </c:pt>
                <c:pt idx="34">
                  <c:v>26.479999999999944</c:v>
                </c:pt>
                <c:pt idx="35">
                  <c:v>26.559999999999942</c:v>
                </c:pt>
                <c:pt idx="36">
                  <c:v>26.63999999999994</c:v>
                </c:pt>
                <c:pt idx="37">
                  <c:v>26.719999999999938</c:v>
                </c:pt>
                <c:pt idx="38">
                  <c:v>26.799999999999937</c:v>
                </c:pt>
                <c:pt idx="39">
                  <c:v>26.879999999999935</c:v>
                </c:pt>
                <c:pt idx="40">
                  <c:v>26.959999999999933</c:v>
                </c:pt>
                <c:pt idx="41">
                  <c:v>27.039999999999932</c:v>
                </c:pt>
                <c:pt idx="42">
                  <c:v>27.11999999999993</c:v>
                </c:pt>
                <c:pt idx="43">
                  <c:v>27.199999999999928</c:v>
                </c:pt>
                <c:pt idx="44">
                  <c:v>27.279999999999927</c:v>
                </c:pt>
                <c:pt idx="45">
                  <c:v>27.359999999999925</c:v>
                </c:pt>
                <c:pt idx="46">
                  <c:v>27.439999999999923</c:v>
                </c:pt>
                <c:pt idx="47">
                  <c:v>27.519999999999921</c:v>
                </c:pt>
                <c:pt idx="48">
                  <c:v>27.59999999999992</c:v>
                </c:pt>
                <c:pt idx="49">
                  <c:v>27.679999999999918</c:v>
                </c:pt>
                <c:pt idx="50">
                  <c:v>27.759999999999916</c:v>
                </c:pt>
                <c:pt idx="51">
                  <c:v>27.839999999999915</c:v>
                </c:pt>
                <c:pt idx="52">
                  <c:v>27.919999999999913</c:v>
                </c:pt>
                <c:pt idx="53">
                  <c:v>27.999999999999911</c:v>
                </c:pt>
                <c:pt idx="54">
                  <c:v>28.079999999999909</c:v>
                </c:pt>
                <c:pt idx="55">
                  <c:v>28.159999999999908</c:v>
                </c:pt>
                <c:pt idx="56">
                  <c:v>28.239999999999906</c:v>
                </c:pt>
              </c:numCache>
            </c:numRef>
          </c:cat>
          <c:val>
            <c:numRef>
              <c:f>'Bear Call Spread'!$AH$8:$AH$64</c:f>
              <c:numCache>
                <c:formatCode>General</c:formatCode>
                <c:ptCount val="57"/>
                <c:pt idx="0">
                  <c:v>23.76</c:v>
                </c:pt>
                <c:pt idx="1">
                  <c:v>23.84</c:v>
                </c:pt>
                <c:pt idx="2">
                  <c:v>23.919999999999998</c:v>
                </c:pt>
                <c:pt idx="3">
                  <c:v>23.999999999999996</c:v>
                </c:pt>
                <c:pt idx="4">
                  <c:v>24.079999999999995</c:v>
                </c:pt>
                <c:pt idx="5">
                  <c:v>24.159999999999993</c:v>
                </c:pt>
                <c:pt idx="6">
                  <c:v>24.239999999999991</c:v>
                </c:pt>
                <c:pt idx="7">
                  <c:v>24.31999999999999</c:v>
                </c:pt>
                <c:pt idx="8">
                  <c:v>24.399999999999988</c:v>
                </c:pt>
                <c:pt idx="9">
                  <c:v>24.479999999999986</c:v>
                </c:pt>
                <c:pt idx="10">
                  <c:v>24.559999999999985</c:v>
                </c:pt>
                <c:pt idx="11">
                  <c:v>24.639999999999983</c:v>
                </c:pt>
                <c:pt idx="12">
                  <c:v>24.719999999999981</c:v>
                </c:pt>
                <c:pt idx="13">
                  <c:v>24.799999999999979</c:v>
                </c:pt>
                <c:pt idx="14">
                  <c:v>24.879999999999978</c:v>
                </c:pt>
                <c:pt idx="15">
                  <c:v>24.959999999999976</c:v>
                </c:pt>
                <c:pt idx="16">
                  <c:v>25.039999999999974</c:v>
                </c:pt>
                <c:pt idx="17">
                  <c:v>25.119999999999973</c:v>
                </c:pt>
                <c:pt idx="18">
                  <c:v>25.199999999999971</c:v>
                </c:pt>
                <c:pt idx="19">
                  <c:v>25.279999999999969</c:v>
                </c:pt>
                <c:pt idx="20">
                  <c:v>25.359999999999967</c:v>
                </c:pt>
                <c:pt idx="21">
                  <c:v>25.439999999999966</c:v>
                </c:pt>
                <c:pt idx="22">
                  <c:v>25.519999999999964</c:v>
                </c:pt>
                <c:pt idx="23">
                  <c:v>25.599999999999962</c:v>
                </c:pt>
                <c:pt idx="24">
                  <c:v>25.679999999999961</c:v>
                </c:pt>
                <c:pt idx="25">
                  <c:v>25.759999999999959</c:v>
                </c:pt>
                <c:pt idx="26">
                  <c:v>25.839999999999957</c:v>
                </c:pt>
                <c:pt idx="27">
                  <c:v>25.919999999999956</c:v>
                </c:pt>
                <c:pt idx="28">
                  <c:v>25.999999999999954</c:v>
                </c:pt>
                <c:pt idx="29">
                  <c:v>26.079999999999952</c:v>
                </c:pt>
                <c:pt idx="30">
                  <c:v>26.15999999999995</c:v>
                </c:pt>
                <c:pt idx="31">
                  <c:v>26.239999999999949</c:v>
                </c:pt>
                <c:pt idx="32">
                  <c:v>26.319999999999947</c:v>
                </c:pt>
                <c:pt idx="33">
                  <c:v>26.399999999999945</c:v>
                </c:pt>
                <c:pt idx="34">
                  <c:v>26.479999999999944</c:v>
                </c:pt>
                <c:pt idx="35">
                  <c:v>26.559999999999942</c:v>
                </c:pt>
                <c:pt idx="36">
                  <c:v>26.63999999999994</c:v>
                </c:pt>
                <c:pt idx="37">
                  <c:v>26.719999999999938</c:v>
                </c:pt>
                <c:pt idx="38">
                  <c:v>26.799999999999937</c:v>
                </c:pt>
                <c:pt idx="39">
                  <c:v>26.879999999999935</c:v>
                </c:pt>
                <c:pt idx="40">
                  <c:v>26.959999999999933</c:v>
                </c:pt>
                <c:pt idx="41">
                  <c:v>27.039999999999932</c:v>
                </c:pt>
                <c:pt idx="42">
                  <c:v>27.11999999999993</c:v>
                </c:pt>
                <c:pt idx="43">
                  <c:v>27.199999999999928</c:v>
                </c:pt>
                <c:pt idx="44">
                  <c:v>27.279999999999927</c:v>
                </c:pt>
                <c:pt idx="45">
                  <c:v>27.359999999999925</c:v>
                </c:pt>
                <c:pt idx="46">
                  <c:v>27.439999999999923</c:v>
                </c:pt>
                <c:pt idx="47">
                  <c:v>27.519999999999921</c:v>
                </c:pt>
                <c:pt idx="48">
                  <c:v>27.59999999999992</c:v>
                </c:pt>
                <c:pt idx="49">
                  <c:v>27.679999999999918</c:v>
                </c:pt>
                <c:pt idx="50">
                  <c:v>27.759999999999916</c:v>
                </c:pt>
                <c:pt idx="51">
                  <c:v>27.839999999999915</c:v>
                </c:pt>
                <c:pt idx="52">
                  <c:v>27.919999999999913</c:v>
                </c:pt>
                <c:pt idx="53">
                  <c:v>27.999999999999911</c:v>
                </c:pt>
                <c:pt idx="54">
                  <c:v>28.079999999999909</c:v>
                </c:pt>
                <c:pt idx="55">
                  <c:v>28.159999999999908</c:v>
                </c:pt>
                <c:pt idx="56">
                  <c:v>28.239999999999906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0-4FB0-A92B-FD4AE76CDF68}"/>
            </c:ext>
          </c:extLst>
        </c:ser>
        <c:ser>
          <c:idx val="3"/>
          <c:order val="3"/>
          <c:tx>
            <c:strRef>
              <c:f>'Bear Call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23.76</c:v>
                </c:pt>
                <c:pt idx="1">
                  <c:v>23.84</c:v>
                </c:pt>
                <c:pt idx="2">
                  <c:v>23.919999999999998</c:v>
                </c:pt>
                <c:pt idx="3">
                  <c:v>23.999999999999996</c:v>
                </c:pt>
                <c:pt idx="4">
                  <c:v>24.079999999999995</c:v>
                </c:pt>
                <c:pt idx="5">
                  <c:v>24.159999999999993</c:v>
                </c:pt>
                <c:pt idx="6">
                  <c:v>24.239999999999991</c:v>
                </c:pt>
                <c:pt idx="7">
                  <c:v>24.31999999999999</c:v>
                </c:pt>
                <c:pt idx="8">
                  <c:v>24.399999999999988</c:v>
                </c:pt>
                <c:pt idx="9">
                  <c:v>24.479999999999986</c:v>
                </c:pt>
                <c:pt idx="10">
                  <c:v>24.559999999999985</c:v>
                </c:pt>
                <c:pt idx="11">
                  <c:v>24.639999999999983</c:v>
                </c:pt>
                <c:pt idx="12">
                  <c:v>24.719999999999981</c:v>
                </c:pt>
                <c:pt idx="13">
                  <c:v>24.799999999999979</c:v>
                </c:pt>
                <c:pt idx="14">
                  <c:v>24.879999999999978</c:v>
                </c:pt>
                <c:pt idx="15">
                  <c:v>24.959999999999976</c:v>
                </c:pt>
                <c:pt idx="16">
                  <c:v>25.039999999999974</c:v>
                </c:pt>
                <c:pt idx="17">
                  <c:v>25.119999999999973</c:v>
                </c:pt>
                <c:pt idx="18">
                  <c:v>25.199999999999971</c:v>
                </c:pt>
                <c:pt idx="19">
                  <c:v>25.279999999999969</c:v>
                </c:pt>
                <c:pt idx="20">
                  <c:v>25.359999999999967</c:v>
                </c:pt>
                <c:pt idx="21">
                  <c:v>25.439999999999966</c:v>
                </c:pt>
                <c:pt idx="22">
                  <c:v>25.519999999999964</c:v>
                </c:pt>
                <c:pt idx="23">
                  <c:v>25.599999999999962</c:v>
                </c:pt>
                <c:pt idx="24">
                  <c:v>25.679999999999961</c:v>
                </c:pt>
                <c:pt idx="25">
                  <c:v>25.759999999999959</c:v>
                </c:pt>
                <c:pt idx="26">
                  <c:v>25.839999999999957</c:v>
                </c:pt>
                <c:pt idx="27">
                  <c:v>25.919999999999956</c:v>
                </c:pt>
                <c:pt idx="28">
                  <c:v>25.999999999999954</c:v>
                </c:pt>
                <c:pt idx="29">
                  <c:v>26.079999999999952</c:v>
                </c:pt>
                <c:pt idx="30">
                  <c:v>26.15999999999995</c:v>
                </c:pt>
                <c:pt idx="31">
                  <c:v>26.239999999999949</c:v>
                </c:pt>
                <c:pt idx="32">
                  <c:v>26.319999999999947</c:v>
                </c:pt>
                <c:pt idx="33">
                  <c:v>26.399999999999945</c:v>
                </c:pt>
                <c:pt idx="34">
                  <c:v>26.479999999999944</c:v>
                </c:pt>
                <c:pt idx="35">
                  <c:v>26.559999999999942</c:v>
                </c:pt>
                <c:pt idx="36">
                  <c:v>26.63999999999994</c:v>
                </c:pt>
                <c:pt idx="37">
                  <c:v>26.719999999999938</c:v>
                </c:pt>
                <c:pt idx="38">
                  <c:v>26.799999999999937</c:v>
                </c:pt>
                <c:pt idx="39">
                  <c:v>26.879999999999935</c:v>
                </c:pt>
                <c:pt idx="40">
                  <c:v>26.959999999999933</c:v>
                </c:pt>
                <c:pt idx="41">
                  <c:v>27.039999999999932</c:v>
                </c:pt>
                <c:pt idx="42">
                  <c:v>27.11999999999993</c:v>
                </c:pt>
                <c:pt idx="43">
                  <c:v>27.199999999999928</c:v>
                </c:pt>
                <c:pt idx="44">
                  <c:v>27.279999999999927</c:v>
                </c:pt>
                <c:pt idx="45">
                  <c:v>27.359999999999925</c:v>
                </c:pt>
                <c:pt idx="46">
                  <c:v>27.439999999999923</c:v>
                </c:pt>
                <c:pt idx="47">
                  <c:v>27.519999999999921</c:v>
                </c:pt>
                <c:pt idx="48">
                  <c:v>27.59999999999992</c:v>
                </c:pt>
                <c:pt idx="49">
                  <c:v>27.679999999999918</c:v>
                </c:pt>
                <c:pt idx="50">
                  <c:v>27.759999999999916</c:v>
                </c:pt>
                <c:pt idx="51">
                  <c:v>27.839999999999915</c:v>
                </c:pt>
                <c:pt idx="52">
                  <c:v>27.919999999999913</c:v>
                </c:pt>
                <c:pt idx="53">
                  <c:v>27.999999999999911</c:v>
                </c:pt>
                <c:pt idx="54">
                  <c:v>28.079999999999909</c:v>
                </c:pt>
                <c:pt idx="55">
                  <c:v>28.159999999999908</c:v>
                </c:pt>
                <c:pt idx="56">
                  <c:v>28.239999999999906</c:v>
                </c:pt>
              </c:numCache>
            </c:numRef>
          </c:cat>
          <c:val>
            <c:numRef>
              <c:f>'Bear Call Spread'!$AK$8:$AK$64</c:f>
              <c:numCache>
                <c:formatCode>General</c:formatCode>
                <c:ptCount val="57"/>
                <c:pt idx="0">
                  <c:v>24960.000000000004</c:v>
                </c:pt>
                <c:pt idx="1">
                  <c:v>24960.000000000004</c:v>
                </c:pt>
                <c:pt idx="2">
                  <c:v>24960.000000000004</c:v>
                </c:pt>
                <c:pt idx="3">
                  <c:v>24960.000000000004</c:v>
                </c:pt>
                <c:pt idx="4">
                  <c:v>24128.000000000058</c:v>
                </c:pt>
                <c:pt idx="5">
                  <c:v>23296.000000000076</c:v>
                </c:pt>
                <c:pt idx="6">
                  <c:v>22464.000000000095</c:v>
                </c:pt>
                <c:pt idx="7">
                  <c:v>21632.000000000113</c:v>
                </c:pt>
                <c:pt idx="8">
                  <c:v>20800.000000000131</c:v>
                </c:pt>
                <c:pt idx="9">
                  <c:v>19968.000000000146</c:v>
                </c:pt>
                <c:pt idx="10">
                  <c:v>19136.000000000164</c:v>
                </c:pt>
                <c:pt idx="11">
                  <c:v>18304.000000000182</c:v>
                </c:pt>
                <c:pt idx="12">
                  <c:v>17472.000000000196</c:v>
                </c:pt>
                <c:pt idx="13">
                  <c:v>16640.000000000215</c:v>
                </c:pt>
                <c:pt idx="14">
                  <c:v>15808.000000000233</c:v>
                </c:pt>
                <c:pt idx="15">
                  <c:v>14976.000000000251</c:v>
                </c:pt>
                <c:pt idx="16">
                  <c:v>14144.000000000269</c:v>
                </c:pt>
                <c:pt idx="17">
                  <c:v>13312.000000000287</c:v>
                </c:pt>
                <c:pt idx="18">
                  <c:v>12480.000000000304</c:v>
                </c:pt>
                <c:pt idx="19">
                  <c:v>11648.000000000322</c:v>
                </c:pt>
                <c:pt idx="20">
                  <c:v>10816.00000000034</c:v>
                </c:pt>
                <c:pt idx="21">
                  <c:v>9984.0000000003583</c:v>
                </c:pt>
                <c:pt idx="22">
                  <c:v>9152.0000000003747</c:v>
                </c:pt>
                <c:pt idx="23">
                  <c:v>8320.0000000003929</c:v>
                </c:pt>
                <c:pt idx="24">
                  <c:v>7488.0000000004111</c:v>
                </c:pt>
                <c:pt idx="25">
                  <c:v>6656.0000000004284</c:v>
                </c:pt>
                <c:pt idx="26">
                  <c:v>5824.0000000004466</c:v>
                </c:pt>
                <c:pt idx="27">
                  <c:v>4992.0000000004638</c:v>
                </c:pt>
                <c:pt idx="28">
                  <c:v>4160.000000000482</c:v>
                </c:pt>
                <c:pt idx="29">
                  <c:v>3328.0000000004993</c:v>
                </c:pt>
                <c:pt idx="30">
                  <c:v>2496.000000000517</c:v>
                </c:pt>
                <c:pt idx="31">
                  <c:v>1664.000000000535</c:v>
                </c:pt>
                <c:pt idx="32">
                  <c:v>832.00000000055263</c:v>
                </c:pt>
                <c:pt idx="33">
                  <c:v>5.7038818113142042E-10</c:v>
                </c:pt>
                <c:pt idx="34">
                  <c:v>-831.9999999994119</c:v>
                </c:pt>
                <c:pt idx="35">
                  <c:v>-1663.999999999394</c:v>
                </c:pt>
                <c:pt idx="36">
                  <c:v>-2495.9999999993765</c:v>
                </c:pt>
                <c:pt idx="37">
                  <c:v>-3327.9999999993588</c:v>
                </c:pt>
                <c:pt idx="38">
                  <c:v>-4159.9999999993406</c:v>
                </c:pt>
                <c:pt idx="39">
                  <c:v>-4991.9999999993233</c:v>
                </c:pt>
                <c:pt idx="40">
                  <c:v>-5823.9999999993051</c:v>
                </c:pt>
                <c:pt idx="41">
                  <c:v>-6655.9999999992879</c:v>
                </c:pt>
                <c:pt idx="42">
                  <c:v>-7487.9999999992697</c:v>
                </c:pt>
                <c:pt idx="43">
                  <c:v>-8319.9999999992524</c:v>
                </c:pt>
                <c:pt idx="44">
                  <c:v>-9151.9999999992342</c:v>
                </c:pt>
                <c:pt idx="45">
                  <c:v>-9983.999999999216</c:v>
                </c:pt>
                <c:pt idx="46">
                  <c:v>-10815.9999999992</c:v>
                </c:pt>
                <c:pt idx="47">
                  <c:v>-11647.999999999181</c:v>
                </c:pt>
                <c:pt idx="48">
                  <c:v>-12479.999999999163</c:v>
                </c:pt>
                <c:pt idx="49">
                  <c:v>-13311.999999999145</c:v>
                </c:pt>
                <c:pt idx="50">
                  <c:v>-14143.999999999129</c:v>
                </c:pt>
                <c:pt idx="51">
                  <c:v>-14975.999999999111</c:v>
                </c:pt>
                <c:pt idx="52">
                  <c:v>-15807.999999999092</c:v>
                </c:pt>
                <c:pt idx="53">
                  <c:v>-16639.999999999076</c:v>
                </c:pt>
                <c:pt idx="54">
                  <c:v>-16640</c:v>
                </c:pt>
                <c:pt idx="55">
                  <c:v>-16640</c:v>
                </c:pt>
                <c:pt idx="56">
                  <c:v>-16640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0-4FB0-A92B-FD4AE76CD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'Bear Call Spread'!$AI$3</c15:sqref>
                        </c15:formulaRef>
                      </c:ext>
                    </c:extLst>
                    <c:strCache>
                      <c:ptCount val="1"/>
                      <c:pt idx="0">
                        <c:v>S_C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'Bear Call Spread'!$AH$8:$AH$64</c15:sqref>
                        </c15:formulaRef>
                      </c:ext>
                    </c:extLst>
                    <c:numCache>
                      <c:formatCode>General</c:formatCode>
                      <c:ptCount val="57"/>
                      <c:pt idx="0">
                        <c:v>23.76</c:v>
                      </c:pt>
                      <c:pt idx="1">
                        <c:v>23.84</c:v>
                      </c:pt>
                      <c:pt idx="2">
                        <c:v>23.919999999999998</c:v>
                      </c:pt>
                      <c:pt idx="3">
                        <c:v>23.999999999999996</c:v>
                      </c:pt>
                      <c:pt idx="4">
                        <c:v>24.079999999999995</c:v>
                      </c:pt>
                      <c:pt idx="5">
                        <c:v>24.159999999999993</c:v>
                      </c:pt>
                      <c:pt idx="6">
                        <c:v>24.239999999999991</c:v>
                      </c:pt>
                      <c:pt idx="7">
                        <c:v>24.31999999999999</c:v>
                      </c:pt>
                      <c:pt idx="8">
                        <c:v>24.399999999999988</c:v>
                      </c:pt>
                      <c:pt idx="9">
                        <c:v>24.479999999999986</c:v>
                      </c:pt>
                      <c:pt idx="10">
                        <c:v>24.559999999999985</c:v>
                      </c:pt>
                      <c:pt idx="11">
                        <c:v>24.639999999999983</c:v>
                      </c:pt>
                      <c:pt idx="12">
                        <c:v>24.719999999999981</c:v>
                      </c:pt>
                      <c:pt idx="13">
                        <c:v>24.799999999999979</c:v>
                      </c:pt>
                      <c:pt idx="14">
                        <c:v>24.879999999999978</c:v>
                      </c:pt>
                      <c:pt idx="15">
                        <c:v>24.959999999999976</c:v>
                      </c:pt>
                      <c:pt idx="16">
                        <c:v>25.039999999999974</c:v>
                      </c:pt>
                      <c:pt idx="17">
                        <c:v>25.119999999999973</c:v>
                      </c:pt>
                      <c:pt idx="18">
                        <c:v>25.199999999999971</c:v>
                      </c:pt>
                      <c:pt idx="19">
                        <c:v>25.279999999999969</c:v>
                      </c:pt>
                      <c:pt idx="20">
                        <c:v>25.359999999999967</c:v>
                      </c:pt>
                      <c:pt idx="21">
                        <c:v>25.439999999999966</c:v>
                      </c:pt>
                      <c:pt idx="22">
                        <c:v>25.519999999999964</c:v>
                      </c:pt>
                      <c:pt idx="23">
                        <c:v>25.599999999999962</c:v>
                      </c:pt>
                      <c:pt idx="24">
                        <c:v>25.679999999999961</c:v>
                      </c:pt>
                      <c:pt idx="25">
                        <c:v>25.759999999999959</c:v>
                      </c:pt>
                      <c:pt idx="26">
                        <c:v>25.839999999999957</c:v>
                      </c:pt>
                      <c:pt idx="27">
                        <c:v>25.919999999999956</c:v>
                      </c:pt>
                      <c:pt idx="28">
                        <c:v>25.999999999999954</c:v>
                      </c:pt>
                      <c:pt idx="29">
                        <c:v>26.079999999999952</c:v>
                      </c:pt>
                      <c:pt idx="30">
                        <c:v>26.15999999999995</c:v>
                      </c:pt>
                      <c:pt idx="31">
                        <c:v>26.239999999999949</c:v>
                      </c:pt>
                      <c:pt idx="32">
                        <c:v>26.319999999999947</c:v>
                      </c:pt>
                      <c:pt idx="33">
                        <c:v>26.399999999999945</c:v>
                      </c:pt>
                      <c:pt idx="34">
                        <c:v>26.479999999999944</c:v>
                      </c:pt>
                      <c:pt idx="35">
                        <c:v>26.559999999999942</c:v>
                      </c:pt>
                      <c:pt idx="36">
                        <c:v>26.63999999999994</c:v>
                      </c:pt>
                      <c:pt idx="37">
                        <c:v>26.719999999999938</c:v>
                      </c:pt>
                      <c:pt idx="38">
                        <c:v>26.799999999999937</c:v>
                      </c:pt>
                      <c:pt idx="39">
                        <c:v>26.879999999999935</c:v>
                      </c:pt>
                      <c:pt idx="40">
                        <c:v>26.959999999999933</c:v>
                      </c:pt>
                      <c:pt idx="41">
                        <c:v>27.039999999999932</c:v>
                      </c:pt>
                      <c:pt idx="42">
                        <c:v>27.11999999999993</c:v>
                      </c:pt>
                      <c:pt idx="43">
                        <c:v>27.199999999999928</c:v>
                      </c:pt>
                      <c:pt idx="44">
                        <c:v>27.279999999999927</c:v>
                      </c:pt>
                      <c:pt idx="45">
                        <c:v>27.359999999999925</c:v>
                      </c:pt>
                      <c:pt idx="46">
                        <c:v>27.439999999999923</c:v>
                      </c:pt>
                      <c:pt idx="47">
                        <c:v>27.519999999999921</c:v>
                      </c:pt>
                      <c:pt idx="48">
                        <c:v>27.59999999999992</c:v>
                      </c:pt>
                      <c:pt idx="49">
                        <c:v>27.679999999999918</c:v>
                      </c:pt>
                      <c:pt idx="50">
                        <c:v>27.759999999999916</c:v>
                      </c:pt>
                      <c:pt idx="51">
                        <c:v>27.839999999999915</c:v>
                      </c:pt>
                      <c:pt idx="52">
                        <c:v>27.919999999999913</c:v>
                      </c:pt>
                      <c:pt idx="53">
                        <c:v>27.999999999999911</c:v>
                      </c:pt>
                      <c:pt idx="54">
                        <c:v>28.079999999999909</c:v>
                      </c:pt>
                      <c:pt idx="55">
                        <c:v>28.159999999999908</c:v>
                      </c:pt>
                      <c:pt idx="56">
                        <c:v>28.239999999999906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'Bear Call Spread'!$AI$8:$AI$43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3.85</c:v>
                      </c:pt>
                      <c:pt idx="1">
                        <c:v>3.85</c:v>
                      </c:pt>
                      <c:pt idx="2">
                        <c:v>3.85</c:v>
                      </c:pt>
                      <c:pt idx="3">
                        <c:v>3.85</c:v>
                      </c:pt>
                      <c:pt idx="4">
                        <c:v>3.7700000000000053</c:v>
                      </c:pt>
                      <c:pt idx="5">
                        <c:v>3.6900000000000071</c:v>
                      </c:pt>
                      <c:pt idx="6">
                        <c:v>3.6100000000000088</c:v>
                      </c:pt>
                      <c:pt idx="7">
                        <c:v>3.5300000000000105</c:v>
                      </c:pt>
                      <c:pt idx="8">
                        <c:v>3.4500000000000122</c:v>
                      </c:pt>
                      <c:pt idx="9">
                        <c:v>3.3700000000000139</c:v>
                      </c:pt>
                      <c:pt idx="10">
                        <c:v>3.2900000000000156</c:v>
                      </c:pt>
                      <c:pt idx="11">
                        <c:v>3.2100000000000173</c:v>
                      </c:pt>
                      <c:pt idx="12">
                        <c:v>3.130000000000019</c:v>
                      </c:pt>
                      <c:pt idx="13">
                        <c:v>3.0500000000000207</c:v>
                      </c:pt>
                      <c:pt idx="14">
                        <c:v>2.9700000000000224</c:v>
                      </c:pt>
                      <c:pt idx="15">
                        <c:v>2.8900000000000241</c:v>
                      </c:pt>
                      <c:pt idx="16">
                        <c:v>2.8100000000000258</c:v>
                      </c:pt>
                      <c:pt idx="17">
                        <c:v>2.7300000000000275</c:v>
                      </c:pt>
                      <c:pt idx="18">
                        <c:v>2.6500000000000292</c:v>
                      </c:pt>
                      <c:pt idx="19">
                        <c:v>2.5700000000000309</c:v>
                      </c:pt>
                      <c:pt idx="20">
                        <c:v>2.4900000000000326</c:v>
                      </c:pt>
                      <c:pt idx="21">
                        <c:v>2.4100000000000343</c:v>
                      </c:pt>
                      <c:pt idx="22">
                        <c:v>2.330000000000036</c:v>
                      </c:pt>
                      <c:pt idx="23">
                        <c:v>2.2500000000000377</c:v>
                      </c:pt>
                      <c:pt idx="24">
                        <c:v>2.1700000000000395</c:v>
                      </c:pt>
                      <c:pt idx="25">
                        <c:v>2.0900000000000412</c:v>
                      </c:pt>
                      <c:pt idx="26">
                        <c:v>2.0100000000000429</c:v>
                      </c:pt>
                      <c:pt idx="27">
                        <c:v>1.9300000000000446</c:v>
                      </c:pt>
                      <c:pt idx="28">
                        <c:v>1.8500000000000463</c:v>
                      </c:pt>
                      <c:pt idx="29">
                        <c:v>1.770000000000048</c:v>
                      </c:pt>
                      <c:pt idx="30">
                        <c:v>1.6900000000000497</c:v>
                      </c:pt>
                      <c:pt idx="31">
                        <c:v>1.6100000000000514</c:v>
                      </c:pt>
                      <c:pt idx="32">
                        <c:v>1.5300000000000531</c:v>
                      </c:pt>
                      <c:pt idx="33">
                        <c:v>1.4500000000000548</c:v>
                      </c:pt>
                      <c:pt idx="34">
                        <c:v>1.3700000000000565</c:v>
                      </c:pt>
                      <c:pt idx="35">
                        <c:v>1.2900000000000582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670-4FB0-A92B-FD4AE76CDF6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'Bear Call Spread'!$AJ$3</c15:sqref>
                        </c15:formulaRef>
                      </c:ext>
                    </c:extLst>
                    <c:strCache>
                      <c:ptCount val="1"/>
                      <c:pt idx="0">
                        <c:v>L_C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'Bear Call Spread'!$AH$8:$AH$64</c15:sqref>
                        </c15:formulaRef>
                      </c:ext>
                    </c:extLst>
                    <c:numCache>
                      <c:formatCode>General</c:formatCode>
                      <c:ptCount val="57"/>
                      <c:pt idx="0">
                        <c:v>23.76</c:v>
                      </c:pt>
                      <c:pt idx="1">
                        <c:v>23.84</c:v>
                      </c:pt>
                      <c:pt idx="2">
                        <c:v>23.919999999999998</c:v>
                      </c:pt>
                      <c:pt idx="3">
                        <c:v>23.999999999999996</c:v>
                      </c:pt>
                      <c:pt idx="4">
                        <c:v>24.079999999999995</c:v>
                      </c:pt>
                      <c:pt idx="5">
                        <c:v>24.159999999999993</c:v>
                      </c:pt>
                      <c:pt idx="6">
                        <c:v>24.239999999999991</c:v>
                      </c:pt>
                      <c:pt idx="7">
                        <c:v>24.31999999999999</c:v>
                      </c:pt>
                      <c:pt idx="8">
                        <c:v>24.399999999999988</c:v>
                      </c:pt>
                      <c:pt idx="9">
                        <c:v>24.479999999999986</c:v>
                      </c:pt>
                      <c:pt idx="10">
                        <c:v>24.559999999999985</c:v>
                      </c:pt>
                      <c:pt idx="11">
                        <c:v>24.639999999999983</c:v>
                      </c:pt>
                      <c:pt idx="12">
                        <c:v>24.719999999999981</c:v>
                      </c:pt>
                      <c:pt idx="13">
                        <c:v>24.799999999999979</c:v>
                      </c:pt>
                      <c:pt idx="14">
                        <c:v>24.879999999999978</c:v>
                      </c:pt>
                      <c:pt idx="15">
                        <c:v>24.959999999999976</c:v>
                      </c:pt>
                      <c:pt idx="16">
                        <c:v>25.039999999999974</c:v>
                      </c:pt>
                      <c:pt idx="17">
                        <c:v>25.119999999999973</c:v>
                      </c:pt>
                      <c:pt idx="18">
                        <c:v>25.199999999999971</c:v>
                      </c:pt>
                      <c:pt idx="19">
                        <c:v>25.279999999999969</c:v>
                      </c:pt>
                      <c:pt idx="20">
                        <c:v>25.359999999999967</c:v>
                      </c:pt>
                      <c:pt idx="21">
                        <c:v>25.439999999999966</c:v>
                      </c:pt>
                      <c:pt idx="22">
                        <c:v>25.519999999999964</c:v>
                      </c:pt>
                      <c:pt idx="23">
                        <c:v>25.599999999999962</c:v>
                      </c:pt>
                      <c:pt idx="24">
                        <c:v>25.679999999999961</c:v>
                      </c:pt>
                      <c:pt idx="25">
                        <c:v>25.759999999999959</c:v>
                      </c:pt>
                      <c:pt idx="26">
                        <c:v>25.839999999999957</c:v>
                      </c:pt>
                      <c:pt idx="27">
                        <c:v>25.919999999999956</c:v>
                      </c:pt>
                      <c:pt idx="28">
                        <c:v>25.999999999999954</c:v>
                      </c:pt>
                      <c:pt idx="29">
                        <c:v>26.079999999999952</c:v>
                      </c:pt>
                      <c:pt idx="30">
                        <c:v>26.15999999999995</c:v>
                      </c:pt>
                      <c:pt idx="31">
                        <c:v>26.239999999999949</c:v>
                      </c:pt>
                      <c:pt idx="32">
                        <c:v>26.319999999999947</c:v>
                      </c:pt>
                      <c:pt idx="33">
                        <c:v>26.399999999999945</c:v>
                      </c:pt>
                      <c:pt idx="34">
                        <c:v>26.479999999999944</c:v>
                      </c:pt>
                      <c:pt idx="35">
                        <c:v>26.559999999999942</c:v>
                      </c:pt>
                      <c:pt idx="36">
                        <c:v>26.63999999999994</c:v>
                      </c:pt>
                      <c:pt idx="37">
                        <c:v>26.719999999999938</c:v>
                      </c:pt>
                      <c:pt idx="38">
                        <c:v>26.799999999999937</c:v>
                      </c:pt>
                      <c:pt idx="39">
                        <c:v>26.879999999999935</c:v>
                      </c:pt>
                      <c:pt idx="40">
                        <c:v>26.959999999999933</c:v>
                      </c:pt>
                      <c:pt idx="41">
                        <c:v>27.039999999999932</c:v>
                      </c:pt>
                      <c:pt idx="42">
                        <c:v>27.11999999999993</c:v>
                      </c:pt>
                      <c:pt idx="43">
                        <c:v>27.199999999999928</c:v>
                      </c:pt>
                      <c:pt idx="44">
                        <c:v>27.279999999999927</c:v>
                      </c:pt>
                      <c:pt idx="45">
                        <c:v>27.359999999999925</c:v>
                      </c:pt>
                      <c:pt idx="46">
                        <c:v>27.439999999999923</c:v>
                      </c:pt>
                      <c:pt idx="47">
                        <c:v>27.519999999999921</c:v>
                      </c:pt>
                      <c:pt idx="48">
                        <c:v>27.59999999999992</c:v>
                      </c:pt>
                      <c:pt idx="49">
                        <c:v>27.679999999999918</c:v>
                      </c:pt>
                      <c:pt idx="50">
                        <c:v>27.759999999999916</c:v>
                      </c:pt>
                      <c:pt idx="51">
                        <c:v>27.839999999999915</c:v>
                      </c:pt>
                      <c:pt idx="52">
                        <c:v>27.919999999999913</c:v>
                      </c:pt>
                      <c:pt idx="53">
                        <c:v>27.999999999999911</c:v>
                      </c:pt>
                      <c:pt idx="54">
                        <c:v>28.079999999999909</c:v>
                      </c:pt>
                      <c:pt idx="55">
                        <c:v>28.159999999999908</c:v>
                      </c:pt>
                      <c:pt idx="56">
                        <c:v>28.239999999999906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'Bear Call Spread'!$AJ$8:$AJ$43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-1.45</c:v>
                      </c:pt>
                      <c:pt idx="1">
                        <c:v>-1.45</c:v>
                      </c:pt>
                      <c:pt idx="2">
                        <c:v>-1.45</c:v>
                      </c:pt>
                      <c:pt idx="3">
                        <c:v>-1.45</c:v>
                      </c:pt>
                      <c:pt idx="4">
                        <c:v>-1.45</c:v>
                      </c:pt>
                      <c:pt idx="5">
                        <c:v>-1.45</c:v>
                      </c:pt>
                      <c:pt idx="6">
                        <c:v>-1.45</c:v>
                      </c:pt>
                      <c:pt idx="7">
                        <c:v>-1.45</c:v>
                      </c:pt>
                      <c:pt idx="8">
                        <c:v>-1.45</c:v>
                      </c:pt>
                      <c:pt idx="9">
                        <c:v>-1.45</c:v>
                      </c:pt>
                      <c:pt idx="10">
                        <c:v>-1.45</c:v>
                      </c:pt>
                      <c:pt idx="11">
                        <c:v>-1.45</c:v>
                      </c:pt>
                      <c:pt idx="12">
                        <c:v>-1.45</c:v>
                      </c:pt>
                      <c:pt idx="13">
                        <c:v>-1.45</c:v>
                      </c:pt>
                      <c:pt idx="14">
                        <c:v>-1.45</c:v>
                      </c:pt>
                      <c:pt idx="15">
                        <c:v>-1.45</c:v>
                      </c:pt>
                      <c:pt idx="16">
                        <c:v>-1.45</c:v>
                      </c:pt>
                      <c:pt idx="17">
                        <c:v>-1.45</c:v>
                      </c:pt>
                      <c:pt idx="18">
                        <c:v>-1.45</c:v>
                      </c:pt>
                      <c:pt idx="19">
                        <c:v>-1.45</c:v>
                      </c:pt>
                      <c:pt idx="20">
                        <c:v>-1.45</c:v>
                      </c:pt>
                      <c:pt idx="21">
                        <c:v>-1.45</c:v>
                      </c:pt>
                      <c:pt idx="22">
                        <c:v>-1.45</c:v>
                      </c:pt>
                      <c:pt idx="23">
                        <c:v>-1.45</c:v>
                      </c:pt>
                      <c:pt idx="24">
                        <c:v>-1.45</c:v>
                      </c:pt>
                      <c:pt idx="25">
                        <c:v>-1.45</c:v>
                      </c:pt>
                      <c:pt idx="26">
                        <c:v>-1.45</c:v>
                      </c:pt>
                      <c:pt idx="27">
                        <c:v>-1.45</c:v>
                      </c:pt>
                      <c:pt idx="28">
                        <c:v>-1.45</c:v>
                      </c:pt>
                      <c:pt idx="29">
                        <c:v>-1.45</c:v>
                      </c:pt>
                      <c:pt idx="30">
                        <c:v>-1.45</c:v>
                      </c:pt>
                      <c:pt idx="31">
                        <c:v>-1.45</c:v>
                      </c:pt>
                      <c:pt idx="32">
                        <c:v>-1.45</c:v>
                      </c:pt>
                      <c:pt idx="33">
                        <c:v>-1.45</c:v>
                      </c:pt>
                      <c:pt idx="34">
                        <c:v>-1.45</c:v>
                      </c:pt>
                      <c:pt idx="35">
                        <c:v>-1.45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670-4FB0-A92B-FD4AE76CDF68}"/>
                  </c:ext>
                </c:extLst>
              </c15:ser>
            </c15:filteredLineSeries>
          </c:ext>
        </c:extLst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5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26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27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28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zoomScale="80" zoomScaleNormal="80" workbookViewId="0">
      <selection activeCell="B13" sqref="B13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1801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1778</v>
      </c>
    </row>
    <row r="2" spans="1:52" ht="30.75" thickBot="1" x14ac:dyDescent="0.3">
      <c r="A2" s="1"/>
      <c r="B2" s="14" t="s">
        <v>167</v>
      </c>
      <c r="C2" s="1"/>
      <c r="D2" s="19" t="s">
        <v>1781</v>
      </c>
      <c r="E2" s="19" t="s">
        <v>1774</v>
      </c>
      <c r="F2" s="19" t="s">
        <v>1777</v>
      </c>
      <c r="G2" s="19" t="s">
        <v>1779</v>
      </c>
      <c r="H2" s="19" t="s">
        <v>1780</v>
      </c>
      <c r="I2" s="19" t="s">
        <v>1775</v>
      </c>
      <c r="J2" s="19" t="s">
        <v>1776</v>
      </c>
      <c r="K2" s="1"/>
      <c r="L2" s="16" t="s">
        <v>1788</v>
      </c>
      <c r="M2" s="14" t="s">
        <v>1806</v>
      </c>
      <c r="N2" s="1"/>
      <c r="O2" s="1"/>
      <c r="P2" s="1"/>
      <c r="Q2" s="1"/>
      <c r="R2" s="1"/>
      <c r="S2" s="1"/>
      <c r="T2" s="1"/>
      <c r="U2" s="1"/>
      <c r="V2" s="1"/>
      <c r="W2" s="20" t="s">
        <v>1802</v>
      </c>
      <c r="X2" s="20"/>
      <c r="Y2" s="20"/>
      <c r="Z2" s="20"/>
      <c r="AA2" s="20"/>
      <c r="AB2" s="27" t="s">
        <v>1804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1805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4256.05</v>
      </c>
      <c r="E3" s="6">
        <v>4203</v>
      </c>
      <c r="F3" s="6">
        <v>4202.25</v>
      </c>
      <c r="G3" s="6">
        <v>4350</v>
      </c>
      <c r="H3" s="6">
        <v>4203</v>
      </c>
      <c r="I3" s="6">
        <v>5445</v>
      </c>
      <c r="J3" s="6">
        <v>2923.2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23" t="s">
        <v>1803</v>
      </c>
      <c r="X3" s="45" t="s">
        <v>1807</v>
      </c>
      <c r="Y3" s="46" t="s">
        <v>1833</v>
      </c>
      <c r="Z3" s="46" t="s">
        <v>1808</v>
      </c>
      <c r="AA3" s="46" t="s">
        <v>1809</v>
      </c>
      <c r="AB3" s="46" t="s">
        <v>1810</v>
      </c>
      <c r="AC3" s="46" t="s">
        <v>1834</v>
      </c>
      <c r="AD3" s="46" t="s">
        <v>1811</v>
      </c>
      <c r="AE3" s="46" t="s">
        <v>1812</v>
      </c>
      <c r="AF3" s="46" t="s">
        <v>1813</v>
      </c>
      <c r="AG3" s="46" t="s">
        <v>1814</v>
      </c>
      <c r="AH3" s="23" t="s">
        <v>1837</v>
      </c>
      <c r="AI3" s="46" t="s">
        <v>1815</v>
      </c>
      <c r="AJ3" s="46" t="s">
        <v>1816</v>
      </c>
      <c r="AK3" s="46" t="s">
        <v>1817</v>
      </c>
      <c r="AL3" s="46" t="s">
        <v>1818</v>
      </c>
      <c r="AM3" s="46" t="s">
        <v>1835</v>
      </c>
      <c r="AN3" s="46" t="s">
        <v>1819</v>
      </c>
      <c r="AO3" s="46" t="s">
        <v>1820</v>
      </c>
      <c r="AP3" s="46" t="s">
        <v>1821</v>
      </c>
      <c r="AQ3" s="46" t="s">
        <v>1836</v>
      </c>
      <c r="AR3" s="47" t="s">
        <v>1822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57"/>
      <c r="X4" s="48"/>
      <c r="Y4" s="49"/>
      <c r="Z4" s="49"/>
      <c r="AA4" s="49"/>
      <c r="AB4" s="50"/>
      <c r="AC4" s="49"/>
      <c r="AD4" s="49"/>
      <c r="AE4" s="49"/>
      <c r="AF4" s="49"/>
      <c r="AG4" s="49"/>
      <c r="AH4" s="44"/>
      <c r="AI4" s="49"/>
      <c r="AJ4" s="49"/>
      <c r="AK4" s="49"/>
      <c r="AL4" s="49"/>
      <c r="AM4" s="49"/>
      <c r="AN4" s="50"/>
      <c r="AO4" s="49"/>
      <c r="AP4" s="49"/>
      <c r="AQ4" s="49"/>
      <c r="AR4" s="5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57"/>
      <c r="X5" s="48"/>
      <c r="Y5" s="49"/>
      <c r="Z5" s="49"/>
      <c r="AA5" s="49"/>
      <c r="AB5" s="50"/>
      <c r="AC5" s="49"/>
      <c r="AD5" s="49"/>
      <c r="AE5" s="49"/>
      <c r="AF5" s="49"/>
      <c r="AG5" s="49"/>
      <c r="AH5" s="44"/>
      <c r="AI5" s="49"/>
      <c r="AJ5" s="49"/>
      <c r="AK5" s="49"/>
      <c r="AL5" s="49"/>
      <c r="AM5" s="49"/>
      <c r="AN5" s="50"/>
      <c r="AO5" s="49"/>
      <c r="AP5" s="49"/>
      <c r="AQ5" s="49"/>
      <c r="AR5" s="5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57"/>
      <c r="X6" s="48"/>
      <c r="Y6" s="49"/>
      <c r="Z6" s="49"/>
      <c r="AA6" s="49"/>
      <c r="AB6" s="50"/>
      <c r="AC6" s="49"/>
      <c r="AD6" s="49"/>
      <c r="AE6" s="49"/>
      <c r="AF6" s="49"/>
      <c r="AG6" s="49"/>
      <c r="AH6" s="44"/>
      <c r="AI6" s="49"/>
      <c r="AJ6" s="49"/>
      <c r="AK6" s="49"/>
      <c r="AL6" s="49"/>
      <c r="AM6" s="49"/>
      <c r="AN6" s="50"/>
      <c r="AO6" s="49"/>
      <c r="AP6" s="49"/>
      <c r="AQ6" s="49"/>
      <c r="AR6" s="5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1800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57"/>
      <c r="X7" s="48"/>
      <c r="Y7" s="49"/>
      <c r="Z7" s="49"/>
      <c r="AA7" s="49"/>
      <c r="AB7" s="50"/>
      <c r="AC7" s="49"/>
      <c r="AD7" s="49"/>
      <c r="AE7" s="49"/>
      <c r="AF7" s="49"/>
      <c r="AG7" s="49"/>
      <c r="AH7" s="44"/>
      <c r="AI7" s="49"/>
      <c r="AJ7" s="49"/>
      <c r="AK7" s="49"/>
      <c r="AL7" s="49"/>
      <c r="AM7" s="49"/>
      <c r="AN7" s="50"/>
      <c r="AO7" s="49"/>
      <c r="AP7" s="49"/>
      <c r="AQ7" s="49"/>
      <c r="AR7" s="5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1782</v>
      </c>
      <c r="E8" s="19" t="s">
        <v>1783</v>
      </c>
      <c r="F8" s="19" t="s">
        <v>1784</v>
      </c>
      <c r="G8" s="19" t="s">
        <v>1785</v>
      </c>
      <c r="H8" s="19" t="s">
        <v>1786</v>
      </c>
      <c r="I8" s="19" t="s">
        <v>1787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57"/>
      <c r="X8" s="48"/>
      <c r="Y8" s="49"/>
      <c r="Z8" s="49"/>
      <c r="AA8" s="49"/>
      <c r="AB8" s="50"/>
      <c r="AC8" s="49"/>
      <c r="AD8" s="49"/>
      <c r="AE8" s="49"/>
      <c r="AF8" s="49"/>
      <c r="AG8" s="49"/>
      <c r="AH8" s="44"/>
      <c r="AI8" s="49"/>
      <c r="AJ8" s="49"/>
      <c r="AK8" s="49"/>
      <c r="AL8" s="49"/>
      <c r="AM8" s="49"/>
      <c r="AN8" s="50"/>
      <c r="AO8" s="49"/>
      <c r="AP8" s="49"/>
      <c r="AQ8" s="49"/>
      <c r="AR8" s="5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6.1436272431659104E-2</v>
      </c>
      <c r="E9" s="15">
        <v>0.12408969150665614</v>
      </c>
      <c r="F9" s="15">
        <v>-2.787833214699189E-2</v>
      </c>
      <c r="G9" s="15">
        <v>-1.1757605107041456E-2</v>
      </c>
      <c r="H9" s="15">
        <v>0.18127507598228335</v>
      </c>
      <c r="I9" s="15">
        <v>0.23815234193924201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57"/>
      <c r="X9" s="48"/>
      <c r="Y9" s="49"/>
      <c r="Z9" s="49"/>
      <c r="AA9" s="49"/>
      <c r="AB9" s="50"/>
      <c r="AC9" s="49"/>
      <c r="AD9" s="49"/>
      <c r="AE9" s="49"/>
      <c r="AF9" s="49"/>
      <c r="AG9" s="49"/>
      <c r="AH9" s="44"/>
      <c r="AI9" s="49"/>
      <c r="AJ9" s="49"/>
      <c r="AK9" s="49"/>
      <c r="AL9" s="49"/>
      <c r="AM9" s="49"/>
      <c r="AN9" s="50"/>
      <c r="AO9" s="49"/>
      <c r="AP9" s="49"/>
      <c r="AQ9" s="49"/>
      <c r="AR9" s="5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7"/>
      <c r="X10" s="48"/>
      <c r="Y10" s="49"/>
      <c r="Z10" s="49"/>
      <c r="AA10" s="49"/>
      <c r="AB10" s="50"/>
      <c r="AC10" s="49"/>
      <c r="AD10" s="49"/>
      <c r="AE10" s="49"/>
      <c r="AF10" s="49"/>
      <c r="AG10" s="49"/>
      <c r="AH10" s="44"/>
      <c r="AI10" s="49"/>
      <c r="AJ10" s="49"/>
      <c r="AK10" s="49"/>
      <c r="AL10" s="49"/>
      <c r="AM10" s="49"/>
      <c r="AN10" s="50"/>
      <c r="AO10" s="49"/>
      <c r="AP10" s="49"/>
      <c r="AQ10" s="49"/>
      <c r="AR10" s="5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57"/>
      <c r="X11" s="48"/>
      <c r="Y11" s="49"/>
      <c r="Z11" s="49"/>
      <c r="AA11" s="49"/>
      <c r="AB11" s="50"/>
      <c r="AC11" s="49"/>
      <c r="AD11" s="49"/>
      <c r="AE11" s="49"/>
      <c r="AF11" s="49"/>
      <c r="AG11" s="49"/>
      <c r="AH11" s="44"/>
      <c r="AI11" s="49"/>
      <c r="AJ11" s="49"/>
      <c r="AK11" s="49"/>
      <c r="AL11" s="49"/>
      <c r="AM11" s="49"/>
      <c r="AN11" s="50"/>
      <c r="AO11" s="49"/>
      <c r="AP11" s="49"/>
      <c r="AQ11" s="49"/>
      <c r="AR11" s="5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57"/>
      <c r="X12" s="48"/>
      <c r="Y12" s="49"/>
      <c r="Z12" s="49"/>
      <c r="AA12" s="49"/>
      <c r="AB12" s="50"/>
      <c r="AC12" s="49"/>
      <c r="AD12" s="49"/>
      <c r="AE12" s="49"/>
      <c r="AF12" s="49"/>
      <c r="AG12" s="49"/>
      <c r="AH12" s="44"/>
      <c r="AI12" s="49"/>
      <c r="AJ12" s="49"/>
      <c r="AK12" s="49"/>
      <c r="AL12" s="49"/>
      <c r="AM12" s="49"/>
      <c r="AN12" s="50"/>
      <c r="AO12" s="49"/>
      <c r="AP12" s="49"/>
      <c r="AQ12" s="49"/>
      <c r="AR12" s="5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1858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57"/>
      <c r="X13" s="48"/>
      <c r="Y13" s="49"/>
      <c r="Z13" s="49"/>
      <c r="AA13" s="49"/>
      <c r="AB13" s="50"/>
      <c r="AC13" s="49"/>
      <c r="AD13" s="49"/>
      <c r="AE13" s="49"/>
      <c r="AF13" s="49"/>
      <c r="AG13" s="49"/>
      <c r="AH13" s="44"/>
      <c r="AI13" s="49"/>
      <c r="AJ13" s="49"/>
      <c r="AK13" s="49"/>
      <c r="AL13" s="49"/>
      <c r="AM13" s="49"/>
      <c r="AN13" s="50"/>
      <c r="AO13" s="49"/>
      <c r="AP13" s="49"/>
      <c r="AQ13" s="49"/>
      <c r="AR13" s="5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1859</v>
      </c>
      <c r="E14" s="19" t="s">
        <v>1860</v>
      </c>
      <c r="F14" s="19" t="s">
        <v>1865</v>
      </c>
      <c r="G14" s="19" t="s">
        <v>1861</v>
      </c>
      <c r="H14" s="19" t="s">
        <v>1862</v>
      </c>
      <c r="I14" s="19" t="s">
        <v>1863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57"/>
      <c r="X14" s="48"/>
      <c r="Y14" s="49"/>
      <c r="Z14" s="49"/>
      <c r="AA14" s="49"/>
      <c r="AB14" s="50"/>
      <c r="AC14" s="49"/>
      <c r="AD14" s="49"/>
      <c r="AE14" s="49"/>
      <c r="AF14" s="49"/>
      <c r="AG14" s="49"/>
      <c r="AH14" s="44"/>
      <c r="AI14" s="49"/>
      <c r="AJ14" s="49"/>
      <c r="AK14" s="49"/>
      <c r="AL14" s="49"/>
      <c r="AM14" s="49"/>
      <c r="AN14" s="50"/>
      <c r="AO14" s="49"/>
      <c r="AP14" s="49"/>
      <c r="AQ14" s="49"/>
      <c r="AR14" s="5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0.77964980959969221</v>
      </c>
      <c r="E15" s="15">
        <v>0.42178386322477135</v>
      </c>
      <c r="F15" s="15">
        <v>4.4015323707141916E-2</v>
      </c>
      <c r="G15" s="6">
        <v>0.1343788038805582</v>
      </c>
      <c r="H15" s="6">
        <v>2.9503832195671356</v>
      </c>
      <c r="I15" s="6">
        <v>7.2697780899051614E-2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57"/>
      <c r="X15" s="48"/>
      <c r="Y15" s="49"/>
      <c r="Z15" s="49"/>
      <c r="AA15" s="49"/>
      <c r="AB15" s="50"/>
      <c r="AC15" s="49"/>
      <c r="AD15" s="49"/>
      <c r="AE15" s="49"/>
      <c r="AF15" s="49"/>
      <c r="AG15" s="49"/>
      <c r="AH15" s="44"/>
      <c r="AI15" s="49"/>
      <c r="AJ15" s="49"/>
      <c r="AK15" s="49"/>
      <c r="AL15" s="49"/>
      <c r="AM15" s="49"/>
      <c r="AN15" s="50"/>
      <c r="AO15" s="49"/>
      <c r="AP15" s="49"/>
      <c r="AQ15" s="49"/>
      <c r="AR15" s="5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57"/>
      <c r="X16" s="48"/>
      <c r="Y16" s="49"/>
      <c r="Z16" s="49"/>
      <c r="AA16" s="49"/>
      <c r="AB16" s="50"/>
      <c r="AC16" s="49"/>
      <c r="AD16" s="49"/>
      <c r="AE16" s="49"/>
      <c r="AF16" s="49"/>
      <c r="AG16" s="49"/>
      <c r="AH16" s="44"/>
      <c r="AI16" s="49"/>
      <c r="AJ16" s="49"/>
      <c r="AK16" s="49"/>
      <c r="AL16" s="49"/>
      <c r="AM16" s="49"/>
      <c r="AN16" s="50"/>
      <c r="AO16" s="49"/>
      <c r="AP16" s="49"/>
      <c r="AQ16" s="49"/>
      <c r="AR16" s="5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1864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57"/>
      <c r="X17" s="48"/>
      <c r="Y17" s="49"/>
      <c r="Z17" s="49"/>
      <c r="AA17" s="49"/>
      <c r="AB17" s="50"/>
      <c r="AC17" s="49"/>
      <c r="AD17" s="49"/>
      <c r="AE17" s="49"/>
      <c r="AF17" s="49"/>
      <c r="AG17" s="49"/>
      <c r="AH17" s="44"/>
      <c r="AI17" s="49"/>
      <c r="AJ17" s="49"/>
      <c r="AK17" s="49"/>
      <c r="AL17" s="49"/>
      <c r="AM17" s="49"/>
      <c r="AN17" s="50"/>
      <c r="AO17" s="49"/>
      <c r="AP17" s="49"/>
      <c r="AQ17" s="49"/>
      <c r="AR17" s="5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57"/>
      <c r="X18" s="48"/>
      <c r="Y18" s="49"/>
      <c r="Z18" s="49"/>
      <c r="AA18" s="49"/>
      <c r="AB18" s="50"/>
      <c r="AC18" s="49"/>
      <c r="AD18" s="49"/>
      <c r="AE18" s="49"/>
      <c r="AF18" s="49"/>
      <c r="AG18" s="49"/>
      <c r="AH18" s="44"/>
      <c r="AI18" s="49"/>
      <c r="AJ18" s="49"/>
      <c r="AK18" s="49"/>
      <c r="AL18" s="49"/>
      <c r="AM18" s="49"/>
      <c r="AN18" s="50"/>
      <c r="AO18" s="49"/>
      <c r="AP18" s="49"/>
      <c r="AQ18" s="49"/>
      <c r="AR18" s="5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43554</v>
      </c>
      <c r="F19" s="43">
        <v>43189</v>
      </c>
      <c r="G19" s="43">
        <v>42824</v>
      </c>
      <c r="H19" s="43">
        <v>42459</v>
      </c>
      <c r="I19" s="43">
        <v>42093</v>
      </c>
      <c r="J19" s="21">
        <v>41728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57"/>
      <c r="X19" s="48"/>
      <c r="Y19" s="49"/>
      <c r="Z19" s="49"/>
      <c r="AA19" s="49"/>
      <c r="AB19" s="50"/>
      <c r="AC19" s="49"/>
      <c r="AD19" s="49"/>
      <c r="AE19" s="49"/>
      <c r="AF19" s="49"/>
      <c r="AG19" s="49"/>
      <c r="AH19" s="44"/>
      <c r="AI19" s="49"/>
      <c r="AJ19" s="49"/>
      <c r="AK19" s="49"/>
      <c r="AL19" s="49"/>
      <c r="AM19" s="49"/>
      <c r="AN19" s="50"/>
      <c r="AO19" s="49"/>
      <c r="AP19" s="49"/>
      <c r="AQ19" s="49"/>
      <c r="AR19" s="5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1789</v>
      </c>
      <c r="E20" s="17">
        <v>144.51</v>
      </c>
      <c r="F20" s="17">
        <v>91.16</v>
      </c>
      <c r="G20" s="17">
        <v>96.18</v>
      </c>
      <c r="H20" s="17">
        <v>92.53</v>
      </c>
      <c r="I20" s="17">
        <v>73.3</v>
      </c>
      <c r="J20" s="21">
        <v>71.739999999999995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7"/>
      <c r="X20" s="48"/>
      <c r="Y20" s="49"/>
      <c r="Z20" s="49"/>
      <c r="AA20" s="49"/>
      <c r="AB20" s="50"/>
      <c r="AC20" s="49"/>
      <c r="AD20" s="49"/>
      <c r="AE20" s="49"/>
      <c r="AF20" s="49"/>
      <c r="AG20" s="49"/>
      <c r="AH20" s="44"/>
      <c r="AI20" s="49"/>
      <c r="AJ20" s="49"/>
      <c r="AK20" s="49"/>
      <c r="AL20" s="49"/>
      <c r="AM20" s="49"/>
      <c r="AN20" s="50"/>
      <c r="AO20" s="49"/>
      <c r="AP20" s="49"/>
      <c r="AQ20" s="49"/>
      <c r="AR20" s="5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1790</v>
      </c>
      <c r="E21" s="17">
        <v>892.71</v>
      </c>
      <c r="F21" s="17">
        <v>740.41</v>
      </c>
      <c r="G21" s="17">
        <v>647.17999999999995</v>
      </c>
      <c r="H21" s="17">
        <v>536.44000000000005</v>
      </c>
      <c r="I21" s="17">
        <v>342.24</v>
      </c>
      <c r="J21" s="21">
        <v>282.75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57"/>
      <c r="X21" s="48"/>
      <c r="Y21" s="49"/>
      <c r="Z21" s="49"/>
      <c r="AA21" s="49"/>
      <c r="AB21" s="50"/>
      <c r="AC21" s="49"/>
      <c r="AD21" s="49"/>
      <c r="AE21" s="49"/>
      <c r="AF21" s="49"/>
      <c r="AG21" s="49"/>
      <c r="AH21" s="44"/>
      <c r="AI21" s="49"/>
      <c r="AJ21" s="49"/>
      <c r="AK21" s="49"/>
      <c r="AL21" s="49"/>
      <c r="AM21" s="49"/>
      <c r="AN21" s="50"/>
      <c r="AO21" s="49"/>
      <c r="AP21" s="49"/>
      <c r="AQ21" s="49"/>
      <c r="AR21" s="5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1791</v>
      </c>
      <c r="E22" s="17">
        <v>892.71</v>
      </c>
      <c r="F22" s="17">
        <v>740.41</v>
      </c>
      <c r="G22" s="17">
        <v>647.17999999999995</v>
      </c>
      <c r="H22" s="17">
        <v>536.44000000000005</v>
      </c>
      <c r="I22" s="17">
        <v>342.24</v>
      </c>
      <c r="J22" s="21">
        <v>317.25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57"/>
      <c r="X22" s="48"/>
      <c r="Y22" s="49"/>
      <c r="Z22" s="49"/>
      <c r="AA22" s="49"/>
      <c r="AB22" s="50"/>
      <c r="AC22" s="49"/>
      <c r="AD22" s="49"/>
      <c r="AE22" s="49"/>
      <c r="AF22" s="49"/>
      <c r="AG22" s="49"/>
      <c r="AH22" s="44"/>
      <c r="AI22" s="49"/>
      <c r="AJ22" s="49"/>
      <c r="AK22" s="49"/>
      <c r="AL22" s="49"/>
      <c r="AM22" s="49"/>
      <c r="AN22" s="50"/>
      <c r="AO22" s="49"/>
      <c r="AP22" s="49"/>
      <c r="AQ22" s="49"/>
      <c r="AR22" s="5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1866</v>
      </c>
      <c r="E23" s="17">
        <v>0</v>
      </c>
      <c r="F23" s="17">
        <v>92.01</v>
      </c>
      <c r="G23" s="17">
        <v>92.04</v>
      </c>
      <c r="H23" s="17">
        <v>92.51</v>
      </c>
      <c r="I23" s="17">
        <v>90.76</v>
      </c>
      <c r="J23" s="21">
        <v>91.67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57"/>
      <c r="X23" s="48"/>
      <c r="Y23" s="49"/>
      <c r="Z23" s="49"/>
      <c r="AA23" s="49"/>
      <c r="AB23" s="50"/>
      <c r="AC23" s="49"/>
      <c r="AD23" s="49"/>
      <c r="AE23" s="49"/>
      <c r="AF23" s="49"/>
      <c r="AG23" s="49"/>
      <c r="AH23" s="44"/>
      <c r="AI23" s="49"/>
      <c r="AJ23" s="49"/>
      <c r="AK23" s="49"/>
      <c r="AL23" s="49"/>
      <c r="AM23" s="49"/>
      <c r="AN23" s="50"/>
      <c r="AO23" s="49"/>
      <c r="AP23" s="49"/>
      <c r="AQ23" s="49"/>
      <c r="AR23" s="5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1792</v>
      </c>
      <c r="E24" s="17">
        <v>182.15</v>
      </c>
      <c r="F24" s="17">
        <v>126.41</v>
      </c>
      <c r="G24" s="17">
        <v>126.83</v>
      </c>
      <c r="H24" s="17">
        <v>113.33</v>
      </c>
      <c r="I24" s="17">
        <v>91.88</v>
      </c>
      <c r="J24" s="21">
        <v>89.97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57"/>
      <c r="X24" s="48"/>
      <c r="Y24" s="49"/>
      <c r="Z24" s="49"/>
      <c r="AA24" s="49"/>
      <c r="AB24" s="50"/>
      <c r="AC24" s="49"/>
      <c r="AD24" s="49"/>
      <c r="AE24" s="49"/>
      <c r="AF24" s="49"/>
      <c r="AG24" s="49"/>
      <c r="AH24" s="44"/>
      <c r="AI24" s="49"/>
      <c r="AJ24" s="49"/>
      <c r="AK24" s="49"/>
      <c r="AL24" s="49"/>
      <c r="AM24" s="49"/>
      <c r="AN24" s="50"/>
      <c r="AO24" s="49"/>
      <c r="AP24" s="49"/>
      <c r="AQ24" s="49"/>
      <c r="AR24" s="5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1867</v>
      </c>
      <c r="E25" s="17">
        <v>2.99</v>
      </c>
      <c r="F25" s="17">
        <v>2.2999999999999998</v>
      </c>
      <c r="G25" s="17">
        <v>1.85</v>
      </c>
      <c r="H25" s="17">
        <v>1.43</v>
      </c>
      <c r="I25" s="17">
        <v>1.53</v>
      </c>
      <c r="J25" s="21">
        <v>1.43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57"/>
      <c r="X25" s="48"/>
      <c r="Y25" s="49"/>
      <c r="Z25" s="49"/>
      <c r="AA25" s="49"/>
      <c r="AB25" s="50"/>
      <c r="AC25" s="49"/>
      <c r="AD25" s="49"/>
      <c r="AE25" s="49"/>
      <c r="AF25" s="49"/>
      <c r="AG25" s="49"/>
      <c r="AH25" s="44"/>
      <c r="AI25" s="49"/>
      <c r="AJ25" s="49"/>
      <c r="AK25" s="49"/>
      <c r="AL25" s="49"/>
      <c r="AM25" s="49"/>
      <c r="AN25" s="50"/>
      <c r="AO25" s="49"/>
      <c r="AP25" s="49"/>
      <c r="AQ25" s="49"/>
      <c r="AR25" s="5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1868</v>
      </c>
      <c r="E26" s="17">
        <v>144.51</v>
      </c>
      <c r="F26" s="17">
        <v>91.16</v>
      </c>
      <c r="G26" s="17">
        <v>96.18</v>
      </c>
      <c r="H26" s="17">
        <v>92.53</v>
      </c>
      <c r="I26" s="17">
        <v>73.3</v>
      </c>
      <c r="J26" s="21">
        <v>71.739999999999995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57"/>
      <c r="X26" s="48"/>
      <c r="Y26" s="49"/>
      <c r="Z26" s="49"/>
      <c r="AA26" s="49"/>
      <c r="AB26" s="50"/>
      <c r="AC26" s="49"/>
      <c r="AD26" s="49"/>
      <c r="AE26" s="49"/>
      <c r="AF26" s="49"/>
      <c r="AG26" s="49"/>
      <c r="AH26" s="44"/>
      <c r="AI26" s="49"/>
      <c r="AJ26" s="49"/>
      <c r="AK26" s="49"/>
      <c r="AL26" s="49"/>
      <c r="AM26" s="49"/>
      <c r="AN26" s="50"/>
      <c r="AO26" s="49"/>
      <c r="AP26" s="49"/>
      <c r="AQ26" s="49"/>
      <c r="AR26" s="5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1869</v>
      </c>
      <c r="E27" s="17">
        <v>0</v>
      </c>
      <c r="F27" s="17">
        <v>11.09</v>
      </c>
      <c r="G27" s="17">
        <v>10.51</v>
      </c>
      <c r="H27" s="17">
        <v>9.18</v>
      </c>
      <c r="I27" s="17">
        <v>11.59</v>
      </c>
      <c r="J27" s="21">
        <v>10.45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57"/>
      <c r="X27" s="48"/>
      <c r="Y27" s="49"/>
      <c r="Z27" s="49"/>
      <c r="AA27" s="49"/>
      <c r="AB27" s="50"/>
      <c r="AC27" s="49"/>
      <c r="AD27" s="49"/>
      <c r="AE27" s="49"/>
      <c r="AF27" s="49"/>
      <c r="AG27" s="49"/>
      <c r="AH27" s="44"/>
      <c r="AI27" s="49"/>
      <c r="AJ27" s="49"/>
      <c r="AK27" s="49"/>
      <c r="AL27" s="49"/>
      <c r="AM27" s="49"/>
      <c r="AN27" s="50"/>
      <c r="AO27" s="49"/>
      <c r="AP27" s="49"/>
      <c r="AQ27" s="49"/>
      <c r="AR27" s="5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1870</v>
      </c>
      <c r="E28" s="17">
        <v>0</v>
      </c>
      <c r="F28" s="17">
        <v>7.99</v>
      </c>
      <c r="G28" s="17">
        <v>7.96</v>
      </c>
      <c r="H28" s="17">
        <v>7.49</v>
      </c>
      <c r="I28" s="17">
        <v>9.24</v>
      </c>
      <c r="J28" s="21">
        <v>8.33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57"/>
      <c r="X28" s="48"/>
      <c r="Y28" s="49"/>
      <c r="Z28" s="49"/>
      <c r="AA28" s="49"/>
      <c r="AB28" s="50"/>
      <c r="AC28" s="49"/>
      <c r="AD28" s="49"/>
      <c r="AE28" s="49"/>
      <c r="AF28" s="49"/>
      <c r="AG28" s="49"/>
      <c r="AH28" s="44"/>
      <c r="AI28" s="49"/>
      <c r="AJ28" s="49"/>
      <c r="AK28" s="49"/>
      <c r="AL28" s="49"/>
      <c r="AM28" s="49"/>
      <c r="AN28" s="50"/>
      <c r="AO28" s="49"/>
      <c r="AP28" s="49"/>
      <c r="AQ28" s="49"/>
      <c r="AR28" s="5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1793</v>
      </c>
      <c r="E29" s="17">
        <v>15</v>
      </c>
      <c r="F29" s="17">
        <v>10</v>
      </c>
      <c r="G29" s="17">
        <v>10</v>
      </c>
      <c r="H29" s="17">
        <v>10</v>
      </c>
      <c r="I29" s="17">
        <v>8.5</v>
      </c>
      <c r="J29" s="21">
        <v>7.5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57"/>
      <c r="X29" s="48"/>
      <c r="Y29" s="49"/>
      <c r="Z29" s="49"/>
      <c r="AA29" s="49"/>
      <c r="AB29" s="50"/>
      <c r="AC29" s="49"/>
      <c r="AD29" s="49"/>
      <c r="AE29" s="49"/>
      <c r="AF29" s="49"/>
      <c r="AG29" s="49"/>
      <c r="AH29" s="44"/>
      <c r="AI29" s="49"/>
      <c r="AJ29" s="49"/>
      <c r="AK29" s="49"/>
      <c r="AL29" s="49"/>
      <c r="AM29" s="49"/>
      <c r="AN29" s="50"/>
      <c r="AO29" s="49"/>
      <c r="AP29" s="49"/>
      <c r="AQ29" s="49"/>
      <c r="AR29" s="5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1871</v>
      </c>
      <c r="E30" s="17">
        <v>0</v>
      </c>
      <c r="F30" s="17">
        <v>88.91</v>
      </c>
      <c r="G30" s="17">
        <v>89.49</v>
      </c>
      <c r="H30" s="17">
        <v>90.82</v>
      </c>
      <c r="I30" s="17">
        <v>88.41</v>
      </c>
      <c r="J30" s="21">
        <v>89.55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57"/>
      <c r="X30" s="48"/>
      <c r="Y30" s="49"/>
      <c r="Z30" s="49"/>
      <c r="AA30" s="49"/>
      <c r="AB30" s="50"/>
      <c r="AC30" s="49"/>
      <c r="AD30" s="49"/>
      <c r="AE30" s="49"/>
      <c r="AF30" s="49"/>
      <c r="AG30" s="49"/>
      <c r="AH30" s="44"/>
      <c r="AI30" s="49"/>
      <c r="AJ30" s="49"/>
      <c r="AK30" s="49"/>
      <c r="AL30" s="49"/>
      <c r="AM30" s="49"/>
      <c r="AN30" s="50"/>
      <c r="AO30" s="49"/>
      <c r="AP30" s="49"/>
      <c r="AQ30" s="49"/>
      <c r="AR30" s="5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1794</v>
      </c>
      <c r="E31" s="17">
        <v>0.04</v>
      </c>
      <c r="F31" s="17">
        <v>0.03</v>
      </c>
      <c r="G31" s="17">
        <v>0.04</v>
      </c>
      <c r="H31" s="17">
        <v>0.06</v>
      </c>
      <c r="I31" s="17">
        <v>0.06</v>
      </c>
      <c r="J31" s="21">
        <v>0.17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57"/>
      <c r="X31" s="48"/>
      <c r="Y31" s="49"/>
      <c r="Z31" s="49"/>
      <c r="AA31" s="49"/>
      <c r="AB31" s="50"/>
      <c r="AC31" s="49"/>
      <c r="AD31" s="49"/>
      <c r="AE31" s="49"/>
      <c r="AF31" s="49"/>
      <c r="AG31" s="49"/>
      <c r="AH31" s="44"/>
      <c r="AI31" s="49"/>
      <c r="AJ31" s="49"/>
      <c r="AK31" s="49"/>
      <c r="AL31" s="49"/>
      <c r="AM31" s="49"/>
      <c r="AN31" s="50"/>
      <c r="AO31" s="49"/>
      <c r="AP31" s="49"/>
      <c r="AQ31" s="49"/>
      <c r="AR31" s="5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1872</v>
      </c>
      <c r="E32" s="17">
        <v>13.78</v>
      </c>
      <c r="F32" s="17">
        <v>15.19</v>
      </c>
      <c r="G32" s="17">
        <v>14.03</v>
      </c>
      <c r="H32" s="17">
        <v>9.9600000000000009</v>
      </c>
      <c r="I32" s="17">
        <v>9.1</v>
      </c>
      <c r="J32" s="21">
        <v>4.12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57"/>
      <c r="X32" s="48"/>
      <c r="Y32" s="49"/>
      <c r="Z32" s="49"/>
      <c r="AA32" s="49"/>
      <c r="AB32" s="50"/>
      <c r="AC32" s="49"/>
      <c r="AD32" s="49"/>
      <c r="AE32" s="49"/>
      <c r="AF32" s="49"/>
      <c r="AG32" s="49"/>
      <c r="AH32" s="44"/>
      <c r="AI32" s="49"/>
      <c r="AJ32" s="49"/>
      <c r="AK32" s="49"/>
      <c r="AL32" s="49"/>
      <c r="AM32" s="49"/>
      <c r="AN32" s="50"/>
      <c r="AO32" s="49"/>
      <c r="AP32" s="49"/>
      <c r="AQ32" s="49"/>
      <c r="AR32" s="5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1873</v>
      </c>
      <c r="E33" s="17">
        <v>2.7</v>
      </c>
      <c r="F33" s="17">
        <v>2.5</v>
      </c>
      <c r="G33" s="17">
        <v>2.67</v>
      </c>
      <c r="H33" s="17">
        <v>1.97</v>
      </c>
      <c r="I33" s="17">
        <v>1.39</v>
      </c>
      <c r="J33" s="21">
        <v>0.67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57"/>
      <c r="X33" s="48"/>
      <c r="Y33" s="49"/>
      <c r="Z33" s="49"/>
      <c r="AA33" s="49"/>
      <c r="AB33" s="50"/>
      <c r="AC33" s="49"/>
      <c r="AD33" s="49"/>
      <c r="AE33" s="49"/>
      <c r="AF33" s="49"/>
      <c r="AG33" s="49"/>
      <c r="AH33" s="44"/>
      <c r="AI33" s="49"/>
      <c r="AJ33" s="49"/>
      <c r="AK33" s="49"/>
      <c r="AL33" s="49"/>
      <c r="AM33" s="49"/>
      <c r="AN33" s="50"/>
      <c r="AO33" s="49"/>
      <c r="AP33" s="49"/>
      <c r="AQ33" s="49"/>
      <c r="AR33" s="5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1874</v>
      </c>
      <c r="E34" s="17">
        <v>9.15</v>
      </c>
      <c r="F34" s="17">
        <v>8.1999999999999993</v>
      </c>
      <c r="G34" s="17">
        <v>7.32</v>
      </c>
      <c r="H34" s="17">
        <v>6.56</v>
      </c>
      <c r="I34" s="17">
        <v>7.31</v>
      </c>
      <c r="J34" s="17">
        <v>6.3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57"/>
      <c r="X34" s="48"/>
      <c r="Y34" s="49"/>
      <c r="Z34" s="49"/>
      <c r="AA34" s="49"/>
      <c r="AB34" s="50"/>
      <c r="AC34" s="49"/>
      <c r="AD34" s="49"/>
      <c r="AE34" s="49"/>
      <c r="AF34" s="49"/>
      <c r="AG34" s="49"/>
      <c r="AH34" s="44"/>
      <c r="AI34" s="49"/>
      <c r="AJ34" s="49"/>
      <c r="AK34" s="49"/>
      <c r="AL34" s="49"/>
      <c r="AM34" s="49"/>
      <c r="AN34" s="50"/>
      <c r="AO34" s="49"/>
      <c r="AP34" s="49"/>
      <c r="AQ34" s="49"/>
      <c r="AR34" s="5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1875</v>
      </c>
      <c r="E35" s="17">
        <v>2.71</v>
      </c>
      <c r="F35" s="17">
        <v>2.5</v>
      </c>
      <c r="G35" s="17">
        <v>2.62</v>
      </c>
      <c r="H35" s="17">
        <v>1.86</v>
      </c>
      <c r="I35" s="17">
        <v>1.31</v>
      </c>
      <c r="J35" s="17">
        <v>0.54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57"/>
      <c r="X35" s="48"/>
      <c r="Y35" s="49"/>
      <c r="Z35" s="49"/>
      <c r="AA35" s="49"/>
      <c r="AB35" s="50"/>
      <c r="AC35" s="49"/>
      <c r="AD35" s="49"/>
      <c r="AE35" s="49"/>
      <c r="AF35" s="49"/>
      <c r="AG35" s="49"/>
      <c r="AH35" s="44"/>
      <c r="AI35" s="49"/>
      <c r="AJ35" s="49"/>
      <c r="AK35" s="49"/>
      <c r="AL35" s="49"/>
      <c r="AM35" s="49"/>
      <c r="AN35" s="50"/>
      <c r="AO35" s="49"/>
      <c r="AP35" s="49"/>
      <c r="AQ35" s="49"/>
      <c r="AR35" s="5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1795</v>
      </c>
      <c r="E36" s="17">
        <v>10.94</v>
      </c>
      <c r="F36" s="17">
        <v>8.6999999999999993</v>
      </c>
      <c r="G36" s="17">
        <v>10.58</v>
      </c>
      <c r="H36" s="17">
        <v>11.18</v>
      </c>
      <c r="I36" s="17">
        <v>8.5</v>
      </c>
      <c r="J36" s="17">
        <v>8.99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57"/>
      <c r="X36" s="48"/>
      <c r="Y36" s="49"/>
      <c r="Z36" s="49"/>
      <c r="AA36" s="49"/>
      <c r="AB36" s="50"/>
      <c r="AC36" s="49"/>
      <c r="AD36" s="49"/>
      <c r="AE36" s="49"/>
      <c r="AF36" s="49"/>
      <c r="AG36" s="49"/>
      <c r="AH36" s="44"/>
      <c r="AI36" s="49"/>
      <c r="AJ36" s="49"/>
      <c r="AK36" s="49"/>
      <c r="AL36" s="49"/>
      <c r="AM36" s="49"/>
      <c r="AN36" s="50"/>
      <c r="AO36" s="49"/>
      <c r="AP36" s="49"/>
      <c r="AQ36" s="49"/>
      <c r="AR36" s="5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1796</v>
      </c>
      <c r="E37" s="17">
        <v>144.41999999999999</v>
      </c>
      <c r="F37" s="17">
        <v>91.11</v>
      </c>
      <c r="G37" s="17">
        <v>96.13</v>
      </c>
      <c r="H37" s="17">
        <v>92.47</v>
      </c>
      <c r="I37" s="17">
        <v>73.25</v>
      </c>
      <c r="J37" s="17">
        <v>71.69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57"/>
      <c r="X37" s="48"/>
      <c r="Y37" s="49"/>
      <c r="Z37" s="49"/>
      <c r="AA37" s="49"/>
      <c r="AB37" s="50"/>
      <c r="AC37" s="49"/>
      <c r="AD37" s="49"/>
      <c r="AE37" s="49"/>
      <c r="AF37" s="49"/>
      <c r="AG37" s="49"/>
      <c r="AH37" s="44"/>
      <c r="AI37" s="49"/>
      <c r="AJ37" s="49"/>
      <c r="AK37" s="49"/>
      <c r="AL37" s="49"/>
      <c r="AM37" s="49"/>
      <c r="AN37" s="50"/>
      <c r="AO37" s="49"/>
      <c r="AP37" s="49"/>
      <c r="AQ37" s="49"/>
      <c r="AR37" s="5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1876</v>
      </c>
      <c r="E38" s="17">
        <v>19.600000000000001</v>
      </c>
      <c r="F38" s="17">
        <v>16.440000000000001</v>
      </c>
      <c r="G38" s="17">
        <v>19.02</v>
      </c>
      <c r="H38" s="17">
        <v>19.77</v>
      </c>
      <c r="I38" s="17">
        <v>15.3</v>
      </c>
      <c r="J38" s="17">
        <v>16.18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57"/>
      <c r="X38" s="48"/>
      <c r="Y38" s="49"/>
      <c r="Z38" s="49"/>
      <c r="AA38" s="49"/>
      <c r="AB38" s="50"/>
      <c r="AC38" s="49"/>
      <c r="AD38" s="49"/>
      <c r="AE38" s="49"/>
      <c r="AF38" s="49"/>
      <c r="AG38" s="49"/>
      <c r="AH38" s="44"/>
      <c r="AI38" s="49"/>
      <c r="AJ38" s="49"/>
      <c r="AK38" s="49"/>
      <c r="AL38" s="49"/>
      <c r="AM38" s="49"/>
      <c r="AN38" s="50"/>
      <c r="AO38" s="49"/>
      <c r="AP38" s="49"/>
      <c r="AQ38" s="49"/>
      <c r="AR38" s="5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1877</v>
      </c>
      <c r="E39" s="17">
        <v>258.61</v>
      </c>
      <c r="F39" s="17">
        <v>172.15</v>
      </c>
      <c r="G39" s="17">
        <v>172.73</v>
      </c>
      <c r="H39" s="17">
        <v>163.51</v>
      </c>
      <c r="I39" s="17">
        <v>131.75</v>
      </c>
      <c r="J39" s="17">
        <v>128.96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57"/>
      <c r="X39" s="48"/>
      <c r="Y39" s="49"/>
      <c r="Z39" s="49"/>
      <c r="AA39" s="49"/>
      <c r="AB39" s="50"/>
      <c r="AC39" s="49"/>
      <c r="AD39" s="49"/>
      <c r="AE39" s="49"/>
      <c r="AF39" s="49"/>
      <c r="AG39" s="49"/>
      <c r="AH39" s="44"/>
      <c r="AI39" s="49"/>
      <c r="AJ39" s="49"/>
      <c r="AK39" s="49"/>
      <c r="AL39" s="49"/>
      <c r="AM39" s="49"/>
      <c r="AN39" s="50"/>
      <c r="AO39" s="49"/>
      <c r="AP39" s="49"/>
      <c r="AQ39" s="49"/>
      <c r="AR39" s="5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1878</v>
      </c>
      <c r="E40" s="17">
        <v>16.739999999999998</v>
      </c>
      <c r="F40" s="17">
        <v>13.07</v>
      </c>
      <c r="G40" s="17">
        <v>15.64</v>
      </c>
      <c r="H40" s="17">
        <v>17.239999999999998</v>
      </c>
      <c r="I40" s="17">
        <v>13.13</v>
      </c>
      <c r="J40" s="17">
        <v>13.88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57"/>
      <c r="X40" s="48"/>
      <c r="Y40" s="49"/>
      <c r="Z40" s="49"/>
      <c r="AA40" s="49"/>
      <c r="AB40" s="50"/>
      <c r="AC40" s="49"/>
      <c r="AD40" s="49"/>
      <c r="AE40" s="49"/>
      <c r="AF40" s="49"/>
      <c r="AG40" s="49"/>
      <c r="AH40" s="44"/>
      <c r="AI40" s="49"/>
      <c r="AJ40" s="49"/>
      <c r="AK40" s="49"/>
      <c r="AL40" s="49"/>
      <c r="AM40" s="49"/>
      <c r="AN40" s="50"/>
      <c r="AO40" s="49"/>
      <c r="AP40" s="49"/>
      <c r="AQ40" s="49"/>
      <c r="AR40" s="5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1879</v>
      </c>
      <c r="E41" s="17">
        <v>220.88</v>
      </c>
      <c r="F41" s="17">
        <v>136.84</v>
      </c>
      <c r="G41" s="17">
        <v>142.03</v>
      </c>
      <c r="H41" s="17">
        <v>142.63999999999999</v>
      </c>
      <c r="I41" s="17">
        <v>113.12</v>
      </c>
      <c r="J41" s="17">
        <v>110.69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57"/>
      <c r="X41" s="48"/>
      <c r="Y41" s="49"/>
      <c r="Z41" s="49"/>
      <c r="AA41" s="49"/>
      <c r="AB41" s="50"/>
      <c r="AC41" s="49"/>
      <c r="AD41" s="49"/>
      <c r="AE41" s="49"/>
      <c r="AF41" s="49"/>
      <c r="AG41" s="49"/>
      <c r="AH41" s="44"/>
      <c r="AI41" s="49"/>
      <c r="AJ41" s="49"/>
      <c r="AK41" s="49"/>
      <c r="AL41" s="49"/>
      <c r="AM41" s="49"/>
      <c r="AN41" s="50"/>
      <c r="AO41" s="49"/>
      <c r="AP41" s="49"/>
      <c r="AQ41" s="49"/>
      <c r="AR41" s="5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1880</v>
      </c>
      <c r="E42" s="17">
        <v>16.64</v>
      </c>
      <c r="F42" s="17">
        <v>12.78</v>
      </c>
      <c r="G42" s="17">
        <v>14.86</v>
      </c>
      <c r="H42" s="17">
        <v>16.3</v>
      </c>
      <c r="I42" s="17">
        <v>12.21</v>
      </c>
      <c r="J42" s="17">
        <v>12.55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57"/>
      <c r="X42" s="48"/>
      <c r="Y42" s="49"/>
      <c r="Z42" s="49"/>
      <c r="AA42" s="49"/>
      <c r="AB42" s="50"/>
      <c r="AC42" s="49"/>
      <c r="AD42" s="49"/>
      <c r="AE42" s="49"/>
      <c r="AF42" s="49"/>
      <c r="AG42" s="49"/>
      <c r="AH42" s="44"/>
      <c r="AI42" s="49"/>
      <c r="AJ42" s="49"/>
      <c r="AK42" s="49"/>
      <c r="AL42" s="49"/>
      <c r="AM42" s="49"/>
      <c r="AN42" s="50"/>
      <c r="AO42" s="49"/>
      <c r="AP42" s="49"/>
      <c r="AQ42" s="49"/>
      <c r="AR42" s="5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1881</v>
      </c>
      <c r="E43" s="17">
        <v>219.64</v>
      </c>
      <c r="F43" s="17">
        <v>133.84</v>
      </c>
      <c r="G43" s="17">
        <v>134.94999999999999</v>
      </c>
      <c r="H43" s="17">
        <v>134.84</v>
      </c>
      <c r="I43" s="17">
        <v>105.16</v>
      </c>
      <c r="J43" s="17">
        <v>100.1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57"/>
      <c r="X43" s="48"/>
      <c r="Y43" s="49"/>
      <c r="Z43" s="49"/>
      <c r="AA43" s="49"/>
      <c r="AB43" s="50"/>
      <c r="AC43" s="49"/>
      <c r="AD43" s="49"/>
      <c r="AE43" s="49"/>
      <c r="AF43" s="49"/>
      <c r="AG43" s="49"/>
      <c r="AH43" s="44"/>
      <c r="AI43" s="49"/>
      <c r="AJ43" s="49"/>
      <c r="AK43" s="49"/>
      <c r="AL43" s="49"/>
      <c r="AM43" s="49"/>
      <c r="AN43" s="50"/>
      <c r="AO43" s="49"/>
      <c r="AP43" s="49"/>
      <c r="AQ43" s="49"/>
      <c r="AR43" s="5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1882</v>
      </c>
      <c r="E44" s="17">
        <v>4</v>
      </c>
      <c r="F44" s="17">
        <v>3.54</v>
      </c>
      <c r="G44" s="17">
        <v>3.68</v>
      </c>
      <c r="H44" s="17">
        <v>2.87</v>
      </c>
      <c r="I44" s="17">
        <v>3.29</v>
      </c>
      <c r="J44" s="17">
        <v>1.53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57"/>
      <c r="X44" s="48"/>
      <c r="Y44" s="49"/>
      <c r="Z44" s="49"/>
      <c r="AA44" s="49"/>
      <c r="AB44" s="50"/>
      <c r="AC44" s="49"/>
      <c r="AD44" s="49"/>
      <c r="AE44" s="49"/>
      <c r="AF44" s="49"/>
      <c r="AG44" s="49"/>
      <c r="AH44" s="44"/>
      <c r="AI44" s="49"/>
      <c r="AJ44" s="49"/>
      <c r="AK44" s="49"/>
      <c r="AL44" s="49"/>
      <c r="AM44" s="49"/>
      <c r="AN44" s="50"/>
      <c r="AO44" s="49"/>
      <c r="AP44" s="49"/>
      <c r="AQ44" s="49"/>
      <c r="AR44" s="5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1883</v>
      </c>
      <c r="E45" s="17">
        <v>2.71</v>
      </c>
      <c r="F45" s="17">
        <v>2.5</v>
      </c>
      <c r="G45" s="17">
        <v>2.62</v>
      </c>
      <c r="H45" s="17">
        <v>1.86</v>
      </c>
      <c r="I45" s="17">
        <v>1.31</v>
      </c>
      <c r="J45" s="17">
        <v>0.54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57"/>
      <c r="X45" s="48"/>
      <c r="Y45" s="49"/>
      <c r="Z45" s="49"/>
      <c r="AA45" s="49"/>
      <c r="AB45" s="50"/>
      <c r="AC45" s="49"/>
      <c r="AD45" s="49"/>
      <c r="AE45" s="49"/>
      <c r="AF45" s="49"/>
      <c r="AG45" s="49"/>
      <c r="AH45" s="44"/>
      <c r="AI45" s="49"/>
      <c r="AJ45" s="49"/>
      <c r="AK45" s="49"/>
      <c r="AL45" s="49"/>
      <c r="AM45" s="49"/>
      <c r="AN45" s="50"/>
      <c r="AO45" s="49"/>
      <c r="AP45" s="49"/>
      <c r="AQ45" s="49"/>
      <c r="AR45" s="5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1884</v>
      </c>
      <c r="E46" s="17">
        <v>2.1800000000000002</v>
      </c>
      <c r="F46" s="17">
        <v>1.62</v>
      </c>
      <c r="G46" s="17">
        <v>1.19</v>
      </c>
      <c r="H46" s="17">
        <v>0.87</v>
      </c>
      <c r="I46" s="17">
        <v>0.96</v>
      </c>
      <c r="J46" s="17">
        <v>0.88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57"/>
      <c r="X46" s="48"/>
      <c r="Y46" s="49"/>
      <c r="Z46" s="49"/>
      <c r="AA46" s="49"/>
      <c r="AB46" s="50"/>
      <c r="AC46" s="49"/>
      <c r="AD46" s="49"/>
      <c r="AE46" s="49"/>
      <c r="AF46" s="49"/>
      <c r="AG46" s="49"/>
      <c r="AH46" s="44"/>
      <c r="AI46" s="49"/>
      <c r="AJ46" s="49"/>
      <c r="AK46" s="49"/>
      <c r="AL46" s="49"/>
      <c r="AM46" s="49"/>
      <c r="AN46" s="50"/>
      <c r="AO46" s="49"/>
      <c r="AP46" s="49"/>
      <c r="AQ46" s="49"/>
      <c r="AR46" s="5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1797</v>
      </c>
      <c r="E47" s="17">
        <v>0</v>
      </c>
      <c r="F47" s="17">
        <v>88.9</v>
      </c>
      <c r="G47" s="17">
        <v>89.48</v>
      </c>
      <c r="H47" s="17">
        <v>90.81</v>
      </c>
      <c r="I47" s="17">
        <v>88.4</v>
      </c>
      <c r="J47" s="17">
        <v>89.54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57"/>
      <c r="X47" s="48"/>
      <c r="Y47" s="49"/>
      <c r="Z47" s="49"/>
      <c r="AA47" s="49"/>
      <c r="AB47" s="50"/>
      <c r="AC47" s="49"/>
      <c r="AD47" s="49"/>
      <c r="AE47" s="49"/>
      <c r="AF47" s="49"/>
      <c r="AG47" s="49"/>
      <c r="AH47" s="44"/>
      <c r="AI47" s="49"/>
      <c r="AJ47" s="49"/>
      <c r="AK47" s="49"/>
      <c r="AL47" s="49"/>
      <c r="AM47" s="49"/>
      <c r="AN47" s="50"/>
      <c r="AO47" s="49"/>
      <c r="AP47" s="49"/>
      <c r="AQ47" s="49"/>
      <c r="AR47" s="5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1798</v>
      </c>
      <c r="E48" s="17">
        <v>12.81</v>
      </c>
      <c r="F48" s="17">
        <v>9.26</v>
      </c>
      <c r="G48" s="17">
        <v>10.89</v>
      </c>
      <c r="H48" s="17">
        <v>11.51</v>
      </c>
      <c r="I48" s="17">
        <v>12.34</v>
      </c>
      <c r="J48" s="17">
        <v>11.99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57"/>
      <c r="X48" s="48"/>
      <c r="Y48" s="49"/>
      <c r="Z48" s="49"/>
      <c r="AA48" s="49"/>
      <c r="AB48" s="50"/>
      <c r="AC48" s="49"/>
      <c r="AD48" s="49"/>
      <c r="AE48" s="49"/>
      <c r="AF48" s="49"/>
      <c r="AG48" s="49"/>
      <c r="AH48" s="44"/>
      <c r="AI48" s="49"/>
      <c r="AJ48" s="49"/>
      <c r="AK48" s="49"/>
      <c r="AL48" s="49"/>
      <c r="AM48" s="49"/>
      <c r="AN48" s="50"/>
      <c r="AO48" s="49"/>
      <c r="AP48" s="49"/>
      <c r="AQ48" s="49"/>
      <c r="AR48" s="5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1885</v>
      </c>
      <c r="E49" s="17">
        <v>23.28</v>
      </c>
      <c r="F49" s="17">
        <v>11.44</v>
      </c>
      <c r="G49" s="17">
        <v>13.83</v>
      </c>
      <c r="H49" s="17">
        <v>15.98</v>
      </c>
      <c r="I49" s="17">
        <v>18.899999999999999</v>
      </c>
      <c r="J49" s="17">
        <v>19.420000000000002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57"/>
      <c r="X49" s="48"/>
      <c r="Y49" s="49"/>
      <c r="Z49" s="49"/>
      <c r="AA49" s="49"/>
      <c r="AB49" s="50"/>
      <c r="AC49" s="49"/>
      <c r="AD49" s="49"/>
      <c r="AE49" s="49"/>
      <c r="AF49" s="49"/>
      <c r="AG49" s="49"/>
      <c r="AH49" s="44"/>
      <c r="AI49" s="49"/>
      <c r="AJ49" s="49"/>
      <c r="AK49" s="49"/>
      <c r="AL49" s="49"/>
      <c r="AM49" s="49"/>
      <c r="AN49" s="50"/>
      <c r="AO49" s="49"/>
      <c r="AP49" s="49"/>
      <c r="AQ49" s="49"/>
      <c r="AR49" s="5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1799</v>
      </c>
      <c r="E50" s="17">
        <v>16.170000000000002</v>
      </c>
      <c r="F50" s="17">
        <v>12.3</v>
      </c>
      <c r="G50" s="17">
        <v>14.85</v>
      </c>
      <c r="H50" s="17">
        <v>17.23</v>
      </c>
      <c r="I50" s="17">
        <v>21.4</v>
      </c>
      <c r="J50" s="17">
        <v>25.35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57"/>
      <c r="X50" s="48"/>
      <c r="Y50" s="49"/>
      <c r="Z50" s="49"/>
      <c r="AA50" s="49"/>
      <c r="AB50" s="50"/>
      <c r="AC50" s="49"/>
      <c r="AD50" s="49"/>
      <c r="AE50" s="49"/>
      <c r="AF50" s="49"/>
      <c r="AG50" s="49"/>
      <c r="AH50" s="44"/>
      <c r="AI50" s="49"/>
      <c r="AJ50" s="49"/>
      <c r="AK50" s="49"/>
      <c r="AL50" s="49"/>
      <c r="AM50" s="49"/>
      <c r="AN50" s="50"/>
      <c r="AO50" s="49"/>
      <c r="AP50" s="49"/>
      <c r="AQ50" s="49"/>
      <c r="AR50" s="5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1886</v>
      </c>
      <c r="E51" s="17">
        <v>1319.34</v>
      </c>
      <c r="F51" s="17">
        <v>1047</v>
      </c>
      <c r="G51" s="17">
        <v>907.86</v>
      </c>
      <c r="H51" s="17">
        <v>826.99</v>
      </c>
      <c r="I51" s="17">
        <v>861.07</v>
      </c>
      <c r="J51" s="17">
        <v>796.98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57"/>
      <c r="X51" s="48"/>
      <c r="Y51" s="49"/>
      <c r="Z51" s="49"/>
      <c r="AA51" s="49"/>
      <c r="AB51" s="50"/>
      <c r="AC51" s="49"/>
      <c r="AD51" s="49"/>
      <c r="AE51" s="49"/>
      <c r="AF51" s="49"/>
      <c r="AG51" s="49"/>
      <c r="AH51" s="44"/>
      <c r="AI51" s="49"/>
      <c r="AJ51" s="49"/>
      <c r="AK51" s="49"/>
      <c r="AL51" s="49"/>
      <c r="AM51" s="49"/>
      <c r="AN51" s="50"/>
      <c r="AO51" s="49"/>
      <c r="AP51" s="49"/>
      <c r="AQ51" s="49"/>
      <c r="AR51" s="5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1887</v>
      </c>
      <c r="E52" s="17">
        <v>0</v>
      </c>
      <c r="F52" s="17">
        <v>0</v>
      </c>
      <c r="G52" s="17">
        <v>7.0000000000000007E-2</v>
      </c>
      <c r="H52" s="17">
        <v>0.17</v>
      </c>
      <c r="I52" s="17">
        <v>0.21</v>
      </c>
      <c r="J52" s="17">
        <v>0.35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57"/>
      <c r="X52" s="48"/>
      <c r="Y52" s="49"/>
      <c r="Z52" s="49"/>
      <c r="AA52" s="49"/>
      <c r="AB52" s="50"/>
      <c r="AC52" s="49"/>
      <c r="AD52" s="49"/>
      <c r="AE52" s="49"/>
      <c r="AF52" s="49"/>
      <c r="AG52" s="49"/>
      <c r="AH52" s="44"/>
      <c r="AI52" s="49"/>
      <c r="AJ52" s="49"/>
      <c r="AK52" s="49"/>
      <c r="AL52" s="49"/>
      <c r="AM52" s="49"/>
      <c r="AN52" s="50"/>
      <c r="AO52" s="49"/>
      <c r="AP52" s="49"/>
      <c r="AQ52" s="49"/>
      <c r="AR52" s="5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57"/>
      <c r="X53" s="48"/>
      <c r="Y53" s="49"/>
      <c r="Z53" s="49"/>
      <c r="AA53" s="49"/>
      <c r="AB53" s="50"/>
      <c r="AC53" s="49"/>
      <c r="AD53" s="49"/>
      <c r="AE53" s="49"/>
      <c r="AF53" s="49"/>
      <c r="AG53" s="49"/>
      <c r="AH53" s="44"/>
      <c r="AI53" s="49"/>
      <c r="AJ53" s="49"/>
      <c r="AK53" s="49"/>
      <c r="AL53" s="49"/>
      <c r="AM53" s="49"/>
      <c r="AN53" s="50"/>
      <c r="AO53" s="49"/>
      <c r="AP53" s="49"/>
      <c r="AQ53" s="49"/>
      <c r="AR53" s="5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57"/>
      <c r="X54" s="48"/>
      <c r="Y54" s="49"/>
      <c r="Z54" s="49"/>
      <c r="AA54" s="49"/>
      <c r="AB54" s="50"/>
      <c r="AC54" s="49"/>
      <c r="AD54" s="49"/>
      <c r="AE54" s="49"/>
      <c r="AF54" s="49"/>
      <c r="AG54" s="49"/>
      <c r="AH54" s="44"/>
      <c r="AI54" s="49"/>
      <c r="AJ54" s="49"/>
      <c r="AK54" s="49"/>
      <c r="AL54" s="49"/>
      <c r="AM54" s="49"/>
      <c r="AN54" s="50"/>
      <c r="AO54" s="49"/>
      <c r="AP54" s="49"/>
      <c r="AQ54" s="49"/>
      <c r="AR54" s="5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57"/>
      <c r="X55" s="48"/>
      <c r="Y55" s="49"/>
      <c r="Z55" s="49"/>
      <c r="AA55" s="49"/>
      <c r="AB55" s="50"/>
      <c r="AC55" s="49"/>
      <c r="AD55" s="49"/>
      <c r="AE55" s="49"/>
      <c r="AF55" s="49"/>
      <c r="AG55" s="49"/>
      <c r="AH55" s="44"/>
      <c r="AI55" s="49"/>
      <c r="AJ55" s="49"/>
      <c r="AK55" s="49"/>
      <c r="AL55" s="49"/>
      <c r="AM55" s="49"/>
      <c r="AN55" s="50"/>
      <c r="AO55" s="49"/>
      <c r="AP55" s="49"/>
      <c r="AQ55" s="49"/>
      <c r="AR55" s="5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57"/>
      <c r="X56" s="48"/>
      <c r="Y56" s="49"/>
      <c r="Z56" s="49"/>
      <c r="AA56" s="49"/>
      <c r="AB56" s="50"/>
      <c r="AC56" s="49"/>
      <c r="AD56" s="49"/>
      <c r="AE56" s="49"/>
      <c r="AF56" s="49"/>
      <c r="AG56" s="49"/>
      <c r="AH56" s="44"/>
      <c r="AI56" s="49"/>
      <c r="AJ56" s="49"/>
      <c r="AK56" s="49"/>
      <c r="AL56" s="49"/>
      <c r="AM56" s="49"/>
      <c r="AN56" s="50"/>
      <c r="AO56" s="49"/>
      <c r="AP56" s="49"/>
      <c r="AQ56" s="49"/>
      <c r="AR56" s="5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57"/>
      <c r="X57" s="48"/>
      <c r="Y57" s="49"/>
      <c r="Z57" s="49"/>
      <c r="AA57" s="49"/>
      <c r="AB57" s="50"/>
      <c r="AC57" s="49"/>
      <c r="AD57" s="49"/>
      <c r="AE57" s="49"/>
      <c r="AF57" s="49"/>
      <c r="AG57" s="49"/>
      <c r="AH57" s="44"/>
      <c r="AI57" s="49"/>
      <c r="AJ57" s="49"/>
      <c r="AK57" s="49"/>
      <c r="AL57" s="49"/>
      <c r="AM57" s="49"/>
      <c r="AN57" s="50"/>
      <c r="AO57" s="49"/>
      <c r="AP57" s="49"/>
      <c r="AQ57" s="49"/>
      <c r="AR57" s="5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57"/>
      <c r="X58" s="48"/>
      <c r="Y58" s="49"/>
      <c r="Z58" s="49"/>
      <c r="AA58" s="49"/>
      <c r="AB58" s="50"/>
      <c r="AC58" s="49"/>
      <c r="AD58" s="49"/>
      <c r="AE58" s="49"/>
      <c r="AF58" s="49"/>
      <c r="AG58" s="49"/>
      <c r="AH58" s="44"/>
      <c r="AI58" s="49"/>
      <c r="AJ58" s="49"/>
      <c r="AK58" s="49"/>
      <c r="AL58" s="49"/>
      <c r="AM58" s="49"/>
      <c r="AN58" s="50"/>
      <c r="AO58" s="49"/>
      <c r="AP58" s="49"/>
      <c r="AQ58" s="49"/>
      <c r="AR58" s="5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57"/>
      <c r="X59" s="48"/>
      <c r="Y59" s="49"/>
      <c r="Z59" s="49"/>
      <c r="AA59" s="49"/>
      <c r="AB59" s="50"/>
      <c r="AC59" s="49"/>
      <c r="AD59" s="49"/>
      <c r="AE59" s="49"/>
      <c r="AF59" s="49"/>
      <c r="AG59" s="49"/>
      <c r="AH59" s="44"/>
      <c r="AI59" s="49"/>
      <c r="AJ59" s="49"/>
      <c r="AK59" s="49"/>
      <c r="AL59" s="49"/>
      <c r="AM59" s="49"/>
      <c r="AN59" s="50"/>
      <c r="AO59" s="49"/>
      <c r="AP59" s="49"/>
      <c r="AQ59" s="49"/>
      <c r="AR59" s="5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57"/>
      <c r="X60" s="48"/>
      <c r="Y60" s="49"/>
      <c r="Z60" s="49"/>
      <c r="AA60" s="49"/>
      <c r="AB60" s="50"/>
      <c r="AC60" s="49"/>
      <c r="AD60" s="49"/>
      <c r="AE60" s="49"/>
      <c r="AF60" s="49"/>
      <c r="AG60" s="49"/>
      <c r="AH60" s="44"/>
      <c r="AI60" s="49"/>
      <c r="AJ60" s="49"/>
      <c r="AK60" s="49"/>
      <c r="AL60" s="49"/>
      <c r="AM60" s="49"/>
      <c r="AN60" s="50"/>
      <c r="AO60" s="49"/>
      <c r="AP60" s="49"/>
      <c r="AQ60" s="49"/>
      <c r="AR60" s="5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57"/>
      <c r="X61" s="48"/>
      <c r="Y61" s="49"/>
      <c r="Z61" s="49"/>
      <c r="AA61" s="49"/>
      <c r="AB61" s="50"/>
      <c r="AC61" s="49"/>
      <c r="AD61" s="49"/>
      <c r="AE61" s="49"/>
      <c r="AF61" s="49"/>
      <c r="AG61" s="49"/>
      <c r="AH61" s="44"/>
      <c r="AI61" s="49"/>
      <c r="AJ61" s="49"/>
      <c r="AK61" s="49"/>
      <c r="AL61" s="49"/>
      <c r="AM61" s="49"/>
      <c r="AN61" s="50"/>
      <c r="AO61" s="49"/>
      <c r="AP61" s="49"/>
      <c r="AQ61" s="49"/>
      <c r="AR61" s="5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57"/>
      <c r="X62" s="48"/>
      <c r="Y62" s="49"/>
      <c r="Z62" s="49"/>
      <c r="AA62" s="49"/>
      <c r="AB62" s="50"/>
      <c r="AC62" s="49"/>
      <c r="AD62" s="49"/>
      <c r="AE62" s="49"/>
      <c r="AF62" s="49"/>
      <c r="AG62" s="49"/>
      <c r="AH62" s="44"/>
      <c r="AI62" s="49"/>
      <c r="AJ62" s="49"/>
      <c r="AK62" s="49"/>
      <c r="AL62" s="49"/>
      <c r="AM62" s="49"/>
      <c r="AN62" s="50"/>
      <c r="AO62" s="49"/>
      <c r="AP62" s="49"/>
      <c r="AQ62" s="49"/>
      <c r="AR62" s="5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57"/>
      <c r="X63" s="48"/>
      <c r="Y63" s="49"/>
      <c r="Z63" s="49"/>
      <c r="AA63" s="49"/>
      <c r="AB63" s="50"/>
      <c r="AC63" s="49"/>
      <c r="AD63" s="49"/>
      <c r="AE63" s="49"/>
      <c r="AF63" s="49"/>
      <c r="AG63" s="49"/>
      <c r="AH63" s="44"/>
      <c r="AI63" s="49"/>
      <c r="AJ63" s="49"/>
      <c r="AK63" s="49"/>
      <c r="AL63" s="49"/>
      <c r="AM63" s="49"/>
      <c r="AN63" s="50"/>
      <c r="AO63" s="49"/>
      <c r="AP63" s="49"/>
      <c r="AQ63" s="49"/>
      <c r="AR63" s="5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57"/>
      <c r="X64" s="48"/>
      <c r="Y64" s="49"/>
      <c r="Z64" s="49"/>
      <c r="AA64" s="49"/>
      <c r="AB64" s="50"/>
      <c r="AC64" s="49"/>
      <c r="AD64" s="49"/>
      <c r="AE64" s="49"/>
      <c r="AF64" s="49"/>
      <c r="AG64" s="49"/>
      <c r="AH64" s="44"/>
      <c r="AI64" s="49"/>
      <c r="AJ64" s="49"/>
      <c r="AK64" s="49"/>
      <c r="AL64" s="49"/>
      <c r="AM64" s="49"/>
      <c r="AN64" s="50"/>
      <c r="AO64" s="49"/>
      <c r="AP64" s="49"/>
      <c r="AQ64" s="49"/>
      <c r="AR64" s="5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57"/>
      <c r="X65" s="48"/>
      <c r="Y65" s="49"/>
      <c r="Z65" s="49"/>
      <c r="AA65" s="49"/>
      <c r="AB65" s="50"/>
      <c r="AC65" s="49"/>
      <c r="AD65" s="49"/>
      <c r="AE65" s="49"/>
      <c r="AF65" s="49"/>
      <c r="AG65" s="49"/>
      <c r="AH65" s="44"/>
      <c r="AI65" s="49"/>
      <c r="AJ65" s="49"/>
      <c r="AK65" s="49"/>
      <c r="AL65" s="49"/>
      <c r="AM65" s="49"/>
      <c r="AN65" s="50"/>
      <c r="AO65" s="49"/>
      <c r="AP65" s="49"/>
      <c r="AQ65" s="49"/>
      <c r="AR65" s="5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57"/>
      <c r="X66" s="48"/>
      <c r="Y66" s="49"/>
      <c r="Z66" s="49"/>
      <c r="AA66" s="49"/>
      <c r="AB66" s="50"/>
      <c r="AC66" s="49"/>
      <c r="AD66" s="49"/>
      <c r="AE66" s="49"/>
      <c r="AF66" s="49"/>
      <c r="AG66" s="49"/>
      <c r="AH66" s="44"/>
      <c r="AI66" s="49"/>
      <c r="AJ66" s="49"/>
      <c r="AK66" s="49"/>
      <c r="AL66" s="49"/>
      <c r="AM66" s="49"/>
      <c r="AN66" s="50"/>
      <c r="AO66" s="49"/>
      <c r="AP66" s="49"/>
      <c r="AQ66" s="49"/>
      <c r="AR66" s="5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57"/>
      <c r="X67" s="48"/>
      <c r="Y67" s="49"/>
      <c r="Z67" s="49"/>
      <c r="AA67" s="49"/>
      <c r="AB67" s="50"/>
      <c r="AC67" s="49"/>
      <c r="AD67" s="49"/>
      <c r="AE67" s="49"/>
      <c r="AF67" s="49"/>
      <c r="AG67" s="49"/>
      <c r="AH67" s="44"/>
      <c r="AI67" s="49"/>
      <c r="AJ67" s="49"/>
      <c r="AK67" s="49"/>
      <c r="AL67" s="49"/>
      <c r="AM67" s="49"/>
      <c r="AN67" s="50"/>
      <c r="AO67" s="49"/>
      <c r="AP67" s="49"/>
      <c r="AQ67" s="49"/>
      <c r="AR67" s="5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57"/>
      <c r="X68" s="48"/>
      <c r="Y68" s="49"/>
      <c r="Z68" s="49"/>
      <c r="AA68" s="49"/>
      <c r="AB68" s="50"/>
      <c r="AC68" s="49"/>
      <c r="AD68" s="49"/>
      <c r="AE68" s="49"/>
      <c r="AF68" s="49"/>
      <c r="AG68" s="49"/>
      <c r="AH68" s="44"/>
      <c r="AI68" s="49"/>
      <c r="AJ68" s="49"/>
      <c r="AK68" s="49"/>
      <c r="AL68" s="49"/>
      <c r="AM68" s="49"/>
      <c r="AN68" s="50"/>
      <c r="AO68" s="49"/>
      <c r="AP68" s="49"/>
      <c r="AQ68" s="49"/>
      <c r="AR68" s="5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57"/>
      <c r="X69" s="48"/>
      <c r="Y69" s="49"/>
      <c r="Z69" s="49"/>
      <c r="AA69" s="49"/>
      <c r="AB69" s="50"/>
      <c r="AC69" s="49"/>
      <c r="AD69" s="49"/>
      <c r="AE69" s="49"/>
      <c r="AF69" s="49"/>
      <c r="AG69" s="49"/>
      <c r="AH69" s="44"/>
      <c r="AI69" s="49"/>
      <c r="AJ69" s="49"/>
      <c r="AK69" s="49"/>
      <c r="AL69" s="49"/>
      <c r="AM69" s="49"/>
      <c r="AN69" s="50"/>
      <c r="AO69" s="49"/>
      <c r="AP69" s="49"/>
      <c r="AQ69" s="49"/>
      <c r="AR69" s="5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57"/>
      <c r="X70" s="48"/>
      <c r="Y70" s="49"/>
      <c r="Z70" s="49"/>
      <c r="AA70" s="49"/>
      <c r="AB70" s="50"/>
      <c r="AC70" s="49"/>
      <c r="AD70" s="49"/>
      <c r="AE70" s="49"/>
      <c r="AF70" s="49"/>
      <c r="AG70" s="49"/>
      <c r="AH70" s="44"/>
      <c r="AI70" s="49"/>
      <c r="AJ70" s="49"/>
      <c r="AK70" s="49"/>
      <c r="AL70" s="49"/>
      <c r="AM70" s="49"/>
      <c r="AN70" s="50"/>
      <c r="AO70" s="49"/>
      <c r="AP70" s="49"/>
      <c r="AQ70" s="49"/>
      <c r="AR70" s="5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57"/>
      <c r="X71" s="48"/>
      <c r="Y71" s="49"/>
      <c r="Z71" s="49"/>
      <c r="AA71" s="49"/>
      <c r="AB71" s="50"/>
      <c r="AC71" s="49"/>
      <c r="AD71" s="49"/>
      <c r="AE71" s="49"/>
      <c r="AF71" s="49"/>
      <c r="AG71" s="49"/>
      <c r="AH71" s="44"/>
      <c r="AI71" s="49"/>
      <c r="AJ71" s="49"/>
      <c r="AK71" s="49"/>
      <c r="AL71" s="49"/>
      <c r="AM71" s="49"/>
      <c r="AN71" s="50"/>
      <c r="AO71" s="49"/>
      <c r="AP71" s="49"/>
      <c r="AQ71" s="49"/>
      <c r="AR71" s="5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57"/>
      <c r="X72" s="48"/>
      <c r="Y72" s="49"/>
      <c r="Z72" s="49"/>
      <c r="AA72" s="49"/>
      <c r="AB72" s="50"/>
      <c r="AC72" s="49"/>
      <c r="AD72" s="49"/>
      <c r="AE72" s="49"/>
      <c r="AF72" s="49"/>
      <c r="AG72" s="49"/>
      <c r="AH72" s="44"/>
      <c r="AI72" s="49"/>
      <c r="AJ72" s="49"/>
      <c r="AK72" s="49"/>
      <c r="AL72" s="49"/>
      <c r="AM72" s="49"/>
      <c r="AN72" s="50"/>
      <c r="AO72" s="49"/>
      <c r="AP72" s="49"/>
      <c r="AQ72" s="49"/>
      <c r="AR72" s="5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57"/>
      <c r="X73" s="48"/>
      <c r="Y73" s="49"/>
      <c r="Z73" s="49"/>
      <c r="AA73" s="49"/>
      <c r="AB73" s="50"/>
      <c r="AC73" s="49"/>
      <c r="AD73" s="49"/>
      <c r="AE73" s="49"/>
      <c r="AF73" s="49"/>
      <c r="AG73" s="49"/>
      <c r="AH73" s="44"/>
      <c r="AI73" s="49"/>
      <c r="AJ73" s="49"/>
      <c r="AK73" s="49"/>
      <c r="AL73" s="49"/>
      <c r="AM73" s="49"/>
      <c r="AN73" s="50"/>
      <c r="AO73" s="49"/>
      <c r="AP73" s="49"/>
      <c r="AQ73" s="49"/>
      <c r="AR73" s="5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57"/>
      <c r="X74" s="48"/>
      <c r="Y74" s="49"/>
      <c r="Z74" s="49"/>
      <c r="AA74" s="49"/>
      <c r="AB74" s="50"/>
      <c r="AC74" s="49"/>
      <c r="AD74" s="49"/>
      <c r="AE74" s="49"/>
      <c r="AF74" s="49"/>
      <c r="AG74" s="49"/>
      <c r="AH74" s="44"/>
      <c r="AI74" s="49"/>
      <c r="AJ74" s="49"/>
      <c r="AK74" s="49"/>
      <c r="AL74" s="49"/>
      <c r="AM74" s="49"/>
      <c r="AN74" s="50"/>
      <c r="AO74" s="49"/>
      <c r="AP74" s="49"/>
      <c r="AQ74" s="49"/>
      <c r="AR74" s="5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58"/>
      <c r="X75" s="52"/>
      <c r="Y75" s="53"/>
      <c r="Z75" s="53"/>
      <c r="AA75" s="53"/>
      <c r="AB75" s="54"/>
      <c r="AC75" s="53"/>
      <c r="AD75" s="53"/>
      <c r="AE75" s="53"/>
      <c r="AF75" s="53"/>
      <c r="AG75" s="53"/>
      <c r="AH75" s="55"/>
      <c r="AI75" s="53"/>
      <c r="AJ75" s="53"/>
      <c r="AK75" s="53"/>
      <c r="AL75" s="53"/>
      <c r="AM75" s="53"/>
      <c r="AN75" s="54"/>
      <c r="AO75" s="53"/>
      <c r="AP75" s="53"/>
      <c r="AQ75" s="53"/>
      <c r="AR75" s="56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/>
      <c r="X76" s="4"/>
      <c r="Y76" s="4"/>
      <c r="Z76" s="4"/>
      <c r="AA76" s="4"/>
      <c r="AB76" s="26"/>
      <c r="AC76" s="4"/>
      <c r="AD76" s="4"/>
      <c r="AE76" s="4"/>
      <c r="AF76" s="4"/>
      <c r="AG76" s="4"/>
      <c r="AH76" s="44"/>
      <c r="AI76" s="4"/>
      <c r="AJ76" s="4"/>
      <c r="AK76" s="4"/>
      <c r="AL76" s="4"/>
      <c r="AM76" s="4"/>
      <c r="AN76" s="26"/>
      <c r="AO76" s="4"/>
      <c r="AP76" s="4"/>
      <c r="AQ76" s="4"/>
      <c r="AR76" s="4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/>
      <c r="X77" s="4"/>
      <c r="Y77" s="4"/>
      <c r="Z77" s="4"/>
      <c r="AA77" s="4"/>
      <c r="AB77" s="26"/>
      <c r="AC77" s="4"/>
      <c r="AD77" s="4"/>
      <c r="AE77" s="4"/>
      <c r="AF77" s="4"/>
      <c r="AG77" s="4"/>
      <c r="AH77" s="44"/>
      <c r="AI77" s="4"/>
      <c r="AJ77" s="4"/>
      <c r="AK77" s="4"/>
      <c r="AL77" s="4"/>
      <c r="AM77" s="4"/>
      <c r="AN77" s="26"/>
      <c r="AO77" s="4"/>
      <c r="AP77" s="4"/>
      <c r="AQ77" s="4"/>
      <c r="AR77" s="4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44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44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44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44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44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44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44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44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44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44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44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44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44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44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44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44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44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1778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zoomScale="80" zoomScaleNormal="80" workbookViewId="0">
      <pane ySplit="3" topLeftCell="A4" activePane="bottomLeft" state="frozen"/>
      <selection pane="bottomLeft" activeCell="K18" sqref="K18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3.140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59" t="s">
        <v>1889</v>
      </c>
      <c r="B1" s="64" t="s">
        <v>1823</v>
      </c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40" t="b">
        <v>0</v>
      </c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66" t="s">
        <v>1851</v>
      </c>
      <c r="R2" s="68"/>
      <c r="S2" s="66" t="s">
        <v>1849</v>
      </c>
      <c r="T2" s="67"/>
      <c r="U2" s="67"/>
      <c r="V2" s="68"/>
      <c r="W2" s="66" t="s">
        <v>1850</v>
      </c>
      <c r="X2" s="67"/>
      <c r="Y2" s="67"/>
      <c r="Z2" s="68"/>
      <c r="AA2" s="1"/>
      <c r="AB2" s="1"/>
      <c r="AJ2" s="11"/>
    </row>
    <row r="3" spans="1:36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5"/>
      <c r="N3" s="19" t="s">
        <v>1826</v>
      </c>
      <c r="O3" s="19" t="s">
        <v>1827</v>
      </c>
      <c r="P3" s="19" t="s">
        <v>1828</v>
      </c>
      <c r="Q3" s="37" t="s">
        <v>1824</v>
      </c>
      <c r="R3" s="38" t="s">
        <v>1829</v>
      </c>
      <c r="S3" s="37" t="s">
        <v>1831</v>
      </c>
      <c r="T3" s="19" t="s">
        <v>1825</v>
      </c>
      <c r="U3" s="19" t="s">
        <v>1830</v>
      </c>
      <c r="V3" s="38" t="s">
        <v>1832</v>
      </c>
      <c r="W3" s="37" t="s">
        <v>1847</v>
      </c>
      <c r="X3" s="19" t="s">
        <v>1848</v>
      </c>
      <c r="Y3" s="19" t="s">
        <v>1830</v>
      </c>
      <c r="Z3" s="38" t="s">
        <v>1832</v>
      </c>
      <c r="AA3" s="1"/>
      <c r="AB3" s="1"/>
      <c r="AD3" s="28" t="str">
        <f ca="1">B3</f>
        <v>Expiry</v>
      </c>
    </row>
    <row r="4" spans="1:36" x14ac:dyDescent="0.25">
      <c r="A4" s="1"/>
      <c r="B4" s="25">
        <v>43979</v>
      </c>
      <c r="C4" s="10" t="s">
        <v>247</v>
      </c>
      <c r="D4" s="1">
        <v>354.1</v>
      </c>
      <c r="E4" s="30">
        <v>2300</v>
      </c>
      <c r="F4" s="1">
        <v>360</v>
      </c>
      <c r="G4" s="1">
        <v>20.100000000000001</v>
      </c>
      <c r="H4" s="1">
        <v>184000</v>
      </c>
      <c r="I4" s="1">
        <v>2300</v>
      </c>
      <c r="J4" s="1">
        <v>19</v>
      </c>
      <c r="K4" s="1">
        <v>19.5</v>
      </c>
      <c r="L4" s="1">
        <v>4600</v>
      </c>
      <c r="M4" s="9"/>
      <c r="N4" s="7">
        <f t="shared" ref="N4:N42" ca="1" si="0">$G4/$D4</f>
        <v>3.899779851137436E-2</v>
      </c>
      <c r="O4" s="7">
        <f t="shared" ref="O4:O42" ca="1" si="1">N4/($B4-TODAY())</f>
        <v>2.7855570365267401E-3</v>
      </c>
      <c r="P4" s="33">
        <f t="shared" ref="P4:P42" ca="1" si="2">$E4*$D4</f>
        <v>596187.5</v>
      </c>
      <c r="Q4" s="33">
        <f t="shared" ref="Q4:Q42" ca="1" si="3">($G4+$F4-$D4)*$E4</f>
        <v>39562.500000000044</v>
      </c>
      <c r="R4" s="7">
        <f t="shared" ref="R4:R42" ca="1" si="4">$Q4/$P4</f>
        <v>6.6359157144354822E-2</v>
      </c>
      <c r="S4" s="7">
        <f t="shared" ref="S4:S42" ca="1" si="5">mrigxl_max_drawdown($C4,INT($B4-TODAY()))</f>
        <v>-0.18647083662403016</v>
      </c>
      <c r="T4" s="33">
        <f t="shared" ref="T4:T42" ca="1" si="6">(S4*$D4+$G4)*$E4</f>
        <v>-87921.581909788991</v>
      </c>
      <c r="U4" s="7">
        <f t="shared" ref="U4:U42" ca="1" si="7">T4/$P4</f>
        <v>-0.14747303811265583</v>
      </c>
      <c r="V4" s="7">
        <f t="shared" ref="V4:V42" ca="1" si="8">$R4+U4</f>
        <v>-8.1113880968301008E-2</v>
      </c>
      <c r="W4" s="7">
        <f t="shared" ref="W4:W42" ca="1" si="9">mrigxl_avg_drawdown($C4,INT($B4-TODAY()))</f>
        <v>-6.367187417701746E-2</v>
      </c>
      <c r="X4" s="33">
        <f t="shared" ref="X4:X42" ca="1" si="10">(W4*$D4+$G4)*$E4</f>
        <v>-14710.375485910596</v>
      </c>
      <c r="Y4" s="7">
        <f t="shared" ref="Y4:Y42" ca="1" si="11">X4/$P4</f>
        <v>-2.46740756656431E-2</v>
      </c>
      <c r="Z4" s="7">
        <f t="shared" ref="Z4:Z42" ca="1" si="12">$R4+Y4</f>
        <v>4.1685081478711722E-2</v>
      </c>
      <c r="AA4" s="1"/>
      <c r="AB4" s="1"/>
      <c r="AC4" s="60"/>
      <c r="AE4" s="34" t="s">
        <v>1846</v>
      </c>
    </row>
    <row r="5" spans="1:36" x14ac:dyDescent="0.25">
      <c r="A5" s="3"/>
      <c r="B5" s="25">
        <v>43979</v>
      </c>
      <c r="C5" s="10" t="s">
        <v>327</v>
      </c>
      <c r="D5" s="1">
        <v>590</v>
      </c>
      <c r="E5" s="30">
        <v>1150</v>
      </c>
      <c r="F5" s="1">
        <v>600</v>
      </c>
      <c r="G5" s="1">
        <v>33.200000000000003</v>
      </c>
      <c r="H5" s="1">
        <v>161000</v>
      </c>
      <c r="I5" s="1">
        <v>1150</v>
      </c>
      <c r="J5" s="1">
        <v>32.799999999999997</v>
      </c>
      <c r="K5" s="1">
        <v>33.200000000000003</v>
      </c>
      <c r="L5" s="1">
        <v>2300</v>
      </c>
      <c r="M5" s="9"/>
      <c r="N5" s="7">
        <f t="shared" ca="1" si="0"/>
        <v>5.5612569661855835E-2</v>
      </c>
      <c r="O5" s="7">
        <f t="shared" ca="1" si="1"/>
        <v>3.972326404418274E-3</v>
      </c>
      <c r="P5" s="33">
        <f t="shared" ca="1" si="2"/>
        <v>962237.5</v>
      </c>
      <c r="Q5" s="33">
        <f t="shared" ca="1" si="3"/>
        <v>41275.000000000087</v>
      </c>
      <c r="R5" s="7">
        <f t="shared" ca="1" si="4"/>
        <v>4.2894815469154017E-2</v>
      </c>
      <c r="S5" s="7">
        <f t="shared" ca="1" si="5"/>
        <v>-0.15873789989731096</v>
      </c>
      <c r="T5" s="33">
        <f t="shared" ca="1" si="6"/>
        <v>-99231.059952438736</v>
      </c>
      <c r="U5" s="7">
        <f t="shared" ca="1" si="7"/>
        <v>-0.10312533023545511</v>
      </c>
      <c r="V5" s="7">
        <f t="shared" ca="1" si="8"/>
        <v>-6.0230514766301098E-2</v>
      </c>
      <c r="W5" s="7">
        <f t="shared" ca="1" si="9"/>
        <v>-4.3306560246757587E-2</v>
      </c>
      <c r="X5" s="33">
        <f t="shared" ca="1" si="10"/>
        <v>11841.303734560604</v>
      </c>
      <c r="Y5" s="7">
        <f t="shared" ca="1" si="11"/>
        <v>1.2306009415098252E-2</v>
      </c>
      <c r="Z5" s="7">
        <f t="shared" ca="1" si="12"/>
        <v>5.5200824884252271E-2</v>
      </c>
      <c r="AA5" s="1"/>
      <c r="AB5" s="1"/>
    </row>
    <row r="6" spans="1:36" x14ac:dyDescent="0.25">
      <c r="A6" s="3"/>
      <c r="B6" s="25">
        <v>43979</v>
      </c>
      <c r="C6" s="10" t="s">
        <v>409</v>
      </c>
      <c r="D6" s="1">
        <v>3931</v>
      </c>
      <c r="E6" s="30">
        <v>250</v>
      </c>
      <c r="F6" s="1">
        <v>4000</v>
      </c>
      <c r="G6" s="1">
        <v>201.25</v>
      </c>
      <c r="H6" s="1">
        <v>26750</v>
      </c>
      <c r="I6" s="1">
        <v>250</v>
      </c>
      <c r="J6" s="1">
        <v>195.05</v>
      </c>
      <c r="K6" s="1">
        <v>201.95</v>
      </c>
      <c r="L6" s="1">
        <v>2250</v>
      </c>
      <c r="M6" s="9"/>
      <c r="N6" s="7">
        <f t="shared" ca="1" si="0"/>
        <v>3.1671827251937748E-2</v>
      </c>
      <c r="O6" s="7">
        <f t="shared" ca="1" si="1"/>
        <v>2.2622733751384108E-3</v>
      </c>
      <c r="P6" s="33">
        <f t="shared" ca="1" si="2"/>
        <v>741195</v>
      </c>
      <c r="Q6" s="33">
        <f t="shared" ca="1" si="3"/>
        <v>26279.999999999971</v>
      </c>
      <c r="R6" s="7">
        <f t="shared" ca="1" si="4"/>
        <v>3.5456256450731548E-2</v>
      </c>
      <c r="S6" s="7">
        <f t="shared" ca="1" si="5"/>
        <v>-0.19593676522444173</v>
      </c>
      <c r="T6" s="33">
        <f t="shared" ca="1" si="6"/>
        <v>-121752.35070053009</v>
      </c>
      <c r="U6" s="7">
        <f t="shared" ca="1" si="7"/>
        <v>-0.16426493797250399</v>
      </c>
      <c r="V6" s="7">
        <f t="shared" ca="1" si="8"/>
        <v>-0.12880868152177244</v>
      </c>
      <c r="W6" s="7">
        <f t="shared" ca="1" si="9"/>
        <v>-3.9721881206456616E-2</v>
      </c>
      <c r="X6" s="33">
        <f t="shared" ca="1" si="10"/>
        <v>-5966.6597408196121</v>
      </c>
      <c r="Y6" s="7">
        <f t="shared" ca="1" si="11"/>
        <v>-8.0500539545188682E-3</v>
      </c>
      <c r="Z6" s="7">
        <f t="shared" ca="1" si="12"/>
        <v>2.740620249621268E-2</v>
      </c>
      <c r="AA6" s="1"/>
      <c r="AB6" s="1"/>
    </row>
    <row r="7" spans="1:36" x14ac:dyDescent="0.25">
      <c r="A7" s="3"/>
      <c r="B7" s="25">
        <v>43979</v>
      </c>
      <c r="C7" s="10" t="s">
        <v>539</v>
      </c>
      <c r="D7" s="1">
        <v>337.5</v>
      </c>
      <c r="E7" s="30">
        <v>1400</v>
      </c>
      <c r="F7" s="1">
        <v>330</v>
      </c>
      <c r="G7" s="1">
        <v>32.700000000000003</v>
      </c>
      <c r="H7" s="1">
        <v>53200</v>
      </c>
      <c r="I7" s="1">
        <v>4200</v>
      </c>
      <c r="J7" s="1">
        <v>33.049999999999997</v>
      </c>
      <c r="K7" s="1">
        <v>34.450000000000003</v>
      </c>
      <c r="L7" s="1">
        <v>1400</v>
      </c>
      <c r="M7" s="9"/>
      <c r="N7" s="7">
        <f t="shared" ca="1" si="0"/>
        <v>5.3052613990016081E-2</v>
      </c>
      <c r="O7" s="7">
        <f t="shared" ca="1" si="1"/>
        <v>3.7894724278582917E-3</v>
      </c>
      <c r="P7" s="33">
        <f t="shared" ca="1" si="2"/>
        <v>957540</v>
      </c>
      <c r="Q7" s="33">
        <f t="shared" ca="1" si="3"/>
        <v>53260.000000000036</v>
      </c>
      <c r="R7" s="7">
        <f t="shared" ca="1" si="4"/>
        <v>5.5621697265910604E-2</v>
      </c>
      <c r="S7" s="7">
        <f t="shared" ca="1" si="5"/>
        <v>-0.17724844344908422</v>
      </c>
      <c r="T7" s="33">
        <f t="shared" ca="1" si="6"/>
        <v>-118922.47454023609</v>
      </c>
      <c r="U7" s="7">
        <f t="shared" ca="1" si="7"/>
        <v>-0.12419582945906812</v>
      </c>
      <c r="V7" s="7">
        <f t="shared" ca="1" si="8"/>
        <v>-6.8574132193157528E-2</v>
      </c>
      <c r="W7" s="7">
        <f t="shared" ca="1" si="9"/>
        <v>-4.7463095374021977E-2</v>
      </c>
      <c r="X7" s="33">
        <f t="shared" ca="1" si="10"/>
        <v>5352.1876555589988</v>
      </c>
      <c r="Y7" s="7">
        <f t="shared" ca="1" si="11"/>
        <v>5.5895186159941089E-3</v>
      </c>
      <c r="Z7" s="7">
        <f t="shared" ca="1" si="12"/>
        <v>6.1211215881904715E-2</v>
      </c>
      <c r="AA7" s="1"/>
      <c r="AB7" s="1"/>
    </row>
    <row r="8" spans="1:36" x14ac:dyDescent="0.25">
      <c r="A8" s="3"/>
      <c r="B8" s="25">
        <v>43979</v>
      </c>
      <c r="C8" s="10" t="s">
        <v>539</v>
      </c>
      <c r="D8" s="1">
        <v>337.5</v>
      </c>
      <c r="E8" s="30">
        <v>1400</v>
      </c>
      <c r="F8" s="1">
        <v>340</v>
      </c>
      <c r="G8" s="1">
        <v>28.65</v>
      </c>
      <c r="H8" s="1">
        <v>57400</v>
      </c>
      <c r="I8" s="1">
        <v>2800</v>
      </c>
      <c r="J8" s="1">
        <v>28.75</v>
      </c>
      <c r="K8" s="1">
        <v>29.2</v>
      </c>
      <c r="L8" s="1">
        <v>2800</v>
      </c>
      <c r="M8" s="9"/>
      <c r="N8" s="7">
        <f t="shared" ca="1" si="0"/>
        <v>8.9719354369637919E-2</v>
      </c>
      <c r="O8" s="7">
        <f t="shared" ca="1" si="1"/>
        <v>6.4085253121169946E-3</v>
      </c>
      <c r="P8" s="33">
        <f t="shared" ca="1" si="2"/>
        <v>790855</v>
      </c>
      <c r="Q8" s="33">
        <f t="shared" ca="1" si="3"/>
        <v>62100</v>
      </c>
      <c r="R8" s="7">
        <f t="shared" ca="1" si="4"/>
        <v>7.852261160389705E-2</v>
      </c>
      <c r="S8" s="7">
        <f t="shared" ca="1" si="5"/>
        <v>-0.19510024720689637</v>
      </c>
      <c r="T8" s="33">
        <f t="shared" ca="1" si="6"/>
        <v>-83341.006004810028</v>
      </c>
      <c r="U8" s="7">
        <f t="shared" ca="1" si="7"/>
        <v>-0.10538089283725845</v>
      </c>
      <c r="V8" s="7">
        <f t="shared" ca="1" si="8"/>
        <v>-2.6858281233361397E-2</v>
      </c>
      <c r="W8" s="7">
        <f t="shared" ca="1" si="9"/>
        <v>-6.5087475671695955E-2</v>
      </c>
      <c r="X8" s="33">
        <f t="shared" ca="1" si="10"/>
        <v>19480.244427660899</v>
      </c>
      <c r="Y8" s="7">
        <f t="shared" ca="1" si="11"/>
        <v>2.4631878697941971E-2</v>
      </c>
      <c r="Z8" s="7">
        <f t="shared" ca="1" si="12"/>
        <v>0.10315449030183901</v>
      </c>
      <c r="AA8" s="1"/>
      <c r="AB8" s="1"/>
    </row>
    <row r="9" spans="1:36" x14ac:dyDescent="0.25">
      <c r="A9" s="3"/>
      <c r="B9" s="25">
        <v>43979</v>
      </c>
      <c r="C9" s="10" t="s">
        <v>644</v>
      </c>
      <c r="D9" s="1">
        <v>2205</v>
      </c>
      <c r="E9" s="30">
        <v>300</v>
      </c>
      <c r="F9" s="1">
        <v>2220</v>
      </c>
      <c r="G9" s="1">
        <v>115</v>
      </c>
      <c r="H9" s="1">
        <v>6300</v>
      </c>
      <c r="I9" s="1">
        <v>600</v>
      </c>
      <c r="J9" s="1">
        <v>113.75</v>
      </c>
      <c r="K9" s="1">
        <v>117.15</v>
      </c>
      <c r="L9" s="1">
        <v>600</v>
      </c>
      <c r="M9" s="9"/>
      <c r="N9" s="7">
        <f t="shared" ca="1" si="0"/>
        <v>6.2417871222076218E-2</v>
      </c>
      <c r="O9" s="7">
        <f t="shared" ca="1" si="1"/>
        <v>4.4584193730054442E-3</v>
      </c>
      <c r="P9" s="33">
        <f t="shared" ca="1" si="2"/>
        <v>700120</v>
      </c>
      <c r="Q9" s="33">
        <f t="shared" ca="1" si="3"/>
        <v>33580.000000000051</v>
      </c>
      <c r="R9" s="7">
        <f t="shared" ca="1" si="4"/>
        <v>4.7963206307490215E-2</v>
      </c>
      <c r="S9" s="7">
        <f t="shared" ca="1" si="5"/>
        <v>-0.14778578206489221</v>
      </c>
      <c r="T9" s="33">
        <f t="shared" ca="1" si="6"/>
        <v>-59767.78173927233</v>
      </c>
      <c r="U9" s="7">
        <f t="shared" ca="1" si="7"/>
        <v>-8.5367910842815989E-2</v>
      </c>
      <c r="V9" s="7">
        <f t="shared" ca="1" si="8"/>
        <v>-3.7404704535325774E-2</v>
      </c>
      <c r="W9" s="7">
        <f t="shared" ca="1" si="9"/>
        <v>-4.7597961276022317E-2</v>
      </c>
      <c r="X9" s="33">
        <f t="shared" ca="1" si="10"/>
        <v>10375.715351431259</v>
      </c>
      <c r="Y9" s="7">
        <f t="shared" ca="1" si="11"/>
        <v>1.4819909946053905E-2</v>
      </c>
      <c r="Z9" s="7">
        <f t="shared" ca="1" si="12"/>
        <v>6.2783116253544116E-2</v>
      </c>
      <c r="AA9" s="1"/>
      <c r="AB9" s="1"/>
    </row>
    <row r="10" spans="1:36" x14ac:dyDescent="0.25">
      <c r="A10" s="3"/>
      <c r="B10" s="25">
        <v>43979</v>
      </c>
      <c r="C10" s="10" t="s">
        <v>644</v>
      </c>
      <c r="D10" s="1">
        <v>2205</v>
      </c>
      <c r="E10" s="30">
        <v>300</v>
      </c>
      <c r="F10" s="1">
        <v>2240</v>
      </c>
      <c r="G10" s="1">
        <v>109</v>
      </c>
      <c r="H10" s="1">
        <v>25200</v>
      </c>
      <c r="I10" s="1">
        <v>300</v>
      </c>
      <c r="J10" s="1">
        <v>105.2</v>
      </c>
      <c r="K10" s="1">
        <v>107.95</v>
      </c>
      <c r="L10" s="1">
        <v>1200</v>
      </c>
      <c r="M10" s="9"/>
      <c r="N10" s="7">
        <f t="shared" ca="1" si="0"/>
        <v>4.6032027418306448E-2</v>
      </c>
      <c r="O10" s="7">
        <f t="shared" ca="1" si="1"/>
        <v>3.2880019584504605E-3</v>
      </c>
      <c r="P10" s="33">
        <f t="shared" ca="1" si="2"/>
        <v>592305</v>
      </c>
      <c r="Q10" s="33">
        <f t="shared" ca="1" si="3"/>
        <v>29960.000000000047</v>
      </c>
      <c r="R10" s="7">
        <f t="shared" ca="1" si="4"/>
        <v>5.058204810021872E-2</v>
      </c>
      <c r="S10" s="7">
        <f t="shared" ca="1" si="5"/>
        <v>-0.21054860265758243</v>
      </c>
      <c r="T10" s="33">
        <f t="shared" ca="1" si="6"/>
        <v>-97443.990097099362</v>
      </c>
      <c r="U10" s="7">
        <f t="shared" ca="1" si="7"/>
        <v>-0.16451657523927599</v>
      </c>
      <c r="V10" s="7">
        <f t="shared" ca="1" si="8"/>
        <v>-0.11393452713905727</v>
      </c>
      <c r="W10" s="7">
        <f t="shared" ca="1" si="9"/>
        <v>-5.832413648398059E-2</v>
      </c>
      <c r="X10" s="33">
        <f t="shared" ca="1" si="10"/>
        <v>-7280.6776601441188</v>
      </c>
      <c r="Y10" s="7">
        <f t="shared" ca="1" si="11"/>
        <v>-1.2292109065674135E-2</v>
      </c>
      <c r="Z10" s="7">
        <f t="shared" ca="1" si="12"/>
        <v>3.8289939034544584E-2</v>
      </c>
      <c r="AA10" s="1"/>
      <c r="AB10" s="1"/>
    </row>
    <row r="11" spans="1:36" x14ac:dyDescent="0.25">
      <c r="A11" s="3"/>
      <c r="B11" s="25">
        <v>43979</v>
      </c>
      <c r="C11" s="10" t="s">
        <v>933</v>
      </c>
      <c r="D11" s="1">
        <v>833.8</v>
      </c>
      <c r="E11" s="30">
        <v>700</v>
      </c>
      <c r="F11" s="1">
        <v>840</v>
      </c>
      <c r="G11" s="1">
        <v>59.6</v>
      </c>
      <c r="H11" s="1">
        <v>9100</v>
      </c>
      <c r="I11" s="1">
        <v>1400</v>
      </c>
      <c r="J11" s="1">
        <v>53.5</v>
      </c>
      <c r="K11" s="1">
        <v>59.6</v>
      </c>
      <c r="L11" s="1">
        <v>11200</v>
      </c>
      <c r="M11" s="9"/>
      <c r="N11" s="7" t="e">
        <f t="shared" ca="1" si="0"/>
        <v>#DIV/0!</v>
      </c>
      <c r="O11" s="7" t="e">
        <f t="shared" ca="1" si="1"/>
        <v>#DIV/0!</v>
      </c>
      <c r="P11" s="33">
        <f t="shared" ca="1" si="2"/>
        <v>0</v>
      </c>
      <c r="Q11" s="33">
        <f t="shared" ca="1" si="3"/>
        <v>0</v>
      </c>
      <c r="R11" s="7" t="e">
        <f t="shared" ca="1" si="4"/>
        <v>#DIV/0!</v>
      </c>
      <c r="S1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1" s="33" t="e">
        <f t="shared" ca="1" si="6"/>
        <v>#VALUE!</v>
      </c>
      <c r="U11" s="7" t="e">
        <f t="shared" ca="1" si="7"/>
        <v>#VALUE!</v>
      </c>
      <c r="V11" s="7" t="e">
        <f t="shared" ca="1" si="8"/>
        <v>#DIV/0!</v>
      </c>
      <c r="W1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1" s="33" t="e">
        <f t="shared" ca="1" si="10"/>
        <v>#VALUE!</v>
      </c>
      <c r="Y11" s="7" t="e">
        <f t="shared" ca="1" si="11"/>
        <v>#VALUE!</v>
      </c>
      <c r="Z11" s="7" t="e">
        <f t="shared" ca="1" si="12"/>
        <v>#DIV/0!</v>
      </c>
      <c r="AA11" s="1"/>
      <c r="AB11" s="1"/>
    </row>
    <row r="12" spans="1:36" x14ac:dyDescent="0.25">
      <c r="A12" s="3"/>
      <c r="B12" s="25">
        <v>43979</v>
      </c>
      <c r="C12" s="10" t="s">
        <v>1530</v>
      </c>
      <c r="D12" s="1">
        <v>466</v>
      </c>
      <c r="E12" s="30">
        <v>1250</v>
      </c>
      <c r="F12" s="1">
        <v>460</v>
      </c>
      <c r="G12" s="1">
        <v>39.5</v>
      </c>
      <c r="H12" s="1">
        <v>11250</v>
      </c>
      <c r="I12" s="1">
        <v>1250</v>
      </c>
      <c r="J12" s="1">
        <v>39.65</v>
      </c>
      <c r="K12" s="1">
        <v>40.25</v>
      </c>
      <c r="L12" s="1">
        <v>1250</v>
      </c>
      <c r="M12" s="9"/>
      <c r="N12" s="7" t="e">
        <f t="shared" ca="1" si="0"/>
        <v>#DIV/0!</v>
      </c>
      <c r="O12" s="7" t="e">
        <f t="shared" ca="1" si="1"/>
        <v>#DIV/0!</v>
      </c>
      <c r="P12" s="33">
        <f t="shared" ca="1" si="2"/>
        <v>0</v>
      </c>
      <c r="Q12" s="33">
        <f t="shared" ca="1" si="3"/>
        <v>0</v>
      </c>
      <c r="R12" s="7" t="e">
        <f t="shared" ca="1" si="4"/>
        <v>#DIV/0!</v>
      </c>
      <c r="S1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2" s="33" t="e">
        <f t="shared" ca="1" si="6"/>
        <v>#VALUE!</v>
      </c>
      <c r="U12" s="7" t="e">
        <f t="shared" ca="1" si="7"/>
        <v>#VALUE!</v>
      </c>
      <c r="V12" s="7" t="e">
        <f t="shared" ca="1" si="8"/>
        <v>#DIV/0!</v>
      </c>
      <c r="W1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2" s="33" t="e">
        <f t="shared" ca="1" si="10"/>
        <v>#VALUE!</v>
      </c>
      <c r="Y12" s="7" t="e">
        <f t="shared" ca="1" si="11"/>
        <v>#VALUE!</v>
      </c>
      <c r="Z12" s="7" t="e">
        <f t="shared" ca="1" si="12"/>
        <v>#DIV/0!</v>
      </c>
      <c r="AA12" s="1"/>
      <c r="AB12" s="1"/>
    </row>
    <row r="13" spans="1:36" x14ac:dyDescent="0.25">
      <c r="A13" s="3"/>
      <c r="B13" s="25">
        <v>43979</v>
      </c>
      <c r="C13" s="10" t="s">
        <v>1530</v>
      </c>
      <c r="D13" s="1">
        <v>466</v>
      </c>
      <c r="E13" s="30">
        <v>1250</v>
      </c>
      <c r="F13" s="1">
        <v>470</v>
      </c>
      <c r="G13" s="1">
        <v>35</v>
      </c>
      <c r="H13" s="1">
        <v>97500</v>
      </c>
      <c r="I13" s="1">
        <v>2500</v>
      </c>
      <c r="J13" s="1">
        <v>34.65</v>
      </c>
      <c r="K13" s="1">
        <v>35.1</v>
      </c>
      <c r="L13" s="1">
        <v>2500</v>
      </c>
      <c r="M13" s="9"/>
      <c r="N13" s="7" t="e">
        <f t="shared" ca="1" si="0"/>
        <v>#DIV/0!</v>
      </c>
      <c r="O13" s="7" t="e">
        <f t="shared" ca="1" si="1"/>
        <v>#DIV/0!</v>
      </c>
      <c r="P13" s="33">
        <f t="shared" ca="1" si="2"/>
        <v>0</v>
      </c>
      <c r="Q13" s="33">
        <f t="shared" ca="1" si="3"/>
        <v>0</v>
      </c>
      <c r="R13" s="7" t="e">
        <f t="shared" ca="1" si="4"/>
        <v>#DIV/0!</v>
      </c>
      <c r="S1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3" s="33" t="e">
        <f t="shared" ca="1" si="6"/>
        <v>#VALUE!</v>
      </c>
      <c r="U13" s="7" t="e">
        <f t="shared" ca="1" si="7"/>
        <v>#VALUE!</v>
      </c>
      <c r="V13" s="7" t="e">
        <f t="shared" ca="1" si="8"/>
        <v>#DIV/0!</v>
      </c>
      <c r="W1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3" s="33" t="e">
        <f t="shared" ca="1" si="10"/>
        <v>#VALUE!</v>
      </c>
      <c r="Y13" s="7" t="e">
        <f t="shared" ca="1" si="11"/>
        <v>#VALUE!</v>
      </c>
      <c r="Z13" s="7" t="e">
        <f t="shared" ca="1" si="12"/>
        <v>#DIV/0!</v>
      </c>
      <c r="AA13" s="1"/>
      <c r="AB13" s="1"/>
    </row>
    <row r="14" spans="1:36" x14ac:dyDescent="0.25">
      <c r="A14" s="3"/>
      <c r="B14" s="25">
        <v>43979</v>
      </c>
      <c r="C14" s="10" t="s">
        <v>1757</v>
      </c>
      <c r="D14" s="1">
        <v>27.85</v>
      </c>
      <c r="E14" s="30">
        <v>8800</v>
      </c>
      <c r="F14" s="1">
        <v>25</v>
      </c>
      <c r="G14" s="1">
        <v>5.6</v>
      </c>
      <c r="H14" s="1">
        <v>413600</v>
      </c>
      <c r="I14" s="1">
        <v>8800</v>
      </c>
      <c r="J14" s="1">
        <v>5.2</v>
      </c>
      <c r="K14" s="1">
        <v>5.65</v>
      </c>
      <c r="L14" s="1">
        <v>8800</v>
      </c>
      <c r="M14" s="9"/>
      <c r="N14" s="7" t="e">
        <f t="shared" ca="1" si="0"/>
        <v>#DIV/0!</v>
      </c>
      <c r="O14" s="7" t="e">
        <f t="shared" ca="1" si="1"/>
        <v>#DIV/0!</v>
      </c>
      <c r="P14" s="33">
        <f t="shared" ca="1" si="2"/>
        <v>0</v>
      </c>
      <c r="Q14" s="33">
        <f t="shared" ca="1" si="3"/>
        <v>0</v>
      </c>
      <c r="R14" s="7" t="e">
        <f t="shared" ca="1" si="4"/>
        <v>#DIV/0!</v>
      </c>
      <c r="S1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4" s="33" t="e">
        <f t="shared" ca="1" si="6"/>
        <v>#VALUE!</v>
      </c>
      <c r="U14" s="7" t="e">
        <f t="shared" ca="1" si="7"/>
        <v>#VALUE!</v>
      </c>
      <c r="V14" s="7" t="e">
        <f t="shared" ca="1" si="8"/>
        <v>#DIV/0!</v>
      </c>
      <c r="W1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4" s="33" t="e">
        <f t="shared" ca="1" si="10"/>
        <v>#VALUE!</v>
      </c>
      <c r="Y14" s="7" t="e">
        <f t="shared" ca="1" si="11"/>
        <v>#VALUE!</v>
      </c>
      <c r="Z14" s="7" t="e">
        <f t="shared" ca="1" si="12"/>
        <v>#DIV/0!</v>
      </c>
      <c r="AA14" s="1"/>
      <c r="AB14" s="1"/>
    </row>
    <row r="15" spans="1:36" x14ac:dyDescent="0.25">
      <c r="A15" s="3"/>
      <c r="B15" s="25">
        <v>43979</v>
      </c>
      <c r="C15" s="10" t="s">
        <v>1757</v>
      </c>
      <c r="D15" s="1">
        <v>27.85</v>
      </c>
      <c r="E15" s="30">
        <v>8800</v>
      </c>
      <c r="F15" s="1">
        <v>30</v>
      </c>
      <c r="G15" s="1">
        <v>3.1</v>
      </c>
      <c r="H15" s="1">
        <v>2560800</v>
      </c>
      <c r="I15" s="1">
        <v>17600</v>
      </c>
      <c r="J15" s="1">
        <v>3.1</v>
      </c>
      <c r="K15" s="1">
        <v>3.2</v>
      </c>
      <c r="L15" s="1">
        <v>17600</v>
      </c>
      <c r="M15" s="9"/>
      <c r="N15" s="7" t="e">
        <f t="shared" ca="1" si="0"/>
        <v>#DIV/0!</v>
      </c>
      <c r="O15" s="7" t="e">
        <f t="shared" ca="1" si="1"/>
        <v>#DIV/0!</v>
      </c>
      <c r="P15" s="33">
        <f t="shared" ca="1" si="2"/>
        <v>0</v>
      </c>
      <c r="Q15" s="33">
        <f t="shared" ca="1" si="3"/>
        <v>0</v>
      </c>
      <c r="R15" s="7" t="e">
        <f t="shared" ca="1" si="4"/>
        <v>#DIV/0!</v>
      </c>
      <c r="S1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5" s="33" t="e">
        <f t="shared" ca="1" si="6"/>
        <v>#VALUE!</v>
      </c>
      <c r="U15" s="7" t="e">
        <f t="shared" ca="1" si="7"/>
        <v>#VALUE!</v>
      </c>
      <c r="V15" s="7" t="e">
        <f t="shared" ca="1" si="8"/>
        <v>#DIV/0!</v>
      </c>
      <c r="W1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5" s="33" t="e">
        <f t="shared" ca="1" si="10"/>
        <v>#VALUE!</v>
      </c>
      <c r="Y15" s="7" t="e">
        <f t="shared" ca="1" si="11"/>
        <v>#VALUE!</v>
      </c>
      <c r="Z15" s="7" t="e">
        <f t="shared" ca="1" si="12"/>
        <v>#DIV/0!</v>
      </c>
      <c r="AA15" s="1"/>
      <c r="AB15" s="1"/>
    </row>
    <row r="16" spans="1:36" x14ac:dyDescent="0.25">
      <c r="A16" s="3"/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9"/>
      <c r="N16" s="7" t="e">
        <f t="shared" ca="1" si="0"/>
        <v>#DIV/0!</v>
      </c>
      <c r="O16" s="7" t="e">
        <f t="shared" ca="1" si="1"/>
        <v>#DIV/0!</v>
      </c>
      <c r="P16" s="33">
        <f t="shared" ca="1" si="2"/>
        <v>0</v>
      </c>
      <c r="Q16" s="33">
        <f t="shared" ca="1" si="3"/>
        <v>0</v>
      </c>
      <c r="R16" s="7" t="e">
        <f t="shared" ca="1" si="4"/>
        <v>#DIV/0!</v>
      </c>
      <c r="S1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6" s="33" t="e">
        <f t="shared" ca="1" si="6"/>
        <v>#VALUE!</v>
      </c>
      <c r="U16" s="7" t="e">
        <f t="shared" ca="1" si="7"/>
        <v>#VALUE!</v>
      </c>
      <c r="V16" s="7" t="e">
        <f t="shared" ca="1" si="8"/>
        <v>#DIV/0!</v>
      </c>
      <c r="W1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6" s="33" t="e">
        <f t="shared" ca="1" si="10"/>
        <v>#VALUE!</v>
      </c>
      <c r="Y16" s="7" t="e">
        <f t="shared" ca="1" si="11"/>
        <v>#VALUE!</v>
      </c>
      <c r="Z16" s="7" t="e">
        <f t="shared" ca="1" si="12"/>
        <v>#DIV/0!</v>
      </c>
      <c r="AA16" s="1"/>
      <c r="AB16" s="1"/>
    </row>
    <row r="17" spans="1:28" x14ac:dyDescent="0.25">
      <c r="A17" s="3"/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9"/>
      <c r="N17" s="7" t="e">
        <f t="shared" ca="1" si="0"/>
        <v>#DIV/0!</v>
      </c>
      <c r="O17" s="7" t="e">
        <f t="shared" ca="1" si="1"/>
        <v>#DIV/0!</v>
      </c>
      <c r="P17" s="33">
        <f t="shared" ca="1" si="2"/>
        <v>0</v>
      </c>
      <c r="Q17" s="33">
        <f t="shared" ca="1" si="3"/>
        <v>0</v>
      </c>
      <c r="R17" s="7" t="e">
        <f t="shared" ca="1" si="4"/>
        <v>#DIV/0!</v>
      </c>
      <c r="S1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7" s="33" t="e">
        <f t="shared" ca="1" si="6"/>
        <v>#VALUE!</v>
      </c>
      <c r="U17" s="7" t="e">
        <f t="shared" ca="1" si="7"/>
        <v>#VALUE!</v>
      </c>
      <c r="V17" s="7" t="e">
        <f t="shared" ca="1" si="8"/>
        <v>#DIV/0!</v>
      </c>
      <c r="W1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7" s="33" t="e">
        <f t="shared" ca="1" si="10"/>
        <v>#VALUE!</v>
      </c>
      <c r="Y17" s="7" t="e">
        <f t="shared" ca="1" si="11"/>
        <v>#VALUE!</v>
      </c>
      <c r="Z17" s="7" t="e">
        <f t="shared" ca="1" si="12"/>
        <v>#DIV/0!</v>
      </c>
      <c r="AA17" s="1"/>
      <c r="AB17" s="1"/>
    </row>
    <row r="18" spans="1:28" x14ac:dyDescent="0.25">
      <c r="A18" s="3"/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9"/>
      <c r="N18" s="7" t="e">
        <f t="shared" ca="1" si="0"/>
        <v>#DIV/0!</v>
      </c>
      <c r="O18" s="7" t="e">
        <f t="shared" ca="1" si="1"/>
        <v>#DIV/0!</v>
      </c>
      <c r="P18" s="33">
        <f t="shared" ca="1" si="2"/>
        <v>0</v>
      </c>
      <c r="Q18" s="33">
        <f t="shared" ca="1" si="3"/>
        <v>0</v>
      </c>
      <c r="R18" s="7" t="e">
        <f t="shared" ca="1" si="4"/>
        <v>#DIV/0!</v>
      </c>
      <c r="S1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8" s="33" t="e">
        <f t="shared" ca="1" si="6"/>
        <v>#VALUE!</v>
      </c>
      <c r="U18" s="7" t="e">
        <f t="shared" ca="1" si="7"/>
        <v>#VALUE!</v>
      </c>
      <c r="V18" s="7" t="e">
        <f t="shared" ca="1" si="8"/>
        <v>#DIV/0!</v>
      </c>
      <c r="W1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8" s="33" t="e">
        <f t="shared" ca="1" si="10"/>
        <v>#VALUE!</v>
      </c>
      <c r="Y18" s="7" t="e">
        <f t="shared" ca="1" si="11"/>
        <v>#VALUE!</v>
      </c>
      <c r="Z18" s="7" t="e">
        <f t="shared" ca="1" si="12"/>
        <v>#DIV/0!</v>
      </c>
      <c r="AA18" s="1"/>
      <c r="AB18" s="1"/>
    </row>
    <row r="19" spans="1:28" ht="15" customHeight="1" x14ac:dyDescent="0.25">
      <c r="A19" s="3"/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9"/>
      <c r="N19" s="7" t="e">
        <f t="shared" ca="1" si="0"/>
        <v>#DIV/0!</v>
      </c>
      <c r="O19" s="7" t="e">
        <f t="shared" ca="1" si="1"/>
        <v>#DIV/0!</v>
      </c>
      <c r="P19" s="33">
        <f t="shared" ca="1" si="2"/>
        <v>0</v>
      </c>
      <c r="Q19" s="33">
        <f t="shared" ca="1" si="3"/>
        <v>0</v>
      </c>
      <c r="R19" s="7" t="e">
        <f t="shared" ca="1" si="4"/>
        <v>#DIV/0!</v>
      </c>
      <c r="S1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9" s="33" t="e">
        <f t="shared" ca="1" si="6"/>
        <v>#VALUE!</v>
      </c>
      <c r="U19" s="7" t="e">
        <f t="shared" ca="1" si="7"/>
        <v>#VALUE!</v>
      </c>
      <c r="V19" s="7" t="e">
        <f t="shared" ca="1" si="8"/>
        <v>#DIV/0!</v>
      </c>
      <c r="W1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9" s="33" t="e">
        <f t="shared" ca="1" si="10"/>
        <v>#VALUE!</v>
      </c>
      <c r="Y19" s="7" t="e">
        <f t="shared" ca="1" si="11"/>
        <v>#VALUE!</v>
      </c>
      <c r="Z19" s="7" t="e">
        <f t="shared" ca="1" si="12"/>
        <v>#DIV/0!</v>
      </c>
      <c r="AA19" s="1"/>
      <c r="AB19" s="1"/>
    </row>
    <row r="20" spans="1:28" ht="15" customHeight="1" x14ac:dyDescent="0.25">
      <c r="A20" s="3"/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9"/>
      <c r="N20" s="7" t="e">
        <f t="shared" ca="1" si="0"/>
        <v>#DIV/0!</v>
      </c>
      <c r="O20" s="7" t="e">
        <f t="shared" ca="1" si="1"/>
        <v>#DIV/0!</v>
      </c>
      <c r="P20" s="33">
        <f t="shared" ca="1" si="2"/>
        <v>0</v>
      </c>
      <c r="Q20" s="33">
        <f t="shared" ca="1" si="3"/>
        <v>0</v>
      </c>
      <c r="R20" s="7" t="e">
        <f t="shared" ca="1" si="4"/>
        <v>#DIV/0!</v>
      </c>
      <c r="S2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0" s="33" t="e">
        <f t="shared" ca="1" si="6"/>
        <v>#VALUE!</v>
      </c>
      <c r="U20" s="7" t="e">
        <f t="shared" ca="1" si="7"/>
        <v>#VALUE!</v>
      </c>
      <c r="V20" s="7" t="e">
        <f t="shared" ca="1" si="8"/>
        <v>#DIV/0!</v>
      </c>
      <c r="W2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0" s="33" t="e">
        <f t="shared" ca="1" si="10"/>
        <v>#VALUE!</v>
      </c>
      <c r="Y20" s="7" t="e">
        <f t="shared" ca="1" si="11"/>
        <v>#VALUE!</v>
      </c>
      <c r="Z20" s="7" t="e">
        <f t="shared" ca="1" si="12"/>
        <v>#DIV/0!</v>
      </c>
      <c r="AA20" s="1"/>
      <c r="AB20" s="1"/>
    </row>
    <row r="21" spans="1:28" x14ac:dyDescent="0.25">
      <c r="A21" s="3"/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9"/>
      <c r="N21" s="7" t="e">
        <f t="shared" ca="1" si="0"/>
        <v>#DIV/0!</v>
      </c>
      <c r="O21" s="7" t="e">
        <f t="shared" ca="1" si="1"/>
        <v>#DIV/0!</v>
      </c>
      <c r="P21" s="33">
        <f t="shared" ca="1" si="2"/>
        <v>0</v>
      </c>
      <c r="Q21" s="33">
        <f t="shared" ca="1" si="3"/>
        <v>0</v>
      </c>
      <c r="R21" s="7" t="e">
        <f t="shared" ca="1" si="4"/>
        <v>#DIV/0!</v>
      </c>
      <c r="S2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1" s="33" t="e">
        <f t="shared" ca="1" si="6"/>
        <v>#VALUE!</v>
      </c>
      <c r="U21" s="7" t="e">
        <f t="shared" ca="1" si="7"/>
        <v>#VALUE!</v>
      </c>
      <c r="V21" s="7" t="e">
        <f t="shared" ca="1" si="8"/>
        <v>#DIV/0!</v>
      </c>
      <c r="W2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1" s="33" t="e">
        <f t="shared" ca="1" si="10"/>
        <v>#VALUE!</v>
      </c>
      <c r="Y21" s="7" t="e">
        <f t="shared" ca="1" si="11"/>
        <v>#VALUE!</v>
      </c>
      <c r="Z21" s="7" t="e">
        <f t="shared" ca="1" si="12"/>
        <v>#DIV/0!</v>
      </c>
      <c r="AA21" s="1"/>
      <c r="AB21" s="1"/>
    </row>
    <row r="22" spans="1:28" x14ac:dyDescent="0.25">
      <c r="A22" s="3"/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9"/>
      <c r="N22" s="7" t="e">
        <f t="shared" ca="1" si="0"/>
        <v>#DIV/0!</v>
      </c>
      <c r="O22" s="7" t="e">
        <f t="shared" ca="1" si="1"/>
        <v>#DIV/0!</v>
      </c>
      <c r="P22" s="33">
        <f t="shared" ca="1" si="2"/>
        <v>0</v>
      </c>
      <c r="Q22" s="33">
        <f t="shared" ca="1" si="3"/>
        <v>0</v>
      </c>
      <c r="R22" s="7" t="e">
        <f t="shared" ca="1" si="4"/>
        <v>#DIV/0!</v>
      </c>
      <c r="S2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2" s="33" t="e">
        <f t="shared" ca="1" si="6"/>
        <v>#VALUE!</v>
      </c>
      <c r="U22" s="7" t="e">
        <f t="shared" ca="1" si="7"/>
        <v>#VALUE!</v>
      </c>
      <c r="V22" s="7" t="e">
        <f t="shared" ca="1" si="8"/>
        <v>#DIV/0!</v>
      </c>
      <c r="W2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2" s="33" t="e">
        <f t="shared" ca="1" si="10"/>
        <v>#VALUE!</v>
      </c>
      <c r="Y22" s="7" t="e">
        <f t="shared" ca="1" si="11"/>
        <v>#VALUE!</v>
      </c>
      <c r="Z22" s="7" t="e">
        <f t="shared" ca="1" si="12"/>
        <v>#DIV/0!</v>
      </c>
      <c r="AA22" s="1"/>
      <c r="AB22" s="1"/>
    </row>
    <row r="23" spans="1:28" x14ac:dyDescent="0.25">
      <c r="A23" s="3"/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9"/>
      <c r="N23" s="7" t="e">
        <f t="shared" ca="1" si="0"/>
        <v>#DIV/0!</v>
      </c>
      <c r="O23" s="7" t="e">
        <f t="shared" ca="1" si="1"/>
        <v>#DIV/0!</v>
      </c>
      <c r="P23" s="33">
        <f t="shared" ca="1" si="2"/>
        <v>0</v>
      </c>
      <c r="Q23" s="33">
        <f t="shared" ca="1" si="3"/>
        <v>0</v>
      </c>
      <c r="R23" s="7" t="e">
        <f t="shared" ca="1" si="4"/>
        <v>#DIV/0!</v>
      </c>
      <c r="S2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3" s="33" t="e">
        <f t="shared" ca="1" si="6"/>
        <v>#VALUE!</v>
      </c>
      <c r="U23" s="7" t="e">
        <f t="shared" ca="1" si="7"/>
        <v>#VALUE!</v>
      </c>
      <c r="V23" s="7" t="e">
        <f t="shared" ca="1" si="8"/>
        <v>#DIV/0!</v>
      </c>
      <c r="W2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3" s="33" t="e">
        <f t="shared" ca="1" si="10"/>
        <v>#VALUE!</v>
      </c>
      <c r="Y23" s="7" t="e">
        <f t="shared" ca="1" si="11"/>
        <v>#VALUE!</v>
      </c>
      <c r="Z23" s="7" t="e">
        <f t="shared" ca="1" si="12"/>
        <v>#DIV/0!</v>
      </c>
      <c r="AA23" s="1"/>
      <c r="AB23" s="1"/>
    </row>
    <row r="24" spans="1:28" x14ac:dyDescent="0.25">
      <c r="A24" s="3"/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9"/>
      <c r="N24" s="7" t="e">
        <f t="shared" ca="1" si="0"/>
        <v>#DIV/0!</v>
      </c>
      <c r="O24" s="7" t="e">
        <f t="shared" ca="1" si="1"/>
        <v>#DIV/0!</v>
      </c>
      <c r="P24" s="33">
        <f t="shared" ca="1" si="2"/>
        <v>0</v>
      </c>
      <c r="Q24" s="33">
        <f t="shared" ca="1" si="3"/>
        <v>0</v>
      </c>
      <c r="R24" s="7" t="e">
        <f t="shared" ca="1" si="4"/>
        <v>#DIV/0!</v>
      </c>
      <c r="S2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4" s="33" t="e">
        <f t="shared" ca="1" si="6"/>
        <v>#VALUE!</v>
      </c>
      <c r="U24" s="7" t="e">
        <f t="shared" ca="1" si="7"/>
        <v>#VALUE!</v>
      </c>
      <c r="V24" s="7" t="e">
        <f t="shared" ca="1" si="8"/>
        <v>#DIV/0!</v>
      </c>
      <c r="W2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4" s="33" t="e">
        <f t="shared" ca="1" si="10"/>
        <v>#VALUE!</v>
      </c>
      <c r="Y24" s="7" t="e">
        <f t="shared" ca="1" si="11"/>
        <v>#VALUE!</v>
      </c>
      <c r="Z24" s="7" t="e">
        <f t="shared" ca="1" si="12"/>
        <v>#DIV/0!</v>
      </c>
      <c r="AA24" s="1"/>
      <c r="AB24" s="1"/>
    </row>
    <row r="25" spans="1:28" x14ac:dyDescent="0.25">
      <c r="A25" s="3"/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9"/>
      <c r="N25" s="7" t="e">
        <f t="shared" ca="1" si="0"/>
        <v>#DIV/0!</v>
      </c>
      <c r="O25" s="7" t="e">
        <f t="shared" ca="1" si="1"/>
        <v>#DIV/0!</v>
      </c>
      <c r="P25" s="33">
        <f t="shared" ca="1" si="2"/>
        <v>0</v>
      </c>
      <c r="Q25" s="33">
        <f t="shared" ca="1" si="3"/>
        <v>0</v>
      </c>
      <c r="R25" s="7" t="e">
        <f t="shared" ca="1" si="4"/>
        <v>#DIV/0!</v>
      </c>
      <c r="S2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5" s="33" t="e">
        <f t="shared" ca="1" si="6"/>
        <v>#VALUE!</v>
      </c>
      <c r="U25" s="7" t="e">
        <f t="shared" ca="1" si="7"/>
        <v>#VALUE!</v>
      </c>
      <c r="V25" s="7" t="e">
        <f t="shared" ca="1" si="8"/>
        <v>#DIV/0!</v>
      </c>
      <c r="W2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5" s="33" t="e">
        <f t="shared" ca="1" si="10"/>
        <v>#VALUE!</v>
      </c>
      <c r="Y25" s="7" t="e">
        <f t="shared" ca="1" si="11"/>
        <v>#VALUE!</v>
      </c>
      <c r="Z25" s="7" t="e">
        <f t="shared" ca="1" si="12"/>
        <v>#DIV/0!</v>
      </c>
      <c r="AA25" s="1"/>
      <c r="AB25" s="1"/>
    </row>
    <row r="26" spans="1:28" x14ac:dyDescent="0.25">
      <c r="A26" s="3"/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9"/>
      <c r="N26" s="7" t="e">
        <f t="shared" ca="1" si="0"/>
        <v>#DIV/0!</v>
      </c>
      <c r="O26" s="7" t="e">
        <f t="shared" ca="1" si="1"/>
        <v>#DIV/0!</v>
      </c>
      <c r="P26" s="33">
        <f t="shared" ca="1" si="2"/>
        <v>0</v>
      </c>
      <c r="Q26" s="33">
        <f t="shared" ca="1" si="3"/>
        <v>0</v>
      </c>
      <c r="R26" s="7" t="e">
        <f t="shared" ca="1" si="4"/>
        <v>#DIV/0!</v>
      </c>
      <c r="S2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6" s="33" t="e">
        <f t="shared" ca="1" si="6"/>
        <v>#VALUE!</v>
      </c>
      <c r="U26" s="7" t="e">
        <f t="shared" ca="1" si="7"/>
        <v>#VALUE!</v>
      </c>
      <c r="V26" s="7" t="e">
        <f t="shared" ca="1" si="8"/>
        <v>#DIV/0!</v>
      </c>
      <c r="W2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6" s="33" t="e">
        <f t="shared" ca="1" si="10"/>
        <v>#VALUE!</v>
      </c>
      <c r="Y26" s="7" t="e">
        <f t="shared" ca="1" si="11"/>
        <v>#VALUE!</v>
      </c>
      <c r="Z26" s="7" t="e">
        <f t="shared" ca="1" si="12"/>
        <v>#DIV/0!</v>
      </c>
      <c r="AA26" s="1"/>
      <c r="AB26" s="1"/>
    </row>
    <row r="27" spans="1:28" x14ac:dyDescent="0.25">
      <c r="A27" s="3"/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9"/>
      <c r="N27" s="7" t="e">
        <f t="shared" ca="1" si="0"/>
        <v>#DIV/0!</v>
      </c>
      <c r="O27" s="7" t="e">
        <f t="shared" ca="1" si="1"/>
        <v>#DIV/0!</v>
      </c>
      <c r="P27" s="33">
        <f t="shared" ca="1" si="2"/>
        <v>0</v>
      </c>
      <c r="Q27" s="33">
        <f t="shared" ca="1" si="3"/>
        <v>0</v>
      </c>
      <c r="R27" s="7" t="e">
        <f t="shared" ca="1" si="4"/>
        <v>#DIV/0!</v>
      </c>
      <c r="S2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7" s="33" t="e">
        <f t="shared" ca="1" si="6"/>
        <v>#VALUE!</v>
      </c>
      <c r="U27" s="7" t="e">
        <f t="shared" ca="1" si="7"/>
        <v>#VALUE!</v>
      </c>
      <c r="V27" s="7" t="e">
        <f t="shared" ca="1" si="8"/>
        <v>#DIV/0!</v>
      </c>
      <c r="W2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7" s="33" t="e">
        <f t="shared" ca="1" si="10"/>
        <v>#VALUE!</v>
      </c>
      <c r="Y27" s="7" t="e">
        <f t="shared" ca="1" si="11"/>
        <v>#VALUE!</v>
      </c>
      <c r="Z27" s="7" t="e">
        <f t="shared" ca="1" si="12"/>
        <v>#DIV/0!</v>
      </c>
      <c r="AA27" s="1"/>
      <c r="AB27" s="1"/>
    </row>
    <row r="28" spans="1:28" x14ac:dyDescent="0.25">
      <c r="A28" s="3"/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9"/>
      <c r="N28" s="7" t="e">
        <f t="shared" ca="1" si="0"/>
        <v>#DIV/0!</v>
      </c>
      <c r="O28" s="7" t="e">
        <f t="shared" ca="1" si="1"/>
        <v>#DIV/0!</v>
      </c>
      <c r="P28" s="33">
        <f t="shared" ca="1" si="2"/>
        <v>0</v>
      </c>
      <c r="Q28" s="33">
        <f t="shared" ca="1" si="3"/>
        <v>0</v>
      </c>
      <c r="R28" s="7" t="e">
        <f t="shared" ca="1" si="4"/>
        <v>#DIV/0!</v>
      </c>
      <c r="S2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8" s="33" t="e">
        <f t="shared" ca="1" si="6"/>
        <v>#VALUE!</v>
      </c>
      <c r="U28" s="7" t="e">
        <f t="shared" ca="1" si="7"/>
        <v>#VALUE!</v>
      </c>
      <c r="V28" s="7" t="e">
        <f t="shared" ca="1" si="8"/>
        <v>#DIV/0!</v>
      </c>
      <c r="W2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8" s="33" t="e">
        <f t="shared" ca="1" si="10"/>
        <v>#VALUE!</v>
      </c>
      <c r="Y28" s="7" t="e">
        <f t="shared" ca="1" si="11"/>
        <v>#VALUE!</v>
      </c>
      <c r="Z28" s="7" t="e">
        <f t="shared" ca="1" si="12"/>
        <v>#DIV/0!</v>
      </c>
      <c r="AA28" s="1"/>
      <c r="AB28" s="1"/>
    </row>
    <row r="29" spans="1:28" x14ac:dyDescent="0.25">
      <c r="A29" s="3"/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9"/>
      <c r="N29" s="7" t="e">
        <f t="shared" ca="1" si="0"/>
        <v>#DIV/0!</v>
      </c>
      <c r="O29" s="7" t="e">
        <f t="shared" ca="1" si="1"/>
        <v>#DIV/0!</v>
      </c>
      <c r="P29" s="33">
        <f t="shared" ca="1" si="2"/>
        <v>0</v>
      </c>
      <c r="Q29" s="33">
        <f t="shared" ca="1" si="3"/>
        <v>0</v>
      </c>
      <c r="R29" s="7" t="e">
        <f t="shared" ca="1" si="4"/>
        <v>#DIV/0!</v>
      </c>
      <c r="S2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9" s="33" t="e">
        <f t="shared" ca="1" si="6"/>
        <v>#VALUE!</v>
      </c>
      <c r="U29" s="7" t="e">
        <f t="shared" ca="1" si="7"/>
        <v>#VALUE!</v>
      </c>
      <c r="V29" s="7" t="e">
        <f t="shared" ca="1" si="8"/>
        <v>#DIV/0!</v>
      </c>
      <c r="W2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9" s="33" t="e">
        <f t="shared" ca="1" si="10"/>
        <v>#VALUE!</v>
      </c>
      <c r="Y29" s="7" t="e">
        <f t="shared" ca="1" si="11"/>
        <v>#VALUE!</v>
      </c>
      <c r="Z29" s="7" t="e">
        <f t="shared" ca="1" si="12"/>
        <v>#DIV/0!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 t="e">
        <f t="shared" ca="1" si="0"/>
        <v>#DIV/0!</v>
      </c>
      <c r="O30" s="7" t="e">
        <f t="shared" ca="1" si="1"/>
        <v>#DIV/0!</v>
      </c>
      <c r="P30" s="33">
        <f t="shared" ca="1" si="2"/>
        <v>0</v>
      </c>
      <c r="Q30" s="33">
        <f t="shared" ca="1" si="3"/>
        <v>0</v>
      </c>
      <c r="R30" s="7" t="e">
        <f t="shared" ca="1" si="4"/>
        <v>#DIV/0!</v>
      </c>
      <c r="S3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0" s="33" t="e">
        <f t="shared" ca="1" si="6"/>
        <v>#VALUE!</v>
      </c>
      <c r="U30" s="7" t="e">
        <f t="shared" ca="1" si="7"/>
        <v>#VALUE!</v>
      </c>
      <c r="V30" s="7" t="e">
        <f t="shared" ca="1" si="8"/>
        <v>#DIV/0!</v>
      </c>
      <c r="W3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0" s="33" t="e">
        <f t="shared" ca="1" si="10"/>
        <v>#VALUE!</v>
      </c>
      <c r="Y30" s="7" t="e">
        <f t="shared" ca="1" si="11"/>
        <v>#VALUE!</v>
      </c>
      <c r="Z30" s="7" t="e">
        <f t="shared" ca="1" si="12"/>
        <v>#DIV/0!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 t="e">
        <f t="shared" ca="1" si="0"/>
        <v>#DIV/0!</v>
      </c>
      <c r="O31" s="7" t="e">
        <f t="shared" ca="1" si="1"/>
        <v>#DIV/0!</v>
      </c>
      <c r="P31" s="33">
        <f t="shared" ca="1" si="2"/>
        <v>0</v>
      </c>
      <c r="Q31" s="33">
        <f t="shared" ca="1" si="3"/>
        <v>0</v>
      </c>
      <c r="R31" s="7" t="e">
        <f t="shared" ca="1" si="4"/>
        <v>#DIV/0!</v>
      </c>
      <c r="S3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1" s="33" t="e">
        <f t="shared" ca="1" si="6"/>
        <v>#VALUE!</v>
      </c>
      <c r="U31" s="7" t="e">
        <f t="shared" ca="1" si="7"/>
        <v>#VALUE!</v>
      </c>
      <c r="V31" s="7" t="e">
        <f t="shared" ca="1" si="8"/>
        <v>#DIV/0!</v>
      </c>
      <c r="W3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1" s="33" t="e">
        <f t="shared" ca="1" si="10"/>
        <v>#VALUE!</v>
      </c>
      <c r="Y31" s="7" t="e">
        <f t="shared" ca="1" si="11"/>
        <v>#VALUE!</v>
      </c>
      <c r="Z31" s="7" t="e">
        <f t="shared" ca="1" si="12"/>
        <v>#DIV/0!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 t="e">
        <f t="shared" ca="1" si="0"/>
        <v>#DIV/0!</v>
      </c>
      <c r="O32" s="7" t="e">
        <f t="shared" ca="1" si="1"/>
        <v>#DIV/0!</v>
      </c>
      <c r="P32" s="33">
        <f t="shared" ca="1" si="2"/>
        <v>0</v>
      </c>
      <c r="Q32" s="33">
        <f t="shared" ca="1" si="3"/>
        <v>0</v>
      </c>
      <c r="R32" s="7" t="e">
        <f t="shared" ca="1" si="4"/>
        <v>#DIV/0!</v>
      </c>
      <c r="S3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2" s="33" t="e">
        <f t="shared" ca="1" si="6"/>
        <v>#VALUE!</v>
      </c>
      <c r="U32" s="7" t="e">
        <f t="shared" ca="1" si="7"/>
        <v>#VALUE!</v>
      </c>
      <c r="V32" s="7" t="e">
        <f t="shared" ca="1" si="8"/>
        <v>#DIV/0!</v>
      </c>
      <c r="W3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2" s="33" t="e">
        <f t="shared" ca="1" si="10"/>
        <v>#VALUE!</v>
      </c>
      <c r="Y32" s="7" t="e">
        <f t="shared" ca="1" si="11"/>
        <v>#VALUE!</v>
      </c>
      <c r="Z32" s="7" t="e">
        <f t="shared" ca="1" si="12"/>
        <v>#DIV/0!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 t="e">
        <f t="shared" ca="1" si="0"/>
        <v>#DIV/0!</v>
      </c>
      <c r="O33" s="7" t="e">
        <f t="shared" ca="1" si="1"/>
        <v>#DIV/0!</v>
      </c>
      <c r="P33" s="33">
        <f t="shared" ca="1" si="2"/>
        <v>0</v>
      </c>
      <c r="Q33" s="33">
        <f t="shared" ca="1" si="3"/>
        <v>0</v>
      </c>
      <c r="R33" s="7" t="e">
        <f t="shared" ca="1" si="4"/>
        <v>#DIV/0!</v>
      </c>
      <c r="S3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3" s="33" t="e">
        <f t="shared" ca="1" si="6"/>
        <v>#VALUE!</v>
      </c>
      <c r="U33" s="7" t="e">
        <f t="shared" ca="1" si="7"/>
        <v>#VALUE!</v>
      </c>
      <c r="V33" s="7" t="e">
        <f t="shared" ca="1" si="8"/>
        <v>#DIV/0!</v>
      </c>
      <c r="W3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3" s="33" t="e">
        <f t="shared" ca="1" si="10"/>
        <v>#VALUE!</v>
      </c>
      <c r="Y33" s="7" t="e">
        <f t="shared" ca="1" si="11"/>
        <v>#VALUE!</v>
      </c>
      <c r="Z33" s="7" t="e">
        <f t="shared" ca="1" si="12"/>
        <v>#DIV/0!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 t="e">
        <f t="shared" ca="1" si="0"/>
        <v>#DIV/0!</v>
      </c>
      <c r="O34" s="7" t="e">
        <f t="shared" ca="1" si="1"/>
        <v>#DIV/0!</v>
      </c>
      <c r="P34" s="33">
        <f t="shared" ca="1" si="2"/>
        <v>0</v>
      </c>
      <c r="Q34" s="33">
        <f t="shared" ca="1" si="3"/>
        <v>0</v>
      </c>
      <c r="R34" s="7" t="e">
        <f t="shared" ca="1" si="4"/>
        <v>#DIV/0!</v>
      </c>
      <c r="S3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4" s="33" t="e">
        <f t="shared" ca="1" si="6"/>
        <v>#VALUE!</v>
      </c>
      <c r="U34" s="7" t="e">
        <f t="shared" ca="1" si="7"/>
        <v>#VALUE!</v>
      </c>
      <c r="V34" s="7" t="e">
        <f t="shared" ca="1" si="8"/>
        <v>#DIV/0!</v>
      </c>
      <c r="W3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4" s="33" t="e">
        <f t="shared" ca="1" si="10"/>
        <v>#VALUE!</v>
      </c>
      <c r="Y34" s="7" t="e">
        <f t="shared" ca="1" si="11"/>
        <v>#VALUE!</v>
      </c>
      <c r="Z34" s="7" t="e">
        <f t="shared" ca="1" si="12"/>
        <v>#DIV/0!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 t="e">
        <f t="shared" ca="1" si="0"/>
        <v>#DIV/0!</v>
      </c>
      <c r="O35" s="7" t="e">
        <f t="shared" ca="1" si="1"/>
        <v>#DIV/0!</v>
      </c>
      <c r="P35" s="33">
        <f t="shared" ca="1" si="2"/>
        <v>0</v>
      </c>
      <c r="Q35" s="33">
        <f t="shared" ca="1" si="3"/>
        <v>0</v>
      </c>
      <c r="R35" s="7" t="e">
        <f t="shared" ca="1" si="4"/>
        <v>#DIV/0!</v>
      </c>
      <c r="S3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5" s="33" t="e">
        <f t="shared" ca="1" si="6"/>
        <v>#VALUE!</v>
      </c>
      <c r="U35" s="7" t="e">
        <f t="shared" ca="1" si="7"/>
        <v>#VALUE!</v>
      </c>
      <c r="V35" s="7" t="e">
        <f t="shared" ca="1" si="8"/>
        <v>#DIV/0!</v>
      </c>
      <c r="W3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5" s="33" t="e">
        <f t="shared" ca="1" si="10"/>
        <v>#VALUE!</v>
      </c>
      <c r="Y35" s="7" t="e">
        <f t="shared" ca="1" si="11"/>
        <v>#VALUE!</v>
      </c>
      <c r="Z35" s="7" t="e">
        <f t="shared" ca="1" si="12"/>
        <v>#DIV/0!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 t="e">
        <f t="shared" ca="1" si="0"/>
        <v>#DIV/0!</v>
      </c>
      <c r="O36" s="7" t="e">
        <f t="shared" ca="1" si="1"/>
        <v>#DIV/0!</v>
      </c>
      <c r="P36" s="33">
        <f t="shared" ca="1" si="2"/>
        <v>0</v>
      </c>
      <c r="Q36" s="33">
        <f t="shared" ca="1" si="3"/>
        <v>0</v>
      </c>
      <c r="R36" s="7" t="e">
        <f t="shared" ca="1" si="4"/>
        <v>#DIV/0!</v>
      </c>
      <c r="S3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6" s="33" t="e">
        <f t="shared" ca="1" si="6"/>
        <v>#VALUE!</v>
      </c>
      <c r="U36" s="7" t="e">
        <f t="shared" ca="1" si="7"/>
        <v>#VALUE!</v>
      </c>
      <c r="V36" s="7" t="e">
        <f t="shared" ca="1" si="8"/>
        <v>#DIV/0!</v>
      </c>
      <c r="W3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6" s="33" t="e">
        <f t="shared" ca="1" si="10"/>
        <v>#VALUE!</v>
      </c>
      <c r="Y36" s="7" t="e">
        <f t="shared" ca="1" si="11"/>
        <v>#VALUE!</v>
      </c>
      <c r="Z36" s="7" t="e">
        <f t="shared" ca="1" si="12"/>
        <v>#DIV/0!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 t="e">
        <f t="shared" ca="1" si="0"/>
        <v>#DIV/0!</v>
      </c>
      <c r="O37" s="7" t="e">
        <f t="shared" ca="1" si="1"/>
        <v>#DIV/0!</v>
      </c>
      <c r="P37" s="33">
        <f t="shared" ca="1" si="2"/>
        <v>0</v>
      </c>
      <c r="Q37" s="33">
        <f t="shared" ca="1" si="3"/>
        <v>0</v>
      </c>
      <c r="R37" s="7" t="e">
        <f t="shared" ca="1" si="4"/>
        <v>#DIV/0!</v>
      </c>
      <c r="S3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7" s="33" t="e">
        <f t="shared" ca="1" si="6"/>
        <v>#VALUE!</v>
      </c>
      <c r="U37" s="7" t="e">
        <f t="shared" ca="1" si="7"/>
        <v>#VALUE!</v>
      </c>
      <c r="V37" s="7" t="e">
        <f t="shared" ca="1" si="8"/>
        <v>#DIV/0!</v>
      </c>
      <c r="W3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7" s="33" t="e">
        <f t="shared" ca="1" si="10"/>
        <v>#VALUE!</v>
      </c>
      <c r="Y37" s="7" t="e">
        <f t="shared" ca="1" si="11"/>
        <v>#VALUE!</v>
      </c>
      <c r="Z37" s="7" t="e">
        <f t="shared" ca="1" si="12"/>
        <v>#DIV/0!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 t="e">
        <f t="shared" ca="1" si="0"/>
        <v>#DIV/0!</v>
      </c>
      <c r="O38" s="7" t="e">
        <f t="shared" ca="1" si="1"/>
        <v>#DIV/0!</v>
      </c>
      <c r="P38" s="33">
        <f t="shared" ca="1" si="2"/>
        <v>0</v>
      </c>
      <c r="Q38" s="33">
        <f t="shared" ca="1" si="3"/>
        <v>0</v>
      </c>
      <c r="R38" s="7" t="e">
        <f t="shared" ca="1" si="4"/>
        <v>#DIV/0!</v>
      </c>
      <c r="S3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8" s="33" t="e">
        <f t="shared" ca="1" si="6"/>
        <v>#VALUE!</v>
      </c>
      <c r="U38" s="7" t="e">
        <f t="shared" ca="1" si="7"/>
        <v>#VALUE!</v>
      </c>
      <c r="V38" s="7" t="e">
        <f t="shared" ca="1" si="8"/>
        <v>#DIV/0!</v>
      </c>
      <c r="W3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8" s="33" t="e">
        <f t="shared" ca="1" si="10"/>
        <v>#VALUE!</v>
      </c>
      <c r="Y38" s="7" t="e">
        <f t="shared" ca="1" si="11"/>
        <v>#VALUE!</v>
      </c>
      <c r="Z38" s="7" t="e">
        <f t="shared" ca="1" si="12"/>
        <v>#DIV/0!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 t="e">
        <f t="shared" ca="1" si="0"/>
        <v>#DIV/0!</v>
      </c>
      <c r="O39" s="7" t="e">
        <f t="shared" ca="1" si="1"/>
        <v>#DIV/0!</v>
      </c>
      <c r="P39" s="33">
        <f t="shared" ca="1" si="2"/>
        <v>0</v>
      </c>
      <c r="Q39" s="33">
        <f t="shared" ca="1" si="3"/>
        <v>0</v>
      </c>
      <c r="R39" s="7" t="e">
        <f t="shared" ca="1" si="4"/>
        <v>#DIV/0!</v>
      </c>
      <c r="S3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9" s="33" t="e">
        <f t="shared" ca="1" si="6"/>
        <v>#VALUE!</v>
      </c>
      <c r="U39" s="7" t="e">
        <f t="shared" ca="1" si="7"/>
        <v>#VALUE!</v>
      </c>
      <c r="V39" s="7" t="e">
        <f t="shared" ca="1" si="8"/>
        <v>#DIV/0!</v>
      </c>
      <c r="W3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9" s="33" t="e">
        <f t="shared" ca="1" si="10"/>
        <v>#VALUE!</v>
      </c>
      <c r="Y39" s="7" t="e">
        <f t="shared" ca="1" si="11"/>
        <v>#VALUE!</v>
      </c>
      <c r="Z39" s="7" t="e">
        <f t="shared" ca="1" si="12"/>
        <v>#DIV/0!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 t="e">
        <f t="shared" ca="1" si="0"/>
        <v>#DIV/0!</v>
      </c>
      <c r="O40" s="7" t="e">
        <f t="shared" ca="1" si="1"/>
        <v>#DIV/0!</v>
      </c>
      <c r="P40" s="33">
        <f t="shared" ca="1" si="2"/>
        <v>0</v>
      </c>
      <c r="Q40" s="33">
        <f t="shared" ca="1" si="3"/>
        <v>0</v>
      </c>
      <c r="R40" s="7" t="e">
        <f t="shared" ca="1" si="4"/>
        <v>#DIV/0!</v>
      </c>
      <c r="S4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0" s="33" t="e">
        <f t="shared" ca="1" si="6"/>
        <v>#VALUE!</v>
      </c>
      <c r="U40" s="7" t="e">
        <f t="shared" ca="1" si="7"/>
        <v>#VALUE!</v>
      </c>
      <c r="V40" s="7" t="e">
        <f t="shared" ca="1" si="8"/>
        <v>#DIV/0!</v>
      </c>
      <c r="W4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0" s="33" t="e">
        <f t="shared" ca="1" si="10"/>
        <v>#VALUE!</v>
      </c>
      <c r="Y40" s="7" t="e">
        <f t="shared" ca="1" si="11"/>
        <v>#VALUE!</v>
      </c>
      <c r="Z40" s="7" t="e">
        <f t="shared" ca="1" si="12"/>
        <v>#DIV/0!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 t="e">
        <f t="shared" ca="1" si="0"/>
        <v>#DIV/0!</v>
      </c>
      <c r="O41" s="7" t="e">
        <f t="shared" ca="1" si="1"/>
        <v>#DIV/0!</v>
      </c>
      <c r="P41" s="33">
        <f t="shared" ca="1" si="2"/>
        <v>0</v>
      </c>
      <c r="Q41" s="33">
        <f t="shared" ca="1" si="3"/>
        <v>0</v>
      </c>
      <c r="R41" s="7" t="e">
        <f t="shared" ca="1" si="4"/>
        <v>#DIV/0!</v>
      </c>
      <c r="S4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1" s="33" t="e">
        <f t="shared" ca="1" si="6"/>
        <v>#VALUE!</v>
      </c>
      <c r="U41" s="7" t="e">
        <f t="shared" ca="1" si="7"/>
        <v>#VALUE!</v>
      </c>
      <c r="V41" s="7" t="e">
        <f t="shared" ca="1" si="8"/>
        <v>#DIV/0!</v>
      </c>
      <c r="W4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1" s="33" t="e">
        <f t="shared" ca="1" si="10"/>
        <v>#VALUE!</v>
      </c>
      <c r="Y41" s="7" t="e">
        <f t="shared" ca="1" si="11"/>
        <v>#VALUE!</v>
      </c>
      <c r="Z41" s="7" t="e">
        <f t="shared" ca="1" si="12"/>
        <v>#DIV/0!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 t="e">
        <f t="shared" ca="1" si="0"/>
        <v>#DIV/0!</v>
      </c>
      <c r="O42" s="7" t="e">
        <f t="shared" ca="1" si="1"/>
        <v>#DIV/0!</v>
      </c>
      <c r="P42" s="33">
        <f t="shared" ca="1" si="2"/>
        <v>0</v>
      </c>
      <c r="Q42" s="33">
        <f t="shared" ca="1" si="3"/>
        <v>0</v>
      </c>
      <c r="R42" s="7" t="e">
        <f t="shared" ca="1" si="4"/>
        <v>#DIV/0!</v>
      </c>
      <c r="S4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2" s="33" t="e">
        <f t="shared" ca="1" si="6"/>
        <v>#VALUE!</v>
      </c>
      <c r="U42" s="7" t="e">
        <f t="shared" ca="1" si="7"/>
        <v>#VALUE!</v>
      </c>
      <c r="V42" s="7" t="e">
        <f t="shared" ca="1" si="8"/>
        <v>#DIV/0!</v>
      </c>
      <c r="W4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2" s="33" t="e">
        <f t="shared" ca="1" si="10"/>
        <v>#VALUE!</v>
      </c>
      <c r="Y42" s="7" t="e">
        <f t="shared" ca="1" si="11"/>
        <v>#VALUE!</v>
      </c>
      <c r="Z42" s="7" t="e">
        <f t="shared" ca="1" si="12"/>
        <v>#DIV/0!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ca="1" si="13">$G43/$D43</f>
        <v>#DIV/0!</v>
      </c>
      <c r="O43" s="7" t="e">
        <f t="shared" ref="O43:O67" ca="1" si="14">N43/($B43-TODAY())</f>
        <v>#DIV/0!</v>
      </c>
      <c r="P43" s="33">
        <f t="shared" ref="P43:P67" ca="1" si="15">$E43*$D43</f>
        <v>0</v>
      </c>
      <c r="Q43" s="33">
        <f t="shared" ref="Q43:Q67" ca="1" si="16">($G43+$F43-$D43)*$E43</f>
        <v>0</v>
      </c>
      <c r="R43" s="7" t="e">
        <f t="shared" ref="R43:R67" ca="1" si="17">$Q43/$P43</f>
        <v>#DIV/0!</v>
      </c>
      <c r="S43" s="7" t="str">
        <f t="shared" ref="S43:S67" ca="1" si="18">mrigxl_max_drawdown($C43,INT($B43-TODAY()))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3" s="33" t="e">
        <f t="shared" ref="T43:T67" ca="1" si="19">(S43*$D43+$G43)*$E43</f>
        <v>#VALUE!</v>
      </c>
      <c r="U43" s="7" t="e">
        <f t="shared" ref="U43:U67" ca="1" si="20">T43/$P43</f>
        <v>#VALUE!</v>
      </c>
      <c r="V43" s="7" t="e">
        <f t="shared" ref="V43:V67" ca="1" si="21">$R43+U43</f>
        <v>#DIV/0!</v>
      </c>
      <c r="W43" s="7" t="str">
        <f t="shared" ref="W43:W67" ca="1" si="22">mrigxl_avg_drawdown($C43,INT($B43-TODAY()))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3" s="33" t="e">
        <f t="shared" ref="X43:X67" ca="1" si="23">(W43*$D43+$G43)*$E43</f>
        <v>#VALUE!</v>
      </c>
      <c r="Y43" s="7" t="e">
        <f t="shared" ref="Y43:Y67" ca="1" si="24">X43/$P43</f>
        <v>#VALUE!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ca="1" si="13"/>
        <v>#DIV/0!</v>
      </c>
      <c r="O44" s="7" t="e">
        <f t="shared" ca="1" si="14"/>
        <v>#DIV/0!</v>
      </c>
      <c r="P44" s="33">
        <f t="shared" ca="1" si="15"/>
        <v>0</v>
      </c>
      <c r="Q44" s="33">
        <f t="shared" ca="1" si="16"/>
        <v>0</v>
      </c>
      <c r="R44" s="7" t="e">
        <f t="shared" ca="1" si="17"/>
        <v>#DIV/0!</v>
      </c>
      <c r="S4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4" s="33" t="e">
        <f t="shared" ca="1" si="19"/>
        <v>#VALUE!</v>
      </c>
      <c r="U44" s="7" t="e">
        <f t="shared" ca="1" si="20"/>
        <v>#VALUE!</v>
      </c>
      <c r="V44" s="7" t="e">
        <f t="shared" ca="1" si="21"/>
        <v>#DIV/0!</v>
      </c>
      <c r="W4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4" s="33" t="e">
        <f t="shared" ca="1" si="23"/>
        <v>#VALUE!</v>
      </c>
      <c r="Y44" s="7" t="e">
        <f t="shared" ca="1" si="24"/>
        <v>#VALUE!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ca="1" si="13"/>
        <v>#DIV/0!</v>
      </c>
      <c r="O45" s="7" t="e">
        <f t="shared" ca="1" si="14"/>
        <v>#DIV/0!</v>
      </c>
      <c r="P45" s="33">
        <f t="shared" ca="1" si="15"/>
        <v>0</v>
      </c>
      <c r="Q45" s="33">
        <f t="shared" ca="1" si="16"/>
        <v>0</v>
      </c>
      <c r="R45" s="7" t="e">
        <f t="shared" ca="1" si="17"/>
        <v>#DIV/0!</v>
      </c>
      <c r="S4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5" s="33" t="e">
        <f t="shared" ca="1" si="19"/>
        <v>#VALUE!</v>
      </c>
      <c r="U45" s="7" t="e">
        <f t="shared" ca="1" si="20"/>
        <v>#VALUE!</v>
      </c>
      <c r="V45" s="7" t="e">
        <f t="shared" ca="1" si="21"/>
        <v>#DIV/0!</v>
      </c>
      <c r="W4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5" s="33" t="e">
        <f t="shared" ca="1" si="23"/>
        <v>#VALUE!</v>
      </c>
      <c r="Y45" s="7" t="e">
        <f t="shared" ca="1" si="24"/>
        <v>#VALUE!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ca="1" si="13"/>
        <v>#DIV/0!</v>
      </c>
      <c r="O46" s="7" t="e">
        <f t="shared" ca="1" si="14"/>
        <v>#DIV/0!</v>
      </c>
      <c r="P46" s="33">
        <f t="shared" ca="1" si="15"/>
        <v>0</v>
      </c>
      <c r="Q46" s="33">
        <f t="shared" ca="1" si="16"/>
        <v>0</v>
      </c>
      <c r="R46" s="7" t="e">
        <f t="shared" ca="1" si="17"/>
        <v>#DIV/0!</v>
      </c>
      <c r="S4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6" s="33" t="e">
        <f t="shared" ca="1" si="19"/>
        <v>#VALUE!</v>
      </c>
      <c r="U46" s="7" t="e">
        <f t="shared" ca="1" si="20"/>
        <v>#VALUE!</v>
      </c>
      <c r="V46" s="7" t="e">
        <f t="shared" ca="1" si="21"/>
        <v>#DIV/0!</v>
      </c>
      <c r="W4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6" s="33" t="e">
        <f t="shared" ca="1" si="23"/>
        <v>#VALUE!</v>
      </c>
      <c r="Y46" s="7" t="e">
        <f t="shared" ca="1" si="24"/>
        <v>#VALUE!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ca="1" si="13"/>
        <v>#DIV/0!</v>
      </c>
      <c r="O47" s="7" t="e">
        <f t="shared" ca="1" si="14"/>
        <v>#DIV/0!</v>
      </c>
      <c r="P47" s="33">
        <f t="shared" ca="1" si="15"/>
        <v>0</v>
      </c>
      <c r="Q47" s="33">
        <f t="shared" ca="1" si="16"/>
        <v>0</v>
      </c>
      <c r="R47" s="7" t="e">
        <f t="shared" ca="1" si="17"/>
        <v>#DIV/0!</v>
      </c>
      <c r="S4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7" s="33" t="e">
        <f t="shared" ca="1" si="19"/>
        <v>#VALUE!</v>
      </c>
      <c r="U47" s="7" t="e">
        <f t="shared" ca="1" si="20"/>
        <v>#VALUE!</v>
      </c>
      <c r="V47" s="7" t="e">
        <f t="shared" ca="1" si="21"/>
        <v>#DIV/0!</v>
      </c>
      <c r="W4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7" s="33" t="e">
        <f t="shared" ca="1" si="23"/>
        <v>#VALUE!</v>
      </c>
      <c r="Y47" s="7" t="e">
        <f t="shared" ca="1" si="24"/>
        <v>#VALUE!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ca="1" si="13"/>
        <v>#DIV/0!</v>
      </c>
      <c r="O48" s="7" t="e">
        <f t="shared" ca="1" si="14"/>
        <v>#DIV/0!</v>
      </c>
      <c r="P48" s="33">
        <f t="shared" ca="1" si="15"/>
        <v>0</v>
      </c>
      <c r="Q48" s="33">
        <f t="shared" ca="1" si="16"/>
        <v>0</v>
      </c>
      <c r="R48" s="7" t="e">
        <f t="shared" ca="1" si="17"/>
        <v>#DIV/0!</v>
      </c>
      <c r="S4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8" s="33" t="e">
        <f t="shared" ca="1" si="19"/>
        <v>#VALUE!</v>
      </c>
      <c r="U48" s="7" t="e">
        <f t="shared" ca="1" si="20"/>
        <v>#VALUE!</v>
      </c>
      <c r="V48" s="7" t="e">
        <f t="shared" ca="1" si="21"/>
        <v>#DIV/0!</v>
      </c>
      <c r="W4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8" s="33" t="e">
        <f t="shared" ca="1" si="23"/>
        <v>#VALUE!</v>
      </c>
      <c r="Y48" s="7" t="e">
        <f t="shared" ca="1" si="24"/>
        <v>#VALUE!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ca="1" si="13"/>
        <v>#DIV/0!</v>
      </c>
      <c r="O49" s="7" t="e">
        <f t="shared" ca="1" si="14"/>
        <v>#DIV/0!</v>
      </c>
      <c r="P49" s="33">
        <f t="shared" ca="1" si="15"/>
        <v>0</v>
      </c>
      <c r="Q49" s="33">
        <f t="shared" ca="1" si="16"/>
        <v>0</v>
      </c>
      <c r="R49" s="7" t="e">
        <f t="shared" ca="1" si="17"/>
        <v>#DIV/0!</v>
      </c>
      <c r="S4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9" s="33" t="e">
        <f t="shared" ca="1" si="19"/>
        <v>#VALUE!</v>
      </c>
      <c r="U49" s="7" t="e">
        <f t="shared" ca="1" si="20"/>
        <v>#VALUE!</v>
      </c>
      <c r="V49" s="7" t="e">
        <f t="shared" ca="1" si="21"/>
        <v>#DIV/0!</v>
      </c>
      <c r="W4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9" s="33" t="e">
        <f t="shared" ca="1" si="23"/>
        <v>#VALUE!</v>
      </c>
      <c r="Y49" s="7" t="e">
        <f t="shared" ca="1" si="24"/>
        <v>#VALUE!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ca="1" si="13"/>
        <v>#DIV/0!</v>
      </c>
      <c r="O50" s="7" t="e">
        <f t="shared" ca="1" si="14"/>
        <v>#DIV/0!</v>
      </c>
      <c r="P50" s="33">
        <f t="shared" ca="1" si="15"/>
        <v>0</v>
      </c>
      <c r="Q50" s="33">
        <f t="shared" ca="1" si="16"/>
        <v>0</v>
      </c>
      <c r="R50" s="7" t="e">
        <f t="shared" ca="1" si="17"/>
        <v>#DIV/0!</v>
      </c>
      <c r="S5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0" s="33" t="e">
        <f t="shared" ca="1" si="19"/>
        <v>#VALUE!</v>
      </c>
      <c r="U50" s="7" t="e">
        <f t="shared" ca="1" si="20"/>
        <v>#VALUE!</v>
      </c>
      <c r="V50" s="7" t="e">
        <f t="shared" ca="1" si="21"/>
        <v>#DIV/0!</v>
      </c>
      <c r="W5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0" s="33" t="e">
        <f t="shared" ca="1" si="23"/>
        <v>#VALUE!</v>
      </c>
      <c r="Y50" s="7" t="e">
        <f t="shared" ca="1" si="24"/>
        <v>#VALUE!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ca="1" si="13"/>
        <v>#DIV/0!</v>
      </c>
      <c r="O51" s="7" t="e">
        <f t="shared" ca="1" si="14"/>
        <v>#DIV/0!</v>
      </c>
      <c r="P51" s="33">
        <f t="shared" ca="1" si="15"/>
        <v>0</v>
      </c>
      <c r="Q51" s="33">
        <f t="shared" ca="1" si="16"/>
        <v>0</v>
      </c>
      <c r="R51" s="7" t="e">
        <f t="shared" ca="1" si="17"/>
        <v>#DIV/0!</v>
      </c>
      <c r="S5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1" s="33" t="e">
        <f t="shared" ca="1" si="19"/>
        <v>#VALUE!</v>
      </c>
      <c r="U51" s="7" t="e">
        <f t="shared" ca="1" si="20"/>
        <v>#VALUE!</v>
      </c>
      <c r="V51" s="7" t="e">
        <f t="shared" ca="1" si="21"/>
        <v>#DIV/0!</v>
      </c>
      <c r="W5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1" s="33" t="e">
        <f t="shared" ca="1" si="23"/>
        <v>#VALUE!</v>
      </c>
      <c r="Y51" s="7" t="e">
        <f t="shared" ca="1" si="24"/>
        <v>#VALUE!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ca="1" si="13"/>
        <v>#DIV/0!</v>
      </c>
      <c r="O52" s="7" t="e">
        <f t="shared" ca="1" si="14"/>
        <v>#DIV/0!</v>
      </c>
      <c r="P52" s="33">
        <f t="shared" ca="1" si="15"/>
        <v>0</v>
      </c>
      <c r="Q52" s="33">
        <f t="shared" ca="1" si="16"/>
        <v>0</v>
      </c>
      <c r="R52" s="7" t="e">
        <f t="shared" ca="1" si="17"/>
        <v>#DIV/0!</v>
      </c>
      <c r="S5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2" s="33" t="e">
        <f t="shared" ca="1" si="19"/>
        <v>#VALUE!</v>
      </c>
      <c r="U52" s="7" t="e">
        <f t="shared" ca="1" si="20"/>
        <v>#VALUE!</v>
      </c>
      <c r="V52" s="7" t="e">
        <f t="shared" ca="1" si="21"/>
        <v>#DIV/0!</v>
      </c>
      <c r="W5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2" s="33" t="e">
        <f t="shared" ca="1" si="23"/>
        <v>#VALUE!</v>
      </c>
      <c r="Y52" s="7" t="e">
        <f t="shared" ca="1" si="24"/>
        <v>#VALUE!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ca="1" si="13"/>
        <v>#DIV/0!</v>
      </c>
      <c r="O53" s="7" t="e">
        <f t="shared" ca="1" si="14"/>
        <v>#DIV/0!</v>
      </c>
      <c r="P53" s="33">
        <f t="shared" ca="1" si="15"/>
        <v>0</v>
      </c>
      <c r="Q53" s="33">
        <f t="shared" ca="1" si="16"/>
        <v>0</v>
      </c>
      <c r="R53" s="7" t="e">
        <f t="shared" ca="1" si="17"/>
        <v>#DIV/0!</v>
      </c>
      <c r="S5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3" s="33" t="e">
        <f t="shared" ca="1" si="19"/>
        <v>#VALUE!</v>
      </c>
      <c r="U53" s="7" t="e">
        <f t="shared" ca="1" si="20"/>
        <v>#VALUE!</v>
      </c>
      <c r="V53" s="7" t="e">
        <f t="shared" ca="1" si="21"/>
        <v>#DIV/0!</v>
      </c>
      <c r="W5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3" s="33" t="e">
        <f t="shared" ca="1" si="23"/>
        <v>#VALUE!</v>
      </c>
      <c r="Y53" s="7" t="e">
        <f t="shared" ca="1" si="24"/>
        <v>#VALUE!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ca="1" si="13"/>
        <v>#DIV/0!</v>
      </c>
      <c r="O54" s="7" t="e">
        <f t="shared" ca="1" si="14"/>
        <v>#DIV/0!</v>
      </c>
      <c r="P54" s="33">
        <f t="shared" ca="1" si="15"/>
        <v>0</v>
      </c>
      <c r="Q54" s="33">
        <f t="shared" ca="1" si="16"/>
        <v>0</v>
      </c>
      <c r="R54" s="7" t="e">
        <f t="shared" ca="1" si="17"/>
        <v>#DIV/0!</v>
      </c>
      <c r="S5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4" s="33" t="e">
        <f t="shared" ca="1" si="19"/>
        <v>#VALUE!</v>
      </c>
      <c r="U54" s="7" t="e">
        <f t="shared" ca="1" si="20"/>
        <v>#VALUE!</v>
      </c>
      <c r="V54" s="7" t="e">
        <f t="shared" ca="1" si="21"/>
        <v>#DIV/0!</v>
      </c>
      <c r="W5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4" s="33" t="e">
        <f t="shared" ca="1" si="23"/>
        <v>#VALUE!</v>
      </c>
      <c r="Y54" s="7" t="e">
        <f t="shared" ca="1" si="24"/>
        <v>#VALUE!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ca="1" si="13"/>
        <v>#DIV/0!</v>
      </c>
      <c r="O55" s="7" t="e">
        <f t="shared" ca="1" si="14"/>
        <v>#DIV/0!</v>
      </c>
      <c r="P55" s="33">
        <f t="shared" ca="1" si="15"/>
        <v>0</v>
      </c>
      <c r="Q55" s="33">
        <f t="shared" ca="1" si="16"/>
        <v>0</v>
      </c>
      <c r="R55" s="7" t="e">
        <f t="shared" ca="1" si="17"/>
        <v>#DIV/0!</v>
      </c>
      <c r="S5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5" s="33" t="e">
        <f t="shared" ca="1" si="19"/>
        <v>#VALUE!</v>
      </c>
      <c r="U55" s="7" t="e">
        <f t="shared" ca="1" si="20"/>
        <v>#VALUE!</v>
      </c>
      <c r="V55" s="7" t="e">
        <f t="shared" ca="1" si="21"/>
        <v>#DIV/0!</v>
      </c>
      <c r="W5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5" s="33" t="e">
        <f t="shared" ca="1" si="23"/>
        <v>#VALUE!</v>
      </c>
      <c r="Y55" s="7" t="e">
        <f t="shared" ca="1" si="24"/>
        <v>#VALUE!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ca="1" si="13"/>
        <v>#DIV/0!</v>
      </c>
      <c r="O56" s="7" t="e">
        <f t="shared" ca="1" si="14"/>
        <v>#DIV/0!</v>
      </c>
      <c r="P56" s="33">
        <f t="shared" ca="1" si="15"/>
        <v>0</v>
      </c>
      <c r="Q56" s="33">
        <f t="shared" ca="1" si="16"/>
        <v>0</v>
      </c>
      <c r="R56" s="7" t="e">
        <f t="shared" ca="1" si="17"/>
        <v>#DIV/0!</v>
      </c>
      <c r="S5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6" s="33" t="e">
        <f t="shared" ca="1" si="19"/>
        <v>#VALUE!</v>
      </c>
      <c r="U56" s="7" t="e">
        <f t="shared" ca="1" si="20"/>
        <v>#VALUE!</v>
      </c>
      <c r="V56" s="7" t="e">
        <f t="shared" ca="1" si="21"/>
        <v>#DIV/0!</v>
      </c>
      <c r="W5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6" s="33" t="e">
        <f t="shared" ca="1" si="23"/>
        <v>#VALUE!</v>
      </c>
      <c r="Y56" s="7" t="e">
        <f t="shared" ca="1" si="24"/>
        <v>#VALUE!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ca="1" si="13"/>
        <v>#DIV/0!</v>
      </c>
      <c r="O57" s="7" t="e">
        <f t="shared" ca="1" si="14"/>
        <v>#DIV/0!</v>
      </c>
      <c r="P57" s="33">
        <f t="shared" ca="1" si="15"/>
        <v>0</v>
      </c>
      <c r="Q57" s="33">
        <f t="shared" ca="1" si="16"/>
        <v>0</v>
      </c>
      <c r="R57" s="7" t="e">
        <f t="shared" ca="1" si="17"/>
        <v>#DIV/0!</v>
      </c>
      <c r="S5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7" s="33" t="e">
        <f t="shared" ca="1" si="19"/>
        <v>#VALUE!</v>
      </c>
      <c r="U57" s="7" t="e">
        <f t="shared" ca="1" si="20"/>
        <v>#VALUE!</v>
      </c>
      <c r="V57" s="7" t="e">
        <f t="shared" ca="1" si="21"/>
        <v>#DIV/0!</v>
      </c>
      <c r="W5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7" s="33" t="e">
        <f t="shared" ca="1" si="23"/>
        <v>#VALUE!</v>
      </c>
      <c r="Y57" s="7" t="e">
        <f t="shared" ca="1" si="24"/>
        <v>#VALUE!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ca="1" si="13"/>
        <v>#DIV/0!</v>
      </c>
      <c r="O58" s="7" t="e">
        <f t="shared" ca="1" si="14"/>
        <v>#DIV/0!</v>
      </c>
      <c r="P58" s="33">
        <f t="shared" ca="1" si="15"/>
        <v>0</v>
      </c>
      <c r="Q58" s="33">
        <f t="shared" ca="1" si="16"/>
        <v>0</v>
      </c>
      <c r="R58" s="7" t="e">
        <f t="shared" ca="1" si="17"/>
        <v>#DIV/0!</v>
      </c>
      <c r="S5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8" s="33" t="e">
        <f t="shared" ca="1" si="19"/>
        <v>#VALUE!</v>
      </c>
      <c r="U58" s="7" t="e">
        <f t="shared" ca="1" si="20"/>
        <v>#VALUE!</v>
      </c>
      <c r="V58" s="7" t="e">
        <f t="shared" ca="1" si="21"/>
        <v>#DIV/0!</v>
      </c>
      <c r="W5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8" s="33" t="e">
        <f t="shared" ca="1" si="23"/>
        <v>#VALUE!</v>
      </c>
      <c r="Y58" s="7" t="e">
        <f t="shared" ca="1" si="24"/>
        <v>#VALUE!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ca="1" si="13"/>
        <v>#DIV/0!</v>
      </c>
      <c r="O59" s="7" t="e">
        <f t="shared" ca="1" si="14"/>
        <v>#DIV/0!</v>
      </c>
      <c r="P59" s="33">
        <f t="shared" ca="1" si="15"/>
        <v>0</v>
      </c>
      <c r="Q59" s="33">
        <f t="shared" ca="1" si="16"/>
        <v>0</v>
      </c>
      <c r="R59" s="7" t="e">
        <f t="shared" ca="1" si="17"/>
        <v>#DIV/0!</v>
      </c>
      <c r="S5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9" s="33" t="e">
        <f t="shared" ca="1" si="19"/>
        <v>#VALUE!</v>
      </c>
      <c r="U59" s="7" t="e">
        <f t="shared" ca="1" si="20"/>
        <v>#VALUE!</v>
      </c>
      <c r="V59" s="7" t="e">
        <f t="shared" ca="1" si="21"/>
        <v>#DIV/0!</v>
      </c>
      <c r="W5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9" s="33" t="e">
        <f t="shared" ca="1" si="23"/>
        <v>#VALUE!</v>
      </c>
      <c r="Y59" s="7" t="e">
        <f t="shared" ca="1" si="24"/>
        <v>#VALUE!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ca="1" si="13"/>
        <v>#DIV/0!</v>
      </c>
      <c r="O60" s="7" t="e">
        <f t="shared" ca="1" si="14"/>
        <v>#DIV/0!</v>
      </c>
      <c r="P60" s="33">
        <f t="shared" ca="1" si="15"/>
        <v>0</v>
      </c>
      <c r="Q60" s="33">
        <f t="shared" ca="1" si="16"/>
        <v>0</v>
      </c>
      <c r="R60" s="7" t="e">
        <f t="shared" ca="1" si="17"/>
        <v>#DIV/0!</v>
      </c>
      <c r="S6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0" s="33" t="e">
        <f t="shared" ca="1" si="19"/>
        <v>#VALUE!</v>
      </c>
      <c r="U60" s="7" t="e">
        <f t="shared" ca="1" si="20"/>
        <v>#VALUE!</v>
      </c>
      <c r="V60" s="7" t="e">
        <f t="shared" ca="1" si="21"/>
        <v>#DIV/0!</v>
      </c>
      <c r="W6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0" s="33" t="e">
        <f t="shared" ca="1" si="23"/>
        <v>#VALUE!</v>
      </c>
      <c r="Y60" s="7" t="e">
        <f t="shared" ca="1" si="24"/>
        <v>#VALUE!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ca="1" si="13"/>
        <v>#DIV/0!</v>
      </c>
      <c r="O61" s="7" t="e">
        <f t="shared" ca="1" si="14"/>
        <v>#DIV/0!</v>
      </c>
      <c r="P61" s="33">
        <f t="shared" ca="1" si="15"/>
        <v>0</v>
      </c>
      <c r="Q61" s="33">
        <f t="shared" ca="1" si="16"/>
        <v>0</v>
      </c>
      <c r="R61" s="7" t="e">
        <f t="shared" ca="1" si="17"/>
        <v>#DIV/0!</v>
      </c>
      <c r="S6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1" s="33" t="e">
        <f t="shared" ca="1" si="19"/>
        <v>#VALUE!</v>
      </c>
      <c r="U61" s="7" t="e">
        <f t="shared" ca="1" si="20"/>
        <v>#VALUE!</v>
      </c>
      <c r="V61" s="7" t="e">
        <f t="shared" ca="1" si="21"/>
        <v>#DIV/0!</v>
      </c>
      <c r="W6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1" s="33" t="e">
        <f t="shared" ca="1" si="23"/>
        <v>#VALUE!</v>
      </c>
      <c r="Y61" s="7" t="e">
        <f t="shared" ca="1" si="24"/>
        <v>#VALUE!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ca="1" si="13"/>
        <v>#DIV/0!</v>
      </c>
      <c r="O62" s="7" t="e">
        <f t="shared" ca="1" si="14"/>
        <v>#DIV/0!</v>
      </c>
      <c r="P62" s="33">
        <f t="shared" ca="1" si="15"/>
        <v>0</v>
      </c>
      <c r="Q62" s="33">
        <f t="shared" ca="1" si="16"/>
        <v>0</v>
      </c>
      <c r="R62" s="7" t="e">
        <f t="shared" ca="1" si="17"/>
        <v>#DIV/0!</v>
      </c>
      <c r="S6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2" s="33" t="e">
        <f t="shared" ca="1" si="19"/>
        <v>#VALUE!</v>
      </c>
      <c r="U62" s="7" t="e">
        <f t="shared" ca="1" si="20"/>
        <v>#VALUE!</v>
      </c>
      <c r="V62" s="7" t="e">
        <f t="shared" ca="1" si="21"/>
        <v>#DIV/0!</v>
      </c>
      <c r="W6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2" s="33" t="e">
        <f t="shared" ca="1" si="23"/>
        <v>#VALUE!</v>
      </c>
      <c r="Y62" s="7" t="e">
        <f t="shared" ca="1" si="24"/>
        <v>#VALUE!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ca="1" si="13"/>
        <v>#DIV/0!</v>
      </c>
      <c r="O63" s="7" t="e">
        <f t="shared" ca="1" si="14"/>
        <v>#DIV/0!</v>
      </c>
      <c r="P63" s="33">
        <f t="shared" ca="1" si="15"/>
        <v>0</v>
      </c>
      <c r="Q63" s="33">
        <f t="shared" ca="1" si="16"/>
        <v>0</v>
      </c>
      <c r="R63" s="7" t="e">
        <f t="shared" ca="1" si="17"/>
        <v>#DIV/0!</v>
      </c>
      <c r="S6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3" s="33" t="e">
        <f t="shared" ca="1" si="19"/>
        <v>#VALUE!</v>
      </c>
      <c r="U63" s="7" t="e">
        <f t="shared" ca="1" si="20"/>
        <v>#VALUE!</v>
      </c>
      <c r="V63" s="7" t="e">
        <f t="shared" ca="1" si="21"/>
        <v>#DIV/0!</v>
      </c>
      <c r="W6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3" s="33" t="e">
        <f t="shared" ca="1" si="23"/>
        <v>#VALUE!</v>
      </c>
      <c r="Y63" s="7" t="e">
        <f t="shared" ca="1" si="24"/>
        <v>#VALUE!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ca="1" si="13"/>
        <v>#DIV/0!</v>
      </c>
      <c r="O64" s="7" t="e">
        <f t="shared" ca="1" si="14"/>
        <v>#DIV/0!</v>
      </c>
      <c r="P64" s="33">
        <f t="shared" ca="1" si="15"/>
        <v>0</v>
      </c>
      <c r="Q64" s="33">
        <f t="shared" ca="1" si="16"/>
        <v>0</v>
      </c>
      <c r="R64" s="7" t="e">
        <f t="shared" ca="1" si="17"/>
        <v>#DIV/0!</v>
      </c>
      <c r="S6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4" s="33" t="e">
        <f t="shared" ca="1" si="19"/>
        <v>#VALUE!</v>
      </c>
      <c r="U64" s="7" t="e">
        <f t="shared" ca="1" si="20"/>
        <v>#VALUE!</v>
      </c>
      <c r="V64" s="7" t="e">
        <f t="shared" ca="1" si="21"/>
        <v>#DIV/0!</v>
      </c>
      <c r="W6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4" s="33" t="e">
        <f t="shared" ca="1" si="23"/>
        <v>#VALUE!</v>
      </c>
      <c r="Y64" s="7" t="e">
        <f t="shared" ca="1" si="24"/>
        <v>#VALUE!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ca="1" si="13"/>
        <v>#DIV/0!</v>
      </c>
      <c r="O65" s="7" t="e">
        <f t="shared" ca="1" si="14"/>
        <v>#DIV/0!</v>
      </c>
      <c r="P65" s="33">
        <f t="shared" ca="1" si="15"/>
        <v>0</v>
      </c>
      <c r="Q65" s="33">
        <f t="shared" ca="1" si="16"/>
        <v>0</v>
      </c>
      <c r="R65" s="7" t="e">
        <f t="shared" ca="1" si="17"/>
        <v>#DIV/0!</v>
      </c>
      <c r="S6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5" s="33" t="e">
        <f t="shared" ca="1" si="19"/>
        <v>#VALUE!</v>
      </c>
      <c r="U65" s="7" t="e">
        <f t="shared" ca="1" si="20"/>
        <v>#VALUE!</v>
      </c>
      <c r="V65" s="7" t="e">
        <f t="shared" ca="1" si="21"/>
        <v>#DIV/0!</v>
      </c>
      <c r="W6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5" s="33" t="e">
        <f t="shared" ca="1" si="23"/>
        <v>#VALUE!</v>
      </c>
      <c r="Y65" s="7" t="e">
        <f t="shared" ca="1" si="24"/>
        <v>#VALUE!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ca="1" si="13"/>
        <v>#DIV/0!</v>
      </c>
      <c r="O66" s="7" t="e">
        <f t="shared" ca="1" si="14"/>
        <v>#DIV/0!</v>
      </c>
      <c r="P66" s="33">
        <f t="shared" ca="1" si="15"/>
        <v>0</v>
      </c>
      <c r="Q66" s="33">
        <f t="shared" ca="1" si="16"/>
        <v>0</v>
      </c>
      <c r="R66" s="7" t="e">
        <f t="shared" ca="1" si="17"/>
        <v>#DIV/0!</v>
      </c>
      <c r="S6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6" s="33" t="e">
        <f t="shared" ca="1" si="19"/>
        <v>#VALUE!</v>
      </c>
      <c r="U66" s="7" t="e">
        <f t="shared" ca="1" si="20"/>
        <v>#VALUE!</v>
      </c>
      <c r="V66" s="7" t="e">
        <f t="shared" ca="1" si="21"/>
        <v>#DIV/0!</v>
      </c>
      <c r="W6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6" s="33" t="e">
        <f t="shared" ca="1" si="23"/>
        <v>#VALUE!</v>
      </c>
      <c r="Y66" s="7" t="e">
        <f t="shared" ca="1" si="24"/>
        <v>#VALUE!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ca="1" si="13"/>
        <v>#DIV/0!</v>
      </c>
      <c r="O67" s="7" t="e">
        <f t="shared" ca="1" si="14"/>
        <v>#DIV/0!</v>
      </c>
      <c r="P67" s="33">
        <f t="shared" ca="1" si="15"/>
        <v>0</v>
      </c>
      <c r="Q67" s="33">
        <f t="shared" ca="1" si="16"/>
        <v>0</v>
      </c>
      <c r="R67" s="7" t="e">
        <f t="shared" ca="1" si="17"/>
        <v>#DIV/0!</v>
      </c>
      <c r="S6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7" s="33" t="e">
        <f t="shared" ca="1" si="19"/>
        <v>#VALUE!</v>
      </c>
      <c r="U67" s="7" t="e">
        <f t="shared" ca="1" si="20"/>
        <v>#VALUE!</v>
      </c>
      <c r="V67" s="7" t="e">
        <f t="shared" ca="1" si="21"/>
        <v>#DIV/0!</v>
      </c>
      <c r="W6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7" s="33" t="e">
        <f t="shared" ca="1" si="23"/>
        <v>#VALUE!</v>
      </c>
      <c r="Y67" s="7" t="e">
        <f t="shared" ca="1" si="24"/>
        <v>#VALUE!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ca="1" si="26">$G68/$D68</f>
        <v>#DIV/0!</v>
      </c>
      <c r="O68" s="7" t="e">
        <f t="shared" ref="O68:O77" ca="1" si="27">N68/($B68-TODAY())</f>
        <v>#DIV/0!</v>
      </c>
      <c r="P68" s="33">
        <f t="shared" ref="P68:P77" ca="1" si="28">$E68*$D68</f>
        <v>0</v>
      </c>
      <c r="Q68" s="33">
        <f t="shared" ref="Q68:Q77" ca="1" si="29">($G68+$F68-$D68)*$E68</f>
        <v>0</v>
      </c>
      <c r="R68" s="7" t="e">
        <f t="shared" ref="R68:R77" ca="1" si="30">$Q68/$P68</f>
        <v>#DIV/0!</v>
      </c>
      <c r="S68" s="7" t="str">
        <f t="shared" ref="S68:S77" ca="1" si="31">mrigxl_max_drawdown($C68,INT($B68-TODAY()))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8" s="33" t="e">
        <f t="shared" ref="T68:T77" ca="1" si="32">(S68*$D68+$G68)*$E68</f>
        <v>#VALUE!</v>
      </c>
      <c r="U68" s="7" t="e">
        <f t="shared" ref="U68:U77" ca="1" si="33">T68/$P68</f>
        <v>#VALUE!</v>
      </c>
      <c r="V68" s="7" t="e">
        <f t="shared" ref="V68:V77" ca="1" si="34">$R68+U68</f>
        <v>#DIV/0!</v>
      </c>
      <c r="W68" s="7" t="str">
        <f t="shared" ref="W68:W77" ca="1" si="35">mrigxl_avg_drawdown($C68,INT($B68-TODAY()))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8" s="33" t="e">
        <f t="shared" ref="X68:X77" ca="1" si="36">(W68*$D68+$G68)*$E68</f>
        <v>#VALUE!</v>
      </c>
      <c r="Y68" s="7" t="e">
        <f t="shared" ref="Y68:Y77" ca="1" si="37">X68/$P68</f>
        <v>#VALUE!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ca="1" si="26"/>
        <v>#DIV/0!</v>
      </c>
      <c r="O69" s="7" t="e">
        <f t="shared" ca="1" si="27"/>
        <v>#DIV/0!</v>
      </c>
      <c r="P69" s="33">
        <f t="shared" ca="1" si="28"/>
        <v>0</v>
      </c>
      <c r="Q69" s="33">
        <f t="shared" ca="1" si="29"/>
        <v>0</v>
      </c>
      <c r="R69" s="7" t="e">
        <f t="shared" ca="1" si="30"/>
        <v>#DIV/0!</v>
      </c>
      <c r="S69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9" s="33" t="e">
        <f t="shared" ca="1" si="32"/>
        <v>#VALUE!</v>
      </c>
      <c r="U69" s="7" t="e">
        <f t="shared" ca="1" si="33"/>
        <v>#VALUE!</v>
      </c>
      <c r="V69" s="7" t="e">
        <f t="shared" ca="1" si="34"/>
        <v>#DIV/0!</v>
      </c>
      <c r="W69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9" s="33" t="e">
        <f t="shared" ca="1" si="36"/>
        <v>#VALUE!</v>
      </c>
      <c r="Y69" s="7" t="e">
        <f t="shared" ca="1" si="37"/>
        <v>#VALUE!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ca="1" si="26"/>
        <v>#DIV/0!</v>
      </c>
      <c r="O70" s="7" t="e">
        <f t="shared" ca="1" si="27"/>
        <v>#DIV/0!</v>
      </c>
      <c r="P70" s="33">
        <f t="shared" ca="1" si="28"/>
        <v>0</v>
      </c>
      <c r="Q70" s="33">
        <f t="shared" ca="1" si="29"/>
        <v>0</v>
      </c>
      <c r="R70" s="7" t="e">
        <f t="shared" ca="1" si="30"/>
        <v>#DIV/0!</v>
      </c>
      <c r="S70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0" s="33" t="e">
        <f t="shared" ca="1" si="32"/>
        <v>#VALUE!</v>
      </c>
      <c r="U70" s="7" t="e">
        <f t="shared" ca="1" si="33"/>
        <v>#VALUE!</v>
      </c>
      <c r="V70" s="7" t="e">
        <f t="shared" ca="1" si="34"/>
        <v>#DIV/0!</v>
      </c>
      <c r="W70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0" s="33" t="e">
        <f t="shared" ca="1" si="36"/>
        <v>#VALUE!</v>
      </c>
      <c r="Y70" s="7" t="e">
        <f t="shared" ca="1" si="37"/>
        <v>#VALUE!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ca="1" si="26"/>
        <v>#DIV/0!</v>
      </c>
      <c r="O71" s="7" t="e">
        <f t="shared" ca="1" si="27"/>
        <v>#DIV/0!</v>
      </c>
      <c r="P71" s="33">
        <f t="shared" ca="1" si="28"/>
        <v>0</v>
      </c>
      <c r="Q71" s="33">
        <f t="shared" ca="1" si="29"/>
        <v>0</v>
      </c>
      <c r="R71" s="7" t="e">
        <f t="shared" ca="1" si="30"/>
        <v>#DIV/0!</v>
      </c>
      <c r="S71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1" s="33" t="e">
        <f t="shared" ca="1" si="32"/>
        <v>#VALUE!</v>
      </c>
      <c r="U71" s="7" t="e">
        <f t="shared" ca="1" si="33"/>
        <v>#VALUE!</v>
      </c>
      <c r="V71" s="7" t="e">
        <f t="shared" ca="1" si="34"/>
        <v>#DIV/0!</v>
      </c>
      <c r="W71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1" s="33" t="e">
        <f t="shared" ca="1" si="36"/>
        <v>#VALUE!</v>
      </c>
      <c r="Y71" s="7" t="e">
        <f t="shared" ca="1" si="37"/>
        <v>#VALUE!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ca="1" si="26"/>
        <v>#DIV/0!</v>
      </c>
      <c r="O72" s="7" t="e">
        <f t="shared" ca="1" si="27"/>
        <v>#DIV/0!</v>
      </c>
      <c r="P72" s="33">
        <f t="shared" ca="1" si="28"/>
        <v>0</v>
      </c>
      <c r="Q72" s="33">
        <f t="shared" ca="1" si="29"/>
        <v>0</v>
      </c>
      <c r="R72" s="7" t="e">
        <f t="shared" ca="1" si="30"/>
        <v>#DIV/0!</v>
      </c>
      <c r="S72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2" s="33" t="e">
        <f t="shared" ca="1" si="32"/>
        <v>#VALUE!</v>
      </c>
      <c r="U72" s="7" t="e">
        <f t="shared" ca="1" si="33"/>
        <v>#VALUE!</v>
      </c>
      <c r="V72" s="7" t="e">
        <f t="shared" ca="1" si="34"/>
        <v>#DIV/0!</v>
      </c>
      <c r="W72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2" s="33" t="e">
        <f t="shared" ca="1" si="36"/>
        <v>#VALUE!</v>
      </c>
      <c r="Y72" s="7" t="e">
        <f t="shared" ca="1" si="37"/>
        <v>#VALUE!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ca="1" si="26"/>
        <v>#DIV/0!</v>
      </c>
      <c r="O73" s="7" t="e">
        <f t="shared" ca="1" si="27"/>
        <v>#DIV/0!</v>
      </c>
      <c r="P73" s="33">
        <f t="shared" ca="1" si="28"/>
        <v>0</v>
      </c>
      <c r="Q73" s="33">
        <f t="shared" ca="1" si="29"/>
        <v>0</v>
      </c>
      <c r="R73" s="7" t="e">
        <f t="shared" ca="1" si="30"/>
        <v>#DIV/0!</v>
      </c>
      <c r="S73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3" s="33" t="e">
        <f t="shared" ca="1" si="32"/>
        <v>#VALUE!</v>
      </c>
      <c r="U73" s="7" t="e">
        <f t="shared" ca="1" si="33"/>
        <v>#VALUE!</v>
      </c>
      <c r="V73" s="7" t="e">
        <f t="shared" ca="1" si="34"/>
        <v>#DIV/0!</v>
      </c>
      <c r="W73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3" s="33" t="e">
        <f t="shared" ca="1" si="36"/>
        <v>#VALUE!</v>
      </c>
      <c r="Y73" s="7" t="e">
        <f t="shared" ca="1" si="37"/>
        <v>#VALUE!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ca="1" si="26"/>
        <v>#DIV/0!</v>
      </c>
      <c r="O74" s="7" t="e">
        <f t="shared" ca="1" si="27"/>
        <v>#DIV/0!</v>
      </c>
      <c r="P74" s="33">
        <f t="shared" ca="1" si="28"/>
        <v>0</v>
      </c>
      <c r="Q74" s="33">
        <f t="shared" ca="1" si="29"/>
        <v>0</v>
      </c>
      <c r="R74" s="7" t="e">
        <f t="shared" ca="1" si="30"/>
        <v>#DIV/0!</v>
      </c>
      <c r="S74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4" s="33" t="e">
        <f t="shared" ca="1" si="32"/>
        <v>#VALUE!</v>
      </c>
      <c r="U74" s="7" t="e">
        <f t="shared" ca="1" si="33"/>
        <v>#VALUE!</v>
      </c>
      <c r="V74" s="7" t="e">
        <f t="shared" ca="1" si="34"/>
        <v>#DIV/0!</v>
      </c>
      <c r="W74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4" s="33" t="e">
        <f t="shared" ca="1" si="36"/>
        <v>#VALUE!</v>
      </c>
      <c r="Y74" s="7" t="e">
        <f t="shared" ca="1" si="37"/>
        <v>#VALUE!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ca="1" si="26"/>
        <v>#DIV/0!</v>
      </c>
      <c r="O75" s="7" t="e">
        <f t="shared" ca="1" si="27"/>
        <v>#DIV/0!</v>
      </c>
      <c r="P75" s="33">
        <f t="shared" ca="1" si="28"/>
        <v>0</v>
      </c>
      <c r="Q75" s="33">
        <f t="shared" ca="1" si="29"/>
        <v>0</v>
      </c>
      <c r="R75" s="7" t="e">
        <f t="shared" ca="1" si="30"/>
        <v>#DIV/0!</v>
      </c>
      <c r="S75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5" s="33" t="e">
        <f t="shared" ca="1" si="32"/>
        <v>#VALUE!</v>
      </c>
      <c r="U75" s="7" t="e">
        <f t="shared" ca="1" si="33"/>
        <v>#VALUE!</v>
      </c>
      <c r="V75" s="7" t="e">
        <f t="shared" ca="1" si="34"/>
        <v>#DIV/0!</v>
      </c>
      <c r="W75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5" s="33" t="e">
        <f t="shared" ca="1" si="36"/>
        <v>#VALUE!</v>
      </c>
      <c r="Y75" s="7" t="e">
        <f t="shared" ca="1" si="37"/>
        <v>#VALUE!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ca="1" si="26"/>
        <v>#DIV/0!</v>
      </c>
      <c r="O76" s="7" t="e">
        <f t="shared" ca="1" si="27"/>
        <v>#DIV/0!</v>
      </c>
      <c r="P76" s="33">
        <f t="shared" ca="1" si="28"/>
        <v>0</v>
      </c>
      <c r="Q76" s="33">
        <f t="shared" ca="1" si="29"/>
        <v>0</v>
      </c>
      <c r="R76" s="7" t="e">
        <f t="shared" ca="1" si="30"/>
        <v>#DIV/0!</v>
      </c>
      <c r="S76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6" s="33" t="e">
        <f t="shared" ca="1" si="32"/>
        <v>#VALUE!</v>
      </c>
      <c r="U76" s="7" t="e">
        <f t="shared" ca="1" si="33"/>
        <v>#VALUE!</v>
      </c>
      <c r="V76" s="7" t="e">
        <f t="shared" ca="1" si="34"/>
        <v>#DIV/0!</v>
      </c>
      <c r="W76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6" s="33" t="e">
        <f t="shared" ca="1" si="36"/>
        <v>#VALUE!</v>
      </c>
      <c r="Y76" s="7" t="e">
        <f t="shared" ca="1" si="37"/>
        <v>#VALUE!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ca="1" si="26"/>
        <v>#DIV/0!</v>
      </c>
      <c r="O77" s="7" t="e">
        <f t="shared" ca="1" si="27"/>
        <v>#DIV/0!</v>
      </c>
      <c r="P77" s="33">
        <f t="shared" ca="1" si="28"/>
        <v>0</v>
      </c>
      <c r="Q77" s="33">
        <f t="shared" ca="1" si="29"/>
        <v>0</v>
      </c>
      <c r="R77" s="7" t="e">
        <f t="shared" ca="1" si="30"/>
        <v>#DIV/0!</v>
      </c>
      <c r="S77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7" s="33" t="e">
        <f t="shared" ca="1" si="32"/>
        <v>#VALUE!</v>
      </c>
      <c r="U77" s="7" t="e">
        <f t="shared" ca="1" si="33"/>
        <v>#VALUE!</v>
      </c>
      <c r="V77" s="7" t="e">
        <f t="shared" ca="1" si="34"/>
        <v>#DIV/0!</v>
      </c>
      <c r="W77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7" s="33" t="e">
        <f t="shared" ca="1" si="36"/>
        <v>#VALUE!</v>
      </c>
      <c r="Y77" s="7" t="e">
        <f t="shared" ca="1" si="37"/>
        <v>#VALUE!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4"/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tr">
        <f>mrigxl_stored_strategies("covered_call_2")</f>
        <v>Expiry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19" t="s">
        <v>1841</v>
      </c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-1.8614410938504755E-4</v>
      </c>
      <c r="Q4" s="7">
        <f t="shared" ref="Q4:Q35" si="2">R4/D4-1</f>
        <v>-0.79104477611940305</v>
      </c>
      <c r="R4" s="33">
        <f t="shared" ref="R4:R35" si="3">mrigxl_stockquote(C4)</f>
        <v>1.4</v>
      </c>
      <c r="S4" s="33">
        <f t="shared" ref="S4:S35" si="4">(MIN(F4,R4)-D4+G4)*E4</f>
        <v>-161500.00000000003</v>
      </c>
      <c r="T4" s="7">
        <f t="shared" ref="T4:T35" si="5">S4/U4</f>
        <v>-0.70895522388059717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-1.4110121660604541E-4</v>
      </c>
      <c r="Q5" s="7">
        <f t="shared" si="2"/>
        <v>-0.79104477611940305</v>
      </c>
      <c r="R5" s="33">
        <f t="shared" si="3"/>
        <v>1.4</v>
      </c>
      <c r="S5" s="33">
        <f t="shared" si="4"/>
        <v>-164900.00000000003</v>
      </c>
      <c r="T5" s="7">
        <f t="shared" si="5"/>
        <v>-0.72388059701492546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-8.5848292805494296E-5</v>
      </c>
      <c r="Q6" s="7">
        <f t="shared" si="2"/>
        <v>-1.6611295681063121E-2</v>
      </c>
      <c r="R6" s="33">
        <f t="shared" si="3"/>
        <v>148</v>
      </c>
      <c r="S6" s="33">
        <f t="shared" si="4"/>
        <v>14600.000000000002</v>
      </c>
      <c r="T6" s="7">
        <f t="shared" si="5"/>
        <v>2.4252491694352164E-2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-7.5401447707795985E-5</v>
      </c>
      <c r="Q7" s="7">
        <f t="shared" si="2"/>
        <v>-0.57425742574257432</v>
      </c>
      <c r="R7" s="33">
        <f t="shared" si="3"/>
        <v>34.4</v>
      </c>
      <c r="S7" s="33">
        <f t="shared" si="4"/>
        <v>-261000</v>
      </c>
      <c r="T7" s="7">
        <f t="shared" si="5"/>
        <v>-0.5383663366336634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1668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-6.5695890864843551E-5</v>
      </c>
      <c r="Q8" s="7">
        <f t="shared" si="2"/>
        <v>-0.60299116247450713</v>
      </c>
      <c r="R8" s="33">
        <f t="shared" si="3"/>
        <v>29.2</v>
      </c>
      <c r="S8" s="33">
        <f t="shared" si="4"/>
        <v>-252299.99999999997</v>
      </c>
      <c r="T8" s="7">
        <f t="shared" si="5"/>
        <v>-0.57171991842284153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-7.0531809846240639E-5</v>
      </c>
      <c r="Q9" s="7">
        <f t="shared" si="2"/>
        <v>-0.15137889688249395</v>
      </c>
      <c r="R9" s="33">
        <f t="shared" si="3"/>
        <v>141.55000000000001</v>
      </c>
      <c r="S9" s="33">
        <f t="shared" si="4"/>
        <v>-49125</v>
      </c>
      <c r="T9" s="7">
        <f t="shared" si="5"/>
        <v>-0.11780575539568346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-6.4030692045053582E-5</v>
      </c>
      <c r="Q10" s="7">
        <f t="shared" si="2"/>
        <v>0.19231685054369385</v>
      </c>
      <c r="R10" s="33">
        <f t="shared" si="3"/>
        <v>751.1</v>
      </c>
      <c r="S10" s="33">
        <f t="shared" si="4"/>
        <v>54174.999999999956</v>
      </c>
      <c r="T10" s="7">
        <f t="shared" si="5"/>
        <v>7.8180808000634913E-2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-1.0120327200647702E-4</v>
      </c>
      <c r="Q11" s="7">
        <f t="shared" si="2"/>
        <v>-1.6611295681063121E-2</v>
      </c>
      <c r="R11" s="33">
        <f t="shared" si="3"/>
        <v>148</v>
      </c>
      <c r="S11" s="33">
        <f t="shared" si="4"/>
        <v>19000</v>
      </c>
      <c r="T11" s="7">
        <f t="shared" si="5"/>
        <v>3.1561461794019932E-2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-6.3964691490297367E-5</v>
      </c>
      <c r="Q12" s="7">
        <f t="shared" si="2"/>
        <v>-0.51760228353948623</v>
      </c>
      <c r="R12" s="33">
        <f t="shared" si="3"/>
        <v>50.7</v>
      </c>
      <c r="S12" s="33">
        <f t="shared" si="4"/>
        <v>-204799.99999999994</v>
      </c>
      <c r="T12" s="7">
        <f t="shared" si="5"/>
        <v>-0.48715509039010452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-9.7746211455293429E-5</v>
      </c>
      <c r="Q13" s="7">
        <f t="shared" si="2"/>
        <v>-0.95263598326359833</v>
      </c>
      <c r="R13" s="33">
        <f t="shared" si="3"/>
        <v>14.15</v>
      </c>
      <c r="S13" s="33">
        <f t="shared" si="4"/>
        <v>-351910.00000000006</v>
      </c>
      <c r="T13" s="7">
        <f t="shared" si="5"/>
        <v>-0.90610878661087879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-1.367410869673313E-4</v>
      </c>
      <c r="Q14" s="7">
        <f t="shared" si="2"/>
        <v>9.4082840236686449E-2</v>
      </c>
      <c r="R14" s="33">
        <f t="shared" si="3"/>
        <v>92.45</v>
      </c>
      <c r="S14" s="33">
        <f t="shared" si="4"/>
        <v>36000</v>
      </c>
      <c r="T14" s="7">
        <f t="shared" si="5"/>
        <v>7.1005917159763315E-2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-1.0140194691738081E-4</v>
      </c>
      <c r="Q15" s="7">
        <f t="shared" si="2"/>
        <v>-0.57425742574257432</v>
      </c>
      <c r="R15" s="33">
        <f t="shared" si="3"/>
        <v>34.4</v>
      </c>
      <c r="S15" s="33">
        <f t="shared" si="4"/>
        <v>-255000</v>
      </c>
      <c r="T15" s="7">
        <f t="shared" si="5"/>
        <v>-0.52599009900990101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-6.9656509818781618E-5</v>
      </c>
      <c r="Q16" s="7">
        <f t="shared" si="2"/>
        <v>-0.58355437665782506</v>
      </c>
      <c r="R16" s="33">
        <f t="shared" si="3"/>
        <v>15.7</v>
      </c>
      <c r="S16" s="33">
        <f t="shared" si="4"/>
        <v>-273900.00000000006</v>
      </c>
      <c r="T16" s="7">
        <f t="shared" si="5"/>
        <v>-0.5503978779840849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-1.3185190394149291E-4</v>
      </c>
      <c r="Q17" s="7">
        <f t="shared" si="2"/>
        <v>-0.95263598326359833</v>
      </c>
      <c r="R17" s="33">
        <f t="shared" si="3"/>
        <v>14.15</v>
      </c>
      <c r="S17" s="33">
        <f t="shared" si="4"/>
        <v>-345605.00000000006</v>
      </c>
      <c r="T17" s="7">
        <f t="shared" si="5"/>
        <v>-0.88987447698744782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1554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-8.4948442829697987E-5</v>
      </c>
      <c r="Q18" s="7">
        <f t="shared" si="2"/>
        <v>0.11041990668740298</v>
      </c>
      <c r="R18" s="33">
        <f t="shared" si="3"/>
        <v>35.700000000000003</v>
      </c>
      <c r="S18" s="33">
        <f t="shared" si="4"/>
        <v>19350.000000000011</v>
      </c>
      <c r="T18" s="7">
        <f t="shared" si="5"/>
        <v>6.68740279937792E-2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-9.8863074641621353E-5</v>
      </c>
      <c r="Q19" s="7">
        <f t="shared" si="2"/>
        <v>-0.67058823529411771</v>
      </c>
      <c r="R19" s="33">
        <f t="shared" si="3"/>
        <v>4.2</v>
      </c>
      <c r="S19" s="33">
        <f t="shared" si="4"/>
        <v>-198750.00000000003</v>
      </c>
      <c r="T19" s="7">
        <f t="shared" si="5"/>
        <v>-0.623529411764706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-9.3599671628307978E-5</v>
      </c>
      <c r="Q20" s="7">
        <f t="shared" si="2"/>
        <v>-0.62967504598405888</v>
      </c>
      <c r="R20" s="33">
        <f t="shared" si="3"/>
        <v>90.6</v>
      </c>
      <c r="S20" s="33">
        <f t="shared" si="4"/>
        <v>-286300</v>
      </c>
      <c r="T20" s="7">
        <f t="shared" si="5"/>
        <v>-0.58512160228898424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-9.8870483445176612E-5</v>
      </c>
      <c r="Q21" s="7">
        <f t="shared" si="2"/>
        <v>-0.15137889688249395</v>
      </c>
      <c r="R21" s="33">
        <f t="shared" si="3"/>
        <v>141.55000000000001</v>
      </c>
      <c r="S21" s="33">
        <f t="shared" si="4"/>
        <v>-43500</v>
      </c>
      <c r="T21" s="7">
        <f t="shared" si="5"/>
        <v>-0.10431654676258993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-1.3137776600611589E-4</v>
      </c>
      <c r="Q22" s="7">
        <f t="shared" si="2"/>
        <v>3.5888252148997157E-2</v>
      </c>
      <c r="R22" s="33">
        <f t="shared" si="3"/>
        <v>723.05</v>
      </c>
      <c r="S22" s="33">
        <f t="shared" si="4"/>
        <v>22825</v>
      </c>
      <c r="T22" s="7">
        <f t="shared" si="5"/>
        <v>6.5401146131805157E-2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-9.9929352271882195E-5</v>
      </c>
      <c r="Q23" s="7">
        <f t="shared" si="2"/>
        <v>-3.849557522123892E-2</v>
      </c>
      <c r="R23" s="33">
        <f t="shared" si="3"/>
        <v>217.3</v>
      </c>
      <c r="S23" s="33">
        <f t="shared" si="4"/>
        <v>3228.7500000000177</v>
      </c>
      <c r="T23" s="7">
        <f t="shared" si="5"/>
        <v>9.0707964601770413E-3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1668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-9.4259321675645098E-5</v>
      </c>
      <c r="Q24" s="7">
        <f t="shared" si="2"/>
        <v>-0.60299116247450713</v>
      </c>
      <c r="R24" s="33">
        <f t="shared" si="3"/>
        <v>29.2</v>
      </c>
      <c r="S24" s="33">
        <f t="shared" si="4"/>
        <v>-246299.99999999997</v>
      </c>
      <c r="T24" s="7">
        <f t="shared" si="5"/>
        <v>-0.55812372535690002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-8.4351922587216712E-5</v>
      </c>
      <c r="Q25" s="7">
        <f t="shared" si="2"/>
        <v>-0.5143939393939394</v>
      </c>
      <c r="R25" s="33">
        <f t="shared" si="3"/>
        <v>32.049999999999997</v>
      </c>
      <c r="S25" s="33">
        <f t="shared" si="4"/>
        <v>-172150.00000000003</v>
      </c>
      <c r="T25" s="7">
        <f t="shared" si="5"/>
        <v>-0.4742424242424243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1507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-8.9078255716479841E-5</v>
      </c>
      <c r="Q26" s="7">
        <f t="shared" si="2"/>
        <v>-0.21546529792457048</v>
      </c>
      <c r="R26" s="33">
        <f t="shared" si="3"/>
        <v>351.55</v>
      </c>
      <c r="S26" s="33">
        <f t="shared" si="4"/>
        <v>-62040.000000000007</v>
      </c>
      <c r="T26" s="7">
        <f t="shared" si="5"/>
        <v>-0.17306404820352603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-7.11288142826659E-5</v>
      </c>
      <c r="Q27" s="7">
        <f t="shared" si="2"/>
        <v>-0.47762998790810152</v>
      </c>
      <c r="R27" s="33">
        <f t="shared" si="3"/>
        <v>43.2</v>
      </c>
      <c r="S27" s="33">
        <f t="shared" si="4"/>
        <v>-293600</v>
      </c>
      <c r="T27" s="7">
        <f t="shared" si="5"/>
        <v>-0.44377267230955258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-8.9657589514952451E-5</v>
      </c>
      <c r="Q28" s="7">
        <f t="shared" si="2"/>
        <v>-0.10572259941804063</v>
      </c>
      <c r="R28" s="33">
        <f t="shared" si="3"/>
        <v>92.2</v>
      </c>
      <c r="S28" s="33">
        <f t="shared" si="4"/>
        <v>-38999.999999999949</v>
      </c>
      <c r="T28" s="7">
        <f t="shared" si="5"/>
        <v>-6.304558680892329E-2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-9.2711106190233853E-5</v>
      </c>
      <c r="Q29" s="7">
        <f t="shared" si="2"/>
        <v>0.19231685054369385</v>
      </c>
      <c r="R29" s="33">
        <f t="shared" si="3"/>
        <v>751.1</v>
      </c>
      <c r="S29" s="33">
        <f t="shared" si="4"/>
        <v>41634.999999999949</v>
      </c>
      <c r="T29" s="7">
        <f t="shared" si="5"/>
        <v>6.0084133661401626E-2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1507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-1.1720823120589454E-4</v>
      </c>
      <c r="Q30" s="7">
        <f t="shared" si="2"/>
        <v>-0.21546529792457048</v>
      </c>
      <c r="R30" s="33">
        <f t="shared" si="3"/>
        <v>351.55</v>
      </c>
      <c r="S30" s="33">
        <f t="shared" si="4"/>
        <v>-57240.000000000007</v>
      </c>
      <c r="T30" s="7">
        <f t="shared" si="5"/>
        <v>-0.15967417987056462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-1.1979040543255927E-4</v>
      </c>
      <c r="Q31" s="7">
        <f t="shared" si="2"/>
        <v>-0.62967504598405888</v>
      </c>
      <c r="R31" s="33">
        <f t="shared" si="3"/>
        <v>90.6</v>
      </c>
      <c r="S31" s="33">
        <f t="shared" si="4"/>
        <v>-280200.00000000006</v>
      </c>
      <c r="T31" s="7">
        <f t="shared" si="5"/>
        <v>-0.57265481299816079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-1.2254901960784314E-4</v>
      </c>
      <c r="Q32" s="7">
        <f t="shared" si="2"/>
        <v>0.14729166666666682</v>
      </c>
      <c r="R32" s="33">
        <f t="shared" si="3"/>
        <v>275.35000000000002</v>
      </c>
      <c r="S32" s="33">
        <f t="shared" si="4"/>
        <v>17500</v>
      </c>
      <c r="T32" s="7">
        <f t="shared" si="5"/>
        <v>5.8333333333333334E-2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-1.1254501800720289E-4</v>
      </c>
      <c r="Q33" s="7">
        <f t="shared" si="2"/>
        <v>0.11495535714285721</v>
      </c>
      <c r="R33" s="33">
        <f t="shared" si="3"/>
        <v>49.95</v>
      </c>
      <c r="S33" s="33">
        <f t="shared" si="4"/>
        <v>28600.000000000029</v>
      </c>
      <c r="T33" s="7">
        <f t="shared" si="5"/>
        <v>5.803571428571435E-2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-8.6632591180802222E-5</v>
      </c>
      <c r="Q34" s="7">
        <f t="shared" si="2"/>
        <v>0.12186490229266056</v>
      </c>
      <c r="R34" s="33">
        <f t="shared" si="3"/>
        <v>364.55</v>
      </c>
      <c r="S34" s="33">
        <f t="shared" si="4"/>
        <v>33210.000000000015</v>
      </c>
      <c r="T34" s="7">
        <f t="shared" si="5"/>
        <v>5.6777965840898621E-2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-7.3858698462015692E-5</v>
      </c>
      <c r="Q35" s="7">
        <f t="shared" si="2"/>
        <v>0.17172393588080181</v>
      </c>
      <c r="R35" s="33">
        <f t="shared" si="3"/>
        <v>1399.8</v>
      </c>
      <c r="S35" s="33">
        <f t="shared" si="4"/>
        <v>33674.999999999956</v>
      </c>
      <c r="T35" s="7">
        <f t="shared" si="5"/>
        <v>5.6376344536056514E-2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1327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-1.1776862643791695E-4</v>
      </c>
      <c r="Q36" s="7">
        <f t="shared" ref="Q36:Q67" si="9">R36/D36-1</f>
        <v>-0.94213381555153708</v>
      </c>
      <c r="R36" s="33">
        <f t="shared" ref="R36:R67" si="10">mrigxl_stockquote(C36)</f>
        <v>1.6</v>
      </c>
      <c r="S36" s="33">
        <f t="shared" ref="S36:S67" si="11">(MIN(F36,R36)-D36+G36)*E36</f>
        <v>-318499.99999999994</v>
      </c>
      <c r="T36" s="7">
        <f t="shared" ref="T36:T67" si="12">S36/U36</f>
        <v>-0.88607594936708844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-7.8898523126628132E-5</v>
      </c>
      <c r="Q37" s="7">
        <f t="shared" si="9"/>
        <v>-0.53214513049013368</v>
      </c>
      <c r="R37" s="33">
        <f t="shared" si="10"/>
        <v>73.5</v>
      </c>
      <c r="S37" s="33">
        <f t="shared" si="11"/>
        <v>-186479.99999999997</v>
      </c>
      <c r="T37" s="7">
        <f t="shared" si="12"/>
        <v>-0.49458943348185863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-1.0215965510900435E-4</v>
      </c>
      <c r="Q38" s="7">
        <f t="shared" si="9"/>
        <v>-0.47794373046196592</v>
      </c>
      <c r="R38" s="33">
        <f t="shared" si="10"/>
        <v>75.150000000000006</v>
      </c>
      <c r="S38" s="33">
        <f t="shared" si="11"/>
        <v>-154499.99999999997</v>
      </c>
      <c r="T38" s="7">
        <f t="shared" si="12"/>
        <v>-0.42931573463007983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-9.0701535599240588E-5</v>
      </c>
      <c r="Q39" s="7">
        <f t="shared" si="9"/>
        <v>-0.60614081524616203</v>
      </c>
      <c r="R39" s="33">
        <f t="shared" si="10"/>
        <v>334.8</v>
      </c>
      <c r="S39" s="33">
        <f t="shared" si="11"/>
        <v>-263202.5</v>
      </c>
      <c r="T39" s="7">
        <f t="shared" si="12"/>
        <v>-0.56296688430092345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-6.7226890756302523E-5</v>
      </c>
      <c r="Q40" s="7">
        <f t="shared" si="9"/>
        <v>-0.40088888888888885</v>
      </c>
      <c r="R40" s="33">
        <f t="shared" si="10"/>
        <v>67.400000000000006</v>
      </c>
      <c r="S40" s="33">
        <f t="shared" si="11"/>
        <v>-145249.99999999997</v>
      </c>
      <c r="T40" s="7">
        <f t="shared" si="12"/>
        <v>-0.36888888888888882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-1.2084479809622964E-4</v>
      </c>
      <c r="Q41" s="7">
        <f t="shared" si="9"/>
        <v>-3.849557522123892E-2</v>
      </c>
      <c r="R41" s="33">
        <f t="shared" si="10"/>
        <v>217.3</v>
      </c>
      <c r="S41" s="33">
        <f t="shared" si="11"/>
        <v>6772.5000000000182</v>
      </c>
      <c r="T41" s="7">
        <f t="shared" si="12"/>
        <v>1.9026548672566423E-2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-1.0718846925743477E-4</v>
      </c>
      <c r="Q42" s="7">
        <f t="shared" si="9"/>
        <v>-1.4367816091953589E-3</v>
      </c>
      <c r="R42" s="33">
        <f t="shared" si="10"/>
        <v>347.5</v>
      </c>
      <c r="S42" s="33">
        <f t="shared" si="11"/>
        <v>43862.5</v>
      </c>
      <c r="T42" s="7">
        <f t="shared" si="12"/>
        <v>4.583333333333333E-2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-1.0632729176208858E-4</v>
      </c>
      <c r="Q43" s="7">
        <f t="shared" si="9"/>
        <v>3.8932146829810943E-3</v>
      </c>
      <c r="R43" s="33">
        <f t="shared" si="10"/>
        <v>90.25</v>
      </c>
      <c r="S43" s="33">
        <f t="shared" si="11"/>
        <v>27899.999999999964</v>
      </c>
      <c r="T43" s="7">
        <f t="shared" si="12"/>
        <v>5.1724137931034413E-2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1554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-1.1762092084112029E-4</v>
      </c>
      <c r="Q44" s="7">
        <f t="shared" si="9"/>
        <v>0.11041990668740298</v>
      </c>
      <c r="R44" s="33">
        <f t="shared" si="10"/>
        <v>35.700000000000003</v>
      </c>
      <c r="S44" s="33">
        <f t="shared" si="11"/>
        <v>14850.000000000013</v>
      </c>
      <c r="T44" s="7">
        <f t="shared" si="12"/>
        <v>5.1321928460342191E-2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-6.7022368888354551E-5</v>
      </c>
      <c r="Q45" s="7">
        <f t="shared" si="9"/>
        <v>0.74083209998355515</v>
      </c>
      <c r="R45" s="33">
        <f t="shared" si="10"/>
        <v>529.29999999999995</v>
      </c>
      <c r="S45" s="33">
        <f t="shared" si="11"/>
        <v>26604.999999999978</v>
      </c>
      <c r="T45" s="7">
        <f t="shared" si="12"/>
        <v>5.147179740174309E-2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-1.0623567608861726E-4</v>
      </c>
      <c r="Q46" s="7">
        <f t="shared" si="9"/>
        <v>-0.16193181818181823</v>
      </c>
      <c r="R46" s="33">
        <f t="shared" si="10"/>
        <v>368.75</v>
      </c>
      <c r="S46" s="33">
        <f t="shared" si="11"/>
        <v>-49000</v>
      </c>
      <c r="T46" s="7">
        <f t="shared" si="12"/>
        <v>-0.11136363636363636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-8.9160332568040469E-5</v>
      </c>
      <c r="Q47" s="7">
        <f t="shared" si="9"/>
        <v>-0.58355437665782506</v>
      </c>
      <c r="R47" s="33">
        <f t="shared" si="10"/>
        <v>15.7</v>
      </c>
      <c r="S47" s="33">
        <f t="shared" si="11"/>
        <v>-269280</v>
      </c>
      <c r="T47" s="7">
        <f t="shared" si="12"/>
        <v>-0.54111405835543758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-1.4302596038415365E-4</v>
      </c>
      <c r="Q48" s="7">
        <f t="shared" si="9"/>
        <v>0.11495535714285721</v>
      </c>
      <c r="R48" s="33">
        <f t="shared" si="10"/>
        <v>49.95</v>
      </c>
      <c r="S48" s="33">
        <f t="shared" si="11"/>
        <v>24750.000000000029</v>
      </c>
      <c r="T48" s="7">
        <f t="shared" si="12"/>
        <v>5.022321428571435E-2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-1.1716616811613104E-4</v>
      </c>
      <c r="Q49" s="7">
        <f t="shared" si="9"/>
        <v>-0.10572259941804063</v>
      </c>
      <c r="R49" s="33">
        <f t="shared" si="10"/>
        <v>92.2</v>
      </c>
      <c r="S49" s="33">
        <f t="shared" si="11"/>
        <v>-30899.999999999949</v>
      </c>
      <c r="T49" s="7">
        <f t="shared" si="12"/>
        <v>-4.9951503394762287E-2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-8.0109864957656201E-5</v>
      </c>
      <c r="Q50" s="7">
        <f t="shared" si="9"/>
        <v>-0.637029831387808</v>
      </c>
      <c r="R50" s="33">
        <f t="shared" si="10"/>
        <v>279.85000000000002</v>
      </c>
      <c r="S50" s="33">
        <f t="shared" si="11"/>
        <v>-369400</v>
      </c>
      <c r="T50" s="7">
        <f t="shared" si="12"/>
        <v>-0.59889753566796367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-9.1774966246780185E-5</v>
      </c>
      <c r="Q51" s="7">
        <f t="shared" si="9"/>
        <v>-0.76603911533540492</v>
      </c>
      <c r="R51" s="33">
        <f t="shared" si="10"/>
        <v>64</v>
      </c>
      <c r="S51" s="33">
        <f t="shared" si="11"/>
        <v>-296400.00000000006</v>
      </c>
      <c r="T51" s="7">
        <f t="shared" si="12"/>
        <v>-0.72235423140193766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-1.0394262367173322E-4</v>
      </c>
      <c r="Q52" s="7">
        <f t="shared" si="9"/>
        <v>-0.51760228353948623</v>
      </c>
      <c r="R52" s="33">
        <f t="shared" si="10"/>
        <v>50.7</v>
      </c>
      <c r="S52" s="33">
        <f t="shared" si="11"/>
        <v>-196799.99999999994</v>
      </c>
      <c r="T52" s="7">
        <f t="shared" si="12"/>
        <v>-0.46812559467174109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-7.6108649325169978E-5</v>
      </c>
      <c r="Q53" s="7">
        <f t="shared" si="9"/>
        <v>-0.39390454284071308</v>
      </c>
      <c r="R53" s="33">
        <f t="shared" si="10"/>
        <v>263.5</v>
      </c>
      <c r="S53" s="33">
        <f t="shared" si="11"/>
        <v>-171050</v>
      </c>
      <c r="T53" s="7">
        <f t="shared" si="12"/>
        <v>-0.35767682576193216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-7.4217157423496952E-5</v>
      </c>
      <c r="Q54" s="7" t="e">
        <f t="shared" si="9"/>
        <v>#VALUE!</v>
      </c>
      <c r="R54" s="33" t="str">
        <f t="shared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4" s="33">
        <f t="shared" si="11"/>
        <v>22949.999999999975</v>
      </c>
      <c r="T54" s="7">
        <f t="shared" si="12"/>
        <v>4.8045219029674936E-2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1750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-8.9976229535638943E-5</v>
      </c>
      <c r="Q55" s="7">
        <f t="shared" si="9"/>
        <v>-0.48984063745019912</v>
      </c>
      <c r="R55" s="33">
        <f t="shared" si="10"/>
        <v>256.10000000000002</v>
      </c>
      <c r="S55" s="33">
        <f t="shared" si="11"/>
        <v>-201959.99999999997</v>
      </c>
      <c r="T55" s="7">
        <f t="shared" si="12"/>
        <v>-0.44701195219123502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-7.9477155100450791E-5</v>
      </c>
      <c r="Q56" s="7">
        <f t="shared" si="9"/>
        <v>-0.43071192052980134</v>
      </c>
      <c r="R56" s="33">
        <f t="shared" si="10"/>
        <v>343.85</v>
      </c>
      <c r="S56" s="33">
        <f t="shared" si="11"/>
        <v>-213569.99999999997</v>
      </c>
      <c r="T56" s="7">
        <f t="shared" si="12"/>
        <v>-0.39288079470198672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-9.4420885237211775E-5</v>
      </c>
      <c r="Q57" s="7">
        <f t="shared" si="9"/>
        <v>1.6001855287569589E-2</v>
      </c>
      <c r="R57" s="33">
        <f t="shared" si="10"/>
        <v>1095.25</v>
      </c>
      <c r="S57" s="33">
        <f t="shared" si="11"/>
        <v>37837.5</v>
      </c>
      <c r="T57" s="7">
        <f t="shared" si="12"/>
        <v>4.6799628942486085E-2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-8.7311532824739982E-5</v>
      </c>
      <c r="Q58" s="7">
        <f t="shared" si="9"/>
        <v>0.17172393588080181</v>
      </c>
      <c r="R58" s="33">
        <f t="shared" si="10"/>
        <v>1399.8</v>
      </c>
      <c r="S58" s="33">
        <f t="shared" si="11"/>
        <v>27499.999999999953</v>
      </c>
      <c r="T58" s="7">
        <f t="shared" si="12"/>
        <v>4.6038588707989707E-2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-7.2166271088588114E-5</v>
      </c>
      <c r="Q59" s="7">
        <f t="shared" si="9"/>
        <v>-0.34732824427480913</v>
      </c>
      <c r="R59" s="33">
        <f t="shared" si="10"/>
        <v>85.5</v>
      </c>
      <c r="S59" s="33">
        <f t="shared" si="11"/>
        <v>-123000</v>
      </c>
      <c r="T59" s="7">
        <f t="shared" si="12"/>
        <v>-0.31297709923664124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-7.9699929764436906E-5</v>
      </c>
      <c r="Q60" s="7">
        <f t="shared" si="9"/>
        <v>-0.48962655601659755</v>
      </c>
      <c r="R60" s="33">
        <f t="shared" si="10"/>
        <v>43.05</v>
      </c>
      <c r="S60" s="33">
        <f t="shared" si="11"/>
        <v>-209549.99999999997</v>
      </c>
      <c r="T60" s="7">
        <f t="shared" si="12"/>
        <v>-0.45168938944872555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1649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-6.3183168004043723E-5</v>
      </c>
      <c r="Q61" s="7">
        <f t="shared" si="9"/>
        <v>-0.45554511278195498</v>
      </c>
      <c r="R61" s="33">
        <f t="shared" si="10"/>
        <v>289.64999999999998</v>
      </c>
      <c r="S61" s="33">
        <f t="shared" si="11"/>
        <v>-226350.00000000003</v>
      </c>
      <c r="T61" s="7">
        <f t="shared" si="12"/>
        <v>-0.42546992481203011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-7.909006460869058E-5</v>
      </c>
      <c r="Q62" s="7">
        <f t="shared" si="9"/>
        <v>-0.46383182799136757</v>
      </c>
      <c r="R62" s="33">
        <f t="shared" si="10"/>
        <v>335.4</v>
      </c>
      <c r="S62" s="33">
        <f t="shared" si="11"/>
        <v>-266599.99999999994</v>
      </c>
      <c r="T62" s="7">
        <f t="shared" si="12"/>
        <v>-0.42618495723763078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-1.186287114104509E-4</v>
      </c>
      <c r="Q63" s="7">
        <f t="shared" si="9"/>
        <v>-0.60614081524616203</v>
      </c>
      <c r="R63" s="33">
        <f t="shared" si="10"/>
        <v>334.8</v>
      </c>
      <c r="S63" s="33">
        <f t="shared" si="11"/>
        <v>-256987.5</v>
      </c>
      <c r="T63" s="7">
        <f t="shared" si="12"/>
        <v>-0.54967354861478734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-6.3892320143118793E-5</v>
      </c>
      <c r="Q64" s="7">
        <f t="shared" si="9"/>
        <v>-0.16485638426261162</v>
      </c>
      <c r="R64" s="33">
        <f t="shared" si="10"/>
        <v>173</v>
      </c>
      <c r="S64" s="33">
        <f t="shared" si="11"/>
        <v>-69625.000000000015</v>
      </c>
      <c r="T64" s="7">
        <f t="shared" si="12"/>
        <v>-0.13444363987448713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-1.2755102040816328E-4</v>
      </c>
      <c r="Q65" s="7">
        <f t="shared" si="9"/>
        <v>1.6001855287569589E-2</v>
      </c>
      <c r="R65" s="33">
        <f t="shared" si="10"/>
        <v>1095.25</v>
      </c>
      <c r="S65" s="33">
        <f t="shared" si="11"/>
        <v>35587.5</v>
      </c>
      <c r="T65" s="7">
        <f t="shared" si="12"/>
        <v>4.4016697588126159E-2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-1.241405653170359E-4</v>
      </c>
      <c r="Q66" s="7">
        <f t="shared" si="9"/>
        <v>-0.5143939393939394</v>
      </c>
      <c r="R66" s="33">
        <f t="shared" si="10"/>
        <v>32.049999999999997</v>
      </c>
      <c r="S66" s="33">
        <f t="shared" si="11"/>
        <v>-165275.00000000003</v>
      </c>
      <c r="T66" s="7">
        <f t="shared" si="12"/>
        <v>-0.45530303030303038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-1.1852831685937889E-4</v>
      </c>
      <c r="Q67" s="7">
        <f t="shared" si="9"/>
        <v>-0.18614901794844674</v>
      </c>
      <c r="R67" s="33">
        <f t="shared" si="10"/>
        <v>1154</v>
      </c>
      <c r="S67" s="33">
        <f t="shared" si="11"/>
        <v>-73580.000000000015</v>
      </c>
      <c r="T67" s="7">
        <f t="shared" si="12"/>
        <v>-0.12972953912338236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1654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-7.2990953908007465E-5</v>
      </c>
      <c r="Q68" s="7">
        <f t="shared" ref="Q68:Q99" si="16">R68/D68-1</f>
        <v>-0.23722538649308378</v>
      </c>
      <c r="R68" s="33">
        <f t="shared" ref="R68:R99" si="17">mrigxl_stockquote(C68)</f>
        <v>937.45</v>
      </c>
      <c r="S68" s="33">
        <f t="shared" ref="S68:S99" si="18">(MIN(F68,R68)-D68+G68)*E68</f>
        <v>-174194.99999999997</v>
      </c>
      <c r="T68" s="7">
        <f t="shared" ref="T68:T99" si="19">S68/U68</f>
        <v>-0.20248169243287223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1327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-9.117571079064537E-5</v>
      </c>
      <c r="Q69" s="7">
        <f t="shared" si="16"/>
        <v>-0.94213381555153708</v>
      </c>
      <c r="R69" s="33">
        <f t="shared" si="17"/>
        <v>1.6</v>
      </c>
      <c r="S69" s="33">
        <f t="shared" si="18"/>
        <v>-323050</v>
      </c>
      <c r="T69" s="7">
        <f t="shared" si="19"/>
        <v>-0.89873417721518989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-7.1496742741417897E-5</v>
      </c>
      <c r="Q70" s="7">
        <f t="shared" si="16"/>
        <v>0.78373565492679065</v>
      </c>
      <c r="R70" s="33">
        <f t="shared" si="17"/>
        <v>450.75</v>
      </c>
      <c r="S70" s="33">
        <f t="shared" si="18"/>
        <v>29975.000000000029</v>
      </c>
      <c r="T70" s="7">
        <f t="shared" si="19"/>
        <v>4.3134151167392207E-2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-1.176791531380216E-4</v>
      </c>
      <c r="Q71" s="7">
        <f t="shared" si="16"/>
        <v>-0.53214513049013368</v>
      </c>
      <c r="R71" s="33">
        <f t="shared" si="17"/>
        <v>73.5</v>
      </c>
      <c r="S71" s="33">
        <f t="shared" si="18"/>
        <v>-179520</v>
      </c>
      <c r="T71" s="7">
        <f t="shared" si="19"/>
        <v>-0.47612985359643539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-8.8702147525676942E-5</v>
      </c>
      <c r="Q72" s="7">
        <f t="shared" si="16"/>
        <v>-0.40088888888888885</v>
      </c>
      <c r="R72" s="33">
        <f t="shared" si="17"/>
        <v>67.400000000000006</v>
      </c>
      <c r="S72" s="33">
        <f t="shared" si="18"/>
        <v>-141224.99999999997</v>
      </c>
      <c r="T72" s="7">
        <f t="shared" si="19"/>
        <v>-0.35866666666666658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1726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-6.6443719810371966E-5</v>
      </c>
      <c r="Q73" s="7">
        <f t="shared" si="16"/>
        <v>4.7721530831850156E-3</v>
      </c>
      <c r="R73" s="33">
        <f t="shared" si="17"/>
        <v>536.9</v>
      </c>
      <c r="S73" s="33">
        <f t="shared" si="18"/>
        <v>19449.999999999953</v>
      </c>
      <c r="T73" s="7">
        <f t="shared" si="19"/>
        <v>3.6399363712922156E-2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1503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-9.6486558424274701E-5</v>
      </c>
      <c r="Q74" s="7">
        <f t="shared" si="16"/>
        <v>-0.37529411764705889</v>
      </c>
      <c r="R74" s="33">
        <f t="shared" si="17"/>
        <v>690.3</v>
      </c>
      <c r="S74" s="33">
        <f t="shared" si="18"/>
        <v>-218370.00000000003</v>
      </c>
      <c r="T74" s="7">
        <f t="shared" si="19"/>
        <v>-0.32936651583710413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-6.8549492733753766E-5</v>
      </c>
      <c r="Q75" s="7">
        <f t="shared" si="16"/>
        <v>-0.56957773512476007</v>
      </c>
      <c r="R75" s="33">
        <f t="shared" si="17"/>
        <v>44.85</v>
      </c>
      <c r="S75" s="33">
        <f t="shared" si="18"/>
        <v>-251775</v>
      </c>
      <c r="T75" s="7">
        <f t="shared" si="19"/>
        <v>-0.53694817658349325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-7.1097864788924648E-5</v>
      </c>
      <c r="Q76" s="7">
        <f t="shared" si="16"/>
        <v>0.1947398955714561</v>
      </c>
      <c r="R76" s="33">
        <f t="shared" si="17"/>
        <v>1235.5999999999999</v>
      </c>
      <c r="S76" s="33">
        <f t="shared" si="18"/>
        <v>22439.999999999975</v>
      </c>
      <c r="T76" s="7">
        <f t="shared" si="19"/>
        <v>3.9450783214078473E-2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-8.0801551389786695E-5</v>
      </c>
      <c r="Q77" s="7">
        <f t="shared" si="16"/>
        <v>-0.60604713205869276</v>
      </c>
      <c r="R77" s="33">
        <f t="shared" si="17"/>
        <v>88.6</v>
      </c>
      <c r="S77" s="33">
        <f t="shared" si="18"/>
        <v>-382950</v>
      </c>
      <c r="T77" s="7">
        <f t="shared" si="19"/>
        <v>-0.56758559359715433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-9.1879054599418945E-5</v>
      </c>
      <c r="Q78" s="7">
        <f t="shared" si="16"/>
        <v>-0.35062675471548899</v>
      </c>
      <c r="R78" s="33">
        <f t="shared" si="17"/>
        <v>821.1</v>
      </c>
      <c r="S78" s="33">
        <f t="shared" si="18"/>
        <v>-135817.5</v>
      </c>
      <c r="T78" s="7">
        <f t="shared" si="19"/>
        <v>-0.30689232472616551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-1.3670651797982819E-4</v>
      </c>
      <c r="Q79" s="7">
        <f t="shared" si="16"/>
        <v>3.8932146829810943E-3</v>
      </c>
      <c r="R79" s="33">
        <f t="shared" si="17"/>
        <v>90.25</v>
      </c>
      <c r="S79" s="33">
        <f t="shared" si="18"/>
        <v>20699.999999999964</v>
      </c>
      <c r="T79" s="7">
        <f t="shared" si="19"/>
        <v>3.837597330367068E-2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-9.3042183760921581E-5</v>
      </c>
      <c r="Q80" s="7">
        <f t="shared" si="16"/>
        <v>-0.43071192052980134</v>
      </c>
      <c r="R80" s="33">
        <f t="shared" si="17"/>
        <v>343.85</v>
      </c>
      <c r="S80" s="33">
        <f t="shared" si="18"/>
        <v>-210059.99999999997</v>
      </c>
      <c r="T80" s="7">
        <f t="shared" si="19"/>
        <v>-0.38642384105960259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-7.541208319040113E-5</v>
      </c>
      <c r="Q81" s="7">
        <f t="shared" si="16"/>
        <v>-0.25828533266549802</v>
      </c>
      <c r="R81" s="33">
        <f t="shared" si="17"/>
        <v>444.25</v>
      </c>
      <c r="S81" s="33">
        <f t="shared" si="18"/>
        <v>-159840.00000000006</v>
      </c>
      <c r="T81" s="7">
        <f t="shared" si="19"/>
        <v>-0.22238918106686709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-1.0858428974702722E-4</v>
      </c>
      <c r="Q82" s="7">
        <f t="shared" si="16"/>
        <v>-0.637029831387808</v>
      </c>
      <c r="R82" s="33">
        <f t="shared" si="17"/>
        <v>279.85000000000002</v>
      </c>
      <c r="S82" s="33">
        <f t="shared" si="18"/>
        <v>-361039.99999999994</v>
      </c>
      <c r="T82" s="7">
        <f t="shared" si="19"/>
        <v>-0.58534370946822301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-7.907684533533404E-5</v>
      </c>
      <c r="Q83" s="7">
        <f t="shared" si="16"/>
        <v>-0.44916226761533162</v>
      </c>
      <c r="R83" s="33">
        <f t="shared" si="17"/>
        <v>120</v>
      </c>
      <c r="S83" s="33">
        <f t="shared" si="18"/>
        <v>-313774.99999999994</v>
      </c>
      <c r="T83" s="7">
        <f t="shared" si="19"/>
        <v>-0.41152168923571258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-7.0431050117888887E-5</v>
      </c>
      <c r="Q84" s="7">
        <f t="shared" si="16"/>
        <v>-0.21956834532374103</v>
      </c>
      <c r="R84" s="33">
        <f t="shared" si="17"/>
        <v>542.4</v>
      </c>
      <c r="S84" s="33">
        <f t="shared" si="18"/>
        <v>-155160</v>
      </c>
      <c r="T84" s="7">
        <f t="shared" si="19"/>
        <v>-0.18604316546762589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-7.8294873199794663E-5</v>
      </c>
      <c r="Q85" s="7">
        <f t="shared" si="16"/>
        <v>0.64299931365820173</v>
      </c>
      <c r="R85" s="33">
        <f t="shared" si="17"/>
        <v>2393.85</v>
      </c>
      <c r="S85" s="33">
        <f t="shared" si="18"/>
        <v>22920</v>
      </c>
      <c r="T85" s="7">
        <f t="shared" si="19"/>
        <v>3.9327385037748797E-2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1750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-6.4029595902105865E-5</v>
      </c>
      <c r="Q86" s="7">
        <f t="shared" si="16"/>
        <v>-0.48984063745019912</v>
      </c>
      <c r="R86" s="33">
        <f t="shared" si="17"/>
        <v>256.10000000000002</v>
      </c>
      <c r="S86" s="33">
        <f t="shared" si="18"/>
        <v>-207539.99999999997</v>
      </c>
      <c r="T86" s="7">
        <f t="shared" si="19"/>
        <v>-0.45936254980079677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1373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-7.7752436243002277E-5</v>
      </c>
      <c r="Q87" s="7">
        <f t="shared" si="16"/>
        <v>-0.31676342525399126</v>
      </c>
      <c r="R87" s="33">
        <f t="shared" si="17"/>
        <v>188.3</v>
      </c>
      <c r="S87" s="33">
        <f t="shared" si="18"/>
        <v>-231300.00000000003</v>
      </c>
      <c r="T87" s="7">
        <f t="shared" si="19"/>
        <v>-0.27975326560232222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-7.2268907563025213E-5</v>
      </c>
      <c r="Q88" s="7">
        <f t="shared" si="16"/>
        <v>-0.42079999999999995</v>
      </c>
      <c r="R88" s="33">
        <f t="shared" si="17"/>
        <v>144.80000000000001</v>
      </c>
      <c r="S88" s="33">
        <f t="shared" si="18"/>
        <v>-193200</v>
      </c>
      <c r="T88" s="7">
        <f t="shared" si="19"/>
        <v>-0.38640000000000002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-9.3527715795459459E-5</v>
      </c>
      <c r="Q89" s="7">
        <f t="shared" si="16"/>
        <v>0.78373565492679065</v>
      </c>
      <c r="R89" s="33">
        <f t="shared" si="17"/>
        <v>450.75</v>
      </c>
      <c r="S89" s="33">
        <f t="shared" si="18"/>
        <v>23512.500000000033</v>
      </c>
      <c r="T89" s="7">
        <f t="shared" si="19"/>
        <v>3.383458646616546E-2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1630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-9.5071585681252369E-5</v>
      </c>
      <c r="Q90" s="7">
        <f t="shared" si="16"/>
        <v>0.19654841802492817</v>
      </c>
      <c r="R90" s="33">
        <f t="shared" si="17"/>
        <v>312</v>
      </c>
      <c r="S90" s="33">
        <f t="shared" si="18"/>
        <v>33150</v>
      </c>
      <c r="T90" s="7">
        <f t="shared" si="19"/>
        <v>4.2377756471716203E-2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1726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-8.5118729816245761E-5</v>
      </c>
      <c r="Q91" s="7">
        <f t="shared" si="16"/>
        <v>4.7721530831850156E-3</v>
      </c>
      <c r="R91" s="33">
        <f t="shared" si="17"/>
        <v>536.9</v>
      </c>
      <c r="S91" s="33">
        <f t="shared" si="18"/>
        <v>17299.999999999975</v>
      </c>
      <c r="T91" s="7">
        <f t="shared" si="19"/>
        <v>3.2375783662393513E-2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-7.7839669222111712E-5</v>
      </c>
      <c r="Q92" s="7">
        <f t="shared" si="16"/>
        <v>-0.35062675471548899</v>
      </c>
      <c r="R92" s="33">
        <f t="shared" si="17"/>
        <v>821.1</v>
      </c>
      <c r="S92" s="33">
        <f t="shared" si="18"/>
        <v>-138775</v>
      </c>
      <c r="T92" s="7">
        <f t="shared" si="19"/>
        <v>-0.31357507216576375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1569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-6.3124135968760774E-5</v>
      </c>
      <c r="Q93" s="7">
        <f t="shared" si="16"/>
        <v>-0.62695268704686447</v>
      </c>
      <c r="R93" s="33">
        <f t="shared" si="17"/>
        <v>249.55</v>
      </c>
      <c r="S93" s="33">
        <f t="shared" si="18"/>
        <v>-299475</v>
      </c>
      <c r="T93" s="7">
        <f t="shared" si="19"/>
        <v>-0.59690559832573431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-9.9117996933822746E-5</v>
      </c>
      <c r="Q94" s="7">
        <f t="shared" si="16"/>
        <v>0.4568319454958365</v>
      </c>
      <c r="R94" s="33">
        <f t="shared" si="17"/>
        <v>3848.95</v>
      </c>
      <c r="S94" s="33">
        <f t="shared" si="18"/>
        <v>20662.5</v>
      </c>
      <c r="T94" s="7">
        <f t="shared" si="19"/>
        <v>3.1283118849356549E-2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1569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-8.7934119757477686E-5</v>
      </c>
      <c r="Q95" s="7">
        <f t="shared" si="16"/>
        <v>-0.62695268704686447</v>
      </c>
      <c r="R95" s="33">
        <f t="shared" si="17"/>
        <v>249.55</v>
      </c>
      <c r="S95" s="33">
        <f t="shared" si="18"/>
        <v>-293550</v>
      </c>
      <c r="T95" s="7">
        <f t="shared" si="19"/>
        <v>-0.58509604604230503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-8.1638873165846654E-5</v>
      </c>
      <c r="Q96" s="7" t="e">
        <f t="shared" si="16"/>
        <v>#VALUE!</v>
      </c>
      <c r="R96" s="33" t="str">
        <f t="shared" si="17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96" s="33">
        <f t="shared" si="18"/>
        <v>13387.499999999975</v>
      </c>
      <c r="T96" s="7">
        <f t="shared" si="19"/>
        <v>2.8026377767310356E-2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-9.0399796282149226E-5</v>
      </c>
      <c r="Q97" s="7">
        <f t="shared" si="16"/>
        <v>-0.4242424242424242</v>
      </c>
      <c r="R97" s="33">
        <f t="shared" si="17"/>
        <v>190</v>
      </c>
      <c r="S97" s="33">
        <f t="shared" si="18"/>
        <v>-301920</v>
      </c>
      <c r="T97" s="7">
        <f t="shared" si="19"/>
        <v>-0.38121212121212122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-7.3951994590939823E-5</v>
      </c>
      <c r="Q98" s="7">
        <f t="shared" si="16"/>
        <v>-1.4367816091953589E-3</v>
      </c>
      <c r="R98" s="33">
        <f t="shared" si="17"/>
        <v>347.5</v>
      </c>
      <c r="S98" s="33">
        <f t="shared" si="18"/>
        <v>25437.5</v>
      </c>
      <c r="T98" s="7">
        <f t="shared" si="19"/>
        <v>2.6580459770114941E-2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1630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-7.8957757599684182E-5</v>
      </c>
      <c r="Q99" s="7">
        <f t="shared" si="16"/>
        <v>0.19654841802492817</v>
      </c>
      <c r="R99" s="33">
        <f t="shared" si="17"/>
        <v>312</v>
      </c>
      <c r="S99" s="33">
        <f t="shared" si="18"/>
        <v>42150</v>
      </c>
      <c r="T99" s="7">
        <f t="shared" si="19"/>
        <v>5.3883029721955897E-2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-9.6880478810229117E-5</v>
      </c>
      <c r="Q100" s="7">
        <f t="shared" ref="Q100:Q121" si="23">R100/D100-1</f>
        <v>-0.21956834532374103</v>
      </c>
      <c r="R100" s="33">
        <f t="shared" ref="R100:R121" si="24">mrigxl_stockquote(C100)</f>
        <v>542.4</v>
      </c>
      <c r="S100" s="33">
        <f t="shared" ref="S100:S121" si="25">(MIN(F100,R100)-D100+G100)*E100</f>
        <v>-144660.00000000003</v>
      </c>
      <c r="T100" s="7">
        <f t="shared" ref="T100:T121" si="26">S100/U100</f>
        <v>-0.17345323741007199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-7.0894225490737467E-5</v>
      </c>
      <c r="Q101" s="7">
        <f t="shared" si="23"/>
        <v>0.33509856977193664</v>
      </c>
      <c r="R101" s="33">
        <f t="shared" si="24"/>
        <v>1726.95</v>
      </c>
      <c r="S101" s="33">
        <f t="shared" si="25"/>
        <v>18090</v>
      </c>
      <c r="T101" s="7">
        <f t="shared" si="26"/>
        <v>2.3308851952068034E-2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-9.3412198138481716E-5</v>
      </c>
      <c r="Q102" s="7">
        <f t="shared" si="23"/>
        <v>-0.60604713205869276</v>
      </c>
      <c r="R102" s="33">
        <f t="shared" si="24"/>
        <v>88.6</v>
      </c>
      <c r="S102" s="33">
        <f t="shared" si="25"/>
        <v>-378900.00000000006</v>
      </c>
      <c r="T102" s="7">
        <f t="shared" si="26"/>
        <v>-0.56158292574477553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-6.9816676988942685E-5</v>
      </c>
      <c r="Q103" s="7">
        <f t="shared" si="23"/>
        <v>-0.3307639166636368</v>
      </c>
      <c r="R103" s="33">
        <f t="shared" si="24"/>
        <v>920.3</v>
      </c>
      <c r="S103" s="33">
        <f t="shared" si="25"/>
        <v>-153431.25000000006</v>
      </c>
      <c r="T103" s="7">
        <f t="shared" si="26"/>
        <v>-0.29753117841690008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-7.8364048117354431E-5</v>
      </c>
      <c r="Q104" s="7">
        <f t="shared" si="23"/>
        <v>0.4568319454958365</v>
      </c>
      <c r="R104" s="33">
        <f t="shared" si="24"/>
        <v>3848.95</v>
      </c>
      <c r="S104" s="33">
        <f t="shared" si="25"/>
        <v>26637.5</v>
      </c>
      <c r="T104" s="7">
        <f t="shared" si="26"/>
        <v>4.0329295987887967E-2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1572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-7.5059797638785575E-5</v>
      </c>
      <c r="Q105" s="7">
        <f t="shared" si="23"/>
        <v>-0.27788805081381496</v>
      </c>
      <c r="R105" s="33">
        <f t="shared" si="24"/>
        <v>727.6</v>
      </c>
      <c r="S105" s="33">
        <f t="shared" si="25"/>
        <v>-97600</v>
      </c>
      <c r="T105" s="7">
        <f t="shared" si="26"/>
        <v>-0.24215958713775307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-6.4616755793226377E-5</v>
      </c>
      <c r="Q106" s="7">
        <f t="shared" si="23"/>
        <v>-0.4242424242424242</v>
      </c>
      <c r="R106" s="33">
        <f t="shared" si="24"/>
        <v>190</v>
      </c>
      <c r="S106" s="33">
        <f t="shared" si="25"/>
        <v>-311640</v>
      </c>
      <c r="T106" s="7">
        <f t="shared" si="26"/>
        <v>-0.39348484848484849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-9.4832624976177868E-5</v>
      </c>
      <c r="Q107" s="7">
        <f t="shared" si="23"/>
        <v>8.5116840176935771E-2</v>
      </c>
      <c r="R107" s="33">
        <f t="shared" si="24"/>
        <v>1214.3</v>
      </c>
      <c r="S107" s="33">
        <f t="shared" si="25"/>
        <v>33875.000000000022</v>
      </c>
      <c r="T107" s="7">
        <f t="shared" si="26"/>
        <v>6.0542424377820508E-2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-2.2289081070299004E-4</v>
      </c>
      <c r="Q108" s="7">
        <f t="shared" si="23"/>
        <v>-0.93148714260025178</v>
      </c>
      <c r="R108" s="33">
        <f t="shared" si="24"/>
        <v>19.05</v>
      </c>
      <c r="S108" s="33">
        <f t="shared" si="25"/>
        <v>-275400</v>
      </c>
      <c r="T108" s="7">
        <f t="shared" si="26"/>
        <v>-0.82539111670562848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-6.7584336804289653E-5</v>
      </c>
      <c r="Q109" s="7">
        <f t="shared" si="23"/>
        <v>8.5116840176935771E-2</v>
      </c>
      <c r="R109" s="33">
        <f t="shared" si="24"/>
        <v>1214.3</v>
      </c>
      <c r="S109" s="33">
        <f t="shared" si="25"/>
        <v>18475.000000000022</v>
      </c>
      <c r="T109" s="7">
        <f t="shared" si="26"/>
        <v>3.3019078682811349E-2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1578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-6.7769043101111406E-5</v>
      </c>
      <c r="Q110" s="7">
        <f t="shared" si="23"/>
        <v>-0.53194180898165722</v>
      </c>
      <c r="R110" s="33">
        <f t="shared" si="24"/>
        <v>37</v>
      </c>
      <c r="S110" s="33">
        <f t="shared" si="25"/>
        <v>-355500</v>
      </c>
      <c r="T110" s="7">
        <f t="shared" si="26"/>
        <v>-0.49968374446552816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1588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-7.2895992567881414E-5</v>
      </c>
      <c r="Q111" s="7">
        <f t="shared" si="23"/>
        <v>-9.7964824120603033E-2</v>
      </c>
      <c r="R111" s="33">
        <f t="shared" si="24"/>
        <v>1795.05</v>
      </c>
      <c r="S111" s="33">
        <f t="shared" si="25"/>
        <v>-31475.000000000011</v>
      </c>
      <c r="T111" s="7">
        <f t="shared" si="26"/>
        <v>-6.3266331658291486E-2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-1.8246823994837999E-4</v>
      </c>
      <c r="Q112" s="7">
        <f t="shared" si="23"/>
        <v>-0.93148714260025178</v>
      </c>
      <c r="R112" s="33">
        <f t="shared" si="24"/>
        <v>19.05</v>
      </c>
      <c r="S112" s="33">
        <f t="shared" si="25"/>
        <v>-281820</v>
      </c>
      <c r="T112" s="7">
        <f t="shared" si="26"/>
        <v>-0.84463226038482286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-2.5698352735589643E-4</v>
      </c>
      <c r="Q113" s="7">
        <f t="shared" si="23"/>
        <v>-0.95718654434250761</v>
      </c>
      <c r="R113" s="33">
        <f t="shared" si="24"/>
        <v>0.7</v>
      </c>
      <c r="S113" s="33">
        <f t="shared" si="25"/>
        <v>-382200.00000000006</v>
      </c>
      <c r="T113" s="7">
        <f t="shared" si="26"/>
        <v>-0.83486238532110091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-8.2040013126402099E-5</v>
      </c>
      <c r="Q114" s="7">
        <f t="shared" si="23"/>
        <v>-0.2922830867652938</v>
      </c>
      <c r="R114" s="33">
        <f t="shared" si="24"/>
        <v>531</v>
      </c>
      <c r="S114" s="33">
        <f t="shared" si="25"/>
        <v>-189999.99999999994</v>
      </c>
      <c r="T114" s="7">
        <f t="shared" si="26"/>
        <v>-0.25323204051712639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-8.9606203627154467E-5</v>
      </c>
      <c r="Q115" s="7">
        <f t="shared" si="23"/>
        <v>-0.13683063511830629</v>
      </c>
      <c r="R115" s="33">
        <f t="shared" si="24"/>
        <v>554.5</v>
      </c>
      <c r="S115" s="33">
        <f t="shared" si="25"/>
        <v>-75624.999999999971</v>
      </c>
      <c r="T115" s="7">
        <f t="shared" si="26"/>
        <v>-9.4178082191780782E-2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-7.0021527729692017E-5</v>
      </c>
      <c r="Q116" s="7">
        <f t="shared" si="23"/>
        <v>-0.48652902509026941</v>
      </c>
      <c r="R116" s="33">
        <f t="shared" si="24"/>
        <v>277.3</v>
      </c>
      <c r="S116" s="33">
        <f t="shared" si="25"/>
        <v>-367124.99999999994</v>
      </c>
      <c r="T116" s="7">
        <f t="shared" si="26"/>
        <v>-0.45319877789093604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1758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-1.1125526443761362E-4</v>
      </c>
      <c r="Q117" s="7">
        <f t="shared" si="23"/>
        <v>-0.70980140935297886</v>
      </c>
      <c r="R117" s="33">
        <f t="shared" si="24"/>
        <v>135.9</v>
      </c>
      <c r="S117" s="33">
        <f t="shared" si="25"/>
        <v>-399879.99999999994</v>
      </c>
      <c r="T117" s="7">
        <f t="shared" si="26"/>
        <v>-0.65684390348067467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-7.1946586853919645E-5</v>
      </c>
      <c r="Q118" s="7">
        <f t="shared" si="23"/>
        <v>-0.13683063511830629</v>
      </c>
      <c r="R118" s="33">
        <f t="shared" si="24"/>
        <v>554.5</v>
      </c>
      <c r="S118" s="33">
        <f t="shared" si="25"/>
        <v>-82374.999999999971</v>
      </c>
      <c r="T118" s="7">
        <f t="shared" si="26"/>
        <v>-0.10258405977584056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1758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-7.7833824112604695E-5</v>
      </c>
      <c r="Q119" s="7">
        <f t="shared" si="23"/>
        <v>-0.70980140935297886</v>
      </c>
      <c r="R119" s="33">
        <f t="shared" si="24"/>
        <v>135.9</v>
      </c>
      <c r="S119" s="33">
        <f t="shared" si="25"/>
        <v>-409564.99999999994</v>
      </c>
      <c r="T119" s="7">
        <f t="shared" si="26"/>
        <v>-0.67275250907537898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-1.9916223370081978E-4</v>
      </c>
      <c r="Q120" s="7">
        <f t="shared" si="23"/>
        <v>-0.95718654434250761</v>
      </c>
      <c r="R120" s="33">
        <f t="shared" si="24"/>
        <v>0.7</v>
      </c>
      <c r="S120" s="33">
        <f t="shared" si="25"/>
        <v>-394800.00000000006</v>
      </c>
      <c r="T120" s="7">
        <f t="shared" si="26"/>
        <v>-0.86238532110091748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-7.3254965047213122E-5</v>
      </c>
      <c r="Q121" s="7">
        <f t="shared" si="23"/>
        <v>-0.53143675606262653</v>
      </c>
      <c r="R121" s="33">
        <f t="shared" si="24"/>
        <v>474.35</v>
      </c>
      <c r="S121" s="33">
        <f t="shared" si="25"/>
        <v>-351890</v>
      </c>
      <c r="T121" s="7">
        <f t="shared" si="26"/>
        <v>-0.4965673927001531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zoomScale="80" zoomScaleNormal="80" workbookViewId="0">
      <pane ySplit="3" topLeftCell="A4" activePane="bottomLeft" state="frozen"/>
      <selection pane="bottomLeft" activeCell="E14" sqref="E1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59" t="s">
        <v>1889</v>
      </c>
      <c r="B1" s="64" t="s">
        <v>1852</v>
      </c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</row>
    <row r="2" spans="1:39" x14ac:dyDescent="0.25">
      <c r="A2" s="40" t="b">
        <v>1</v>
      </c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66" t="s">
        <v>1851</v>
      </c>
      <c r="U2" s="68"/>
      <c r="V2" s="66" t="s">
        <v>1849</v>
      </c>
      <c r="W2" s="67"/>
      <c r="X2" s="67"/>
      <c r="Y2" s="68"/>
      <c r="Z2" s="66" t="s">
        <v>1850</v>
      </c>
      <c r="AA2" s="67"/>
      <c r="AB2" s="67"/>
      <c r="AC2" s="68"/>
      <c r="AD2" s="1"/>
      <c r="AE2" s="1"/>
      <c r="AM2" s="11"/>
    </row>
    <row r="3" spans="1:39" ht="47.25" customHeight="1" x14ac:dyDescent="0.25">
      <c r="A3" s="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5"/>
      <c r="P3" s="61" t="s">
        <v>1826</v>
      </c>
      <c r="Q3" s="61" t="s">
        <v>1827</v>
      </c>
      <c r="R3" s="61" t="s">
        <v>1854</v>
      </c>
      <c r="S3" s="61" t="s">
        <v>1855</v>
      </c>
      <c r="T3" s="62" t="s">
        <v>1824</v>
      </c>
      <c r="U3" s="63" t="s">
        <v>1829</v>
      </c>
      <c r="V3" s="62" t="s">
        <v>1831</v>
      </c>
      <c r="W3" s="61" t="s">
        <v>1825</v>
      </c>
      <c r="X3" s="61" t="s">
        <v>1830</v>
      </c>
      <c r="Y3" s="63" t="s">
        <v>1832</v>
      </c>
      <c r="Z3" s="62" t="s">
        <v>1847</v>
      </c>
      <c r="AA3" s="61" t="s">
        <v>1848</v>
      </c>
      <c r="AB3" s="61" t="s">
        <v>1832</v>
      </c>
      <c r="AC3" s="63" t="s">
        <v>1832</v>
      </c>
      <c r="AD3" s="1"/>
      <c r="AE3" s="1"/>
      <c r="AG3" s="28" t="str">
        <f ca="1">B3</f>
        <v>Expiry</v>
      </c>
    </row>
    <row r="4" spans="1:39" x14ac:dyDescent="0.25">
      <c r="A4" s="1"/>
      <c r="B4" s="25"/>
      <c r="C4" s="10"/>
      <c r="D4" s="1"/>
      <c r="E4" s="30"/>
      <c r="F4" s="1"/>
      <c r="G4" s="1"/>
      <c r="H4" s="1"/>
      <c r="I4" s="1"/>
      <c r="J4" s="1"/>
      <c r="K4" s="1"/>
      <c r="L4" s="1"/>
      <c r="M4" s="1"/>
      <c r="N4" s="1"/>
      <c r="O4" s="9"/>
      <c r="P4" s="7">
        <f t="shared" ref="P4:P67" ca="1" si="0">($G4-$I4)/($F4-$H4)</f>
        <v>0.10115384615384615</v>
      </c>
      <c r="Q4" s="7">
        <f t="shared" ref="Q4:Q32" ca="1" si="1">P4/($B4-TODAY())</f>
        <v>7.2252747252747251E-3</v>
      </c>
      <c r="R4" s="33">
        <f t="shared" ref="R4:R67" ca="1" si="2">$E4*($G4-$I4)</f>
        <v>16437.5</v>
      </c>
      <c r="S4" s="33">
        <f t="shared" ref="S4:S67" ca="1" si="3">-(($F4-$H4)*$E4-$R4)</f>
        <v>-146062.5</v>
      </c>
      <c r="T4" s="33">
        <f t="shared" ref="T4:T32" ca="1" si="4">R4</f>
        <v>16437.5</v>
      </c>
      <c r="U4" s="7">
        <f t="shared" ref="U4:U67" ca="1" si="5">ABS($T4/$S4)</f>
        <v>0.11253744116388532</v>
      </c>
      <c r="V4" s="7">
        <f t="shared" ref="V4:V67" ca="1" si="6">mrigxl_max_drawdown($C4,INT($B4-TODAY()))</f>
        <v>-0.18647083662403016</v>
      </c>
      <c r="W4" s="33">
        <f t="shared" ref="W4:W32" ca="1" si="7">-(MAX(($F4-MAX($D4*(1+V4),$H4)),0)*$E4-$R4)</f>
        <v>-48546.581909788998</v>
      </c>
      <c r="X4" s="7">
        <f t="shared" ref="X4:X32" ca="1" si="8">W4/ABS($S4)</f>
        <v>-0.33236855393950532</v>
      </c>
      <c r="Y4" s="7">
        <f t="shared" ref="Y4:Y32" ca="1" si="9">$U4+X4</f>
        <v>-0.21983111277562001</v>
      </c>
      <c r="Z4" s="7">
        <f t="shared" ref="Z4:Z67" ca="1" si="10">mrigxl_avg_drawdown($C4,INT($B4-TODAY()))</f>
        <v>-6.367187417701746E-2</v>
      </c>
      <c r="AA4" s="33">
        <f t="shared" ref="AA4:AA32" ca="1" si="11">-(MAX(($F4-MAX($D4*(1+Z4),$H4)),0)*$E4-$R4)</f>
        <v>16437.5</v>
      </c>
      <c r="AB4" s="7">
        <f t="shared" ref="AB4:AB32" ca="1" si="12">AA4/$R4</f>
        <v>1</v>
      </c>
      <c r="AC4" s="7">
        <f ca="1">AVERAGE($U4,AB4)</f>
        <v>0.55626872058194266</v>
      </c>
      <c r="AD4" s="40"/>
      <c r="AE4" s="42"/>
      <c r="AF4" s="34"/>
      <c r="AH4" s="34"/>
    </row>
    <row r="5" spans="1:39" x14ac:dyDescent="0.25">
      <c r="A5" s="3"/>
      <c r="B5" s="25"/>
      <c r="C5" s="10"/>
      <c r="D5" s="1"/>
      <c r="E5" s="30"/>
      <c r="F5" s="1"/>
      <c r="G5" s="1"/>
      <c r="H5" s="1"/>
      <c r="I5" s="1"/>
      <c r="J5" s="1"/>
      <c r="K5" s="1"/>
      <c r="L5" s="1"/>
      <c r="M5" s="1"/>
      <c r="N5" s="1"/>
      <c r="O5" s="9"/>
      <c r="P5" s="7">
        <f t="shared" ca="1" si="0"/>
        <v>0.10833333333333334</v>
      </c>
      <c r="Q5" s="7">
        <f t="shared" ca="1" si="1"/>
        <v>7.7380952380952384E-3</v>
      </c>
      <c r="R5" s="33">
        <f t="shared" ca="1" si="2"/>
        <v>16250</v>
      </c>
      <c r="S5" s="33">
        <f t="shared" ca="1" si="3"/>
        <v>-133750</v>
      </c>
      <c r="T5" s="33">
        <f t="shared" ca="1" si="4"/>
        <v>16250</v>
      </c>
      <c r="U5" s="7">
        <f t="shared" ca="1" si="5"/>
        <v>0.12149532710280374</v>
      </c>
      <c r="V5" s="7">
        <f t="shared" ca="1" si="6"/>
        <v>-0.18647083662403016</v>
      </c>
      <c r="W5" s="33">
        <f t="shared" ca="1" si="7"/>
        <v>-48734.081909788998</v>
      </c>
      <c r="X5" s="7">
        <f t="shared" ca="1" si="8"/>
        <v>-0.36436696754982428</v>
      </c>
      <c r="Y5" s="7">
        <f t="shared" ca="1" si="9"/>
        <v>-0.24287164044702053</v>
      </c>
      <c r="Z5" s="7">
        <f t="shared" ca="1" si="10"/>
        <v>-6.367187417701746E-2</v>
      </c>
      <c r="AA5" s="33">
        <f t="shared" ca="1" si="11"/>
        <v>16250</v>
      </c>
      <c r="AB5" s="7">
        <f t="shared" ca="1" si="12"/>
        <v>1</v>
      </c>
      <c r="AC5" s="7">
        <f t="shared" ref="AC5:AC68" ca="1" si="13">AVERAGE($U5,AB5)</f>
        <v>0.56074766355140182</v>
      </c>
      <c r="AD5" s="1"/>
      <c r="AE5" s="1"/>
    </row>
    <row r="6" spans="1:39" x14ac:dyDescent="0.25">
      <c r="A6" s="3"/>
      <c r="B6" s="25"/>
      <c r="C6" s="10"/>
      <c r="D6" s="1"/>
      <c r="E6" s="30"/>
      <c r="F6" s="1"/>
      <c r="G6" s="1"/>
      <c r="H6" s="1"/>
      <c r="I6" s="1"/>
      <c r="J6" s="1"/>
      <c r="K6" s="1"/>
      <c r="L6" s="1"/>
      <c r="M6" s="1"/>
      <c r="N6" s="1"/>
      <c r="O6" s="9"/>
      <c r="P6" s="7">
        <f t="shared" ca="1" si="0"/>
        <v>0.11909090909090909</v>
      </c>
      <c r="Q6" s="7">
        <f t="shared" ca="1" si="1"/>
        <v>8.5064935064935072E-3</v>
      </c>
      <c r="R6" s="33">
        <f t="shared" ca="1" si="2"/>
        <v>16375</v>
      </c>
      <c r="S6" s="33">
        <f t="shared" ca="1" si="3"/>
        <v>-121125</v>
      </c>
      <c r="T6" s="33">
        <f t="shared" ca="1" si="4"/>
        <v>16375</v>
      </c>
      <c r="U6" s="7">
        <f t="shared" ca="1" si="5"/>
        <v>0.13519091847265222</v>
      </c>
      <c r="V6" s="7">
        <f t="shared" ca="1" si="6"/>
        <v>-0.18647083662403016</v>
      </c>
      <c r="W6" s="33">
        <f t="shared" ca="1" si="7"/>
        <v>-48609.081909788998</v>
      </c>
      <c r="X6" s="7">
        <f t="shared" ca="1" si="8"/>
        <v>-0.40131336974026005</v>
      </c>
      <c r="Y6" s="7">
        <f t="shared" ca="1" si="9"/>
        <v>-0.26612245126760781</v>
      </c>
      <c r="Z6" s="7">
        <f t="shared" ca="1" si="10"/>
        <v>-6.367187417701746E-2</v>
      </c>
      <c r="AA6" s="33">
        <f t="shared" ca="1" si="11"/>
        <v>16375</v>
      </c>
      <c r="AB6" s="7">
        <f t="shared" ca="1" si="12"/>
        <v>1</v>
      </c>
      <c r="AC6" s="7">
        <f t="shared" ca="1" si="13"/>
        <v>0.56759545923632615</v>
      </c>
      <c r="AD6" s="1"/>
      <c r="AE6" s="1"/>
    </row>
    <row r="7" spans="1:39" x14ac:dyDescent="0.25">
      <c r="A7" s="3"/>
      <c r="B7" s="25"/>
      <c r="C7" s="10"/>
      <c r="D7" s="1"/>
      <c r="E7" s="30"/>
      <c r="F7" s="1"/>
      <c r="G7" s="1"/>
      <c r="H7" s="1"/>
      <c r="I7" s="1"/>
      <c r="J7" s="1"/>
      <c r="K7" s="1"/>
      <c r="L7" s="1"/>
      <c r="M7" s="1"/>
      <c r="N7" s="1"/>
      <c r="O7" s="9"/>
      <c r="P7" s="7">
        <f t="shared" ca="1" si="0"/>
        <v>0.1285</v>
      </c>
      <c r="Q7" s="7">
        <f t="shared" ca="1" si="1"/>
        <v>9.1785714285714283E-3</v>
      </c>
      <c r="R7" s="33">
        <f t="shared" ca="1" si="2"/>
        <v>16062.5</v>
      </c>
      <c r="S7" s="33">
        <f t="shared" ca="1" si="3"/>
        <v>-108937.5</v>
      </c>
      <c r="T7" s="33">
        <f t="shared" ca="1" si="4"/>
        <v>16062.5</v>
      </c>
      <c r="U7" s="7">
        <f t="shared" ca="1" si="5"/>
        <v>0.14744693057946071</v>
      </c>
      <c r="V7" s="7">
        <f t="shared" ca="1" si="6"/>
        <v>-0.18647083662403016</v>
      </c>
      <c r="W7" s="33">
        <f t="shared" ca="1" si="7"/>
        <v>-48921.581909788998</v>
      </c>
      <c r="X7" s="7">
        <f t="shared" ca="1" si="8"/>
        <v>-0.44907935201183247</v>
      </c>
      <c r="Y7" s="7">
        <f t="shared" ca="1" si="9"/>
        <v>-0.30163242143237179</v>
      </c>
      <c r="Z7" s="7">
        <f t="shared" ca="1" si="10"/>
        <v>-6.367187417701746E-2</v>
      </c>
      <c r="AA7" s="33">
        <f t="shared" ca="1" si="11"/>
        <v>16062.5</v>
      </c>
      <c r="AB7" s="7">
        <f t="shared" ca="1" si="12"/>
        <v>1</v>
      </c>
      <c r="AC7" s="7">
        <f t="shared" ca="1" si="13"/>
        <v>0.57372346528973039</v>
      </c>
      <c r="AD7" s="1"/>
      <c r="AE7" s="1"/>
    </row>
    <row r="8" spans="1:39" x14ac:dyDescent="0.25">
      <c r="A8" s="3"/>
      <c r="B8" s="25"/>
      <c r="C8" s="10"/>
      <c r="D8" s="1"/>
      <c r="E8" s="30"/>
      <c r="F8" s="1"/>
      <c r="G8" s="1"/>
      <c r="H8" s="1"/>
      <c r="I8" s="1"/>
      <c r="J8" s="1"/>
      <c r="K8" s="1"/>
      <c r="L8" s="1"/>
      <c r="M8" s="1"/>
      <c r="N8" s="1"/>
      <c r="O8" s="9"/>
      <c r="P8" s="7">
        <f t="shared" ca="1" si="0"/>
        <v>0.1411111111111111</v>
      </c>
      <c r="Q8" s="7">
        <f t="shared" ca="1" si="1"/>
        <v>1.0079365079365079E-2</v>
      </c>
      <c r="R8" s="33">
        <f t="shared" ca="1" si="2"/>
        <v>15875</v>
      </c>
      <c r="S8" s="33">
        <f t="shared" ca="1" si="3"/>
        <v>-96625</v>
      </c>
      <c r="T8" s="33">
        <f t="shared" ca="1" si="4"/>
        <v>15875</v>
      </c>
      <c r="U8" s="7">
        <f t="shared" ca="1" si="5"/>
        <v>0.16429495472186287</v>
      </c>
      <c r="V8" s="7">
        <f t="shared" ca="1" si="6"/>
        <v>-0.18647083662403016</v>
      </c>
      <c r="W8" s="33">
        <f t="shared" ca="1" si="7"/>
        <v>-49109.081909788998</v>
      </c>
      <c r="X8" s="7">
        <f t="shared" ca="1" si="8"/>
        <v>-0.50824405598746702</v>
      </c>
      <c r="Y8" s="7">
        <f t="shared" ca="1" si="9"/>
        <v>-0.34394910126560418</v>
      </c>
      <c r="Z8" s="7">
        <f t="shared" ca="1" si="10"/>
        <v>-6.367187417701746E-2</v>
      </c>
      <c r="AA8" s="33">
        <f t="shared" ca="1" si="11"/>
        <v>15875</v>
      </c>
      <c r="AB8" s="7">
        <f t="shared" ca="1" si="12"/>
        <v>1</v>
      </c>
      <c r="AC8" s="7">
        <f t="shared" ca="1" si="13"/>
        <v>0.58214747736093142</v>
      </c>
      <c r="AD8" s="1"/>
      <c r="AE8" s="1"/>
    </row>
    <row r="9" spans="1:39" x14ac:dyDescent="0.25">
      <c r="A9" s="3"/>
      <c r="B9" s="25"/>
      <c r="C9" s="10"/>
      <c r="D9" s="1"/>
      <c r="E9" s="30"/>
      <c r="F9" s="1"/>
      <c r="G9" s="1"/>
      <c r="H9" s="1"/>
      <c r="I9" s="1"/>
      <c r="J9" s="1"/>
      <c r="K9" s="1"/>
      <c r="L9" s="1"/>
      <c r="M9" s="1"/>
      <c r="N9" s="1"/>
      <c r="O9" s="9"/>
      <c r="P9" s="7">
        <f t="shared" ca="1" si="0"/>
        <v>0.15437499999999998</v>
      </c>
      <c r="Q9" s="7">
        <f t="shared" ca="1" si="1"/>
        <v>1.1026785714285713E-2</v>
      </c>
      <c r="R9" s="33">
        <f t="shared" ca="1" si="2"/>
        <v>15437.5</v>
      </c>
      <c r="S9" s="33">
        <f t="shared" ca="1" si="3"/>
        <v>-84562.5</v>
      </c>
      <c r="T9" s="33">
        <f t="shared" ca="1" si="4"/>
        <v>15437.5</v>
      </c>
      <c r="U9" s="7">
        <f t="shared" ca="1" si="5"/>
        <v>0.18255728011825573</v>
      </c>
      <c r="V9" s="7">
        <f t="shared" ca="1" si="6"/>
        <v>-0.18647083662403016</v>
      </c>
      <c r="W9" s="33">
        <f t="shared" ca="1" si="7"/>
        <v>-49546.581909788998</v>
      </c>
      <c r="X9" s="7">
        <f t="shared" ca="1" si="8"/>
        <v>-0.58591671142396451</v>
      </c>
      <c r="Y9" s="7">
        <f t="shared" ca="1" si="9"/>
        <v>-0.40335943130570878</v>
      </c>
      <c r="Z9" s="7">
        <f t="shared" ca="1" si="10"/>
        <v>-6.367187417701746E-2</v>
      </c>
      <c r="AA9" s="33">
        <f t="shared" ca="1" si="11"/>
        <v>15437.5</v>
      </c>
      <c r="AB9" s="7">
        <f t="shared" ca="1" si="12"/>
        <v>1</v>
      </c>
      <c r="AC9" s="7">
        <f t="shared" ca="1" si="13"/>
        <v>0.59127864005912789</v>
      </c>
      <c r="AD9" s="1"/>
      <c r="AE9" s="1"/>
    </row>
    <row r="10" spans="1:39" x14ac:dyDescent="0.25">
      <c r="A10" s="3"/>
      <c r="B10" s="25"/>
      <c r="C10" s="10"/>
      <c r="D10" s="1"/>
      <c r="E10" s="30"/>
      <c r="F10" s="1"/>
      <c r="G10" s="1"/>
      <c r="H10" s="1"/>
      <c r="I10" s="1"/>
      <c r="J10" s="1"/>
      <c r="K10" s="1"/>
      <c r="L10" s="1"/>
      <c r="M10" s="1"/>
      <c r="N10" s="1"/>
      <c r="O10" s="9"/>
      <c r="P10" s="7">
        <f t="shared" ca="1" si="0"/>
        <v>0.17214285714285715</v>
      </c>
      <c r="Q10" s="7">
        <f t="shared" ca="1" si="1"/>
        <v>1.2295918367346939E-2</v>
      </c>
      <c r="R10" s="33">
        <f t="shared" ca="1" si="2"/>
        <v>15062.5</v>
      </c>
      <c r="S10" s="33">
        <f t="shared" ca="1" si="3"/>
        <v>-72437.5</v>
      </c>
      <c r="T10" s="33">
        <f t="shared" ca="1" si="4"/>
        <v>15062.5</v>
      </c>
      <c r="U10" s="7">
        <f t="shared" ca="1" si="5"/>
        <v>0.2079378774805867</v>
      </c>
      <c r="V10" s="7">
        <f t="shared" ca="1" si="6"/>
        <v>-0.18647083662403016</v>
      </c>
      <c r="W10" s="33">
        <f t="shared" ca="1" si="7"/>
        <v>-49921.581909788998</v>
      </c>
      <c r="X10" s="7">
        <f t="shared" ca="1" si="8"/>
        <v>-0.68916765362952892</v>
      </c>
      <c r="Y10" s="7">
        <f t="shared" ca="1" si="9"/>
        <v>-0.48122977614894225</v>
      </c>
      <c r="Z10" s="7">
        <f t="shared" ca="1" si="10"/>
        <v>-6.367187417701746E-2</v>
      </c>
      <c r="AA10" s="33">
        <f t="shared" ca="1" si="11"/>
        <v>15062.5</v>
      </c>
      <c r="AB10" s="7">
        <f t="shared" ca="1" si="12"/>
        <v>1</v>
      </c>
      <c r="AC10" s="7">
        <f t="shared" ca="1" si="13"/>
        <v>0.60396893874029334</v>
      </c>
      <c r="AD10" s="1"/>
      <c r="AE10" s="1"/>
    </row>
    <row r="11" spans="1:39" x14ac:dyDescent="0.25">
      <c r="A11" s="3"/>
      <c r="B11" s="25"/>
      <c r="C11" s="10"/>
      <c r="D11" s="1"/>
      <c r="E11" s="30"/>
      <c r="F11" s="1"/>
      <c r="G11" s="1"/>
      <c r="H11" s="1"/>
      <c r="I11" s="1"/>
      <c r="J11" s="1"/>
      <c r="K11" s="1"/>
      <c r="L11" s="1"/>
      <c r="M11" s="1"/>
      <c r="N11" s="1"/>
      <c r="O11" s="9"/>
      <c r="P11" s="7">
        <f t="shared" ca="1" si="0"/>
        <v>0.18916666666666665</v>
      </c>
      <c r="Q11" s="7">
        <f t="shared" ca="1" si="1"/>
        <v>1.3511904761904761E-2</v>
      </c>
      <c r="R11" s="33">
        <f t="shared" ca="1" si="2"/>
        <v>14187.5</v>
      </c>
      <c r="S11" s="33">
        <f t="shared" ca="1" si="3"/>
        <v>-60812.5</v>
      </c>
      <c r="T11" s="33">
        <f t="shared" ca="1" si="4"/>
        <v>14187.5</v>
      </c>
      <c r="U11" s="7">
        <f t="shared" ca="1" si="5"/>
        <v>0.23329907502569372</v>
      </c>
      <c r="V11" s="7">
        <f t="shared" ca="1" si="6"/>
        <v>-0.18647083662403016</v>
      </c>
      <c r="W11" s="33">
        <f t="shared" ca="1" si="7"/>
        <v>-50796.581909788998</v>
      </c>
      <c r="X11" s="7">
        <f t="shared" ca="1" si="8"/>
        <v>-0.83529836645079547</v>
      </c>
      <c r="Y11" s="7">
        <f t="shared" ca="1" si="9"/>
        <v>-0.60199929142510178</v>
      </c>
      <c r="Z11" s="7">
        <f t="shared" ca="1" si="10"/>
        <v>-6.367187417701746E-2</v>
      </c>
      <c r="AA11" s="33">
        <f t="shared" ca="1" si="11"/>
        <v>14187.5</v>
      </c>
      <c r="AB11" s="7">
        <f t="shared" ca="1" si="12"/>
        <v>1</v>
      </c>
      <c r="AC11" s="7">
        <f t="shared" ca="1" si="13"/>
        <v>0.6166495375128469</v>
      </c>
      <c r="AD11" s="1"/>
      <c r="AE11" s="1"/>
    </row>
    <row r="12" spans="1:39" x14ac:dyDescent="0.25">
      <c r="A12" s="3"/>
      <c r="B12" s="25"/>
      <c r="C12" s="10"/>
      <c r="D12" s="1"/>
      <c r="E12" s="30"/>
      <c r="F12" s="1"/>
      <c r="G12" s="42"/>
      <c r="H12" s="1"/>
      <c r="I12" s="1"/>
      <c r="J12" s="1"/>
      <c r="K12" s="1"/>
      <c r="L12" s="1"/>
      <c r="M12" s="1"/>
      <c r="N12" s="1"/>
      <c r="O12" s="9"/>
      <c r="P12" s="7">
        <f t="shared" ca="1" si="0"/>
        <v>0.20800000000000002</v>
      </c>
      <c r="Q12" s="7">
        <f t="shared" ca="1" si="1"/>
        <v>1.4857142857142859E-2</v>
      </c>
      <c r="R12" s="33">
        <f t="shared" ca="1" si="2"/>
        <v>13000</v>
      </c>
      <c r="S12" s="33">
        <f t="shared" ca="1" si="3"/>
        <v>-49500</v>
      </c>
      <c r="T12" s="33">
        <f t="shared" ca="1" si="4"/>
        <v>13000</v>
      </c>
      <c r="U12" s="7">
        <f t="shared" ca="1" si="5"/>
        <v>0.26262626262626265</v>
      </c>
      <c r="V12" s="7">
        <f t="shared" ca="1" si="6"/>
        <v>-0.18647083662403016</v>
      </c>
      <c r="W12" s="33">
        <f t="shared" ca="1" si="7"/>
        <v>-49500</v>
      </c>
      <c r="X12" s="7">
        <f t="shared" ca="1" si="8"/>
        <v>-1</v>
      </c>
      <c r="Y12" s="7">
        <f t="shared" ca="1" si="9"/>
        <v>-0.73737373737373735</v>
      </c>
      <c r="Z12" s="7">
        <f t="shared" ca="1" si="10"/>
        <v>-6.367187417701746E-2</v>
      </c>
      <c r="AA12" s="33">
        <f t="shared" ca="1" si="11"/>
        <v>13000</v>
      </c>
      <c r="AB12" s="7">
        <f t="shared" ca="1" si="12"/>
        <v>1</v>
      </c>
      <c r="AC12" s="7">
        <f t="shared" ca="1" si="13"/>
        <v>0.63131313131313127</v>
      </c>
      <c r="AD12" s="1"/>
      <c r="AE12" s="1"/>
    </row>
    <row r="13" spans="1:39" x14ac:dyDescent="0.25">
      <c r="A13" s="3"/>
      <c r="B13" s="25"/>
      <c r="C13" s="10"/>
      <c r="D13" s="1"/>
      <c r="E13" s="30"/>
      <c r="F13" s="1"/>
      <c r="G13" s="1"/>
      <c r="H13" s="1"/>
      <c r="I13" s="1"/>
      <c r="J13" s="1"/>
      <c r="K13" s="1"/>
      <c r="L13" s="1"/>
      <c r="M13" s="1"/>
      <c r="N13" s="1"/>
      <c r="O13" s="9"/>
      <c r="P13" s="7">
        <f t="shared" ca="1" si="0"/>
        <v>0.23624999999999999</v>
      </c>
      <c r="Q13" s="7">
        <f t="shared" ca="1" si="1"/>
        <v>1.6874999999999998E-2</v>
      </c>
      <c r="R13" s="33">
        <f t="shared" ca="1" si="2"/>
        <v>11812.5</v>
      </c>
      <c r="S13" s="33">
        <f t="shared" ca="1" si="3"/>
        <v>-38187.5</v>
      </c>
      <c r="T13" s="33">
        <f t="shared" ca="1" si="4"/>
        <v>11812.5</v>
      </c>
      <c r="U13" s="7">
        <f t="shared" ca="1" si="5"/>
        <v>0.30932896890343697</v>
      </c>
      <c r="V13" s="7">
        <f t="shared" ca="1" si="6"/>
        <v>-0.18647083662403016</v>
      </c>
      <c r="W13" s="33">
        <f t="shared" ca="1" si="7"/>
        <v>-38187.5</v>
      </c>
      <c r="X13" s="7">
        <f t="shared" ca="1" si="8"/>
        <v>-1</v>
      </c>
      <c r="Y13" s="7">
        <f t="shared" ca="1" si="9"/>
        <v>-0.69067103109656303</v>
      </c>
      <c r="Z13" s="7">
        <f t="shared" ca="1" si="10"/>
        <v>-6.367187417701746E-2</v>
      </c>
      <c r="AA13" s="33">
        <f t="shared" ca="1" si="11"/>
        <v>11812.5</v>
      </c>
      <c r="AB13" s="7">
        <f t="shared" ca="1" si="12"/>
        <v>1</v>
      </c>
      <c r="AC13" s="7">
        <f t="shared" ca="1" si="13"/>
        <v>0.65466448445171843</v>
      </c>
      <c r="AD13" s="1"/>
      <c r="AE13" s="1"/>
    </row>
    <row r="14" spans="1:39" x14ac:dyDescent="0.25">
      <c r="A14" s="3"/>
      <c r="B14" s="25"/>
      <c r="C14" s="10"/>
      <c r="D14" s="1"/>
      <c r="E14" s="30"/>
      <c r="F14" s="1"/>
      <c r="G14" s="1"/>
      <c r="H14" s="1"/>
      <c r="I14" s="1"/>
      <c r="J14" s="1"/>
      <c r="K14" s="1"/>
      <c r="L14" s="1"/>
      <c r="M14" s="1"/>
      <c r="N14" s="1"/>
      <c r="O14" s="9"/>
      <c r="P14" s="7">
        <f t="shared" ca="1" si="0"/>
        <v>0.33166666666666667</v>
      </c>
      <c r="Q14" s="7">
        <f t="shared" ca="1" si="1"/>
        <v>2.3690476190476189E-2</v>
      </c>
      <c r="R14" s="33">
        <f t="shared" ca="1" si="2"/>
        <v>12437.5</v>
      </c>
      <c r="S14" s="33">
        <f t="shared" ca="1" si="3"/>
        <v>-25062.5</v>
      </c>
      <c r="T14" s="33">
        <f t="shared" ca="1" si="4"/>
        <v>12437.5</v>
      </c>
      <c r="U14" s="7">
        <f t="shared" ca="1" si="5"/>
        <v>0.49625935162094764</v>
      </c>
      <c r="V14" s="7">
        <f t="shared" ca="1" si="6"/>
        <v>-0.18647083662403016</v>
      </c>
      <c r="W14" s="33">
        <f t="shared" ca="1" si="7"/>
        <v>-25062.5</v>
      </c>
      <c r="X14" s="7">
        <f t="shared" ca="1" si="8"/>
        <v>-1</v>
      </c>
      <c r="Y14" s="7">
        <f t="shared" ca="1" si="9"/>
        <v>-0.5037406483790523</v>
      </c>
      <c r="Z14" s="7">
        <f t="shared" ca="1" si="10"/>
        <v>-6.367187417701746E-2</v>
      </c>
      <c r="AA14" s="33">
        <f t="shared" ca="1" si="11"/>
        <v>12437.5</v>
      </c>
      <c r="AB14" s="7">
        <f t="shared" ca="1" si="12"/>
        <v>1</v>
      </c>
      <c r="AC14" s="7">
        <f t="shared" ca="1" si="13"/>
        <v>0.74812967581047385</v>
      </c>
      <c r="AD14" s="1"/>
      <c r="AE14" s="1"/>
    </row>
    <row r="15" spans="1:39" x14ac:dyDescent="0.25">
      <c r="A15" s="3"/>
      <c r="B15" s="25"/>
      <c r="C15" s="10"/>
      <c r="D15" s="1"/>
      <c r="E15" s="30"/>
      <c r="F15" s="1"/>
      <c r="G15" s="1"/>
      <c r="H15" s="1"/>
      <c r="I15" s="1"/>
      <c r="J15" s="1"/>
      <c r="K15" s="1"/>
      <c r="L15" s="1"/>
      <c r="M15" s="1"/>
      <c r="N15" s="1"/>
      <c r="O15" s="9"/>
      <c r="P15" s="7">
        <f t="shared" ca="1" si="0"/>
        <v>0.3</v>
      </c>
      <c r="Q15" s="7">
        <f t="shared" ca="1" si="1"/>
        <v>2.1428571428571429E-2</v>
      </c>
      <c r="R15" s="33">
        <f t="shared" ca="1" si="2"/>
        <v>7500</v>
      </c>
      <c r="S15" s="33">
        <f t="shared" ca="1" si="3"/>
        <v>-17500</v>
      </c>
      <c r="T15" s="33">
        <f t="shared" ca="1" si="4"/>
        <v>7500</v>
      </c>
      <c r="U15" s="7">
        <f t="shared" ca="1" si="5"/>
        <v>0.42857142857142855</v>
      </c>
      <c r="V15" s="7">
        <f t="shared" ca="1" si="6"/>
        <v>-0.18647083662403016</v>
      </c>
      <c r="W15" s="33">
        <f t="shared" ca="1" si="7"/>
        <v>-17500</v>
      </c>
      <c r="X15" s="7">
        <f t="shared" ca="1" si="8"/>
        <v>-1</v>
      </c>
      <c r="Y15" s="7">
        <f t="shared" ca="1" si="9"/>
        <v>-0.5714285714285714</v>
      </c>
      <c r="Z15" s="7">
        <f t="shared" ca="1" si="10"/>
        <v>-6.367187417701746E-2</v>
      </c>
      <c r="AA15" s="33">
        <f t="shared" ca="1" si="11"/>
        <v>7500</v>
      </c>
      <c r="AB15" s="7">
        <f t="shared" ca="1" si="12"/>
        <v>1</v>
      </c>
      <c r="AC15" s="7">
        <f t="shared" ca="1" si="13"/>
        <v>0.7142857142857143</v>
      </c>
      <c r="AD15" s="1"/>
      <c r="AE15" s="1"/>
    </row>
    <row r="16" spans="1:39" x14ac:dyDescent="0.25">
      <c r="A16" s="3"/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1"/>
      <c r="N16" s="1"/>
      <c r="O16" s="9"/>
      <c r="P16" s="7">
        <f t="shared" ca="1" si="0"/>
        <v>0.31500000000000006</v>
      </c>
      <c r="Q16" s="7">
        <f t="shared" ca="1" si="1"/>
        <v>2.2500000000000003E-2</v>
      </c>
      <c r="R16" s="33">
        <f t="shared" ca="1" si="2"/>
        <v>3937.5000000000005</v>
      </c>
      <c r="S16" s="33">
        <f t="shared" ca="1" si="3"/>
        <v>-8562.5</v>
      </c>
      <c r="T16" s="33">
        <f t="shared" ca="1" si="4"/>
        <v>3937.5000000000005</v>
      </c>
      <c r="U16" s="7">
        <f t="shared" ca="1" si="5"/>
        <v>0.4598540145985402</v>
      </c>
      <c r="V16" s="7">
        <f t="shared" ca="1" si="6"/>
        <v>-0.18647083662403016</v>
      </c>
      <c r="W16" s="33">
        <f t="shared" ca="1" si="7"/>
        <v>-8562.5</v>
      </c>
      <c r="X16" s="7">
        <f t="shared" ca="1" si="8"/>
        <v>-1</v>
      </c>
      <c r="Y16" s="7">
        <f t="shared" ca="1" si="9"/>
        <v>-0.54014598540145986</v>
      </c>
      <c r="Z16" s="7">
        <f t="shared" ca="1" si="10"/>
        <v>-6.367187417701746E-2</v>
      </c>
      <c r="AA16" s="33">
        <f t="shared" ca="1" si="11"/>
        <v>3937.5000000000005</v>
      </c>
      <c r="AB16" s="7">
        <f t="shared" ca="1" si="12"/>
        <v>1</v>
      </c>
      <c r="AC16" s="7">
        <f t="shared" ca="1" si="13"/>
        <v>0.72992700729927007</v>
      </c>
      <c r="AD16" s="1"/>
      <c r="AE16" s="1"/>
    </row>
    <row r="17" spans="1:31" x14ac:dyDescent="0.25">
      <c r="A17" s="3"/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1"/>
      <c r="N17" s="1"/>
      <c r="O17" s="9"/>
      <c r="P17" s="7">
        <f t="shared" ca="1" si="0"/>
        <v>0.10688235294117647</v>
      </c>
      <c r="Q17" s="7">
        <f t="shared" ca="1" si="1"/>
        <v>7.6344537815126049E-3</v>
      </c>
      <c r="R17" s="33">
        <f t="shared" ca="1" si="2"/>
        <v>22712.5</v>
      </c>
      <c r="S17" s="33">
        <f t="shared" ca="1" si="3"/>
        <v>-189787.5</v>
      </c>
      <c r="T17" s="33">
        <f t="shared" ca="1" si="4"/>
        <v>22712.5</v>
      </c>
      <c r="U17" s="7">
        <f t="shared" ca="1" si="5"/>
        <v>0.11967331884344333</v>
      </c>
      <c r="V17" s="7">
        <f t="shared" ca="1" si="6"/>
        <v>-0.15873789989731096</v>
      </c>
      <c r="W17" s="33">
        <f t="shared" ca="1" si="7"/>
        <v>-30293.559952438816</v>
      </c>
      <c r="X17" s="7">
        <f t="shared" ca="1" si="8"/>
        <v>-0.1596183097013176</v>
      </c>
      <c r="Y17" s="7">
        <f t="shared" ca="1" si="9"/>
        <v>-3.9944990857874271E-2</v>
      </c>
      <c r="Z17" s="7">
        <f t="shared" ca="1" si="10"/>
        <v>-4.3306560246757587E-2</v>
      </c>
      <c r="AA17" s="33">
        <f t="shared" ca="1" si="11"/>
        <v>22712.5</v>
      </c>
      <c r="AB17" s="7">
        <f t="shared" ca="1" si="12"/>
        <v>1</v>
      </c>
      <c r="AC17" s="7">
        <f t="shared" ca="1" si="13"/>
        <v>0.55983665942172167</v>
      </c>
      <c r="AD17" s="1"/>
      <c r="AE17" s="1"/>
    </row>
    <row r="18" spans="1:31" x14ac:dyDescent="0.25">
      <c r="A18" s="3"/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1"/>
      <c r="N18" s="1"/>
      <c r="O18" s="9"/>
      <c r="P18" s="7">
        <f t="shared" ca="1" si="0"/>
        <v>0.11846666666666666</v>
      </c>
      <c r="Q18" s="7">
        <f t="shared" ca="1" si="1"/>
        <v>8.4619047619047625E-3</v>
      </c>
      <c r="R18" s="33">
        <f t="shared" ca="1" si="2"/>
        <v>22212.5</v>
      </c>
      <c r="S18" s="33">
        <f t="shared" ca="1" si="3"/>
        <v>-165287.5</v>
      </c>
      <c r="T18" s="33">
        <f t="shared" ca="1" si="4"/>
        <v>22212.5</v>
      </c>
      <c r="U18" s="7">
        <f t="shared" ca="1" si="5"/>
        <v>0.13438705286243666</v>
      </c>
      <c r="V18" s="7">
        <f t="shared" ca="1" si="6"/>
        <v>-0.15873789989731096</v>
      </c>
      <c r="W18" s="33">
        <f t="shared" ca="1" si="7"/>
        <v>-30793.559952438816</v>
      </c>
      <c r="X18" s="7">
        <f t="shared" ca="1" si="8"/>
        <v>-0.18630301718181239</v>
      </c>
      <c r="Y18" s="7">
        <f t="shared" ca="1" si="9"/>
        <v>-5.1915964319375729E-2</v>
      </c>
      <c r="Z18" s="7">
        <f t="shared" ca="1" si="10"/>
        <v>-4.3306560246757587E-2</v>
      </c>
      <c r="AA18" s="33">
        <f t="shared" ca="1" si="11"/>
        <v>22212.5</v>
      </c>
      <c r="AB18" s="7">
        <f t="shared" ca="1" si="12"/>
        <v>1</v>
      </c>
      <c r="AC18" s="7">
        <f t="shared" ca="1" si="13"/>
        <v>0.56719352643121834</v>
      </c>
      <c r="AD18" s="1"/>
      <c r="AE18" s="1"/>
    </row>
    <row r="19" spans="1:31" ht="15" customHeight="1" x14ac:dyDescent="0.25">
      <c r="A19" s="3"/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1"/>
      <c r="N19" s="1"/>
      <c r="O19" s="9"/>
      <c r="P19" s="7">
        <f t="shared" ca="1" si="0"/>
        <v>0.13615384615384615</v>
      </c>
      <c r="Q19" s="7">
        <f t="shared" ca="1" si="1"/>
        <v>9.7252747252747247E-3</v>
      </c>
      <c r="R19" s="33">
        <f t="shared" ca="1" si="2"/>
        <v>22125</v>
      </c>
      <c r="S19" s="33">
        <f t="shared" ca="1" si="3"/>
        <v>-140375</v>
      </c>
      <c r="T19" s="33">
        <f t="shared" ca="1" si="4"/>
        <v>22125</v>
      </c>
      <c r="U19" s="7">
        <f t="shared" ca="1" si="5"/>
        <v>0.15761353517364202</v>
      </c>
      <c r="V19" s="7">
        <f t="shared" ca="1" si="6"/>
        <v>-0.15873789989731096</v>
      </c>
      <c r="W19" s="33">
        <f t="shared" ca="1" si="7"/>
        <v>-30881.059952438816</v>
      </c>
      <c r="X19" s="7">
        <f t="shared" ca="1" si="8"/>
        <v>-0.21998974142431926</v>
      </c>
      <c r="Y19" s="7">
        <f t="shared" ca="1" si="9"/>
        <v>-6.2376206250677246E-2</v>
      </c>
      <c r="Z19" s="7">
        <f t="shared" ca="1" si="10"/>
        <v>-4.3306560246757587E-2</v>
      </c>
      <c r="AA19" s="33">
        <f t="shared" ca="1" si="11"/>
        <v>22125</v>
      </c>
      <c r="AB19" s="7">
        <f t="shared" ca="1" si="12"/>
        <v>1</v>
      </c>
      <c r="AC19" s="7">
        <f t="shared" ca="1" si="13"/>
        <v>0.57880676758682104</v>
      </c>
      <c r="AD19" s="1"/>
      <c r="AE19" s="1"/>
    </row>
    <row r="20" spans="1:31" ht="15" customHeight="1" x14ac:dyDescent="0.25">
      <c r="A20" s="3"/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1"/>
      <c r="N20" s="1"/>
      <c r="O20" s="9"/>
      <c r="P20" s="7">
        <f t="shared" ca="1" si="0"/>
        <v>0.15609090909090909</v>
      </c>
      <c r="Q20" s="7">
        <f t="shared" ca="1" si="1"/>
        <v>1.1149350649350648E-2</v>
      </c>
      <c r="R20" s="33">
        <f t="shared" ca="1" si="2"/>
        <v>21462.5</v>
      </c>
      <c r="S20" s="33">
        <f t="shared" ca="1" si="3"/>
        <v>-116037.5</v>
      </c>
      <c r="T20" s="33">
        <f t="shared" ca="1" si="4"/>
        <v>21462.5</v>
      </c>
      <c r="U20" s="7">
        <f t="shared" ca="1" si="5"/>
        <v>0.18496175805235376</v>
      </c>
      <c r="V20" s="7">
        <f t="shared" ca="1" si="6"/>
        <v>-0.15873789989731096</v>
      </c>
      <c r="W20" s="33">
        <f t="shared" ca="1" si="7"/>
        <v>-31543.559952438816</v>
      </c>
      <c r="X20" s="7">
        <f t="shared" ca="1" si="8"/>
        <v>-0.27183936186524887</v>
      </c>
      <c r="Y20" s="7">
        <f t="shared" ca="1" si="9"/>
        <v>-8.687760381289511E-2</v>
      </c>
      <c r="Z20" s="7">
        <f t="shared" ca="1" si="10"/>
        <v>-4.3306560246757587E-2</v>
      </c>
      <c r="AA20" s="33">
        <f t="shared" ca="1" si="11"/>
        <v>21462.5</v>
      </c>
      <c r="AB20" s="7">
        <f t="shared" ca="1" si="12"/>
        <v>1</v>
      </c>
      <c r="AC20" s="7">
        <f t="shared" ca="1" si="13"/>
        <v>0.59248087902617685</v>
      </c>
      <c r="AD20" s="1"/>
      <c r="AE20" s="1"/>
    </row>
    <row r="21" spans="1:31" x14ac:dyDescent="0.25">
      <c r="A21" s="3"/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1"/>
      <c r="N21" s="1"/>
      <c r="O21" s="9"/>
      <c r="P21" s="7">
        <f t="shared" ca="1" si="0"/>
        <v>0.15769999999999998</v>
      </c>
      <c r="Q21" s="7">
        <f t="shared" ca="1" si="1"/>
        <v>1.1264285714285713E-2</v>
      </c>
      <c r="R21" s="33">
        <f t="shared" ca="1" si="2"/>
        <v>19712.5</v>
      </c>
      <c r="S21" s="33">
        <f t="shared" ca="1" si="3"/>
        <v>-105287.5</v>
      </c>
      <c r="T21" s="33">
        <f t="shared" ca="1" si="4"/>
        <v>19712.5</v>
      </c>
      <c r="U21" s="7">
        <f t="shared" ca="1" si="5"/>
        <v>0.1872254541137362</v>
      </c>
      <c r="V21" s="7">
        <f t="shared" ca="1" si="6"/>
        <v>-0.15873789989731096</v>
      </c>
      <c r="W21" s="33">
        <f t="shared" ca="1" si="7"/>
        <v>-33293.559952438816</v>
      </c>
      <c r="X21" s="7">
        <f t="shared" ca="1" si="8"/>
        <v>-0.31621569466877658</v>
      </c>
      <c r="Y21" s="7">
        <f t="shared" ca="1" si="9"/>
        <v>-0.12899024055504038</v>
      </c>
      <c r="Z21" s="7">
        <f t="shared" ca="1" si="10"/>
        <v>-4.3306560246757587E-2</v>
      </c>
      <c r="AA21" s="33">
        <f t="shared" ca="1" si="11"/>
        <v>19712.5</v>
      </c>
      <c r="AB21" s="7">
        <f t="shared" ca="1" si="12"/>
        <v>1</v>
      </c>
      <c r="AC21" s="7">
        <f t="shared" ca="1" si="13"/>
        <v>0.59361272705686807</v>
      </c>
      <c r="AD21" s="1"/>
      <c r="AE21" s="1"/>
    </row>
    <row r="22" spans="1:31" x14ac:dyDescent="0.25">
      <c r="A22" s="3"/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1"/>
      <c r="N22" s="1"/>
      <c r="O22" s="9"/>
      <c r="P22" s="7">
        <f t="shared" ca="1" si="0"/>
        <v>0.18244444444444444</v>
      </c>
      <c r="Q22" s="7">
        <f t="shared" ca="1" si="1"/>
        <v>1.3031746031746031E-2</v>
      </c>
      <c r="R22" s="33">
        <f t="shared" ca="1" si="2"/>
        <v>20525</v>
      </c>
      <c r="S22" s="33">
        <f t="shared" ca="1" si="3"/>
        <v>-91975</v>
      </c>
      <c r="T22" s="33">
        <f t="shared" ca="1" si="4"/>
        <v>20525</v>
      </c>
      <c r="U22" s="7">
        <f t="shared" ca="1" si="5"/>
        <v>0.22315846697472139</v>
      </c>
      <c r="V22" s="7">
        <f t="shared" ca="1" si="6"/>
        <v>-0.15873789989731096</v>
      </c>
      <c r="W22" s="33">
        <f t="shared" ca="1" si="7"/>
        <v>-32481.059952438816</v>
      </c>
      <c r="X22" s="7">
        <f t="shared" ca="1" si="8"/>
        <v>-0.35315096441901406</v>
      </c>
      <c r="Y22" s="7">
        <f t="shared" ca="1" si="9"/>
        <v>-0.12999249744429267</v>
      </c>
      <c r="Z22" s="7">
        <f t="shared" ca="1" si="10"/>
        <v>-4.3306560246757587E-2</v>
      </c>
      <c r="AA22" s="33">
        <f t="shared" ca="1" si="11"/>
        <v>20525</v>
      </c>
      <c r="AB22" s="7">
        <f t="shared" ca="1" si="12"/>
        <v>1</v>
      </c>
      <c r="AC22" s="7">
        <f t="shared" ca="1" si="13"/>
        <v>0.61157923348736065</v>
      </c>
      <c r="AD22" s="1"/>
      <c r="AE22" s="1"/>
    </row>
    <row r="23" spans="1:31" x14ac:dyDescent="0.25">
      <c r="A23" s="3"/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1"/>
      <c r="N23" s="1"/>
      <c r="O23" s="9"/>
      <c r="P23" s="7">
        <f t="shared" ca="1" si="0"/>
        <v>0.18162499999999998</v>
      </c>
      <c r="Q23" s="7">
        <f t="shared" ca="1" si="1"/>
        <v>1.2973214285714284E-2</v>
      </c>
      <c r="R23" s="33">
        <f t="shared" ca="1" si="2"/>
        <v>18162.499999999996</v>
      </c>
      <c r="S23" s="33">
        <f t="shared" ca="1" si="3"/>
        <v>-81837.5</v>
      </c>
      <c r="T23" s="33">
        <f t="shared" ca="1" si="4"/>
        <v>18162.499999999996</v>
      </c>
      <c r="U23" s="7">
        <f t="shared" ca="1" si="5"/>
        <v>0.22193371009622723</v>
      </c>
      <c r="V23" s="7">
        <f t="shared" ca="1" si="6"/>
        <v>-0.15873789989731096</v>
      </c>
      <c r="W23" s="33">
        <f t="shared" ca="1" si="7"/>
        <v>-34843.559952438824</v>
      </c>
      <c r="X23" s="7">
        <f t="shared" ca="1" si="8"/>
        <v>-0.42576520485643898</v>
      </c>
      <c r="Y23" s="7">
        <f t="shared" ca="1" si="9"/>
        <v>-0.20383149476021176</v>
      </c>
      <c r="Z23" s="7">
        <f t="shared" ca="1" si="10"/>
        <v>-4.3306560246757587E-2</v>
      </c>
      <c r="AA23" s="33">
        <f t="shared" ca="1" si="11"/>
        <v>18162.499999999996</v>
      </c>
      <c r="AB23" s="7">
        <f t="shared" ca="1" si="12"/>
        <v>1</v>
      </c>
      <c r="AC23" s="7">
        <f t="shared" ca="1" si="13"/>
        <v>0.61096685504811366</v>
      </c>
      <c r="AD23" s="1"/>
      <c r="AE23" s="1"/>
    </row>
    <row r="24" spans="1:31" x14ac:dyDescent="0.25">
      <c r="A24" s="3"/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1"/>
      <c r="N24" s="1"/>
      <c r="O24" s="9"/>
      <c r="P24" s="7">
        <f t="shared" ca="1" si="0"/>
        <v>0.21414285714285711</v>
      </c>
      <c r="Q24" s="7">
        <f t="shared" ca="1" si="1"/>
        <v>1.5295918367346936E-2</v>
      </c>
      <c r="R24" s="33">
        <f t="shared" ca="1" si="2"/>
        <v>18737.499999999996</v>
      </c>
      <c r="S24" s="33">
        <f t="shared" ca="1" si="3"/>
        <v>-68762.5</v>
      </c>
      <c r="T24" s="33">
        <f t="shared" ca="1" si="4"/>
        <v>18737.499999999996</v>
      </c>
      <c r="U24" s="7">
        <f t="shared" ca="1" si="5"/>
        <v>0.2724959098345755</v>
      </c>
      <c r="V24" s="7">
        <f t="shared" ca="1" si="6"/>
        <v>-0.15873789989731096</v>
      </c>
      <c r="W24" s="33">
        <f t="shared" ca="1" si="7"/>
        <v>-34268.559952438824</v>
      </c>
      <c r="X24" s="7">
        <f t="shared" ca="1" si="8"/>
        <v>-0.49836117000456387</v>
      </c>
      <c r="Y24" s="7">
        <f t="shared" ca="1" si="9"/>
        <v>-0.22586526016998837</v>
      </c>
      <c r="Z24" s="7">
        <f t="shared" ca="1" si="10"/>
        <v>-4.3306560246757587E-2</v>
      </c>
      <c r="AA24" s="33">
        <f t="shared" ca="1" si="11"/>
        <v>18737.499999999996</v>
      </c>
      <c r="AB24" s="7">
        <f t="shared" ca="1" si="12"/>
        <v>1</v>
      </c>
      <c r="AC24" s="7">
        <f t="shared" ca="1" si="13"/>
        <v>0.63624795491728769</v>
      </c>
      <c r="AD24" s="1"/>
      <c r="AE24" s="1"/>
    </row>
    <row r="25" spans="1:31" x14ac:dyDescent="0.25">
      <c r="A25" s="3"/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1"/>
      <c r="N25" s="1"/>
      <c r="O25" s="9"/>
      <c r="P25" s="7">
        <f t="shared" ca="1" si="0"/>
        <v>0.17949999999999999</v>
      </c>
      <c r="Q25" s="7">
        <f t="shared" ca="1" si="1"/>
        <v>1.282142857142857E-2</v>
      </c>
      <c r="R25" s="33">
        <f t="shared" ca="1" si="2"/>
        <v>13462.499999999998</v>
      </c>
      <c r="S25" s="33">
        <f t="shared" ca="1" si="3"/>
        <v>-61537.5</v>
      </c>
      <c r="T25" s="33">
        <f t="shared" ca="1" si="4"/>
        <v>13462.499999999998</v>
      </c>
      <c r="U25" s="7">
        <f t="shared" ca="1" si="5"/>
        <v>0.21876904326630101</v>
      </c>
      <c r="V25" s="7">
        <f t="shared" ca="1" si="6"/>
        <v>-0.15873789989731096</v>
      </c>
      <c r="W25" s="33">
        <f t="shared" ca="1" si="7"/>
        <v>-39543.559952438816</v>
      </c>
      <c r="X25" s="7">
        <f t="shared" ca="1" si="8"/>
        <v>-0.64259288974103301</v>
      </c>
      <c r="Y25" s="7">
        <f t="shared" ca="1" si="9"/>
        <v>-0.42382384647473204</v>
      </c>
      <c r="Z25" s="7">
        <f t="shared" ca="1" si="10"/>
        <v>-4.3306560246757587E-2</v>
      </c>
      <c r="AA25" s="33">
        <f t="shared" ca="1" si="11"/>
        <v>13462.499999999998</v>
      </c>
      <c r="AB25" s="7">
        <f t="shared" ca="1" si="12"/>
        <v>1</v>
      </c>
      <c r="AC25" s="7">
        <f t="shared" ca="1" si="13"/>
        <v>0.60938452163315049</v>
      </c>
      <c r="AD25" s="1"/>
      <c r="AE25" s="1"/>
    </row>
    <row r="26" spans="1:31" x14ac:dyDescent="0.25">
      <c r="A26" s="3"/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1"/>
      <c r="N26" s="1"/>
      <c r="O26" s="9"/>
      <c r="P26" s="7">
        <f t="shared" ca="1" si="0"/>
        <v>0.29799999999999999</v>
      </c>
      <c r="Q26" s="7">
        <f t="shared" ca="1" si="1"/>
        <v>2.1285714285714286E-2</v>
      </c>
      <c r="R26" s="33">
        <f t="shared" ca="1" si="2"/>
        <v>18625</v>
      </c>
      <c r="S26" s="33">
        <f t="shared" ca="1" si="3"/>
        <v>-43875</v>
      </c>
      <c r="T26" s="33">
        <f t="shared" ca="1" si="4"/>
        <v>18625</v>
      </c>
      <c r="U26" s="7">
        <f t="shared" ca="1" si="5"/>
        <v>0.42450142450142453</v>
      </c>
      <c r="V26" s="7">
        <f t="shared" ca="1" si="6"/>
        <v>-0.15873789989731096</v>
      </c>
      <c r="W26" s="33">
        <f t="shared" ca="1" si="7"/>
        <v>-34381.059952438816</v>
      </c>
      <c r="X26" s="7">
        <f t="shared" ca="1" si="8"/>
        <v>-0.78361390204988757</v>
      </c>
      <c r="Y26" s="7">
        <f t="shared" ca="1" si="9"/>
        <v>-0.35911247754846304</v>
      </c>
      <c r="Z26" s="7">
        <f t="shared" ca="1" si="10"/>
        <v>-4.3306560246757587E-2</v>
      </c>
      <c r="AA26" s="33">
        <f t="shared" ca="1" si="11"/>
        <v>18625</v>
      </c>
      <c r="AB26" s="7">
        <f t="shared" ca="1" si="12"/>
        <v>1</v>
      </c>
      <c r="AC26" s="7">
        <f t="shared" ca="1" si="13"/>
        <v>0.71225071225071224</v>
      </c>
      <c r="AD26" s="1"/>
      <c r="AE26" s="1"/>
    </row>
    <row r="27" spans="1:31" x14ac:dyDescent="0.25">
      <c r="A27" s="3"/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1"/>
      <c r="N27" s="1"/>
      <c r="O27" s="9"/>
      <c r="P27" s="7">
        <f t="shared" ca="1" si="0"/>
        <v>0.21424999999999997</v>
      </c>
      <c r="Q27" s="7">
        <f t="shared" ca="1" si="1"/>
        <v>1.5303571428571427E-2</v>
      </c>
      <c r="R27" s="33">
        <f t="shared" ca="1" si="2"/>
        <v>10712.499999999998</v>
      </c>
      <c r="S27" s="33">
        <f t="shared" ca="1" si="3"/>
        <v>-39287.5</v>
      </c>
      <c r="T27" s="33">
        <f t="shared" ca="1" si="4"/>
        <v>10712.499999999998</v>
      </c>
      <c r="U27" s="7">
        <f t="shared" ca="1" si="5"/>
        <v>0.27266942411708556</v>
      </c>
      <c r="V27" s="7">
        <f t="shared" ca="1" si="6"/>
        <v>-0.15873789989731096</v>
      </c>
      <c r="W27" s="33">
        <f t="shared" ca="1" si="7"/>
        <v>-39287.5</v>
      </c>
      <c r="X27" s="7">
        <f t="shared" ca="1" si="8"/>
        <v>-1</v>
      </c>
      <c r="Y27" s="7">
        <f t="shared" ca="1" si="9"/>
        <v>-0.7273305758829145</v>
      </c>
      <c r="Z27" s="7">
        <f t="shared" ca="1" si="10"/>
        <v>-4.3306560246757587E-2</v>
      </c>
      <c r="AA27" s="33">
        <f t="shared" ca="1" si="11"/>
        <v>10712.499999999998</v>
      </c>
      <c r="AB27" s="7">
        <f t="shared" ca="1" si="12"/>
        <v>1</v>
      </c>
      <c r="AC27" s="7">
        <f t="shared" ca="1" si="13"/>
        <v>0.63633471205854275</v>
      </c>
      <c r="AD27" s="1"/>
      <c r="AE27" s="1"/>
    </row>
    <row r="28" spans="1:31" x14ac:dyDescent="0.25">
      <c r="A28" s="3"/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1"/>
      <c r="N28" s="1"/>
      <c r="O28" s="9"/>
      <c r="P28" s="7">
        <f t="shared" ca="1" si="0"/>
        <v>0.45899999999999996</v>
      </c>
      <c r="Q28" s="7">
        <f t="shared" ca="1" si="1"/>
        <v>3.2785714285714286E-2</v>
      </c>
      <c r="R28" s="33">
        <f t="shared" ca="1" si="2"/>
        <v>17212.5</v>
      </c>
      <c r="S28" s="33">
        <f t="shared" ca="1" si="3"/>
        <v>-20287.5</v>
      </c>
      <c r="T28" s="33">
        <f t="shared" ca="1" si="4"/>
        <v>17212.5</v>
      </c>
      <c r="U28" s="7">
        <f t="shared" ca="1" si="5"/>
        <v>0.84842883548983361</v>
      </c>
      <c r="V28" s="7">
        <f t="shared" ca="1" si="6"/>
        <v>-0.15873789989731096</v>
      </c>
      <c r="W28" s="33">
        <f t="shared" ca="1" si="7"/>
        <v>-20287.5</v>
      </c>
      <c r="X28" s="7">
        <f t="shared" ca="1" si="8"/>
        <v>-1</v>
      </c>
      <c r="Y28" s="7">
        <f t="shared" ca="1" si="9"/>
        <v>-0.15157116451016639</v>
      </c>
      <c r="Z28" s="7">
        <f t="shared" ca="1" si="10"/>
        <v>-4.3306560246757587E-2</v>
      </c>
      <c r="AA28" s="33">
        <f t="shared" ca="1" si="11"/>
        <v>17212.5</v>
      </c>
      <c r="AB28" s="7">
        <f t="shared" ca="1" si="12"/>
        <v>1</v>
      </c>
      <c r="AC28" s="7">
        <f t="shared" ca="1" si="13"/>
        <v>0.92421441774491675</v>
      </c>
      <c r="AD28" s="1"/>
      <c r="AE28" s="1"/>
    </row>
    <row r="29" spans="1:31" x14ac:dyDescent="0.25">
      <c r="A29" s="3"/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1"/>
      <c r="N29" s="1"/>
      <c r="O29" s="9"/>
      <c r="P29" s="7">
        <f t="shared" ca="1" si="0"/>
        <v>0.54849999999999999</v>
      </c>
      <c r="Q29" s="7">
        <f t="shared" ca="1" si="1"/>
        <v>3.9178571428571431E-2</v>
      </c>
      <c r="R29" s="33">
        <f t="shared" ca="1" si="2"/>
        <v>13712.499999999998</v>
      </c>
      <c r="S29" s="33">
        <f t="shared" ca="1" si="3"/>
        <v>-11287.500000000002</v>
      </c>
      <c r="T29" s="33">
        <f t="shared" ca="1" si="4"/>
        <v>13712.499999999998</v>
      </c>
      <c r="U29" s="7">
        <f t="shared" ca="1" si="5"/>
        <v>1.2148394241417493</v>
      </c>
      <c r="V29" s="7">
        <f t="shared" ca="1" si="6"/>
        <v>-0.15873789989731096</v>
      </c>
      <c r="W29" s="33">
        <f t="shared" ca="1" si="7"/>
        <v>-11287.500000000002</v>
      </c>
      <c r="X29" s="7">
        <f t="shared" ca="1" si="8"/>
        <v>-1</v>
      </c>
      <c r="Y29" s="7">
        <f t="shared" ca="1" si="9"/>
        <v>0.21483942414174928</v>
      </c>
      <c r="Z29" s="7">
        <f t="shared" ca="1" si="10"/>
        <v>-4.3306560246757587E-2</v>
      </c>
      <c r="AA29" s="33">
        <f t="shared" ca="1" si="11"/>
        <v>13712.499999999998</v>
      </c>
      <c r="AB29" s="7">
        <f t="shared" ca="1" si="12"/>
        <v>1</v>
      </c>
      <c r="AC29" s="7">
        <f t="shared" ca="1" si="13"/>
        <v>1.1074197120708746</v>
      </c>
      <c r="AD29" s="1"/>
      <c r="AE29" s="1"/>
    </row>
    <row r="30" spans="1:31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1"/>
      <c r="N30" s="1"/>
      <c r="O30" s="9"/>
      <c r="P30" s="7">
        <f t="shared" ca="1" si="0"/>
        <v>1.117</v>
      </c>
      <c r="Q30" s="7">
        <f t="shared" ca="1" si="1"/>
        <v>7.9785714285714279E-2</v>
      </c>
      <c r="R30" s="33">
        <f t="shared" ca="1" si="2"/>
        <v>13962.499999999998</v>
      </c>
      <c r="S30" s="33">
        <f t="shared" ca="1" si="3"/>
        <v>1462.4999999999982</v>
      </c>
      <c r="T30" s="33">
        <f t="shared" ca="1" si="4"/>
        <v>13962.499999999998</v>
      </c>
      <c r="U30" s="7">
        <f t="shared" ca="1" si="5"/>
        <v>9.5470085470085575</v>
      </c>
      <c r="V30" s="7">
        <f t="shared" ca="1" si="6"/>
        <v>-0.15873789989731096</v>
      </c>
      <c r="W30" s="33">
        <f t="shared" ca="1" si="7"/>
        <v>1462.4999999999982</v>
      </c>
      <c r="X30" s="7">
        <f t="shared" ca="1" si="8"/>
        <v>1</v>
      </c>
      <c r="Y30" s="7">
        <f t="shared" ca="1" si="9"/>
        <v>10.547008547008557</v>
      </c>
      <c r="Z30" s="7">
        <f t="shared" ca="1" si="10"/>
        <v>-4.3306560246757587E-2</v>
      </c>
      <c r="AA30" s="33">
        <f t="shared" ca="1" si="11"/>
        <v>13962.499999999998</v>
      </c>
      <c r="AB30" s="7">
        <f t="shared" ca="1" si="12"/>
        <v>1</v>
      </c>
      <c r="AC30" s="7">
        <f t="shared" ca="1" si="13"/>
        <v>5.2735042735042787</v>
      </c>
      <c r="AD30" s="1"/>
      <c r="AE30" s="1"/>
    </row>
    <row r="31" spans="1:31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1"/>
      <c r="N31" s="1"/>
      <c r="O31" s="9"/>
      <c r="P31" s="7">
        <f t="shared" ca="1" si="0"/>
        <v>-0.79699999999999993</v>
      </c>
      <c r="Q31" s="7">
        <f t="shared" ca="1" si="1"/>
        <v>-5.6928571428571426E-2</v>
      </c>
      <c r="R31" s="33">
        <f t="shared" ca="1" si="2"/>
        <v>9962.4999999999982</v>
      </c>
      <c r="S31" s="33">
        <f t="shared" ca="1" si="3"/>
        <v>22462.5</v>
      </c>
      <c r="T31" s="33">
        <f t="shared" ca="1" si="4"/>
        <v>9962.4999999999982</v>
      </c>
      <c r="U31" s="7">
        <f t="shared" ca="1" si="5"/>
        <v>0.44351697273233159</v>
      </c>
      <c r="V31" s="7">
        <f t="shared" ca="1" si="6"/>
        <v>-0.15873789989731096</v>
      </c>
      <c r="W31" s="33">
        <f t="shared" ca="1" si="7"/>
        <v>9962.4999999999982</v>
      </c>
      <c r="X31" s="7">
        <f t="shared" ca="1" si="8"/>
        <v>0.44351697273233159</v>
      </c>
      <c r="Y31" s="7">
        <f t="shared" ca="1" si="9"/>
        <v>0.88703394546466319</v>
      </c>
      <c r="Z31" s="7">
        <f t="shared" ca="1" si="10"/>
        <v>-4.3306560246757587E-2</v>
      </c>
      <c r="AA31" s="33">
        <f t="shared" ca="1" si="11"/>
        <v>9962.4999999999982</v>
      </c>
      <c r="AB31" s="7">
        <f t="shared" ca="1" si="12"/>
        <v>1</v>
      </c>
      <c r="AC31" s="7">
        <f t="shared" ca="1" si="13"/>
        <v>0.7217584863661658</v>
      </c>
      <c r="AD31" s="1"/>
      <c r="AE31" s="1"/>
    </row>
    <row r="32" spans="1:31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1"/>
      <c r="N32" s="1"/>
      <c r="O32" s="9"/>
      <c r="P32" s="7">
        <f t="shared" ca="1" si="0"/>
        <v>-0.29649999999999993</v>
      </c>
      <c r="Q32" s="7">
        <f t="shared" ca="1" si="1"/>
        <v>-2.1178571428571425E-2</v>
      </c>
      <c r="R32" s="33">
        <f t="shared" ca="1" si="2"/>
        <v>7412.4999999999982</v>
      </c>
      <c r="S32" s="33">
        <f t="shared" ca="1" si="3"/>
        <v>32412.5</v>
      </c>
      <c r="T32" s="33">
        <f t="shared" ca="1" si="4"/>
        <v>7412.4999999999982</v>
      </c>
      <c r="U32" s="7">
        <f t="shared" ca="1" si="5"/>
        <v>0.22869263401465478</v>
      </c>
      <c r="V32" s="7">
        <f t="shared" ca="1" si="6"/>
        <v>-0.15873789989731096</v>
      </c>
      <c r="W32" s="33">
        <f t="shared" ca="1" si="7"/>
        <v>7412.4999999999982</v>
      </c>
      <c r="X32" s="7">
        <f t="shared" ca="1" si="8"/>
        <v>0.22869263401465478</v>
      </c>
      <c r="Y32" s="7">
        <f t="shared" ca="1" si="9"/>
        <v>0.45738526802930957</v>
      </c>
      <c r="Z32" s="7">
        <f t="shared" ca="1" si="10"/>
        <v>-4.3306560246757587E-2</v>
      </c>
      <c r="AA32" s="33">
        <f t="shared" ca="1" si="11"/>
        <v>7412.4999999999982</v>
      </c>
      <c r="AB32" s="7">
        <f t="shared" ca="1" si="12"/>
        <v>1</v>
      </c>
      <c r="AC32" s="7">
        <f t="shared" ca="1" si="13"/>
        <v>0.61434631700732734</v>
      </c>
      <c r="AD32" s="1"/>
      <c r="AE32" s="1"/>
    </row>
    <row r="33" spans="1:31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1"/>
      <c r="N33" s="1"/>
      <c r="O33" s="9"/>
      <c r="P33" s="7">
        <f t="shared" ca="1" si="0"/>
        <v>0.12203125000000001</v>
      </c>
      <c r="Q33" s="7">
        <f t="shared" ref="Q33:Q90" ca="1" si="14">P33/($B33-TODAY())</f>
        <v>8.7165178571428584E-3</v>
      </c>
      <c r="R33" s="33">
        <f t="shared" ca="1" si="2"/>
        <v>11715.000000000002</v>
      </c>
      <c r="S33" s="33">
        <f t="shared" ca="1" si="3"/>
        <v>-84285</v>
      </c>
      <c r="T33" s="33">
        <f t="shared" ref="T33:T90" ca="1" si="15">R33</f>
        <v>11715.000000000002</v>
      </c>
      <c r="U33" s="7">
        <f t="shared" ca="1" si="5"/>
        <v>0.13899270332799432</v>
      </c>
      <c r="V33" s="7">
        <f t="shared" ca="1" si="6"/>
        <v>-0.19593676522444173</v>
      </c>
      <c r="W33" s="33">
        <f t="shared" ref="W33:W90" ca="1" si="16">-(MAX(($F33-MAX($D33*(1+V33),$H33)),0)*$E33-$R33)</f>
        <v>-58317.350700530063</v>
      </c>
      <c r="X33" s="7">
        <f t="shared" ref="X33:X90" ca="1" si="17">W33/ABS($S33)</f>
        <v>-0.69190663463878588</v>
      </c>
      <c r="Y33" s="7">
        <f t="shared" ref="Y33:Y90" ca="1" si="18">$U33+X33</f>
        <v>-0.55291393131079158</v>
      </c>
      <c r="Z33" s="7">
        <f t="shared" ca="1" si="10"/>
        <v>-3.9721881206456616E-2</v>
      </c>
      <c r="AA33" s="33">
        <f t="shared" ref="AA33:AA90" ca="1" si="19">-(MAX(($F33-MAX($D33*(1+Z33),$H33)),0)*$E33-$R33)</f>
        <v>11715.000000000002</v>
      </c>
      <c r="AB33" s="7">
        <f t="shared" ref="AB33:AB90" ca="1" si="20">AA33/$R33</f>
        <v>1</v>
      </c>
      <c r="AC33" s="7">
        <f t="shared" ca="1" si="13"/>
        <v>0.56949635166399715</v>
      </c>
      <c r="AD33" s="1"/>
      <c r="AE33" s="1"/>
    </row>
    <row r="34" spans="1:31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1"/>
      <c r="N34" s="1"/>
      <c r="O34" s="9"/>
      <c r="P34" s="7">
        <f t="shared" ca="1" si="0"/>
        <v>0.14211538461538462</v>
      </c>
      <c r="Q34" s="7">
        <f t="shared" ca="1" si="14"/>
        <v>1.0151098901098901E-2</v>
      </c>
      <c r="R34" s="33">
        <f t="shared" ca="1" si="2"/>
        <v>11085</v>
      </c>
      <c r="S34" s="33">
        <f t="shared" ca="1" si="3"/>
        <v>-66915</v>
      </c>
      <c r="T34" s="33">
        <f t="shared" ca="1" si="15"/>
        <v>11085</v>
      </c>
      <c r="U34" s="7">
        <f t="shared" ca="1" si="5"/>
        <v>0.16565792423223494</v>
      </c>
      <c r="V34" s="7">
        <f t="shared" ca="1" si="6"/>
        <v>-0.19593676522444173</v>
      </c>
      <c r="W34" s="33">
        <f t="shared" ca="1" si="16"/>
        <v>-58947.350700530063</v>
      </c>
      <c r="X34" s="7">
        <f t="shared" ca="1" si="17"/>
        <v>-0.88092880072524937</v>
      </c>
      <c r="Y34" s="7">
        <f t="shared" ca="1" si="18"/>
        <v>-0.71527087649301446</v>
      </c>
      <c r="Z34" s="7">
        <f t="shared" ca="1" si="10"/>
        <v>-3.9721881206456616E-2</v>
      </c>
      <c r="AA34" s="33">
        <f t="shared" ca="1" si="19"/>
        <v>11085</v>
      </c>
      <c r="AB34" s="7">
        <f t="shared" ca="1" si="20"/>
        <v>1</v>
      </c>
      <c r="AC34" s="7">
        <f t="shared" ca="1" si="13"/>
        <v>0.58282896211611745</v>
      </c>
      <c r="AD34" s="1"/>
      <c r="AE34" s="1"/>
    </row>
    <row r="35" spans="1:31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1"/>
      <c r="N35" s="1"/>
      <c r="O35" s="9"/>
      <c r="P35" s="7">
        <f t="shared" ca="1" si="0"/>
        <v>0.1563636363636364</v>
      </c>
      <c r="Q35" s="7">
        <f t="shared" ca="1" si="14"/>
        <v>1.1168831168831172E-2</v>
      </c>
      <c r="R35" s="33">
        <f t="shared" ca="1" si="2"/>
        <v>10320.000000000002</v>
      </c>
      <c r="S35" s="33">
        <f t="shared" ca="1" si="3"/>
        <v>-55680</v>
      </c>
      <c r="T35" s="33">
        <f t="shared" ca="1" si="15"/>
        <v>10320.000000000002</v>
      </c>
      <c r="U35" s="7">
        <f t="shared" ca="1" si="5"/>
        <v>0.18534482758620693</v>
      </c>
      <c r="V35" s="7">
        <f t="shared" ca="1" si="6"/>
        <v>-0.19593676522444173</v>
      </c>
      <c r="W35" s="33">
        <f t="shared" ca="1" si="16"/>
        <v>-55680</v>
      </c>
      <c r="X35" s="7">
        <f t="shared" ca="1" si="17"/>
        <v>-1</v>
      </c>
      <c r="Y35" s="7">
        <f t="shared" ca="1" si="18"/>
        <v>-0.81465517241379304</v>
      </c>
      <c r="Z35" s="7">
        <f t="shared" ca="1" si="10"/>
        <v>-3.9721881206456616E-2</v>
      </c>
      <c r="AA35" s="33">
        <f t="shared" ca="1" si="19"/>
        <v>10320.000000000002</v>
      </c>
      <c r="AB35" s="7">
        <f t="shared" ca="1" si="20"/>
        <v>1</v>
      </c>
      <c r="AC35" s="7">
        <f t="shared" ca="1" si="13"/>
        <v>0.59267241379310343</v>
      </c>
      <c r="AD35" s="1"/>
      <c r="AE35" s="1"/>
    </row>
    <row r="36" spans="1:31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1"/>
      <c r="N36" s="1"/>
      <c r="O36" s="9"/>
      <c r="P36" s="7">
        <f t="shared" ca="1" si="0"/>
        <v>0.16638888888888889</v>
      </c>
      <c r="Q36" s="7">
        <f t="shared" ca="1" si="14"/>
        <v>1.1884920634920635E-2</v>
      </c>
      <c r="R36" s="33">
        <f t="shared" ca="1" si="2"/>
        <v>8985</v>
      </c>
      <c r="S36" s="33">
        <f t="shared" ca="1" si="3"/>
        <v>-45015</v>
      </c>
      <c r="T36" s="33">
        <f t="shared" ca="1" si="15"/>
        <v>8985</v>
      </c>
      <c r="U36" s="7">
        <f t="shared" ca="1" si="5"/>
        <v>0.19960013328890369</v>
      </c>
      <c r="V36" s="7">
        <f t="shared" ca="1" si="6"/>
        <v>-0.19593676522444173</v>
      </c>
      <c r="W36" s="33">
        <f t="shared" ca="1" si="16"/>
        <v>-45015</v>
      </c>
      <c r="X36" s="7">
        <f t="shared" ca="1" si="17"/>
        <v>-1</v>
      </c>
      <c r="Y36" s="7">
        <f t="shared" ca="1" si="18"/>
        <v>-0.80039986671109631</v>
      </c>
      <c r="Z36" s="7">
        <f t="shared" ca="1" si="10"/>
        <v>-3.9721881206456616E-2</v>
      </c>
      <c r="AA36" s="33">
        <f t="shared" ca="1" si="19"/>
        <v>8985</v>
      </c>
      <c r="AB36" s="7">
        <f t="shared" ca="1" si="20"/>
        <v>1</v>
      </c>
      <c r="AC36" s="7">
        <f t="shared" ca="1" si="13"/>
        <v>0.59980006664445185</v>
      </c>
      <c r="AD36" s="1"/>
      <c r="AE36" s="1"/>
    </row>
    <row r="37" spans="1:31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1"/>
      <c r="N37" s="1"/>
      <c r="O37" s="9"/>
      <c r="P37" s="7">
        <f t="shared" ca="1" si="0"/>
        <v>0.22500000000000003</v>
      </c>
      <c r="Q37" s="7">
        <f t="shared" ca="1" si="14"/>
        <v>1.6071428571428573E-2</v>
      </c>
      <c r="R37" s="33">
        <f t="shared" ca="1" si="2"/>
        <v>9450.0000000000018</v>
      </c>
      <c r="S37" s="33">
        <f t="shared" ca="1" si="3"/>
        <v>-32550</v>
      </c>
      <c r="T37" s="33">
        <f t="shared" ca="1" si="15"/>
        <v>9450.0000000000018</v>
      </c>
      <c r="U37" s="7">
        <f t="shared" ca="1" si="5"/>
        <v>0.29032258064516137</v>
      </c>
      <c r="V37" s="7">
        <f t="shared" ca="1" si="6"/>
        <v>-0.19593676522444173</v>
      </c>
      <c r="W37" s="33">
        <f t="shared" ca="1" si="16"/>
        <v>-32550</v>
      </c>
      <c r="X37" s="7">
        <f t="shared" ca="1" si="17"/>
        <v>-1</v>
      </c>
      <c r="Y37" s="7">
        <f t="shared" ca="1" si="18"/>
        <v>-0.70967741935483863</v>
      </c>
      <c r="Z37" s="7">
        <f t="shared" ca="1" si="10"/>
        <v>-3.9721881206456616E-2</v>
      </c>
      <c r="AA37" s="33">
        <f t="shared" ca="1" si="19"/>
        <v>9450.0000000000018</v>
      </c>
      <c r="AB37" s="7">
        <f t="shared" ca="1" si="20"/>
        <v>1</v>
      </c>
      <c r="AC37" s="7">
        <f t="shared" ca="1" si="13"/>
        <v>0.64516129032258074</v>
      </c>
      <c r="AD37" s="1"/>
      <c r="AE37" s="1"/>
    </row>
    <row r="38" spans="1:31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1"/>
      <c r="N38" s="1"/>
      <c r="O38" s="9"/>
      <c r="P38" s="7">
        <f t="shared" ca="1" si="0"/>
        <v>0.24125000000000002</v>
      </c>
      <c r="Q38" s="7">
        <f t="shared" ca="1" si="14"/>
        <v>1.7232142857142859E-2</v>
      </c>
      <c r="R38" s="33">
        <f t="shared" ca="1" si="2"/>
        <v>8685</v>
      </c>
      <c r="S38" s="33">
        <f t="shared" ca="1" si="3"/>
        <v>-27315</v>
      </c>
      <c r="T38" s="33">
        <f t="shared" ca="1" si="15"/>
        <v>8685</v>
      </c>
      <c r="U38" s="7">
        <f t="shared" ca="1" si="5"/>
        <v>0.31795716639209226</v>
      </c>
      <c r="V38" s="7">
        <f t="shared" ca="1" si="6"/>
        <v>-0.19593676522444173</v>
      </c>
      <c r="W38" s="33">
        <f t="shared" ca="1" si="16"/>
        <v>-27315</v>
      </c>
      <c r="X38" s="7">
        <f t="shared" ca="1" si="17"/>
        <v>-1</v>
      </c>
      <c r="Y38" s="7">
        <f t="shared" ca="1" si="18"/>
        <v>-0.68204283360790774</v>
      </c>
      <c r="Z38" s="7">
        <f t="shared" ca="1" si="10"/>
        <v>-3.9721881206456616E-2</v>
      </c>
      <c r="AA38" s="33">
        <f t="shared" ca="1" si="19"/>
        <v>8685</v>
      </c>
      <c r="AB38" s="7">
        <f t="shared" ca="1" si="20"/>
        <v>1</v>
      </c>
      <c r="AC38" s="7">
        <f t="shared" ca="1" si="13"/>
        <v>0.65897858319604619</v>
      </c>
      <c r="AD38" s="1"/>
      <c r="AE38" s="1"/>
    </row>
    <row r="39" spans="1:31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1"/>
      <c r="N39" s="1"/>
      <c r="O39" s="9"/>
      <c r="P39" s="7">
        <f t="shared" ca="1" si="0"/>
        <v>0.15950000000000003</v>
      </c>
      <c r="Q39" s="7">
        <f t="shared" ca="1" si="14"/>
        <v>1.1392857142857146E-2</v>
      </c>
      <c r="R39" s="33">
        <f t="shared" ca="1" si="2"/>
        <v>4785.0000000000009</v>
      </c>
      <c r="S39" s="33">
        <f t="shared" ca="1" si="3"/>
        <v>-25215</v>
      </c>
      <c r="T39" s="33">
        <f t="shared" ca="1" si="15"/>
        <v>4785.0000000000009</v>
      </c>
      <c r="U39" s="7">
        <f t="shared" ca="1" si="5"/>
        <v>0.18976799524092805</v>
      </c>
      <c r="V39" s="7">
        <f t="shared" ca="1" si="6"/>
        <v>-0.19593676522444173</v>
      </c>
      <c r="W39" s="33">
        <f t="shared" ca="1" si="16"/>
        <v>-25215</v>
      </c>
      <c r="X39" s="7">
        <f t="shared" ca="1" si="17"/>
        <v>-1</v>
      </c>
      <c r="Y39" s="7">
        <f t="shared" ca="1" si="18"/>
        <v>-0.81023200475907198</v>
      </c>
      <c r="Z39" s="7">
        <f t="shared" ca="1" si="10"/>
        <v>-3.9721881206456616E-2</v>
      </c>
      <c r="AA39" s="33">
        <f t="shared" ca="1" si="19"/>
        <v>4785.0000000000009</v>
      </c>
      <c r="AB39" s="7">
        <f t="shared" ca="1" si="20"/>
        <v>1</v>
      </c>
      <c r="AC39" s="7">
        <f t="shared" ca="1" si="13"/>
        <v>0.59488399762046407</v>
      </c>
      <c r="AD39" s="1"/>
      <c r="AE39" s="1"/>
    </row>
    <row r="40" spans="1:31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1"/>
      <c r="N40" s="1"/>
      <c r="O40" s="9"/>
      <c r="P40" s="7">
        <f t="shared" ca="1" si="0"/>
        <v>0.33687500000000004</v>
      </c>
      <c r="Q40" s="7">
        <f t="shared" ca="1" si="14"/>
        <v>2.4062500000000004E-2</v>
      </c>
      <c r="R40" s="33">
        <f t="shared" ca="1" si="2"/>
        <v>8085.0000000000009</v>
      </c>
      <c r="S40" s="33">
        <f t="shared" ca="1" si="3"/>
        <v>-15915</v>
      </c>
      <c r="T40" s="33">
        <f t="shared" ca="1" si="15"/>
        <v>8085.0000000000009</v>
      </c>
      <c r="U40" s="7">
        <f t="shared" ca="1" si="5"/>
        <v>0.5080113100848257</v>
      </c>
      <c r="V40" s="7">
        <f t="shared" ca="1" si="6"/>
        <v>-0.19593676522444173</v>
      </c>
      <c r="W40" s="33">
        <f t="shared" ca="1" si="16"/>
        <v>-15915</v>
      </c>
      <c r="X40" s="7">
        <f t="shared" ca="1" si="17"/>
        <v>-1</v>
      </c>
      <c r="Y40" s="7">
        <f t="shared" ca="1" si="18"/>
        <v>-0.4919886899151743</v>
      </c>
      <c r="Z40" s="7">
        <f t="shared" ca="1" si="10"/>
        <v>-3.9721881206456616E-2</v>
      </c>
      <c r="AA40" s="33">
        <f t="shared" ca="1" si="19"/>
        <v>8085.0000000000009</v>
      </c>
      <c r="AB40" s="7">
        <f t="shared" ca="1" si="20"/>
        <v>1</v>
      </c>
      <c r="AC40" s="7">
        <f t="shared" ca="1" si="13"/>
        <v>0.75400565504241279</v>
      </c>
      <c r="AD40" s="1"/>
      <c r="AE40" s="1"/>
    </row>
    <row r="41" spans="1:31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1"/>
      <c r="N41" s="1"/>
      <c r="O41" s="9"/>
      <c r="P41" s="7">
        <f t="shared" ca="1" si="0"/>
        <v>0.40000000000000008</v>
      </c>
      <c r="Q41" s="7">
        <f t="shared" ca="1" si="14"/>
        <v>2.8571428571428577E-2</v>
      </c>
      <c r="R41" s="33">
        <f t="shared" ca="1" si="2"/>
        <v>7200.0000000000009</v>
      </c>
      <c r="S41" s="33">
        <f t="shared" ca="1" si="3"/>
        <v>-10800</v>
      </c>
      <c r="T41" s="33">
        <f t="shared" ca="1" si="15"/>
        <v>7200.0000000000009</v>
      </c>
      <c r="U41" s="7">
        <f t="shared" ca="1" si="5"/>
        <v>0.66666666666666674</v>
      </c>
      <c r="V41" s="7">
        <f t="shared" ca="1" si="6"/>
        <v>-0.19593676522444173</v>
      </c>
      <c r="W41" s="33">
        <f t="shared" ca="1" si="16"/>
        <v>-10800</v>
      </c>
      <c r="X41" s="7">
        <f t="shared" ca="1" si="17"/>
        <v>-1</v>
      </c>
      <c r="Y41" s="7">
        <f t="shared" ca="1" si="18"/>
        <v>-0.33333333333333326</v>
      </c>
      <c r="Z41" s="7">
        <f t="shared" ca="1" si="10"/>
        <v>-3.9721881206456616E-2</v>
      </c>
      <c r="AA41" s="33">
        <f t="shared" ca="1" si="19"/>
        <v>7200.0000000000009</v>
      </c>
      <c r="AB41" s="7">
        <f t="shared" ca="1" si="20"/>
        <v>1</v>
      </c>
      <c r="AC41" s="7">
        <f t="shared" ca="1" si="13"/>
        <v>0.83333333333333337</v>
      </c>
      <c r="AD41" s="1"/>
      <c r="AE41" s="1"/>
    </row>
    <row r="42" spans="1:31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1"/>
      <c r="N42" s="1"/>
      <c r="O42" s="9"/>
      <c r="P42" s="7">
        <f t="shared" ca="1" si="0"/>
        <v>0.12125000000000004</v>
      </c>
      <c r="Q42" s="7">
        <f t="shared" ca="1" si="14"/>
        <v>8.6607142857142889E-3</v>
      </c>
      <c r="R42" s="33">
        <f t="shared" ca="1" si="2"/>
        <v>1455.0000000000005</v>
      </c>
      <c r="S42" s="33">
        <f t="shared" ca="1" si="3"/>
        <v>-10545</v>
      </c>
      <c r="T42" s="33">
        <f t="shared" ca="1" si="15"/>
        <v>1455.0000000000005</v>
      </c>
      <c r="U42" s="7">
        <f t="shared" ca="1" si="5"/>
        <v>0.13798008534850645</v>
      </c>
      <c r="V42" s="7">
        <f t="shared" ca="1" si="6"/>
        <v>-0.19593676522444173</v>
      </c>
      <c r="W42" s="33">
        <f t="shared" ca="1" si="16"/>
        <v>-10545</v>
      </c>
      <c r="X42" s="7">
        <f t="shared" ca="1" si="17"/>
        <v>-1</v>
      </c>
      <c r="Y42" s="7">
        <f t="shared" ca="1" si="18"/>
        <v>-0.86201991465149352</v>
      </c>
      <c r="Z42" s="7">
        <f t="shared" ca="1" si="10"/>
        <v>-3.9721881206456616E-2</v>
      </c>
      <c r="AA42" s="33">
        <f t="shared" ca="1" si="19"/>
        <v>1455.0000000000005</v>
      </c>
      <c r="AB42" s="7">
        <f t="shared" ca="1" si="20"/>
        <v>1</v>
      </c>
      <c r="AC42" s="7">
        <f t="shared" ca="1" si="13"/>
        <v>0.56899004267425324</v>
      </c>
      <c r="AD42" s="1"/>
      <c r="AE42" s="1"/>
    </row>
    <row r="43" spans="1:31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1"/>
      <c r="N43" s="1"/>
      <c r="O43" s="9"/>
      <c r="P43" s="7">
        <f t="shared" ca="1" si="0"/>
        <v>1.0125000000000002</v>
      </c>
      <c r="Q43" s="7">
        <f t="shared" ca="1" si="14"/>
        <v>7.2321428571428578E-2</v>
      </c>
      <c r="R43" s="33">
        <f t="shared" ca="1" si="2"/>
        <v>6075.0000000000009</v>
      </c>
      <c r="S43" s="33">
        <f t="shared" ca="1" si="3"/>
        <v>75.000000000000909</v>
      </c>
      <c r="T43" s="33">
        <f t="shared" ca="1" si="15"/>
        <v>6075.0000000000009</v>
      </c>
      <c r="U43" s="7">
        <f t="shared" ca="1" si="5"/>
        <v>80.999999999999034</v>
      </c>
      <c r="V43" s="7">
        <f t="shared" ca="1" si="6"/>
        <v>-0.19593676522444173</v>
      </c>
      <c r="W43" s="33">
        <f t="shared" ca="1" si="16"/>
        <v>75.000000000000909</v>
      </c>
      <c r="X43" s="7">
        <f t="shared" ca="1" si="17"/>
        <v>1</v>
      </c>
      <c r="Y43" s="7">
        <f t="shared" ca="1" si="18"/>
        <v>81.999999999999034</v>
      </c>
      <c r="Z43" s="7">
        <f t="shared" ca="1" si="10"/>
        <v>-3.9721881206456616E-2</v>
      </c>
      <c r="AA43" s="33">
        <f t="shared" ca="1" si="19"/>
        <v>6075.0000000000009</v>
      </c>
      <c r="AB43" s="7">
        <f t="shared" ca="1" si="20"/>
        <v>1</v>
      </c>
      <c r="AC43" s="7">
        <f t="shared" ca="1" si="13"/>
        <v>40.999999999999517</v>
      </c>
      <c r="AD43" s="1"/>
      <c r="AE43" s="1"/>
    </row>
    <row r="44" spans="1:31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1"/>
      <c r="N44" s="1"/>
      <c r="O44" s="9"/>
      <c r="P44" s="7">
        <f t="shared" ca="1" si="0"/>
        <v>-0.64750000000000019</v>
      </c>
      <c r="Q44" s="7">
        <f t="shared" ca="1" si="14"/>
        <v>-4.6250000000000013E-2</v>
      </c>
      <c r="R44" s="33">
        <f t="shared" ca="1" si="2"/>
        <v>3885.0000000000009</v>
      </c>
      <c r="S44" s="33">
        <f t="shared" ca="1" si="3"/>
        <v>9885</v>
      </c>
      <c r="T44" s="33">
        <f t="shared" ca="1" si="15"/>
        <v>3885.0000000000009</v>
      </c>
      <c r="U44" s="7">
        <f t="shared" ca="1" si="5"/>
        <v>0.39301972685887721</v>
      </c>
      <c r="V44" s="7">
        <f t="shared" ca="1" si="6"/>
        <v>-0.19593676522444173</v>
      </c>
      <c r="W44" s="33">
        <f t="shared" ca="1" si="16"/>
        <v>3885.0000000000009</v>
      </c>
      <c r="X44" s="7">
        <f t="shared" ca="1" si="17"/>
        <v>0.39301972685887721</v>
      </c>
      <c r="Y44" s="7">
        <f t="shared" ca="1" si="18"/>
        <v>0.78603945371775441</v>
      </c>
      <c r="Z44" s="7">
        <f t="shared" ca="1" si="10"/>
        <v>-3.9721881206456616E-2</v>
      </c>
      <c r="AA44" s="33">
        <f t="shared" ca="1" si="19"/>
        <v>3885.0000000000009</v>
      </c>
      <c r="AB44" s="7">
        <f t="shared" ca="1" si="20"/>
        <v>1</v>
      </c>
      <c r="AC44" s="7">
        <f t="shared" ca="1" si="13"/>
        <v>0.69650986342943866</v>
      </c>
      <c r="AD44" s="1"/>
      <c r="AE44" s="1"/>
    </row>
    <row r="45" spans="1:31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1"/>
      <c r="N45" s="1"/>
      <c r="O45" s="9"/>
      <c r="P45" s="7">
        <f t="shared" ca="1" si="0"/>
        <v>-0.26250000000000001</v>
      </c>
      <c r="Q45" s="7">
        <f t="shared" ca="1" si="14"/>
        <v>-1.8749999999999999E-2</v>
      </c>
      <c r="R45" s="33">
        <f t="shared" ca="1" si="2"/>
        <v>3150</v>
      </c>
      <c r="S45" s="33">
        <f t="shared" ca="1" si="3"/>
        <v>15150</v>
      </c>
      <c r="T45" s="33">
        <f t="shared" ca="1" si="15"/>
        <v>3150</v>
      </c>
      <c r="U45" s="7">
        <f t="shared" ca="1" si="5"/>
        <v>0.20792079207920791</v>
      </c>
      <c r="V45" s="7">
        <f t="shared" ca="1" si="6"/>
        <v>-0.19593676522444173</v>
      </c>
      <c r="W45" s="33">
        <f t="shared" ca="1" si="16"/>
        <v>3150</v>
      </c>
      <c r="X45" s="7">
        <f t="shared" ca="1" si="17"/>
        <v>0.20792079207920791</v>
      </c>
      <c r="Y45" s="7">
        <f t="shared" ca="1" si="18"/>
        <v>0.41584158415841582</v>
      </c>
      <c r="Z45" s="7">
        <f t="shared" ca="1" si="10"/>
        <v>-3.9721881206456616E-2</v>
      </c>
      <c r="AA45" s="33">
        <f t="shared" ca="1" si="19"/>
        <v>3150</v>
      </c>
      <c r="AB45" s="7">
        <f t="shared" ca="1" si="20"/>
        <v>1</v>
      </c>
      <c r="AC45" s="7">
        <f t="shared" ca="1" si="13"/>
        <v>0.60396039603960394</v>
      </c>
      <c r="AD45" s="1"/>
      <c r="AE45" s="1"/>
    </row>
    <row r="46" spans="1:31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1"/>
      <c r="N46" s="1"/>
      <c r="O46" s="9"/>
      <c r="P46" s="7">
        <f t="shared" ca="1" si="0"/>
        <v>0.10269230769230769</v>
      </c>
      <c r="Q46" s="7">
        <f t="shared" ca="1" si="14"/>
        <v>7.3351648351648356E-3</v>
      </c>
      <c r="R46" s="33">
        <f t="shared" ca="1" si="2"/>
        <v>29370</v>
      </c>
      <c r="S46" s="33">
        <f t="shared" ca="1" si="3"/>
        <v>-256630</v>
      </c>
      <c r="T46" s="33">
        <f t="shared" ca="1" si="15"/>
        <v>29370</v>
      </c>
      <c r="U46" s="7">
        <f t="shared" ca="1" si="5"/>
        <v>0.11444492070295756</v>
      </c>
      <c r="V46" s="7">
        <f t="shared" ca="1" si="6"/>
        <v>-0.29749080608810924</v>
      </c>
      <c r="W46" s="33">
        <f t="shared" ca="1" si="16"/>
        <v>-132075.1244499076</v>
      </c>
      <c r="X46" s="7">
        <f t="shared" ca="1" si="17"/>
        <v>-0.51465192865178511</v>
      </c>
      <c r="Y46" s="7">
        <f t="shared" ca="1" si="18"/>
        <v>-0.40020700794882758</v>
      </c>
      <c r="Z46" s="7">
        <f t="shared" ca="1" si="10"/>
        <v>-6.2092879062044866E-2</v>
      </c>
      <c r="AA46" s="33">
        <f t="shared" ca="1" si="19"/>
        <v>29370</v>
      </c>
      <c r="AB46" s="7">
        <f t="shared" ca="1" si="20"/>
        <v>1</v>
      </c>
      <c r="AC46" s="7">
        <f t="shared" ca="1" si="13"/>
        <v>0.55722246035147882</v>
      </c>
      <c r="AD46" s="1"/>
      <c r="AE46" s="1"/>
    </row>
    <row r="47" spans="1:31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1"/>
      <c r="N47" s="1"/>
      <c r="O47" s="9"/>
      <c r="P47" s="7">
        <f t="shared" ca="1" si="0"/>
        <v>0.13722222222222222</v>
      </c>
      <c r="Q47" s="7">
        <f t="shared" ca="1" si="14"/>
        <v>9.8015873015873008E-3</v>
      </c>
      <c r="R47" s="33">
        <f t="shared" ca="1" si="2"/>
        <v>27170</v>
      </c>
      <c r="S47" s="33">
        <f t="shared" ca="1" si="3"/>
        <v>-170830</v>
      </c>
      <c r="T47" s="33">
        <f t="shared" ca="1" si="15"/>
        <v>27170</v>
      </c>
      <c r="U47" s="7">
        <f t="shared" ca="1" si="5"/>
        <v>0.15904700579523504</v>
      </c>
      <c r="V47" s="7">
        <f t="shared" ca="1" si="6"/>
        <v>-0.29749080608810924</v>
      </c>
      <c r="W47" s="33">
        <f t="shared" ca="1" si="16"/>
        <v>-134275.1244499076</v>
      </c>
      <c r="X47" s="7">
        <f t="shared" ca="1" si="17"/>
        <v>-0.7860160653861008</v>
      </c>
      <c r="Y47" s="7">
        <f t="shared" ca="1" si="18"/>
        <v>-0.6269690595908658</v>
      </c>
      <c r="Z47" s="7">
        <f t="shared" ca="1" si="10"/>
        <v>-6.2092879062044866E-2</v>
      </c>
      <c r="AA47" s="33">
        <f t="shared" ca="1" si="19"/>
        <v>27170</v>
      </c>
      <c r="AB47" s="7">
        <f t="shared" ca="1" si="20"/>
        <v>1</v>
      </c>
      <c r="AC47" s="7">
        <f t="shared" ca="1" si="13"/>
        <v>0.57952350289761756</v>
      </c>
      <c r="AD47" s="1"/>
      <c r="AE47" s="1"/>
    </row>
    <row r="48" spans="1:31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1"/>
      <c r="N48" s="1"/>
      <c r="O48" s="9"/>
      <c r="P48" s="7">
        <f t="shared" ca="1" si="0"/>
        <v>0.16187500000000002</v>
      </c>
      <c r="Q48" s="7">
        <f t="shared" ca="1" si="14"/>
        <v>1.1562500000000002E-2</v>
      </c>
      <c r="R48" s="33">
        <f t="shared" ca="1" si="2"/>
        <v>28490.000000000004</v>
      </c>
      <c r="S48" s="33">
        <f t="shared" ca="1" si="3"/>
        <v>-147510</v>
      </c>
      <c r="T48" s="33">
        <f t="shared" ca="1" si="15"/>
        <v>28490.000000000004</v>
      </c>
      <c r="U48" s="7">
        <f t="shared" ca="1" si="5"/>
        <v>0.19313944817300524</v>
      </c>
      <c r="V48" s="7">
        <f t="shared" ca="1" si="6"/>
        <v>-0.29749080608810924</v>
      </c>
      <c r="W48" s="33">
        <f t="shared" ca="1" si="16"/>
        <v>-132955.1244499076</v>
      </c>
      <c r="X48" s="7">
        <f t="shared" ca="1" si="17"/>
        <v>-0.90132956714736356</v>
      </c>
      <c r="Y48" s="7">
        <f t="shared" ca="1" si="18"/>
        <v>-0.70819011897435835</v>
      </c>
      <c r="Z48" s="7">
        <f t="shared" ca="1" si="10"/>
        <v>-6.2092879062044866E-2</v>
      </c>
      <c r="AA48" s="33">
        <f t="shared" ca="1" si="19"/>
        <v>28490.000000000004</v>
      </c>
      <c r="AB48" s="7">
        <f t="shared" ca="1" si="20"/>
        <v>1</v>
      </c>
      <c r="AC48" s="7">
        <f t="shared" ca="1" si="13"/>
        <v>0.59656972408650266</v>
      </c>
      <c r="AD48" s="1"/>
      <c r="AE48" s="1"/>
    </row>
    <row r="49" spans="1:31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1"/>
      <c r="N49" s="1"/>
      <c r="O49" s="9"/>
      <c r="P49" s="7">
        <f t="shared" ca="1" si="0"/>
        <v>0.17857142857142858</v>
      </c>
      <c r="Q49" s="7">
        <f t="shared" ca="1" si="14"/>
        <v>1.2755102040816327E-2</v>
      </c>
      <c r="R49" s="33">
        <f t="shared" ca="1" si="2"/>
        <v>27500</v>
      </c>
      <c r="S49" s="33">
        <f t="shared" ca="1" si="3"/>
        <v>-126500</v>
      </c>
      <c r="T49" s="33">
        <f t="shared" ca="1" si="15"/>
        <v>27500</v>
      </c>
      <c r="U49" s="7">
        <f t="shared" ca="1" si="5"/>
        <v>0.21739130434782608</v>
      </c>
      <c r="V49" s="7">
        <f t="shared" ca="1" si="6"/>
        <v>-0.29749080608810924</v>
      </c>
      <c r="W49" s="33">
        <f t="shared" ca="1" si="16"/>
        <v>-126500</v>
      </c>
      <c r="X49" s="7">
        <f t="shared" ca="1" si="17"/>
        <v>-1</v>
      </c>
      <c r="Y49" s="7">
        <f t="shared" ca="1" si="18"/>
        <v>-0.78260869565217395</v>
      </c>
      <c r="Z49" s="7">
        <f t="shared" ca="1" si="10"/>
        <v>-6.2092879062044866E-2</v>
      </c>
      <c r="AA49" s="33">
        <f t="shared" ca="1" si="19"/>
        <v>27500</v>
      </c>
      <c r="AB49" s="7">
        <f t="shared" ca="1" si="20"/>
        <v>1</v>
      </c>
      <c r="AC49" s="7">
        <f t="shared" ca="1" si="13"/>
        <v>0.60869565217391308</v>
      </c>
      <c r="AD49" s="1"/>
      <c r="AE49" s="1"/>
    </row>
    <row r="50" spans="1:31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1"/>
      <c r="N50" s="1"/>
      <c r="O50" s="9"/>
      <c r="P50" s="7">
        <f t="shared" ca="1" si="0"/>
        <v>0.16083333333333333</v>
      </c>
      <c r="Q50" s="7">
        <f t="shared" ca="1" si="14"/>
        <v>1.1488095238095238E-2</v>
      </c>
      <c r="R50" s="33">
        <f t="shared" ca="1" si="2"/>
        <v>21230</v>
      </c>
      <c r="S50" s="33">
        <f t="shared" ca="1" si="3"/>
        <v>-110770</v>
      </c>
      <c r="T50" s="33">
        <f t="shared" ca="1" si="15"/>
        <v>21230</v>
      </c>
      <c r="U50" s="7">
        <f t="shared" ca="1" si="5"/>
        <v>0.19165839126117179</v>
      </c>
      <c r="V50" s="7">
        <f t="shared" ca="1" si="6"/>
        <v>-0.29749080608810924</v>
      </c>
      <c r="W50" s="33">
        <f t="shared" ca="1" si="16"/>
        <v>-110770</v>
      </c>
      <c r="X50" s="7">
        <f t="shared" ca="1" si="17"/>
        <v>-1</v>
      </c>
      <c r="Y50" s="7">
        <f t="shared" ca="1" si="18"/>
        <v>-0.80834160873882821</v>
      </c>
      <c r="Z50" s="7">
        <f t="shared" ca="1" si="10"/>
        <v>-6.2092879062044866E-2</v>
      </c>
      <c r="AA50" s="33">
        <f t="shared" ca="1" si="19"/>
        <v>21230</v>
      </c>
      <c r="AB50" s="7">
        <f t="shared" ca="1" si="20"/>
        <v>1</v>
      </c>
      <c r="AC50" s="7">
        <f t="shared" ca="1" si="13"/>
        <v>0.59582919563058589</v>
      </c>
      <c r="AD50" s="1"/>
      <c r="AE50" s="1"/>
    </row>
    <row r="51" spans="1:31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1"/>
      <c r="N51" s="1"/>
      <c r="O51" s="9"/>
      <c r="P51" s="7">
        <f t="shared" ca="1" si="0"/>
        <v>0.16636363636363638</v>
      </c>
      <c r="Q51" s="7">
        <f t="shared" ca="1" si="14"/>
        <v>1.1883116883116884E-2</v>
      </c>
      <c r="R51" s="33">
        <f t="shared" ca="1" si="2"/>
        <v>20130</v>
      </c>
      <c r="S51" s="33">
        <f t="shared" ca="1" si="3"/>
        <v>-100870</v>
      </c>
      <c r="T51" s="33">
        <f t="shared" ca="1" si="15"/>
        <v>20130</v>
      </c>
      <c r="U51" s="7">
        <f t="shared" ca="1" si="5"/>
        <v>0.19956379498364232</v>
      </c>
      <c r="V51" s="7">
        <f t="shared" ca="1" si="6"/>
        <v>-0.29749080608810924</v>
      </c>
      <c r="W51" s="33">
        <f t="shared" ca="1" si="16"/>
        <v>-100870</v>
      </c>
      <c r="X51" s="7">
        <f t="shared" ca="1" si="17"/>
        <v>-1</v>
      </c>
      <c r="Y51" s="7">
        <f t="shared" ca="1" si="18"/>
        <v>-0.8004362050163577</v>
      </c>
      <c r="Z51" s="7">
        <f t="shared" ca="1" si="10"/>
        <v>-6.2092879062044866E-2</v>
      </c>
      <c r="AA51" s="33">
        <f t="shared" ca="1" si="19"/>
        <v>20130</v>
      </c>
      <c r="AB51" s="7">
        <f t="shared" ca="1" si="20"/>
        <v>1</v>
      </c>
      <c r="AC51" s="7">
        <f t="shared" ca="1" si="13"/>
        <v>0.5997818974918212</v>
      </c>
      <c r="AD51" s="1"/>
      <c r="AE51" s="1"/>
    </row>
    <row r="52" spans="1:31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1"/>
      <c r="N52" s="1"/>
      <c r="O52" s="9"/>
      <c r="P52" s="7">
        <f t="shared" ca="1" si="0"/>
        <v>0.193</v>
      </c>
      <c r="Q52" s="7">
        <f t="shared" ca="1" si="14"/>
        <v>1.3785714285714287E-2</v>
      </c>
      <c r="R52" s="33">
        <f t="shared" ca="1" si="2"/>
        <v>21230</v>
      </c>
      <c r="S52" s="33">
        <f t="shared" ca="1" si="3"/>
        <v>-88770</v>
      </c>
      <c r="T52" s="33">
        <f t="shared" ca="1" si="15"/>
        <v>21230</v>
      </c>
      <c r="U52" s="7">
        <f t="shared" ca="1" si="5"/>
        <v>0.23915737298636927</v>
      </c>
      <c r="V52" s="7">
        <f t="shared" ca="1" si="6"/>
        <v>-0.29749080608810924</v>
      </c>
      <c r="W52" s="33">
        <f t="shared" ca="1" si="16"/>
        <v>-88770</v>
      </c>
      <c r="X52" s="7">
        <f t="shared" ca="1" si="17"/>
        <v>-1</v>
      </c>
      <c r="Y52" s="7">
        <f t="shared" ca="1" si="18"/>
        <v>-0.7608426270136307</v>
      </c>
      <c r="Z52" s="7">
        <f t="shared" ca="1" si="10"/>
        <v>-6.2092879062044866E-2</v>
      </c>
      <c r="AA52" s="33">
        <f t="shared" ca="1" si="19"/>
        <v>21230</v>
      </c>
      <c r="AB52" s="7">
        <f t="shared" ca="1" si="20"/>
        <v>1</v>
      </c>
      <c r="AC52" s="7">
        <f t="shared" ca="1" si="13"/>
        <v>0.61957868649318459</v>
      </c>
      <c r="AD52" s="1"/>
      <c r="AE52" s="1"/>
    </row>
    <row r="53" spans="1:31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1"/>
      <c r="N53" s="1"/>
      <c r="O53" s="9"/>
      <c r="P53" s="7">
        <f t="shared" ca="1" si="0"/>
        <v>0.23500000000000001</v>
      </c>
      <c r="Q53" s="7">
        <f t="shared" ca="1" si="14"/>
        <v>1.6785714285714286E-2</v>
      </c>
      <c r="R53" s="33">
        <f t="shared" ca="1" si="2"/>
        <v>20680</v>
      </c>
      <c r="S53" s="33">
        <f t="shared" ca="1" si="3"/>
        <v>-67320</v>
      </c>
      <c r="T53" s="33">
        <f t="shared" ca="1" si="15"/>
        <v>20680</v>
      </c>
      <c r="U53" s="7">
        <f t="shared" ca="1" si="5"/>
        <v>0.30718954248366015</v>
      </c>
      <c r="V53" s="7">
        <f t="shared" ca="1" si="6"/>
        <v>-0.29749080608810924</v>
      </c>
      <c r="W53" s="33">
        <f t="shared" ca="1" si="16"/>
        <v>-67320</v>
      </c>
      <c r="X53" s="7">
        <f t="shared" ca="1" si="17"/>
        <v>-1</v>
      </c>
      <c r="Y53" s="7">
        <f t="shared" ca="1" si="18"/>
        <v>-0.69281045751633985</v>
      </c>
      <c r="Z53" s="7">
        <f t="shared" ca="1" si="10"/>
        <v>-6.2092879062044866E-2</v>
      </c>
      <c r="AA53" s="33">
        <f t="shared" ca="1" si="19"/>
        <v>20680</v>
      </c>
      <c r="AB53" s="7">
        <f t="shared" ca="1" si="20"/>
        <v>1</v>
      </c>
      <c r="AC53" s="7">
        <f t="shared" ca="1" si="13"/>
        <v>0.65359477124183007</v>
      </c>
      <c r="AD53" s="1"/>
      <c r="AE53" s="1"/>
    </row>
    <row r="54" spans="1:31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1"/>
      <c r="N54" s="1"/>
      <c r="O54" s="9"/>
      <c r="P54" s="7">
        <f t="shared" ca="1" si="0"/>
        <v>0.28250000000000003</v>
      </c>
      <c r="Q54" s="7">
        <f t="shared" ca="1" si="14"/>
        <v>2.0178571428571431E-2</v>
      </c>
      <c r="R54" s="33">
        <f t="shared" ca="1" si="2"/>
        <v>12430</v>
      </c>
      <c r="S54" s="33">
        <f t="shared" ca="1" si="3"/>
        <v>-31570</v>
      </c>
      <c r="T54" s="33">
        <f t="shared" ca="1" si="15"/>
        <v>12430</v>
      </c>
      <c r="U54" s="7">
        <f t="shared" ca="1" si="5"/>
        <v>0.39372822299651566</v>
      </c>
      <c r="V54" s="7">
        <f t="shared" ca="1" si="6"/>
        <v>-0.29749080608810924</v>
      </c>
      <c r="W54" s="33">
        <f t="shared" ca="1" si="16"/>
        <v>-31570</v>
      </c>
      <c r="X54" s="7">
        <f t="shared" ca="1" si="17"/>
        <v>-1</v>
      </c>
      <c r="Y54" s="7">
        <f t="shared" ca="1" si="18"/>
        <v>-0.60627177700348434</v>
      </c>
      <c r="Z54" s="7">
        <f t="shared" ca="1" si="10"/>
        <v>-6.2092879062044866E-2</v>
      </c>
      <c r="AA54" s="33">
        <f t="shared" ca="1" si="19"/>
        <v>12430</v>
      </c>
      <c r="AB54" s="7">
        <f t="shared" ca="1" si="20"/>
        <v>1</v>
      </c>
      <c r="AC54" s="7">
        <f t="shared" ca="1" si="13"/>
        <v>0.69686411149825789</v>
      </c>
      <c r="AD54" s="1"/>
      <c r="AE54" s="1"/>
    </row>
    <row r="55" spans="1:31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1"/>
      <c r="N55" s="1"/>
      <c r="O55" s="9"/>
      <c r="P55" s="7">
        <f t="shared" ca="1" si="0"/>
        <v>0.26500000000000001</v>
      </c>
      <c r="Q55" s="7">
        <f t="shared" ca="1" si="14"/>
        <v>1.892857142857143E-2</v>
      </c>
      <c r="R55" s="33">
        <f t="shared" ca="1" si="2"/>
        <v>5830.0000000000009</v>
      </c>
      <c r="S55" s="33">
        <f t="shared" ca="1" si="3"/>
        <v>-16170</v>
      </c>
      <c r="T55" s="33">
        <f t="shared" ca="1" si="15"/>
        <v>5830.0000000000009</v>
      </c>
      <c r="U55" s="7">
        <f t="shared" ca="1" si="5"/>
        <v>0.3605442176870749</v>
      </c>
      <c r="V55" s="7">
        <f t="shared" ca="1" si="6"/>
        <v>-0.29749080608810924</v>
      </c>
      <c r="W55" s="33">
        <f t="shared" ca="1" si="16"/>
        <v>-16170</v>
      </c>
      <c r="X55" s="7">
        <f t="shared" ca="1" si="17"/>
        <v>-1</v>
      </c>
      <c r="Y55" s="7">
        <f t="shared" ca="1" si="18"/>
        <v>-0.6394557823129251</v>
      </c>
      <c r="Z55" s="7">
        <f t="shared" ca="1" si="10"/>
        <v>-6.2092879062044866E-2</v>
      </c>
      <c r="AA55" s="33">
        <f t="shared" ca="1" si="19"/>
        <v>5830.0000000000009</v>
      </c>
      <c r="AB55" s="7">
        <f t="shared" ca="1" si="20"/>
        <v>1</v>
      </c>
      <c r="AC55" s="7">
        <f t="shared" ca="1" si="13"/>
        <v>0.6802721088435375</v>
      </c>
      <c r="AD55" s="1"/>
      <c r="AE55" s="1"/>
    </row>
    <row r="56" spans="1:31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1"/>
      <c r="N56" s="1"/>
      <c r="O56" s="9"/>
      <c r="P56" s="7">
        <f t="shared" ca="1" si="0"/>
        <v>0.11705882352941176</v>
      </c>
      <c r="Q56" s="7">
        <f t="shared" ca="1" si="14"/>
        <v>8.3613445378151255E-3</v>
      </c>
      <c r="R56" s="33">
        <f t="shared" ca="1" si="2"/>
        <v>22885</v>
      </c>
      <c r="S56" s="33">
        <f t="shared" ca="1" si="3"/>
        <v>-172615</v>
      </c>
      <c r="T56" s="33">
        <f t="shared" ca="1" si="15"/>
        <v>22885</v>
      </c>
      <c r="U56" s="7">
        <f t="shared" ca="1" si="5"/>
        <v>0.13257828114590273</v>
      </c>
      <c r="V56" s="7">
        <f t="shared" ca="1" si="6"/>
        <v>-0.19510024720689637</v>
      </c>
      <c r="W56" s="33">
        <f t="shared" ca="1" si="16"/>
        <v>-65056.006004809984</v>
      </c>
      <c r="X56" s="7">
        <f t="shared" ca="1" si="17"/>
        <v>-0.37688501002120317</v>
      </c>
      <c r="Y56" s="7">
        <f t="shared" ca="1" si="18"/>
        <v>-0.24430672887530044</v>
      </c>
      <c r="Z56" s="7">
        <f t="shared" ca="1" si="10"/>
        <v>-6.5087475671695955E-2</v>
      </c>
      <c r="AA56" s="33">
        <f t="shared" ca="1" si="19"/>
        <v>22885</v>
      </c>
      <c r="AB56" s="7">
        <f t="shared" ca="1" si="20"/>
        <v>1</v>
      </c>
      <c r="AC56" s="7">
        <f t="shared" ca="1" si="13"/>
        <v>0.56628914057295132</v>
      </c>
      <c r="AD56" s="1"/>
      <c r="AE56" s="1"/>
    </row>
    <row r="57" spans="1:31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1"/>
      <c r="N57" s="1"/>
      <c r="O57" s="41"/>
      <c r="P57" s="7">
        <f t="shared" ca="1" si="0"/>
        <v>0.13666666666666666</v>
      </c>
      <c r="Q57" s="7">
        <f t="shared" ca="1" si="14"/>
        <v>9.7619047619047616E-3</v>
      </c>
      <c r="R57" s="33">
        <f t="shared" ca="1" si="2"/>
        <v>23575</v>
      </c>
      <c r="S57" s="33">
        <f t="shared" ca="1" si="3"/>
        <v>-148925</v>
      </c>
      <c r="T57" s="33">
        <f t="shared" ca="1" si="15"/>
        <v>23575</v>
      </c>
      <c r="U57" s="7">
        <f t="shared" ca="1" si="5"/>
        <v>0.15830115830115829</v>
      </c>
      <c r="V57" s="7">
        <f t="shared" ca="1" si="6"/>
        <v>-0.19510024720689637</v>
      </c>
      <c r="W57" s="33">
        <f t="shared" ca="1" si="16"/>
        <v>-64366.006004809984</v>
      </c>
      <c r="X57" s="7">
        <f t="shared" ca="1" si="17"/>
        <v>-0.43220416991646793</v>
      </c>
      <c r="Y57" s="7">
        <f t="shared" ca="1" si="18"/>
        <v>-0.27390301161530961</v>
      </c>
      <c r="Z57" s="7">
        <f t="shared" ca="1" si="10"/>
        <v>-6.5087475671695955E-2</v>
      </c>
      <c r="AA57" s="33">
        <f t="shared" ca="1" si="19"/>
        <v>23575</v>
      </c>
      <c r="AB57" s="7">
        <f t="shared" ca="1" si="20"/>
        <v>1</v>
      </c>
      <c r="AC57" s="7">
        <f t="shared" ca="1" si="13"/>
        <v>0.5791505791505791</v>
      </c>
      <c r="AD57" s="1"/>
      <c r="AE57" s="1"/>
    </row>
    <row r="58" spans="1:31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1"/>
      <c r="N58" s="1"/>
      <c r="O58" s="9"/>
      <c r="P58" s="7">
        <f t="shared" ca="1" si="0"/>
        <v>0.15923076923076923</v>
      </c>
      <c r="Q58" s="7">
        <f t="shared" ca="1" si="14"/>
        <v>1.1373626373626374E-2</v>
      </c>
      <c r="R58" s="33">
        <f t="shared" ca="1" si="2"/>
        <v>23805</v>
      </c>
      <c r="S58" s="33">
        <f t="shared" ca="1" si="3"/>
        <v>-125695</v>
      </c>
      <c r="T58" s="33">
        <f t="shared" ca="1" si="15"/>
        <v>23805</v>
      </c>
      <c r="U58" s="7">
        <f t="shared" ca="1" si="5"/>
        <v>0.18938700823421775</v>
      </c>
      <c r="V58" s="7">
        <f t="shared" ca="1" si="6"/>
        <v>-0.19510024720689637</v>
      </c>
      <c r="W58" s="33">
        <f t="shared" ca="1" si="16"/>
        <v>-64136.006004809984</v>
      </c>
      <c r="X58" s="7">
        <f t="shared" ca="1" si="17"/>
        <v>-0.5102510521883129</v>
      </c>
      <c r="Y58" s="7">
        <f t="shared" ca="1" si="18"/>
        <v>-0.32086404395409518</v>
      </c>
      <c r="Z58" s="7">
        <f t="shared" ca="1" si="10"/>
        <v>-6.5087475671695955E-2</v>
      </c>
      <c r="AA58" s="33">
        <f t="shared" ca="1" si="19"/>
        <v>23805</v>
      </c>
      <c r="AB58" s="7">
        <f t="shared" ca="1" si="20"/>
        <v>1</v>
      </c>
      <c r="AC58" s="7">
        <f t="shared" ca="1" si="13"/>
        <v>0.59469350411710886</v>
      </c>
      <c r="AD58" s="1"/>
      <c r="AE58" s="1"/>
    </row>
    <row r="59" spans="1:31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1"/>
      <c r="N59" s="1"/>
      <c r="O59" s="9"/>
      <c r="P59" s="7">
        <f t="shared" ca="1" si="0"/>
        <v>0.17636363636363636</v>
      </c>
      <c r="Q59" s="7">
        <f t="shared" ca="1" si="14"/>
        <v>1.2597402597402597E-2</v>
      </c>
      <c r="R59" s="33">
        <f t="shared" ca="1" si="2"/>
        <v>22310</v>
      </c>
      <c r="S59" s="33">
        <f t="shared" ca="1" si="3"/>
        <v>-104190</v>
      </c>
      <c r="T59" s="33">
        <f t="shared" ca="1" si="15"/>
        <v>22310</v>
      </c>
      <c r="U59" s="7">
        <f t="shared" ca="1" si="5"/>
        <v>0.21412803532008831</v>
      </c>
      <c r="V59" s="7">
        <f t="shared" ca="1" si="6"/>
        <v>-0.19510024720689637</v>
      </c>
      <c r="W59" s="33">
        <f t="shared" ca="1" si="16"/>
        <v>-65631.006004809984</v>
      </c>
      <c r="X59" s="7">
        <f t="shared" ca="1" si="17"/>
        <v>-0.62991655633755628</v>
      </c>
      <c r="Y59" s="7">
        <f t="shared" ca="1" si="18"/>
        <v>-0.41578852101746799</v>
      </c>
      <c r="Z59" s="7">
        <f t="shared" ca="1" si="10"/>
        <v>-6.5087475671695955E-2</v>
      </c>
      <c r="AA59" s="33">
        <f t="shared" ca="1" si="19"/>
        <v>22310</v>
      </c>
      <c r="AB59" s="7">
        <f t="shared" ca="1" si="20"/>
        <v>1</v>
      </c>
      <c r="AC59" s="7">
        <f t="shared" ca="1" si="13"/>
        <v>0.60706401766004414</v>
      </c>
      <c r="AD59" s="1"/>
      <c r="AE59" s="1"/>
    </row>
    <row r="60" spans="1:31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1"/>
      <c r="N60" s="1"/>
      <c r="O60" s="9"/>
      <c r="P60" s="7">
        <f t="shared" ca="1" si="0"/>
        <v>0.22555555555555554</v>
      </c>
      <c r="Q60" s="7">
        <f t="shared" ca="1" si="14"/>
        <v>1.6111111111111111E-2</v>
      </c>
      <c r="R60" s="33">
        <f t="shared" ca="1" si="2"/>
        <v>23344.999999999996</v>
      </c>
      <c r="S60" s="33">
        <f t="shared" ca="1" si="3"/>
        <v>-80155</v>
      </c>
      <c r="T60" s="33">
        <f t="shared" ca="1" si="15"/>
        <v>23344.999999999996</v>
      </c>
      <c r="U60" s="7">
        <f t="shared" ca="1" si="5"/>
        <v>0.29124820659971301</v>
      </c>
      <c r="V60" s="7">
        <f t="shared" ca="1" si="6"/>
        <v>-0.19510024720689637</v>
      </c>
      <c r="W60" s="33">
        <f t="shared" ca="1" si="16"/>
        <v>-64596.006004809984</v>
      </c>
      <c r="X60" s="7">
        <f t="shared" ca="1" si="17"/>
        <v>-0.80588866577019502</v>
      </c>
      <c r="Y60" s="7">
        <f t="shared" ca="1" si="18"/>
        <v>-0.51464045917048207</v>
      </c>
      <c r="Z60" s="7">
        <f t="shared" ca="1" si="10"/>
        <v>-6.5087475671695955E-2</v>
      </c>
      <c r="AA60" s="33">
        <f t="shared" ca="1" si="19"/>
        <v>23344.999999999996</v>
      </c>
      <c r="AB60" s="7">
        <f t="shared" ca="1" si="20"/>
        <v>1</v>
      </c>
      <c r="AC60" s="7">
        <f t="shared" ca="1" si="13"/>
        <v>0.64562410329985653</v>
      </c>
      <c r="AD60" s="1"/>
      <c r="AE60" s="1"/>
    </row>
    <row r="61" spans="1:31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1"/>
      <c r="N61" s="1"/>
      <c r="O61" s="9"/>
      <c r="P61" s="7">
        <f t="shared" ca="1" si="0"/>
        <v>0.2614285714285714</v>
      </c>
      <c r="Q61" s="7">
        <f t="shared" ca="1" si="14"/>
        <v>1.86734693877551E-2</v>
      </c>
      <c r="R61" s="33">
        <f t="shared" ca="1" si="2"/>
        <v>21044.999999999996</v>
      </c>
      <c r="S61" s="33">
        <f t="shared" ca="1" si="3"/>
        <v>-59455</v>
      </c>
      <c r="T61" s="33">
        <f t="shared" ca="1" si="15"/>
        <v>21044.999999999996</v>
      </c>
      <c r="U61" s="7">
        <f t="shared" ca="1" si="5"/>
        <v>0.35396518375241776</v>
      </c>
      <c r="V61" s="7">
        <f t="shared" ca="1" si="6"/>
        <v>-0.19510024720689637</v>
      </c>
      <c r="W61" s="33">
        <f t="shared" ca="1" si="16"/>
        <v>-59455</v>
      </c>
      <c r="X61" s="7">
        <f t="shared" ca="1" si="17"/>
        <v>-1</v>
      </c>
      <c r="Y61" s="7">
        <f t="shared" ca="1" si="18"/>
        <v>-0.64603481624758219</v>
      </c>
      <c r="Z61" s="7">
        <f t="shared" ca="1" si="10"/>
        <v>-6.5087475671695955E-2</v>
      </c>
      <c r="AA61" s="33">
        <f t="shared" ca="1" si="19"/>
        <v>21044.999999999996</v>
      </c>
      <c r="AB61" s="7">
        <f t="shared" ca="1" si="20"/>
        <v>1</v>
      </c>
      <c r="AC61" s="7">
        <f t="shared" ca="1" si="13"/>
        <v>0.67698259187620891</v>
      </c>
      <c r="AD61" s="1"/>
      <c r="AE61" s="1"/>
    </row>
    <row r="62" spans="1:31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1"/>
      <c r="N62" s="1"/>
      <c r="O62" s="9"/>
      <c r="P62" s="7">
        <f t="shared" ca="1" si="0"/>
        <v>0.30199999999999994</v>
      </c>
      <c r="Q62" s="7">
        <f t="shared" ca="1" si="14"/>
        <v>2.1571428571428568E-2</v>
      </c>
      <c r="R62" s="33">
        <f t="shared" ca="1" si="2"/>
        <v>17364.999999999996</v>
      </c>
      <c r="S62" s="33">
        <f t="shared" ca="1" si="3"/>
        <v>-40135</v>
      </c>
      <c r="T62" s="33">
        <f t="shared" ca="1" si="15"/>
        <v>17364.999999999996</v>
      </c>
      <c r="U62" s="7">
        <f t="shared" ca="1" si="5"/>
        <v>0.43266475644699132</v>
      </c>
      <c r="V62" s="7">
        <f t="shared" ca="1" si="6"/>
        <v>-0.19510024720689637</v>
      </c>
      <c r="W62" s="33">
        <f t="shared" ca="1" si="16"/>
        <v>-40135</v>
      </c>
      <c r="X62" s="7">
        <f t="shared" ca="1" si="17"/>
        <v>-1</v>
      </c>
      <c r="Y62" s="7">
        <f t="shared" ca="1" si="18"/>
        <v>-0.56733524355300868</v>
      </c>
      <c r="Z62" s="7">
        <f t="shared" ca="1" si="10"/>
        <v>-6.5087475671695955E-2</v>
      </c>
      <c r="AA62" s="33">
        <f t="shared" ca="1" si="19"/>
        <v>17364.999999999996</v>
      </c>
      <c r="AB62" s="7">
        <f t="shared" ca="1" si="20"/>
        <v>1</v>
      </c>
      <c r="AC62" s="7">
        <f t="shared" ca="1" si="13"/>
        <v>0.7163323782234956</v>
      </c>
      <c r="AD62" s="1"/>
      <c r="AE62" s="1"/>
    </row>
    <row r="63" spans="1:31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1"/>
      <c r="N63" s="1"/>
      <c r="O63" s="9"/>
      <c r="P63" s="7">
        <f t="shared" ca="1" si="0"/>
        <v>0.42999999999999994</v>
      </c>
      <c r="Q63" s="7">
        <f t="shared" ca="1" si="14"/>
        <v>3.0714285714285711E-2</v>
      </c>
      <c r="R63" s="33">
        <f t="shared" ca="1" si="2"/>
        <v>14834.999999999998</v>
      </c>
      <c r="S63" s="33">
        <f t="shared" ca="1" si="3"/>
        <v>-19665</v>
      </c>
      <c r="T63" s="33">
        <f t="shared" ca="1" si="15"/>
        <v>14834.999999999998</v>
      </c>
      <c r="U63" s="7">
        <f t="shared" ca="1" si="5"/>
        <v>0.7543859649122806</v>
      </c>
      <c r="V63" s="7">
        <f t="shared" ca="1" si="6"/>
        <v>-0.19510024720689637</v>
      </c>
      <c r="W63" s="33">
        <f t="shared" ca="1" si="16"/>
        <v>-19665</v>
      </c>
      <c r="X63" s="7">
        <f t="shared" ca="1" si="17"/>
        <v>-1</v>
      </c>
      <c r="Y63" s="7">
        <f t="shared" ca="1" si="18"/>
        <v>-0.2456140350877194</v>
      </c>
      <c r="Z63" s="7">
        <f t="shared" ca="1" si="10"/>
        <v>-6.5087475671695955E-2</v>
      </c>
      <c r="AA63" s="33">
        <f t="shared" ca="1" si="19"/>
        <v>14834.999999999998</v>
      </c>
      <c r="AB63" s="7">
        <f t="shared" ca="1" si="20"/>
        <v>1</v>
      </c>
      <c r="AC63" s="7">
        <f t="shared" ca="1" si="13"/>
        <v>0.8771929824561403</v>
      </c>
      <c r="AD63" s="1"/>
      <c r="AE63" s="1"/>
    </row>
    <row r="64" spans="1:31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1"/>
      <c r="N64" s="1"/>
      <c r="O64" s="9"/>
      <c r="P64" s="7">
        <f t="shared" ca="1" si="0"/>
        <v>0.80999999999999983</v>
      </c>
      <c r="Q64" s="7">
        <f t="shared" ca="1" si="14"/>
        <v>5.7857142857142843E-2</v>
      </c>
      <c r="R64" s="33">
        <f t="shared" ca="1" si="2"/>
        <v>9314.9999999999982</v>
      </c>
      <c r="S64" s="33">
        <f t="shared" ca="1" si="3"/>
        <v>-2185.0000000000018</v>
      </c>
      <c r="T64" s="33">
        <f t="shared" ca="1" si="15"/>
        <v>9314.9999999999982</v>
      </c>
      <c r="U64" s="7">
        <f t="shared" ca="1" si="5"/>
        <v>4.263157894736838</v>
      </c>
      <c r="V64" s="7">
        <f t="shared" ca="1" si="6"/>
        <v>-0.19510024720689637</v>
      </c>
      <c r="W64" s="33">
        <f t="shared" ca="1" si="16"/>
        <v>-2185.0000000000018</v>
      </c>
      <c r="X64" s="7">
        <f t="shared" ca="1" si="17"/>
        <v>-1</v>
      </c>
      <c r="Y64" s="7">
        <f t="shared" ca="1" si="18"/>
        <v>3.263157894736838</v>
      </c>
      <c r="Z64" s="7">
        <f t="shared" ca="1" si="10"/>
        <v>-6.5087475671695955E-2</v>
      </c>
      <c r="AA64" s="33">
        <f t="shared" ca="1" si="19"/>
        <v>9314.9999999999982</v>
      </c>
      <c r="AB64" s="7">
        <f t="shared" ca="1" si="20"/>
        <v>1</v>
      </c>
      <c r="AC64" s="7">
        <f t="shared" ca="1" si="13"/>
        <v>2.631578947368419</v>
      </c>
      <c r="AD64" s="1"/>
      <c r="AE64" s="1"/>
    </row>
    <row r="65" spans="1:31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1"/>
      <c r="N65" s="1"/>
      <c r="O65" s="9"/>
      <c r="P65" s="7">
        <f t="shared" ca="1" si="0"/>
        <v>-0.28999999999999987</v>
      </c>
      <c r="Q65" s="7">
        <f t="shared" ca="1" si="14"/>
        <v>-2.0714285714285706E-2</v>
      </c>
      <c r="R65" s="33">
        <f t="shared" ca="1" si="2"/>
        <v>3334.9999999999982</v>
      </c>
      <c r="S65" s="33">
        <f t="shared" ca="1" si="3"/>
        <v>14834.999999999998</v>
      </c>
      <c r="T65" s="33">
        <f t="shared" ca="1" si="15"/>
        <v>3334.9999999999982</v>
      </c>
      <c r="U65" s="7">
        <f t="shared" ca="1" si="5"/>
        <v>0.2248062015503875</v>
      </c>
      <c r="V65" s="7">
        <f t="shared" ca="1" si="6"/>
        <v>-0.19510024720689637</v>
      </c>
      <c r="W65" s="33">
        <f t="shared" ca="1" si="16"/>
        <v>3334.9999999999982</v>
      </c>
      <c r="X65" s="7">
        <f t="shared" ca="1" si="17"/>
        <v>0.2248062015503875</v>
      </c>
      <c r="Y65" s="7">
        <f t="shared" ca="1" si="18"/>
        <v>0.44961240310077499</v>
      </c>
      <c r="Z65" s="7">
        <f t="shared" ca="1" si="10"/>
        <v>-6.5087475671695955E-2</v>
      </c>
      <c r="AA65" s="33">
        <f t="shared" ca="1" si="19"/>
        <v>3334.9999999999982</v>
      </c>
      <c r="AB65" s="7">
        <f t="shared" ca="1" si="20"/>
        <v>1</v>
      </c>
      <c r="AC65" s="7">
        <f t="shared" ca="1" si="13"/>
        <v>0.61240310077519378</v>
      </c>
      <c r="AD65" s="1"/>
      <c r="AE65" s="1"/>
    </row>
    <row r="66" spans="1:31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1"/>
      <c r="N66" s="1"/>
      <c r="O66" s="9"/>
      <c r="P66" s="7">
        <f t="shared" ca="1" si="0"/>
        <v>0.10545454545454545</v>
      </c>
      <c r="Q66" s="7">
        <f t="shared" ca="1" si="14"/>
        <v>7.532467532467532E-3</v>
      </c>
      <c r="R66" s="33">
        <f t="shared" ca="1" si="2"/>
        <v>13340</v>
      </c>
      <c r="S66" s="33">
        <f t="shared" ca="1" si="3"/>
        <v>-113160</v>
      </c>
      <c r="T66" s="33">
        <f t="shared" ca="1" si="15"/>
        <v>13340</v>
      </c>
      <c r="U66" s="7">
        <f t="shared" ca="1" si="5"/>
        <v>0.11788617886178862</v>
      </c>
      <c r="V66" s="7">
        <f t="shared" ca="1" si="6"/>
        <v>-0.14778578206489221</v>
      </c>
      <c r="W66" s="33">
        <f t="shared" ca="1" si="16"/>
        <v>-22507.781739272417</v>
      </c>
      <c r="X66" s="7">
        <f t="shared" ca="1" si="17"/>
        <v>-0.19890227765352084</v>
      </c>
      <c r="Y66" s="7">
        <f t="shared" ca="1" si="18"/>
        <v>-8.1016098791732216E-2</v>
      </c>
      <c r="Z66" s="7">
        <f t="shared" ca="1" si="10"/>
        <v>-4.7597961276022317E-2</v>
      </c>
      <c r="AA66" s="33">
        <f t="shared" ca="1" si="19"/>
        <v>13340</v>
      </c>
      <c r="AB66" s="7">
        <f t="shared" ca="1" si="20"/>
        <v>1</v>
      </c>
      <c r="AC66" s="7">
        <f t="shared" ca="1" si="13"/>
        <v>0.55894308943089432</v>
      </c>
      <c r="AD66" s="1"/>
      <c r="AE66" s="1"/>
    </row>
    <row r="67" spans="1:31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1"/>
      <c r="N67" s="1"/>
      <c r="O67" s="9"/>
      <c r="P67" s="7">
        <f t="shared" ca="1" si="0"/>
        <v>0.114</v>
      </c>
      <c r="Q67" s="7">
        <f t="shared" ca="1" si="14"/>
        <v>8.1428571428571427E-3</v>
      </c>
      <c r="R67" s="33">
        <f t="shared" ca="1" si="2"/>
        <v>13110</v>
      </c>
      <c r="S67" s="33">
        <f t="shared" ca="1" si="3"/>
        <v>-101890</v>
      </c>
      <c r="T67" s="33">
        <f t="shared" ca="1" si="15"/>
        <v>13110</v>
      </c>
      <c r="U67" s="7">
        <f t="shared" ca="1" si="5"/>
        <v>0.12866817155756208</v>
      </c>
      <c r="V67" s="7">
        <f t="shared" ca="1" si="6"/>
        <v>-0.14778578206489221</v>
      </c>
      <c r="W67" s="33">
        <f t="shared" ca="1" si="16"/>
        <v>-22737.781739272417</v>
      </c>
      <c r="X67" s="7">
        <f t="shared" ca="1" si="17"/>
        <v>-0.22316009166034367</v>
      </c>
      <c r="Y67" s="7">
        <f t="shared" ca="1" si="18"/>
        <v>-9.4491920102781596E-2</v>
      </c>
      <c r="Z67" s="7">
        <f t="shared" ca="1" si="10"/>
        <v>-4.7597961276022317E-2</v>
      </c>
      <c r="AA67" s="33">
        <f t="shared" ca="1" si="19"/>
        <v>13110</v>
      </c>
      <c r="AB67" s="7">
        <f t="shared" ca="1" si="20"/>
        <v>1</v>
      </c>
      <c r="AC67" s="7">
        <f t="shared" ca="1" si="13"/>
        <v>0.56433408577878108</v>
      </c>
      <c r="AD67" s="1"/>
      <c r="AE67" s="1"/>
    </row>
    <row r="68" spans="1:31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1"/>
      <c r="N68" s="1"/>
      <c r="O68" s="9"/>
      <c r="P68" s="7">
        <f t="shared" ref="P68:P90" ca="1" si="21">($G68-$I68)/($F68-$H68)</f>
        <v>0.12444444444444444</v>
      </c>
      <c r="Q68" s="7">
        <f t="shared" ca="1" si="14"/>
        <v>8.8888888888888889E-3</v>
      </c>
      <c r="R68" s="33">
        <f t="shared" ref="R68:R90" ca="1" si="22">$E68*($G68-$I68)</f>
        <v>12880</v>
      </c>
      <c r="S68" s="33">
        <f t="shared" ref="S68:S90" ca="1" si="23">-(($F68-$H68)*$E68-$R68)</f>
        <v>-90620</v>
      </c>
      <c r="T68" s="33">
        <f t="shared" ca="1" si="15"/>
        <v>12880</v>
      </c>
      <c r="U68" s="7">
        <f t="shared" ref="U68:U90" ca="1" si="24">ABS($T68/$S68)</f>
        <v>0.14213197969543148</v>
      </c>
      <c r="V68" s="7">
        <f t="shared" ref="V68:V90" ca="1" si="25">mrigxl_max_drawdown($C68,INT($B68-TODAY()))</f>
        <v>-0.14778578206489221</v>
      </c>
      <c r="W68" s="33">
        <f t="shared" ca="1" si="16"/>
        <v>-22967.781739272417</v>
      </c>
      <c r="X68" s="7">
        <f t="shared" ca="1" si="17"/>
        <v>-0.2534515751409448</v>
      </c>
      <c r="Y68" s="7">
        <f t="shared" ca="1" si="18"/>
        <v>-0.11131959544551331</v>
      </c>
      <c r="Z68" s="7">
        <f t="shared" ref="Z68:Z90" ca="1" si="26">mrigxl_avg_drawdown($C68,INT($B68-TODAY()))</f>
        <v>-4.7597961276022317E-2</v>
      </c>
      <c r="AA68" s="33">
        <f t="shared" ca="1" si="19"/>
        <v>12880</v>
      </c>
      <c r="AB68" s="7">
        <f t="shared" ca="1" si="20"/>
        <v>1</v>
      </c>
      <c r="AC68" s="7">
        <f t="shared" ca="1" si="13"/>
        <v>0.57106598984771573</v>
      </c>
      <c r="AD68" s="1"/>
      <c r="AE68" s="1"/>
    </row>
    <row r="69" spans="1:31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1"/>
      <c r="N69" s="1"/>
      <c r="O69" s="9"/>
      <c r="P69" s="7">
        <f t="shared" ca="1" si="21"/>
        <v>0.13437499999999999</v>
      </c>
      <c r="Q69" s="7">
        <f t="shared" ca="1" si="14"/>
        <v>9.5982142857142846E-3</v>
      </c>
      <c r="R69" s="33">
        <f t="shared" ca="1" si="22"/>
        <v>12362.5</v>
      </c>
      <c r="S69" s="33">
        <f t="shared" ca="1" si="23"/>
        <v>-79637.5</v>
      </c>
      <c r="T69" s="33">
        <f t="shared" ca="1" si="15"/>
        <v>12362.5</v>
      </c>
      <c r="U69" s="7">
        <f t="shared" ca="1" si="24"/>
        <v>0.1552346570397112</v>
      </c>
      <c r="V69" s="7">
        <f t="shared" ca="1" si="25"/>
        <v>-0.14778578206489221</v>
      </c>
      <c r="W69" s="33">
        <f t="shared" ca="1" si="16"/>
        <v>-23485.281739272417</v>
      </c>
      <c r="X69" s="7">
        <f t="shared" ca="1" si="17"/>
        <v>-0.29490229777771049</v>
      </c>
      <c r="Y69" s="7">
        <f t="shared" ca="1" si="18"/>
        <v>-0.13966764073799928</v>
      </c>
      <c r="Z69" s="7">
        <f t="shared" ca="1" si="26"/>
        <v>-4.7597961276022317E-2</v>
      </c>
      <c r="AA69" s="33">
        <f t="shared" ca="1" si="19"/>
        <v>12362.5</v>
      </c>
      <c r="AB69" s="7">
        <f t="shared" ca="1" si="20"/>
        <v>1</v>
      </c>
      <c r="AC69" s="7">
        <f t="shared" ref="AC69:AC90" ca="1" si="27">AVERAGE($U69,AB69)</f>
        <v>0.57761732851985559</v>
      </c>
      <c r="AD69" s="1"/>
      <c r="AE69" s="1"/>
    </row>
    <row r="70" spans="1:31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1"/>
      <c r="N70" s="1"/>
      <c r="O70" s="9"/>
      <c r="P70" s="7">
        <f t="shared" ca="1" si="21"/>
        <v>0.14285714285714285</v>
      </c>
      <c r="Q70" s="7">
        <f t="shared" ca="1" si="14"/>
        <v>1.020408163265306E-2</v>
      </c>
      <c r="R70" s="33">
        <f t="shared" ca="1" si="22"/>
        <v>11500</v>
      </c>
      <c r="S70" s="33">
        <f t="shared" ca="1" si="23"/>
        <v>-69000</v>
      </c>
      <c r="T70" s="33">
        <f t="shared" ca="1" si="15"/>
        <v>11500</v>
      </c>
      <c r="U70" s="7">
        <f t="shared" ca="1" si="24"/>
        <v>0.16666666666666666</v>
      </c>
      <c r="V70" s="7">
        <f t="shared" ca="1" si="25"/>
        <v>-0.14778578206489221</v>
      </c>
      <c r="W70" s="33">
        <f t="shared" ca="1" si="16"/>
        <v>-24347.781739272417</v>
      </c>
      <c r="X70" s="7">
        <f t="shared" ca="1" si="17"/>
        <v>-0.35286640201844083</v>
      </c>
      <c r="Y70" s="7">
        <f t="shared" ca="1" si="18"/>
        <v>-0.18619973535177417</v>
      </c>
      <c r="Z70" s="7">
        <f t="shared" ca="1" si="26"/>
        <v>-4.7597961276022317E-2</v>
      </c>
      <c r="AA70" s="33">
        <f t="shared" ca="1" si="19"/>
        <v>11500</v>
      </c>
      <c r="AB70" s="7">
        <f t="shared" ca="1" si="20"/>
        <v>1</v>
      </c>
      <c r="AC70" s="7">
        <f t="shared" ca="1" si="27"/>
        <v>0.58333333333333337</v>
      </c>
      <c r="AD70" s="1"/>
      <c r="AE70" s="1"/>
    </row>
    <row r="71" spans="1:31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9"/>
      <c r="P71" s="7">
        <f t="shared" ca="1" si="21"/>
        <v>0.15</v>
      </c>
      <c r="Q71" s="7">
        <f t="shared" ca="1" si="14"/>
        <v>1.0714285714285714E-2</v>
      </c>
      <c r="R71" s="33">
        <f t="shared" ca="1" si="22"/>
        <v>10350</v>
      </c>
      <c r="S71" s="33">
        <f t="shared" ca="1" si="23"/>
        <v>-58650</v>
      </c>
      <c r="T71" s="33">
        <f t="shared" ca="1" si="15"/>
        <v>10350</v>
      </c>
      <c r="U71" s="7">
        <f t="shared" ca="1" si="24"/>
        <v>0.17647058823529413</v>
      </c>
      <c r="V71" s="7">
        <f t="shared" ca="1" si="25"/>
        <v>-0.14778578206489221</v>
      </c>
      <c r="W71" s="33">
        <f t="shared" ca="1" si="16"/>
        <v>-25497.781739272417</v>
      </c>
      <c r="X71" s="7">
        <f t="shared" ca="1" si="17"/>
        <v>-0.43474478668836175</v>
      </c>
      <c r="Y71" s="7">
        <f t="shared" ca="1" si="18"/>
        <v>-0.25827419845306765</v>
      </c>
      <c r="Z71" s="7">
        <f t="shared" ca="1" si="26"/>
        <v>-4.7597961276022317E-2</v>
      </c>
      <c r="AA71" s="33">
        <f t="shared" ca="1" si="19"/>
        <v>10350</v>
      </c>
      <c r="AB71" s="7">
        <f t="shared" ca="1" si="20"/>
        <v>1</v>
      </c>
      <c r="AC71" s="7">
        <f t="shared" ca="1" si="27"/>
        <v>0.58823529411764708</v>
      </c>
      <c r="AD71" s="1"/>
      <c r="AE71" s="1"/>
    </row>
    <row r="72" spans="1:31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>
        <f t="shared" ca="1" si="21"/>
        <v>0.17100000000000001</v>
      </c>
      <c r="Q72" s="7">
        <f t="shared" ca="1" si="14"/>
        <v>1.2214285714285716E-2</v>
      </c>
      <c r="R72" s="33">
        <f t="shared" ca="1" si="22"/>
        <v>9832.5</v>
      </c>
      <c r="S72" s="33">
        <f t="shared" ca="1" si="23"/>
        <v>-47667.5</v>
      </c>
      <c r="T72" s="33">
        <f t="shared" ca="1" si="15"/>
        <v>9832.5</v>
      </c>
      <c r="U72" s="7">
        <f t="shared" ca="1" si="24"/>
        <v>0.20627261761158022</v>
      </c>
      <c r="V72" s="7">
        <f t="shared" ca="1" si="25"/>
        <v>-0.14778578206489221</v>
      </c>
      <c r="W72" s="33">
        <f t="shared" ca="1" si="16"/>
        <v>-26015.281739272417</v>
      </c>
      <c r="X72" s="7">
        <f t="shared" ca="1" si="17"/>
        <v>-0.54576560002669361</v>
      </c>
      <c r="Y72" s="7">
        <f t="shared" ca="1" si="18"/>
        <v>-0.33949298241511339</v>
      </c>
      <c r="Z72" s="7">
        <f t="shared" ca="1" si="26"/>
        <v>-4.7597961276022317E-2</v>
      </c>
      <c r="AA72" s="33">
        <f t="shared" ca="1" si="19"/>
        <v>9832.5</v>
      </c>
      <c r="AB72" s="7">
        <f t="shared" ca="1" si="20"/>
        <v>1</v>
      </c>
      <c r="AC72" s="7">
        <f t="shared" ca="1" si="27"/>
        <v>0.60313630880579017</v>
      </c>
      <c r="AD72" s="1"/>
      <c r="AE72" s="1"/>
    </row>
    <row r="73" spans="1:31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>
        <f t="shared" ca="1" si="21"/>
        <v>0.1875</v>
      </c>
      <c r="Q73" s="7">
        <f t="shared" ca="1" si="14"/>
        <v>1.3392857142857142E-2</v>
      </c>
      <c r="R73" s="33">
        <f t="shared" ca="1" si="22"/>
        <v>8625</v>
      </c>
      <c r="S73" s="33">
        <f t="shared" ca="1" si="23"/>
        <v>-37375</v>
      </c>
      <c r="T73" s="33">
        <f t="shared" ca="1" si="15"/>
        <v>8625</v>
      </c>
      <c r="U73" s="7">
        <f t="shared" ca="1" si="24"/>
        <v>0.23076923076923078</v>
      </c>
      <c r="V73" s="7">
        <f t="shared" ca="1" si="25"/>
        <v>-0.14778578206489221</v>
      </c>
      <c r="W73" s="33">
        <f t="shared" ca="1" si="16"/>
        <v>-27222.781739272417</v>
      </c>
      <c r="X73" s="7">
        <f t="shared" ca="1" si="17"/>
        <v>-0.72836874218789072</v>
      </c>
      <c r="Y73" s="7">
        <f t="shared" ca="1" si="18"/>
        <v>-0.49759951141865993</v>
      </c>
      <c r="Z73" s="7">
        <f t="shared" ca="1" si="26"/>
        <v>-4.7597961276022317E-2</v>
      </c>
      <c r="AA73" s="33">
        <f t="shared" ca="1" si="19"/>
        <v>8625</v>
      </c>
      <c r="AB73" s="7">
        <f t="shared" ca="1" si="20"/>
        <v>1</v>
      </c>
      <c r="AC73" s="7">
        <f t="shared" ca="1" si="27"/>
        <v>0.61538461538461542</v>
      </c>
      <c r="AD73" s="1"/>
      <c r="AE73" s="1"/>
    </row>
    <row r="74" spans="1:31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>
        <f t="shared" ca="1" si="21"/>
        <v>0.24000000000000002</v>
      </c>
      <c r="Q74" s="7">
        <f t="shared" ca="1" si="14"/>
        <v>1.7142857142857144E-2</v>
      </c>
      <c r="R74" s="33">
        <f t="shared" ca="1" si="22"/>
        <v>8280</v>
      </c>
      <c r="S74" s="33">
        <f t="shared" ca="1" si="23"/>
        <v>-26220</v>
      </c>
      <c r="T74" s="33">
        <f t="shared" ca="1" si="15"/>
        <v>8280</v>
      </c>
      <c r="U74" s="7">
        <f t="shared" ca="1" si="24"/>
        <v>0.31578947368421051</v>
      </c>
      <c r="V74" s="7">
        <f t="shared" ca="1" si="25"/>
        <v>-0.14778578206489221</v>
      </c>
      <c r="W74" s="33">
        <f t="shared" ca="1" si="16"/>
        <v>-26220</v>
      </c>
      <c r="X74" s="7">
        <f t="shared" ca="1" si="17"/>
        <v>-1</v>
      </c>
      <c r="Y74" s="7">
        <f t="shared" ca="1" si="18"/>
        <v>-0.68421052631578949</v>
      </c>
      <c r="Z74" s="7">
        <f t="shared" ca="1" si="26"/>
        <v>-4.7597961276022317E-2</v>
      </c>
      <c r="AA74" s="33">
        <f t="shared" ca="1" si="19"/>
        <v>8280</v>
      </c>
      <c r="AB74" s="7">
        <f t="shared" ca="1" si="20"/>
        <v>1</v>
      </c>
      <c r="AC74" s="7">
        <f t="shared" ca="1" si="27"/>
        <v>0.65789473684210531</v>
      </c>
      <c r="AD74" s="1"/>
      <c r="AE74" s="1"/>
    </row>
    <row r="75" spans="1:31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>
        <f t="shared" ca="1" si="21"/>
        <v>0.27500000000000002</v>
      </c>
      <c r="Q75" s="7">
        <f t="shared" ca="1" si="14"/>
        <v>1.9642857142857146E-2</v>
      </c>
      <c r="R75" s="33">
        <f t="shared" ca="1" si="22"/>
        <v>6325</v>
      </c>
      <c r="S75" s="33">
        <f t="shared" ca="1" si="23"/>
        <v>-16675</v>
      </c>
      <c r="T75" s="33">
        <f t="shared" ca="1" si="15"/>
        <v>6325</v>
      </c>
      <c r="U75" s="7">
        <f t="shared" ca="1" si="24"/>
        <v>0.37931034482758619</v>
      </c>
      <c r="V75" s="7">
        <f t="shared" ca="1" si="25"/>
        <v>-0.14778578206489221</v>
      </c>
      <c r="W75" s="33">
        <f t="shared" ca="1" si="16"/>
        <v>-16675</v>
      </c>
      <c r="X75" s="7">
        <f t="shared" ca="1" si="17"/>
        <v>-1</v>
      </c>
      <c r="Y75" s="7">
        <f t="shared" ca="1" si="18"/>
        <v>-0.62068965517241381</v>
      </c>
      <c r="Z75" s="7">
        <f t="shared" ca="1" si="26"/>
        <v>-4.7597961276022317E-2</v>
      </c>
      <c r="AA75" s="33">
        <f t="shared" ca="1" si="19"/>
        <v>6325</v>
      </c>
      <c r="AB75" s="7">
        <f t="shared" ca="1" si="20"/>
        <v>1</v>
      </c>
      <c r="AC75" s="7">
        <f t="shared" ca="1" si="27"/>
        <v>0.68965517241379315</v>
      </c>
      <c r="AD75" s="1"/>
      <c r="AE75" s="1"/>
    </row>
    <row r="76" spans="1:31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>
        <f t="shared" ca="1" si="21"/>
        <v>0.24000000000000005</v>
      </c>
      <c r="Q76" s="7">
        <f t="shared" ca="1" si="14"/>
        <v>1.7142857142857147E-2</v>
      </c>
      <c r="R76" s="33">
        <f t="shared" ca="1" si="22"/>
        <v>2760.0000000000005</v>
      </c>
      <c r="S76" s="33">
        <f t="shared" ca="1" si="23"/>
        <v>-8740</v>
      </c>
      <c r="T76" s="33">
        <f t="shared" ca="1" si="15"/>
        <v>2760.0000000000005</v>
      </c>
      <c r="U76" s="7">
        <f t="shared" ca="1" si="24"/>
        <v>0.31578947368421056</v>
      </c>
      <c r="V76" s="7">
        <f t="shared" ca="1" si="25"/>
        <v>-0.14778578206489221</v>
      </c>
      <c r="W76" s="33">
        <f t="shared" ca="1" si="16"/>
        <v>-8740</v>
      </c>
      <c r="X76" s="7">
        <f t="shared" ca="1" si="17"/>
        <v>-1</v>
      </c>
      <c r="Y76" s="7">
        <f t="shared" ca="1" si="18"/>
        <v>-0.68421052631578938</v>
      </c>
      <c r="Z76" s="7">
        <f t="shared" ca="1" si="26"/>
        <v>-4.7597961276022317E-2</v>
      </c>
      <c r="AA76" s="33">
        <f t="shared" ca="1" si="19"/>
        <v>2760.0000000000005</v>
      </c>
      <c r="AB76" s="7">
        <f t="shared" ca="1" si="20"/>
        <v>1</v>
      </c>
      <c r="AC76" s="7">
        <f t="shared" ca="1" si="27"/>
        <v>0.65789473684210531</v>
      </c>
      <c r="AD76" s="1"/>
      <c r="AE76" s="1"/>
    </row>
    <row r="77" spans="1:31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>
        <f t="shared" ca="1" si="21"/>
        <v>0.12333333333333334</v>
      </c>
      <c r="Q77" s="7">
        <f t="shared" ca="1" si="14"/>
        <v>8.8095238095238105E-3</v>
      </c>
      <c r="R77" s="33">
        <f t="shared" ca="1" si="22"/>
        <v>5180</v>
      </c>
      <c r="S77" s="33">
        <f t="shared" ca="1" si="23"/>
        <v>-36820</v>
      </c>
      <c r="T77" s="33">
        <f t="shared" ca="1" si="15"/>
        <v>5180</v>
      </c>
      <c r="U77" s="7">
        <f t="shared" ca="1" si="24"/>
        <v>0.14068441064638784</v>
      </c>
      <c r="V77" s="7">
        <f t="shared" ca="1" si="25"/>
        <v>-0.17536137295661439</v>
      </c>
      <c r="W77" s="33">
        <f t="shared" ca="1" si="16"/>
        <v>-36820</v>
      </c>
      <c r="X77" s="7">
        <f t="shared" ca="1" si="17"/>
        <v>-1</v>
      </c>
      <c r="Y77" s="7">
        <f t="shared" ca="1" si="18"/>
        <v>-0.85931558935361219</v>
      </c>
      <c r="Z77" s="7">
        <f t="shared" ca="1" si="26"/>
        <v>-5.2854725241912419E-2</v>
      </c>
      <c r="AA77" s="33">
        <f t="shared" ca="1" si="19"/>
        <v>5180</v>
      </c>
      <c r="AB77" s="7">
        <f t="shared" ca="1" si="20"/>
        <v>1</v>
      </c>
      <c r="AC77" s="7">
        <f t="shared" ca="1" si="27"/>
        <v>0.57034220532319391</v>
      </c>
      <c r="AD77" s="1"/>
      <c r="AE77" s="1"/>
    </row>
    <row r="78" spans="1:31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7"/>
      <c r="P78" s="7">
        <f t="shared" ca="1" si="21"/>
        <v>0.10375000000000001</v>
      </c>
      <c r="Q78" s="7">
        <f t="shared" ca="1" si="14"/>
        <v>7.4107142857142861E-3</v>
      </c>
      <c r="R78" s="33">
        <f t="shared" ca="1" si="22"/>
        <v>11620.000000000002</v>
      </c>
      <c r="S78" s="33">
        <f t="shared" ca="1" si="23"/>
        <v>-100380</v>
      </c>
      <c r="T78" s="33">
        <f t="shared" ca="1" si="15"/>
        <v>11620.000000000002</v>
      </c>
      <c r="U78" s="7">
        <f t="shared" ca="1" si="24"/>
        <v>0.11576011157601118</v>
      </c>
      <c r="V78" s="7">
        <f t="shared" ca="1" si="25"/>
        <v>-0.21054860265758243</v>
      </c>
      <c r="W78" s="33">
        <f t="shared" ca="1" si="16"/>
        <v>-52783.990097099413</v>
      </c>
      <c r="X78" s="7">
        <f t="shared" ca="1" si="17"/>
        <v>-0.52584170250148843</v>
      </c>
      <c r="Y78" s="7">
        <f t="shared" ca="1" si="18"/>
        <v>-0.41008159092547725</v>
      </c>
      <c r="Z78" s="7">
        <f t="shared" ca="1" si="26"/>
        <v>-5.832413648398059E-2</v>
      </c>
      <c r="AA78" s="33">
        <f t="shared" ca="1" si="19"/>
        <v>11620.000000000002</v>
      </c>
      <c r="AB78" s="7">
        <f t="shared" ca="1" si="20"/>
        <v>1</v>
      </c>
      <c r="AC78" s="7">
        <f t="shared" ca="1" si="27"/>
        <v>0.55788005578800559</v>
      </c>
      <c r="AD78" s="1"/>
      <c r="AE78" s="1"/>
    </row>
    <row r="79" spans="1:31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>
        <f t="shared" ca="1" si="21"/>
        <v>0.11714285714285716</v>
      </c>
      <c r="Q79" s="7">
        <f t="shared" ca="1" si="14"/>
        <v>8.3673469387755117E-3</v>
      </c>
      <c r="R79" s="33">
        <f t="shared" ca="1" si="22"/>
        <v>11480.000000000002</v>
      </c>
      <c r="S79" s="33">
        <f t="shared" ca="1" si="23"/>
        <v>-86520</v>
      </c>
      <c r="T79" s="33">
        <f t="shared" ca="1" si="15"/>
        <v>11480.000000000002</v>
      </c>
      <c r="U79" s="7">
        <f t="shared" ca="1" si="24"/>
        <v>0.13268608414239486</v>
      </c>
      <c r="V79" s="7">
        <f t="shared" ca="1" si="25"/>
        <v>-0.21054860265758243</v>
      </c>
      <c r="W79" s="33">
        <f t="shared" ca="1" si="16"/>
        <v>-52923.990097099413</v>
      </c>
      <c r="X79" s="7">
        <f t="shared" ca="1" si="17"/>
        <v>-0.61169660306402462</v>
      </c>
      <c r="Y79" s="7">
        <f t="shared" ca="1" si="18"/>
        <v>-0.47901051892162977</v>
      </c>
      <c r="Z79" s="7">
        <f t="shared" ca="1" si="26"/>
        <v>-5.832413648398059E-2</v>
      </c>
      <c r="AA79" s="33">
        <f t="shared" ca="1" si="19"/>
        <v>11480.000000000002</v>
      </c>
      <c r="AB79" s="7">
        <f t="shared" ca="1" si="20"/>
        <v>1</v>
      </c>
      <c r="AC79" s="7">
        <f t="shared" ca="1" si="27"/>
        <v>0.56634304207119746</v>
      </c>
      <c r="AD79" s="1"/>
      <c r="AE79" s="1"/>
    </row>
    <row r="80" spans="1:31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>
        <f t="shared" ca="1" si="21"/>
        <v>0.11692307692307694</v>
      </c>
      <c r="Q80" s="7">
        <f t="shared" ca="1" si="14"/>
        <v>8.3516483516483525E-3</v>
      </c>
      <c r="R80" s="33">
        <f t="shared" ca="1" si="22"/>
        <v>10640</v>
      </c>
      <c r="S80" s="33">
        <f t="shared" ca="1" si="23"/>
        <v>-80360</v>
      </c>
      <c r="T80" s="33">
        <f t="shared" ca="1" si="15"/>
        <v>10640</v>
      </c>
      <c r="U80" s="7">
        <f t="shared" ca="1" si="24"/>
        <v>0.13240418118466898</v>
      </c>
      <c r="V80" s="7">
        <f t="shared" ca="1" si="25"/>
        <v>-0.21054860265758243</v>
      </c>
      <c r="W80" s="33">
        <f t="shared" ca="1" si="16"/>
        <v>-53763.990097099413</v>
      </c>
      <c r="X80" s="7">
        <f t="shared" ca="1" si="17"/>
        <v>-0.66903919981457705</v>
      </c>
      <c r="Y80" s="7">
        <f t="shared" ca="1" si="18"/>
        <v>-0.53663501862990803</v>
      </c>
      <c r="Z80" s="7">
        <f t="shared" ca="1" si="26"/>
        <v>-5.832413648398059E-2</v>
      </c>
      <c r="AA80" s="33">
        <f t="shared" ca="1" si="19"/>
        <v>10640</v>
      </c>
      <c r="AB80" s="7">
        <f t="shared" ca="1" si="20"/>
        <v>1</v>
      </c>
      <c r="AC80" s="7">
        <f t="shared" ca="1" si="27"/>
        <v>0.56620209059233451</v>
      </c>
      <c r="AD80" s="1"/>
      <c r="AE80" s="1"/>
    </row>
    <row r="81" spans="1:31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>
        <f t="shared" ca="1" si="21"/>
        <v>0.13416666666666668</v>
      </c>
      <c r="Q81" s="7">
        <f t="shared" ca="1" si="14"/>
        <v>9.5833333333333343E-3</v>
      </c>
      <c r="R81" s="33">
        <f t="shared" ca="1" si="22"/>
        <v>11270.000000000002</v>
      </c>
      <c r="S81" s="33">
        <f t="shared" ca="1" si="23"/>
        <v>-72730</v>
      </c>
      <c r="T81" s="33">
        <f t="shared" ca="1" si="15"/>
        <v>11270.000000000002</v>
      </c>
      <c r="U81" s="7">
        <f t="shared" ca="1" si="24"/>
        <v>0.15495668912415786</v>
      </c>
      <c r="V81" s="7">
        <f t="shared" ca="1" si="25"/>
        <v>-0.21054860265758243</v>
      </c>
      <c r="W81" s="33">
        <f t="shared" ca="1" si="16"/>
        <v>-53133.990097099413</v>
      </c>
      <c r="X81" s="7">
        <f t="shared" ca="1" si="17"/>
        <v>-0.73056496764883005</v>
      </c>
      <c r="Y81" s="7">
        <f t="shared" ca="1" si="18"/>
        <v>-0.57560827852467222</v>
      </c>
      <c r="Z81" s="7">
        <f t="shared" ca="1" si="26"/>
        <v>-5.832413648398059E-2</v>
      </c>
      <c r="AA81" s="33">
        <f t="shared" ca="1" si="19"/>
        <v>11270.000000000002</v>
      </c>
      <c r="AB81" s="7">
        <f t="shared" ca="1" si="20"/>
        <v>1</v>
      </c>
      <c r="AC81" s="7">
        <f t="shared" ca="1" si="27"/>
        <v>0.57747834456207892</v>
      </c>
      <c r="AD81" s="1"/>
      <c r="AE81" s="1"/>
    </row>
    <row r="82" spans="1:31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>
        <f t="shared" ca="1" si="21"/>
        <v>0.14636363636363639</v>
      </c>
      <c r="Q82" s="7">
        <f t="shared" ca="1" si="14"/>
        <v>1.0454545454545456E-2</v>
      </c>
      <c r="R82" s="33">
        <f t="shared" ca="1" si="22"/>
        <v>11270.000000000002</v>
      </c>
      <c r="S82" s="33">
        <f t="shared" ca="1" si="23"/>
        <v>-65730</v>
      </c>
      <c r="T82" s="33">
        <f t="shared" ca="1" si="15"/>
        <v>11270.000000000002</v>
      </c>
      <c r="U82" s="7">
        <f t="shared" ca="1" si="24"/>
        <v>0.1714589989350373</v>
      </c>
      <c r="V82" s="7">
        <f t="shared" ca="1" si="25"/>
        <v>-0.21054860265758243</v>
      </c>
      <c r="W82" s="33">
        <f t="shared" ca="1" si="16"/>
        <v>-53133.990097099413</v>
      </c>
      <c r="X82" s="7">
        <f t="shared" ca="1" si="17"/>
        <v>-0.80836741361782161</v>
      </c>
      <c r="Y82" s="7">
        <f t="shared" ca="1" si="18"/>
        <v>-0.63690841468278436</v>
      </c>
      <c r="Z82" s="7">
        <f t="shared" ca="1" si="26"/>
        <v>-5.832413648398059E-2</v>
      </c>
      <c r="AA82" s="33">
        <f t="shared" ca="1" si="19"/>
        <v>11270.000000000002</v>
      </c>
      <c r="AB82" s="7">
        <f t="shared" ca="1" si="20"/>
        <v>1</v>
      </c>
      <c r="AC82" s="7">
        <f t="shared" ca="1" si="27"/>
        <v>0.58572949946751862</v>
      </c>
      <c r="AD82" s="1"/>
      <c r="AE82" s="1"/>
    </row>
    <row r="83" spans="1:31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>
        <f t="shared" ca="1" si="21"/>
        <v>0.14600000000000002</v>
      </c>
      <c r="Q83" s="7">
        <f t="shared" ca="1" si="14"/>
        <v>1.0428571428571429E-2</v>
      </c>
      <c r="R83" s="33">
        <f t="shared" ca="1" si="22"/>
        <v>10220.000000000002</v>
      </c>
      <c r="S83" s="33">
        <f t="shared" ca="1" si="23"/>
        <v>-59780</v>
      </c>
      <c r="T83" s="33">
        <f t="shared" ca="1" si="15"/>
        <v>10220.000000000002</v>
      </c>
      <c r="U83" s="7">
        <f t="shared" ca="1" si="24"/>
        <v>0.17096018735363</v>
      </c>
      <c r="V83" s="7">
        <f t="shared" ca="1" si="25"/>
        <v>-0.21054860265758243</v>
      </c>
      <c r="W83" s="33">
        <f t="shared" ca="1" si="16"/>
        <v>-54183.990097099413</v>
      </c>
      <c r="X83" s="7">
        <f t="shared" ca="1" si="17"/>
        <v>-0.90638993136666801</v>
      </c>
      <c r="Y83" s="7">
        <f t="shared" ca="1" si="18"/>
        <v>-0.73542974401303796</v>
      </c>
      <c r="Z83" s="7">
        <f t="shared" ca="1" si="26"/>
        <v>-5.832413648398059E-2</v>
      </c>
      <c r="AA83" s="33">
        <f t="shared" ca="1" si="19"/>
        <v>10220.000000000002</v>
      </c>
      <c r="AB83" s="7">
        <f t="shared" ca="1" si="20"/>
        <v>1</v>
      </c>
      <c r="AC83" s="7">
        <f t="shared" ca="1" si="27"/>
        <v>0.58548009367681497</v>
      </c>
      <c r="AD83" s="1"/>
      <c r="AE83" s="1"/>
    </row>
    <row r="84" spans="1:31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>
        <f t="shared" ca="1" si="21"/>
        <v>0.11222222222222224</v>
      </c>
      <c r="Q84" s="7">
        <f t="shared" ca="1" si="14"/>
        <v>8.0158730158730162E-3</v>
      </c>
      <c r="R84" s="33">
        <f t="shared" ca="1" si="22"/>
        <v>7070.0000000000009</v>
      </c>
      <c r="S84" s="33">
        <f t="shared" ca="1" si="23"/>
        <v>-55930</v>
      </c>
      <c r="T84" s="33">
        <f t="shared" ca="1" si="15"/>
        <v>7070.0000000000009</v>
      </c>
      <c r="U84" s="7">
        <f t="shared" ca="1" si="24"/>
        <v>0.12640801001251567</v>
      </c>
      <c r="V84" s="7">
        <f t="shared" ca="1" si="25"/>
        <v>-0.21054860265758243</v>
      </c>
      <c r="W84" s="33">
        <f t="shared" ca="1" si="16"/>
        <v>-55930</v>
      </c>
      <c r="X84" s="7">
        <f t="shared" ca="1" si="17"/>
        <v>-1</v>
      </c>
      <c r="Y84" s="7">
        <f t="shared" ca="1" si="18"/>
        <v>-0.87359198998748433</v>
      </c>
      <c r="Z84" s="7">
        <f t="shared" ca="1" si="26"/>
        <v>-5.832413648398059E-2</v>
      </c>
      <c r="AA84" s="33">
        <f t="shared" ca="1" si="19"/>
        <v>7070.0000000000009</v>
      </c>
      <c r="AB84" s="7">
        <f t="shared" ca="1" si="20"/>
        <v>1</v>
      </c>
      <c r="AC84" s="7">
        <f t="shared" ca="1" si="27"/>
        <v>0.56320400500625789</v>
      </c>
      <c r="AD84" s="1"/>
      <c r="AE84" s="1"/>
    </row>
    <row r="85" spans="1:31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>
        <f t="shared" ca="1" si="21"/>
        <v>0.15125000000000002</v>
      </c>
      <c r="Q85" s="7">
        <f t="shared" ca="1" si="14"/>
        <v>1.080357142857143E-2</v>
      </c>
      <c r="R85" s="33">
        <f t="shared" ca="1" si="22"/>
        <v>8470.0000000000018</v>
      </c>
      <c r="S85" s="33">
        <f t="shared" ca="1" si="23"/>
        <v>-47530</v>
      </c>
      <c r="T85" s="33">
        <f t="shared" ca="1" si="15"/>
        <v>8470.0000000000018</v>
      </c>
      <c r="U85" s="7">
        <f t="shared" ca="1" si="24"/>
        <v>0.1782032400589102</v>
      </c>
      <c r="V85" s="7">
        <f t="shared" ca="1" si="25"/>
        <v>-0.21054860265758243</v>
      </c>
      <c r="W85" s="33">
        <f t="shared" ca="1" si="16"/>
        <v>-47530</v>
      </c>
      <c r="X85" s="7">
        <f t="shared" ca="1" si="17"/>
        <v>-1</v>
      </c>
      <c r="Y85" s="7">
        <f t="shared" ca="1" si="18"/>
        <v>-0.8217967599410898</v>
      </c>
      <c r="Z85" s="7">
        <f t="shared" ca="1" si="26"/>
        <v>-5.832413648398059E-2</v>
      </c>
      <c r="AA85" s="33">
        <f t="shared" ca="1" si="19"/>
        <v>8470.0000000000018</v>
      </c>
      <c r="AB85" s="7">
        <f t="shared" ca="1" si="20"/>
        <v>1</v>
      </c>
      <c r="AC85" s="7">
        <f t="shared" ca="1" si="27"/>
        <v>0.5891016200294551</v>
      </c>
      <c r="AD85" s="1"/>
      <c r="AE85" s="1"/>
    </row>
    <row r="86" spans="1:31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>
        <f t="shared" ca="1" si="21"/>
        <v>0.14571428571428574</v>
      </c>
      <c r="Q86" s="7">
        <f t="shared" ca="1" si="14"/>
        <v>1.0408163265306124E-2</v>
      </c>
      <c r="R86" s="33">
        <f t="shared" ca="1" si="22"/>
        <v>7140.0000000000009</v>
      </c>
      <c r="S86" s="33">
        <f t="shared" ca="1" si="23"/>
        <v>-41860</v>
      </c>
      <c r="T86" s="33">
        <f t="shared" ca="1" si="15"/>
        <v>7140.0000000000009</v>
      </c>
      <c r="U86" s="7">
        <f t="shared" ca="1" si="24"/>
        <v>0.17056856187290972</v>
      </c>
      <c r="V86" s="7">
        <f t="shared" ca="1" si="25"/>
        <v>-0.21054860265758243</v>
      </c>
      <c r="W86" s="33">
        <f t="shared" ca="1" si="16"/>
        <v>-41860</v>
      </c>
      <c r="X86" s="7">
        <f t="shared" ca="1" si="17"/>
        <v>-1</v>
      </c>
      <c r="Y86" s="7">
        <f t="shared" ca="1" si="18"/>
        <v>-0.8294314381270903</v>
      </c>
      <c r="Z86" s="7">
        <f t="shared" ca="1" si="26"/>
        <v>-5.832413648398059E-2</v>
      </c>
      <c r="AA86" s="33">
        <f t="shared" ca="1" si="19"/>
        <v>7140.0000000000009</v>
      </c>
      <c r="AB86" s="7">
        <f t="shared" ca="1" si="20"/>
        <v>1</v>
      </c>
      <c r="AC86" s="7">
        <f t="shared" ca="1" si="27"/>
        <v>0.5852842809364549</v>
      </c>
      <c r="AD86" s="1"/>
      <c r="AE86" s="1"/>
    </row>
    <row r="87" spans="1:31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>
        <f t="shared" ca="1" si="21"/>
        <v>0.18500000000000003</v>
      </c>
      <c r="Q87" s="7">
        <f t="shared" ca="1" si="14"/>
        <v>1.3214285714285717E-2</v>
      </c>
      <c r="R87" s="33">
        <f t="shared" ca="1" si="22"/>
        <v>7770.0000000000009</v>
      </c>
      <c r="S87" s="33">
        <f t="shared" ca="1" si="23"/>
        <v>-34230</v>
      </c>
      <c r="T87" s="33">
        <f t="shared" ca="1" si="15"/>
        <v>7770.0000000000009</v>
      </c>
      <c r="U87" s="7">
        <f t="shared" ca="1" si="24"/>
        <v>0.22699386503067487</v>
      </c>
      <c r="V87" s="7">
        <f t="shared" ca="1" si="25"/>
        <v>-0.21054860265758243</v>
      </c>
      <c r="W87" s="33">
        <f t="shared" ca="1" si="16"/>
        <v>-34230</v>
      </c>
      <c r="X87" s="7">
        <f t="shared" ca="1" si="17"/>
        <v>-1</v>
      </c>
      <c r="Y87" s="7">
        <f t="shared" ca="1" si="18"/>
        <v>-0.77300613496932513</v>
      </c>
      <c r="Z87" s="7">
        <f t="shared" ca="1" si="26"/>
        <v>-5.832413648398059E-2</v>
      </c>
      <c r="AA87" s="33">
        <f t="shared" ca="1" si="19"/>
        <v>7770.0000000000009</v>
      </c>
      <c r="AB87" s="7">
        <f t="shared" ca="1" si="20"/>
        <v>1</v>
      </c>
      <c r="AC87" s="7">
        <f t="shared" ca="1" si="27"/>
        <v>0.61349693251533743</v>
      </c>
      <c r="AD87" s="1"/>
      <c r="AE87" s="1"/>
    </row>
    <row r="88" spans="1:31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>
        <f t="shared" ca="1" si="21"/>
        <v>0.20200000000000004</v>
      </c>
      <c r="Q88" s="7">
        <f t="shared" ca="1" si="14"/>
        <v>1.4428571428571431E-2</v>
      </c>
      <c r="R88" s="33">
        <f t="shared" ca="1" si="22"/>
        <v>7070.0000000000009</v>
      </c>
      <c r="S88" s="33">
        <f t="shared" ca="1" si="23"/>
        <v>-27930</v>
      </c>
      <c r="T88" s="33">
        <f t="shared" ca="1" si="15"/>
        <v>7070.0000000000009</v>
      </c>
      <c r="U88" s="7">
        <f t="shared" ca="1" si="24"/>
        <v>0.25313283208020054</v>
      </c>
      <c r="V88" s="7">
        <f t="shared" ca="1" si="25"/>
        <v>-0.21054860265758243</v>
      </c>
      <c r="W88" s="33">
        <f t="shared" ca="1" si="16"/>
        <v>-27930</v>
      </c>
      <c r="X88" s="7">
        <f t="shared" ca="1" si="17"/>
        <v>-1</v>
      </c>
      <c r="Y88" s="7">
        <f t="shared" ca="1" si="18"/>
        <v>-0.74686716791979946</v>
      </c>
      <c r="Z88" s="7">
        <f t="shared" ca="1" si="26"/>
        <v>-5.832413648398059E-2</v>
      </c>
      <c r="AA88" s="33">
        <f t="shared" ca="1" si="19"/>
        <v>7070.0000000000009</v>
      </c>
      <c r="AB88" s="7">
        <f t="shared" ca="1" si="20"/>
        <v>1</v>
      </c>
      <c r="AC88" s="7">
        <f t="shared" ca="1" si="27"/>
        <v>0.62656641604010033</v>
      </c>
      <c r="AD88" s="1"/>
      <c r="AE88" s="1"/>
    </row>
    <row r="89" spans="1:31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>
        <f t="shared" ca="1" si="21"/>
        <v>0.25500000000000006</v>
      </c>
      <c r="Q89" s="7">
        <f t="shared" ca="1" si="14"/>
        <v>1.8214285714285718E-2</v>
      </c>
      <c r="R89" s="33">
        <f t="shared" ca="1" si="22"/>
        <v>3570.0000000000009</v>
      </c>
      <c r="S89" s="33">
        <f t="shared" ca="1" si="23"/>
        <v>-10430</v>
      </c>
      <c r="T89" s="33">
        <f t="shared" ca="1" si="15"/>
        <v>3570.0000000000009</v>
      </c>
      <c r="U89" s="7">
        <f t="shared" ca="1" si="24"/>
        <v>0.34228187919463093</v>
      </c>
      <c r="V89" s="7">
        <f t="shared" ca="1" si="25"/>
        <v>-0.21054860265758243</v>
      </c>
      <c r="W89" s="33">
        <f t="shared" ca="1" si="16"/>
        <v>-10430</v>
      </c>
      <c r="X89" s="7">
        <f t="shared" ca="1" si="17"/>
        <v>-1</v>
      </c>
      <c r="Y89" s="7">
        <f t="shared" ca="1" si="18"/>
        <v>-0.65771812080536907</v>
      </c>
      <c r="Z89" s="7">
        <f t="shared" ca="1" si="26"/>
        <v>-5.832413648398059E-2</v>
      </c>
      <c r="AA89" s="33">
        <f t="shared" ca="1" si="19"/>
        <v>3570.0000000000009</v>
      </c>
      <c r="AB89" s="7">
        <f t="shared" ca="1" si="20"/>
        <v>1</v>
      </c>
      <c r="AC89" s="7">
        <f t="shared" ca="1" si="27"/>
        <v>0.67114093959731547</v>
      </c>
      <c r="AD89" s="1"/>
      <c r="AE89" s="1"/>
    </row>
    <row r="90" spans="1:31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9"/>
      <c r="P90" s="7">
        <f t="shared" ca="1" si="21"/>
        <v>0.31000000000000016</v>
      </c>
      <c r="Q90" s="7">
        <f t="shared" ca="1" si="14"/>
        <v>2.2142857142857155E-2</v>
      </c>
      <c r="R90" s="33">
        <f t="shared" ca="1" si="22"/>
        <v>2170.0000000000009</v>
      </c>
      <c r="S90" s="33">
        <f t="shared" ca="1" si="23"/>
        <v>-4829.9999999999991</v>
      </c>
      <c r="T90" s="33">
        <f t="shared" ca="1" si="15"/>
        <v>2170.0000000000009</v>
      </c>
      <c r="U90" s="7">
        <f t="shared" ca="1" si="24"/>
        <v>0.44927536231884085</v>
      </c>
      <c r="V90" s="7">
        <f t="shared" ca="1" si="25"/>
        <v>-0.21054860265758243</v>
      </c>
      <c r="W90" s="33">
        <f t="shared" ca="1" si="16"/>
        <v>-4829.9999999999991</v>
      </c>
      <c r="X90" s="7">
        <f t="shared" ca="1" si="17"/>
        <v>-1</v>
      </c>
      <c r="Y90" s="7">
        <f t="shared" ca="1" si="18"/>
        <v>-0.5507246376811592</v>
      </c>
      <c r="Z90" s="7">
        <f t="shared" ca="1" si="26"/>
        <v>-5.832413648398059E-2</v>
      </c>
      <c r="AA90" s="33">
        <f t="shared" ca="1" si="19"/>
        <v>2170.0000000000009</v>
      </c>
      <c r="AB90" s="7">
        <f t="shared" ca="1" si="20"/>
        <v>1</v>
      </c>
      <c r="AC90" s="7">
        <f t="shared" ca="1" si="27"/>
        <v>0.7246376811594204</v>
      </c>
      <c r="AD90" s="1"/>
      <c r="AE90" s="1"/>
    </row>
    <row r="91" spans="1:31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</row>
    <row r="92" spans="1:31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</row>
    <row r="93" spans="1:31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</row>
    <row r="94" spans="1:31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</row>
    <row r="95" spans="1:31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</row>
    <row r="96" spans="1:31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</row>
    <row r="97" spans="1:31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</row>
    <row r="98" spans="1:31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</row>
    <row r="99" spans="1:31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</row>
    <row r="100" spans="1:31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</row>
    <row r="101" spans="1:31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</row>
    <row r="102" spans="1:31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</row>
    <row r="103" spans="1:31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</row>
    <row r="104" spans="1:31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</row>
    <row r="105" spans="1:31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</row>
    <row r="106" spans="1:31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</row>
    <row r="107" spans="1:31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</row>
    <row r="108" spans="1:31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</row>
    <row r="109" spans="1:31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</row>
    <row r="110" spans="1:31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</row>
    <row r="111" spans="1:31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</row>
    <row r="112" spans="1:31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</row>
    <row r="113" spans="1:31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</row>
    <row r="114" spans="1:31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</row>
    <row r="115" spans="1:31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</row>
    <row r="116" spans="1:31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</row>
    <row r="117" spans="1:31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</row>
    <row r="118" spans="1:31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</row>
    <row r="119" spans="1:31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</row>
    <row r="120" spans="1:31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</row>
    <row r="121" spans="1:31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</row>
    <row r="122" spans="1:31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/>
      <c r="Q122" s="7"/>
      <c r="R122" s="33"/>
      <c r="S122" s="33"/>
      <c r="T122" s="33"/>
      <c r="U122" s="7"/>
      <c r="V122" s="32"/>
      <c r="W122" s="33"/>
      <c r="X122" s="7"/>
      <c r="Y122" s="7"/>
      <c r="Z122" s="32"/>
      <c r="AA122" s="33"/>
      <c r="AB122" s="7"/>
      <c r="AC122" s="7"/>
      <c r="AD122" s="1"/>
      <c r="AE122" s="1"/>
    </row>
    <row r="123" spans="1:31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</row>
    <row r="124" spans="1:31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</row>
    <row r="125" spans="1:31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</row>
    <row r="126" spans="1:31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</row>
    <row r="127" spans="1:31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</row>
    <row r="128" spans="1:31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</row>
    <row r="129" spans="1:31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</row>
    <row r="130" spans="1:31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</row>
    <row r="131" spans="1:31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</row>
    <row r="132" spans="1:31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</row>
    <row r="133" spans="1:31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</row>
    <row r="134" spans="1:31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</row>
    <row r="135" spans="1:31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</row>
    <row r="136" spans="1:31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</row>
    <row r="137" spans="1:31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</row>
    <row r="138" spans="1:31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</row>
    <row r="139" spans="1:31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</row>
    <row r="140" spans="1:31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</row>
    <row r="141" spans="1:31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</row>
    <row r="142" spans="1:31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</row>
    <row r="143" spans="1:31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</row>
    <row r="144" spans="1:31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</row>
    <row r="145" spans="1:31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</row>
    <row r="146" spans="1:31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B201" s="39"/>
    </row>
    <row r="202" spans="1:31" x14ac:dyDescent="0.25">
      <c r="B202" s="39"/>
    </row>
    <row r="203" spans="1:31" x14ac:dyDescent="0.25">
      <c r="B203" s="39"/>
    </row>
    <row r="204" spans="1:31" x14ac:dyDescent="0.25">
      <c r="B204" s="39"/>
    </row>
    <row r="205" spans="1:31" x14ac:dyDescent="0.25">
      <c r="B205" s="39"/>
    </row>
    <row r="206" spans="1:31" x14ac:dyDescent="0.25">
      <c r="B206" s="39"/>
    </row>
    <row r="207" spans="1:31" x14ac:dyDescent="0.25">
      <c r="B207" s="39"/>
    </row>
    <row r="208" spans="1:31" x14ac:dyDescent="0.25">
      <c r="B208" s="39"/>
    </row>
    <row r="209" spans="2:2" x14ac:dyDescent="0.25">
      <c r="B209" s="39"/>
    </row>
    <row r="210" spans="2:2" x14ac:dyDescent="0.25">
      <c r="B210" s="39"/>
    </row>
    <row r="211" spans="2:2" x14ac:dyDescent="0.25">
      <c r="B211" s="39"/>
    </row>
    <row r="212" spans="2:2" x14ac:dyDescent="0.25">
      <c r="B212" s="39"/>
    </row>
    <row r="213" spans="2:2" x14ac:dyDescent="0.25">
      <c r="B213" s="39"/>
    </row>
    <row r="214" spans="2:2" x14ac:dyDescent="0.25">
      <c r="B214" s="39"/>
    </row>
    <row r="215" spans="2:2" x14ac:dyDescent="0.25">
      <c r="B215" s="39"/>
    </row>
    <row r="216" spans="2:2" x14ac:dyDescent="0.25">
      <c r="B216" s="39"/>
    </row>
    <row r="217" spans="2:2" x14ac:dyDescent="0.25">
      <c r="B217" s="39"/>
    </row>
    <row r="218" spans="2:2" x14ac:dyDescent="0.25">
      <c r="B218" s="39"/>
    </row>
    <row r="219" spans="2:2" x14ac:dyDescent="0.25">
      <c r="B219" s="39"/>
    </row>
    <row r="220" spans="2:2" x14ac:dyDescent="0.25">
      <c r="B220" s="39"/>
    </row>
    <row r="221" spans="2:2" x14ac:dyDescent="0.25">
      <c r="B221" s="39"/>
    </row>
    <row r="222" spans="2:2" x14ac:dyDescent="0.25">
      <c r="B222" s="39"/>
    </row>
    <row r="223" spans="2:2" x14ac:dyDescent="0.25">
      <c r="B223" s="39"/>
    </row>
    <row r="224" spans="2:2" x14ac:dyDescent="0.25">
      <c r="B224" s="39"/>
    </row>
    <row r="225" spans="2:2" x14ac:dyDescent="0.25">
      <c r="B225" s="39"/>
    </row>
    <row r="226" spans="2:2" x14ac:dyDescent="0.25">
      <c r="B226" s="39"/>
    </row>
    <row r="227" spans="2:2" x14ac:dyDescent="0.25">
      <c r="B227" s="39"/>
    </row>
    <row r="228" spans="2:2" x14ac:dyDescent="0.25">
      <c r="B228" s="39"/>
    </row>
    <row r="229" spans="2:2" x14ac:dyDescent="0.25">
      <c r="B229" s="39"/>
    </row>
    <row r="230" spans="2:2" x14ac:dyDescent="0.25">
      <c r="B230" s="39"/>
    </row>
    <row r="231" spans="2:2" x14ac:dyDescent="0.25">
      <c r="B231" s="39"/>
    </row>
    <row r="232" spans="2:2" x14ac:dyDescent="0.25">
      <c r="B232" s="39"/>
    </row>
    <row r="233" spans="2:2" x14ac:dyDescent="0.25">
      <c r="B233" s="39"/>
    </row>
    <row r="234" spans="2:2" x14ac:dyDescent="0.25">
      <c r="B234" s="39"/>
    </row>
    <row r="235" spans="2:2" x14ac:dyDescent="0.25">
      <c r="B235" s="39"/>
    </row>
    <row r="236" spans="2:2" x14ac:dyDescent="0.25">
      <c r="B236" s="39"/>
    </row>
    <row r="237" spans="2:2" x14ac:dyDescent="0.25">
      <c r="B237" s="39"/>
    </row>
    <row r="238" spans="2:2" x14ac:dyDescent="0.25">
      <c r="B238" s="39"/>
    </row>
    <row r="239" spans="2:2" x14ac:dyDescent="0.25">
      <c r="B239" s="39"/>
    </row>
    <row r="240" spans="2:2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zoomScale="80" zoomScaleNormal="80" workbookViewId="0">
      <selection activeCell="A3" sqref="A3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4"/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1819</v>
      </c>
      <c r="H3" s="19" t="s">
        <v>1822</v>
      </c>
      <c r="I3" s="19" t="s">
        <v>1815</v>
      </c>
      <c r="J3" s="19" t="s">
        <v>1816</v>
      </c>
      <c r="K3" s="19" t="s">
        <v>1817</v>
      </c>
      <c r="L3" s="19" t="s">
        <v>1818</v>
      </c>
      <c r="M3" s="19"/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-7.4571215510812831E-6</v>
      </c>
      <c r="Q4" s="7">
        <f t="shared" ref="Q4:Q67" si="2">R4/D4-1</f>
        <v>-0.22550335570469804</v>
      </c>
      <c r="R4" s="33">
        <f t="shared" ref="R4:R67" si="3">mrigxl_stockquote(C4)</f>
        <v>1154</v>
      </c>
      <c r="S4" s="33">
        <f t="shared" ref="S4:S67" si="4">(MIN(F4,R4)-D4+G4)*E4</f>
        <v>-132440</v>
      </c>
      <c r="T4" s="7">
        <f t="shared" ref="T4:T67" si="5">S4/U4</f>
        <v>-0.22221476510067115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-2.6791955593551423E-5</v>
      </c>
      <c r="Q5" s="7">
        <f t="shared" si="2"/>
        <v>7.303974221267473E-2</v>
      </c>
      <c r="R5" s="33">
        <f t="shared" si="3"/>
        <v>49.95</v>
      </c>
      <c r="S5" s="33">
        <f t="shared" si="4"/>
        <v>-76999.999999999971</v>
      </c>
      <c r="T5" s="7">
        <f t="shared" si="5"/>
        <v>-0.15037593984962402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-3.4098852573610897E-5</v>
      </c>
      <c r="Q6" s="7">
        <f t="shared" si="2"/>
        <v>7.303974221267473E-2</v>
      </c>
      <c r="R6" s="33">
        <f t="shared" si="3"/>
        <v>49.95</v>
      </c>
      <c r="S6" s="33">
        <f t="shared" si="4"/>
        <v>-64349.999999999964</v>
      </c>
      <c r="T6" s="7">
        <f t="shared" si="5"/>
        <v>-0.1256713211600429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-2.5726953666270984E-5</v>
      </c>
      <c r="Q7" s="7">
        <f t="shared" si="2"/>
        <v>-0.21488540957567503</v>
      </c>
      <c r="R7" s="33">
        <f t="shared" si="3"/>
        <v>173</v>
      </c>
      <c r="S7" s="33">
        <f t="shared" si="4"/>
        <v>-112124.99999999999</v>
      </c>
      <c r="T7" s="7">
        <f t="shared" si="5"/>
        <v>-0.20353982300884954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-2.8814188106223505E-5</v>
      </c>
      <c r="Q8" s="7">
        <f t="shared" si="2"/>
        <v>-0.21488540957567503</v>
      </c>
      <c r="R8" s="33">
        <f t="shared" si="3"/>
        <v>173</v>
      </c>
      <c r="S8" s="33">
        <f t="shared" si="4"/>
        <v>-111375</v>
      </c>
      <c r="T8" s="7">
        <f t="shared" si="5"/>
        <v>-0.2021783526208305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-8.158500741689301E-6</v>
      </c>
      <c r="Q9" s="7">
        <f t="shared" si="2"/>
        <v>0.24267827588688196</v>
      </c>
      <c r="R9" s="33">
        <f t="shared" si="3"/>
        <v>1726.95</v>
      </c>
      <c r="S9" s="33">
        <f t="shared" si="4"/>
        <v>-74820.000000000029</v>
      </c>
      <c r="T9" s="7">
        <f t="shared" si="5"/>
        <v>-8.973159674749949E-2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-1.1421901038365023E-5</v>
      </c>
      <c r="Q10" s="7">
        <f t="shared" si="2"/>
        <v>0.24267827588688196</v>
      </c>
      <c r="R10" s="33">
        <f t="shared" si="3"/>
        <v>1726.95</v>
      </c>
      <c r="S10" s="33">
        <f t="shared" si="4"/>
        <v>-61620.000000000029</v>
      </c>
      <c r="T10" s="7">
        <f t="shared" si="5"/>
        <v>-7.3900841908325576E-2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-1.5926630271951152E-5</v>
      </c>
      <c r="Q11" s="7">
        <f t="shared" si="2"/>
        <v>-0.26147426981919331</v>
      </c>
      <c r="R11" s="33">
        <f t="shared" si="3"/>
        <v>531</v>
      </c>
      <c r="S11" s="33">
        <f t="shared" si="4"/>
        <v>-182950</v>
      </c>
      <c r="T11" s="7">
        <f t="shared" si="5"/>
        <v>-0.25445062586926287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-1.892272903598157E-5</v>
      </c>
      <c r="Q12" s="7">
        <f t="shared" si="2"/>
        <v>-0.26147426981919331</v>
      </c>
      <c r="R12" s="33">
        <f t="shared" si="3"/>
        <v>531</v>
      </c>
      <c r="S12" s="33">
        <f t="shared" si="4"/>
        <v>-182000</v>
      </c>
      <c r="T12" s="7">
        <f t="shared" si="5"/>
        <v>-0.25312934631432543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-2.9172540597138253E-5</v>
      </c>
      <c r="Q13" s="7">
        <f t="shared" si="2"/>
        <v>-0.26147426981919331</v>
      </c>
      <c r="R13" s="33">
        <f t="shared" si="3"/>
        <v>531</v>
      </c>
      <c r="S13" s="33">
        <f t="shared" si="4"/>
        <v>-178750</v>
      </c>
      <c r="T13" s="7">
        <f t="shared" si="5"/>
        <v>-0.24860917941585536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-1.4590677687735059E-5</v>
      </c>
      <c r="Q14" s="7">
        <f t="shared" si="2"/>
        <v>-0.28536958095391296</v>
      </c>
      <c r="R14" s="33">
        <f t="shared" si="3"/>
        <v>444.25</v>
      </c>
      <c r="S14" s="33">
        <f t="shared" si="4"/>
        <v>-208079.99999999997</v>
      </c>
      <c r="T14" s="7">
        <f t="shared" si="5"/>
        <v>-0.27893509209362177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-1.8238347109668825E-5</v>
      </c>
      <c r="Q15" s="7">
        <f t="shared" si="2"/>
        <v>-0.28536958095391296</v>
      </c>
      <c r="R15" s="33">
        <f t="shared" si="3"/>
        <v>444.25</v>
      </c>
      <c r="S15" s="33">
        <f t="shared" si="4"/>
        <v>-206879.99999999997</v>
      </c>
      <c r="T15" s="7">
        <f t="shared" si="5"/>
        <v>-0.27732646987854898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-2.3709851242569471E-5</v>
      </c>
      <c r="Q16" s="7">
        <f t="shared" si="2"/>
        <v>-0.28536958095391296</v>
      </c>
      <c r="R16" s="33">
        <f t="shared" si="3"/>
        <v>444.25</v>
      </c>
      <c r="S16" s="33">
        <f t="shared" si="4"/>
        <v>-205079.99999999997</v>
      </c>
      <c r="T16" s="7">
        <f t="shared" si="5"/>
        <v>-0.27491353655593981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-5.1244603302714683E-5</v>
      </c>
      <c r="Q17" s="7">
        <f t="shared" si="2"/>
        <v>-0.55932203389830504</v>
      </c>
      <c r="R17" s="33">
        <f t="shared" si="3"/>
        <v>50.7</v>
      </c>
      <c r="S17" s="33">
        <f t="shared" si="4"/>
        <v>-246999.99999999997</v>
      </c>
      <c r="T17" s="7">
        <f t="shared" si="5"/>
        <v>-0.53672316384180785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-2.7593247932230984E-5</v>
      </c>
      <c r="Q18" s="7">
        <f t="shared" si="2"/>
        <v>-0.55932203389830504</v>
      </c>
      <c r="R18" s="33">
        <f t="shared" si="3"/>
        <v>50.7</v>
      </c>
      <c r="S18" s="33">
        <f t="shared" si="4"/>
        <v>-251799.99999999997</v>
      </c>
      <c r="T18" s="7">
        <f t="shared" si="5"/>
        <v>-0.54715341156019115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-4.8288183881404226E-5</v>
      </c>
      <c r="Q19" s="7">
        <f t="shared" si="2"/>
        <v>-0.55932203389830504</v>
      </c>
      <c r="R19" s="33">
        <f t="shared" si="3"/>
        <v>50.7</v>
      </c>
      <c r="S19" s="33">
        <f t="shared" si="4"/>
        <v>-247599.99999999997</v>
      </c>
      <c r="T19" s="7">
        <f t="shared" si="5"/>
        <v>-0.53802694480660573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-4.2610577327257297E-5</v>
      </c>
      <c r="Q20" s="7">
        <f t="shared" si="2"/>
        <v>-0.6505840528186897</v>
      </c>
      <c r="R20" s="33">
        <f t="shared" si="3"/>
        <v>34.4</v>
      </c>
      <c r="S20" s="33">
        <f t="shared" si="4"/>
        <v>-373200.00000000006</v>
      </c>
      <c r="T20" s="7">
        <f t="shared" si="5"/>
        <v>-0.63179278821736928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-5.75818612530504E-5</v>
      </c>
      <c r="Q21" s="7">
        <f t="shared" si="2"/>
        <v>-0.6505840528186897</v>
      </c>
      <c r="R21" s="33">
        <f t="shared" si="3"/>
        <v>34.4</v>
      </c>
      <c r="S21" s="33">
        <f t="shared" si="4"/>
        <v>-369300.00000000006</v>
      </c>
      <c r="T21" s="7">
        <f t="shared" si="5"/>
        <v>-0.62519045200609458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-3.9155665652074273E-5</v>
      </c>
      <c r="Q22" s="7">
        <f t="shared" si="2"/>
        <v>-0.6505840528186897</v>
      </c>
      <c r="R22" s="33">
        <f t="shared" si="3"/>
        <v>34.4</v>
      </c>
      <c r="S22" s="33">
        <f t="shared" si="4"/>
        <v>-374100.00000000006</v>
      </c>
      <c r="T22" s="7">
        <f t="shared" si="5"/>
        <v>-0.63331640426612501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-5.0672037902684353E-5</v>
      </c>
      <c r="Q23" s="7">
        <f t="shared" si="2"/>
        <v>-0.6505840528186897</v>
      </c>
      <c r="R23" s="33">
        <f t="shared" si="3"/>
        <v>34.4</v>
      </c>
      <c r="S23" s="33">
        <f t="shared" si="4"/>
        <v>-371100.00000000006</v>
      </c>
      <c r="T23" s="7">
        <f t="shared" si="5"/>
        <v>-0.62823768410360603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-6.334004737835543E-5</v>
      </c>
      <c r="Q24" s="7">
        <f t="shared" si="2"/>
        <v>-0.6505840528186897</v>
      </c>
      <c r="R24" s="33">
        <f t="shared" si="3"/>
        <v>34.4</v>
      </c>
      <c r="S24" s="33">
        <f t="shared" si="4"/>
        <v>-367800.00000000006</v>
      </c>
      <c r="T24" s="7">
        <f t="shared" si="5"/>
        <v>-0.62265109192483503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-1.9792553633229287E-5</v>
      </c>
      <c r="Q25" s="7">
        <f t="shared" si="2"/>
        <v>0.11185098533249338</v>
      </c>
      <c r="R25" s="33">
        <f t="shared" si="3"/>
        <v>1235.5999999999999</v>
      </c>
      <c r="S25" s="33">
        <f t="shared" si="4"/>
        <v>-77879.999999999985</v>
      </c>
      <c r="T25" s="7">
        <f t="shared" si="5"/>
        <v>-0.12741833888238996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-2.448563336069603E-5</v>
      </c>
      <c r="Q26" s="7">
        <f t="shared" si="2"/>
        <v>0.11185098533249338</v>
      </c>
      <c r="R26" s="33">
        <f t="shared" si="3"/>
        <v>1235.5999999999999</v>
      </c>
      <c r="S26" s="33">
        <f t="shared" si="4"/>
        <v>-54614.999999999978</v>
      </c>
      <c r="T26" s="7">
        <f t="shared" si="5"/>
        <v>-8.9354809682353958E-2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-2.3164771016238509E-5</v>
      </c>
      <c r="Q27" s="7">
        <f t="shared" si="2"/>
        <v>-0.18047673098751416</v>
      </c>
      <c r="R27" s="33">
        <f t="shared" si="3"/>
        <v>72.2</v>
      </c>
      <c r="S27" s="33">
        <f t="shared" si="4"/>
        <v>-89999.999999999942</v>
      </c>
      <c r="T27" s="7">
        <f t="shared" si="5"/>
        <v>-0.17026106696935289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-4.3755678586228282E-5</v>
      </c>
      <c r="Q28" s="7">
        <f t="shared" si="2"/>
        <v>-0.18047673098751416</v>
      </c>
      <c r="R28" s="33">
        <f t="shared" si="3"/>
        <v>72.2</v>
      </c>
      <c r="S28" s="33">
        <f t="shared" si="4"/>
        <v>-85199.999999999956</v>
      </c>
      <c r="T28" s="7">
        <f t="shared" si="5"/>
        <v>-0.16118047673098743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-2.0452775882700261E-5</v>
      </c>
      <c r="Q29" s="7">
        <f t="shared" si="2"/>
        <v>-0.1847905744404984</v>
      </c>
      <c r="R29" s="33">
        <f t="shared" si="3"/>
        <v>723.05</v>
      </c>
      <c r="S29" s="33">
        <f t="shared" si="4"/>
        <v>-109130.00000000006</v>
      </c>
      <c r="T29" s="7">
        <f t="shared" si="5"/>
        <v>-0.1757709002762276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-5.6245133677425724E-5</v>
      </c>
      <c r="Q30" s="7">
        <f t="shared" si="2"/>
        <v>-0.1847905744404984</v>
      </c>
      <c r="R30" s="33">
        <f t="shared" si="3"/>
        <v>723.05</v>
      </c>
      <c r="S30" s="33">
        <f t="shared" si="4"/>
        <v>-99330.000000000058</v>
      </c>
      <c r="T30" s="7">
        <f t="shared" si="5"/>
        <v>-0.1599864704887537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-1.2971217891542186E-5</v>
      </c>
      <c r="Q31" s="7">
        <f t="shared" si="2"/>
        <v>0.56796628029504737</v>
      </c>
      <c r="R31" s="33">
        <f t="shared" si="3"/>
        <v>520.79999999999995</v>
      </c>
      <c r="S31" s="33">
        <f t="shared" si="4"/>
        <v>-88549.999999999956</v>
      </c>
      <c r="T31" s="7">
        <f t="shared" si="5"/>
        <v>-0.12118018967334029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-1.979817467656439E-5</v>
      </c>
      <c r="Q32" s="7">
        <f t="shared" si="2"/>
        <v>0.56796628029504737</v>
      </c>
      <c r="R32" s="33">
        <f t="shared" si="3"/>
        <v>520.79999999999995</v>
      </c>
      <c r="S32" s="33">
        <f t="shared" si="4"/>
        <v>-64349.999999999956</v>
      </c>
      <c r="T32" s="7">
        <f t="shared" si="5"/>
        <v>-8.8062622309197591E-2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-4.4245340412587801E-5</v>
      </c>
      <c r="Q33" s="7">
        <f t="shared" si="2"/>
        <v>0.72130081300812998</v>
      </c>
      <c r="R33" s="33">
        <f t="shared" si="3"/>
        <v>529.29999999999995</v>
      </c>
      <c r="S33" s="33">
        <f t="shared" si="4"/>
        <v>-70550</v>
      </c>
      <c r="T33" s="7">
        <f t="shared" si="5"/>
        <v>-0.13495934959349593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-2.5809781907342885E-5</v>
      </c>
      <c r="Q34" s="7">
        <f t="shared" si="2"/>
        <v>0.72130081300812998</v>
      </c>
      <c r="R34" s="33">
        <f t="shared" si="3"/>
        <v>529.29999999999995</v>
      </c>
      <c r="S34" s="33">
        <f t="shared" si="4"/>
        <v>-57800</v>
      </c>
      <c r="T34" s="7">
        <f t="shared" si="5"/>
        <v>-0.11056910569105691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-1.6255008574517021E-5</v>
      </c>
      <c r="Q35" s="7">
        <f t="shared" si="2"/>
        <v>-0.6752688172043011</v>
      </c>
      <c r="R35" s="33">
        <f t="shared" si="3"/>
        <v>22.65</v>
      </c>
      <c r="S35" s="33">
        <f t="shared" si="4"/>
        <v>-349500</v>
      </c>
      <c r="T35" s="7">
        <f t="shared" si="5"/>
        <v>-0.66810035842293902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-2.7633514576678937E-5</v>
      </c>
      <c r="Q36" s="7">
        <f t="shared" si="2"/>
        <v>-0.6752688172043011</v>
      </c>
      <c r="R36" s="33">
        <f t="shared" si="3"/>
        <v>22.65</v>
      </c>
      <c r="S36" s="33">
        <f t="shared" si="4"/>
        <v>-346875</v>
      </c>
      <c r="T36" s="7">
        <f t="shared" si="5"/>
        <v>-0.6630824372759857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-4.3888523151195965E-5</v>
      </c>
      <c r="Q37" s="7">
        <f t="shared" si="2"/>
        <v>-0.6752688172043011</v>
      </c>
      <c r="R37" s="33">
        <f t="shared" si="3"/>
        <v>22.65</v>
      </c>
      <c r="S37" s="33">
        <f t="shared" si="4"/>
        <v>-343125</v>
      </c>
      <c r="T37" s="7">
        <f t="shared" si="5"/>
        <v>-0.65591397849462363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-1.8777824116601807E-5</v>
      </c>
      <c r="Q38" s="7">
        <f t="shared" si="2"/>
        <v>-2.6178709763590269E-2</v>
      </c>
      <c r="R38" s="33">
        <f t="shared" si="3"/>
        <v>364.55</v>
      </c>
      <c r="S38" s="33">
        <f t="shared" si="4"/>
        <v>-92250.000000000044</v>
      </c>
      <c r="T38" s="7">
        <f t="shared" si="5"/>
        <v>-0.13690396687591833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-3.2709758138596696E-5</v>
      </c>
      <c r="Q39" s="7">
        <f t="shared" si="2"/>
        <v>-2.6178709763590269E-2</v>
      </c>
      <c r="R39" s="33">
        <f t="shared" si="3"/>
        <v>364.55</v>
      </c>
      <c r="S39" s="33">
        <f t="shared" si="4"/>
        <v>-70110.000000000044</v>
      </c>
      <c r="T39" s="7">
        <f t="shared" si="5"/>
        <v>-0.10404701482569795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-4.9064637207895041E-5</v>
      </c>
      <c r="Q40" s="7">
        <f t="shared" si="2"/>
        <v>-2.6178709763590269E-2</v>
      </c>
      <c r="R40" s="33">
        <f t="shared" si="3"/>
        <v>364.55</v>
      </c>
      <c r="S40" s="33">
        <f t="shared" si="4"/>
        <v>-47250.000000000036</v>
      </c>
      <c r="T40" s="7">
        <f t="shared" si="5"/>
        <v>-7.0121544009616718E-2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-6.0573626182586473E-5</v>
      </c>
      <c r="Q41" s="7">
        <f t="shared" si="2"/>
        <v>-2.6178709763590269E-2</v>
      </c>
      <c r="R41" s="33">
        <f t="shared" si="3"/>
        <v>364.55</v>
      </c>
      <c r="S41" s="33">
        <f t="shared" si="4"/>
        <v>-25830.00000000004</v>
      </c>
      <c r="T41" s="7">
        <f t="shared" si="5"/>
        <v>-3.833311072525717E-2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-2.5903741695858193E-5</v>
      </c>
      <c r="Q42" s="7">
        <f t="shared" si="2"/>
        <v>2.8265963678969053E-2</v>
      </c>
      <c r="R42" s="33">
        <f t="shared" si="3"/>
        <v>351.05</v>
      </c>
      <c r="S42" s="33">
        <f t="shared" si="4"/>
        <v>-43999.999999999964</v>
      </c>
      <c r="T42" s="7">
        <f t="shared" si="5"/>
        <v>-8.0550673696543576E-2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-3.4206223008633259E-5</v>
      </c>
      <c r="Q43" s="7">
        <f t="shared" si="2"/>
        <v>2.8265963678969053E-2</v>
      </c>
      <c r="R43" s="33">
        <f t="shared" si="3"/>
        <v>351.05</v>
      </c>
      <c r="S43" s="33">
        <f t="shared" si="4"/>
        <v>-25999.999999999967</v>
      </c>
      <c r="T43" s="7">
        <f t="shared" si="5"/>
        <v>-4.7598125366139367E-2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-6.4301150820265503E-5</v>
      </c>
      <c r="Q44" s="7">
        <f t="shared" si="2"/>
        <v>-0.65971830985915503</v>
      </c>
      <c r="R44" s="33">
        <f t="shared" si="3"/>
        <v>90.6</v>
      </c>
      <c r="S44" s="33">
        <f t="shared" si="4"/>
        <v>-336200</v>
      </c>
      <c r="T44" s="7">
        <f t="shared" si="5"/>
        <v>-0.63136150234741784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-7.579870758945206E-5</v>
      </c>
      <c r="Q45" s="7">
        <f t="shared" si="2"/>
        <v>-0.65971830985915503</v>
      </c>
      <c r="R45" s="33">
        <f t="shared" si="3"/>
        <v>90.6</v>
      </c>
      <c r="S45" s="33">
        <f t="shared" si="4"/>
        <v>-333500</v>
      </c>
      <c r="T45" s="7">
        <f t="shared" si="5"/>
        <v>-0.62629107981220655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-8.8573770666325997E-5</v>
      </c>
      <c r="Q46" s="7">
        <f t="shared" si="2"/>
        <v>-0.65971830985915503</v>
      </c>
      <c r="R46" s="33">
        <f t="shared" si="3"/>
        <v>90.6</v>
      </c>
      <c r="S46" s="33">
        <f t="shared" si="4"/>
        <v>-330500</v>
      </c>
      <c r="T46" s="7">
        <f t="shared" si="5"/>
        <v>-0.62065727699530515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-1.9162594615310912E-5</v>
      </c>
      <c r="Q47" s="7">
        <f t="shared" si="2"/>
        <v>-0.65971830985915503</v>
      </c>
      <c r="R47" s="33">
        <f t="shared" si="3"/>
        <v>90.6</v>
      </c>
      <c r="S47" s="33">
        <f t="shared" si="4"/>
        <v>-346800</v>
      </c>
      <c r="T47" s="7">
        <f t="shared" si="5"/>
        <v>-0.65126760563380282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-2.5550126153747887E-5</v>
      </c>
      <c r="Q48" s="7">
        <f t="shared" si="2"/>
        <v>-0.65971830985915503</v>
      </c>
      <c r="R48" s="33">
        <f t="shared" si="3"/>
        <v>90.6</v>
      </c>
      <c r="S48" s="33">
        <f t="shared" si="4"/>
        <v>-345300</v>
      </c>
      <c r="T48" s="7">
        <f t="shared" si="5"/>
        <v>-0.64845070422535211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-1.3882235210203018E-4</v>
      </c>
      <c r="Q49" s="7">
        <f t="shared" si="2"/>
        <v>-0.65971830985915503</v>
      </c>
      <c r="R49" s="33">
        <f t="shared" si="3"/>
        <v>90.6</v>
      </c>
      <c r="S49" s="33">
        <f t="shared" si="4"/>
        <v>-318700</v>
      </c>
      <c r="T49" s="7">
        <f t="shared" si="5"/>
        <v>-0.59849765258215959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-4.3435214461371405E-5</v>
      </c>
      <c r="Q50" s="7">
        <f t="shared" si="2"/>
        <v>-0.65971830985915503</v>
      </c>
      <c r="R50" s="33">
        <f t="shared" si="3"/>
        <v>90.6</v>
      </c>
      <c r="S50" s="33">
        <f t="shared" si="4"/>
        <v>-341100</v>
      </c>
      <c r="T50" s="7">
        <f t="shared" si="5"/>
        <v>-0.64056338028169013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-1.7714754133265199E-4</v>
      </c>
      <c r="Q51" s="7">
        <f t="shared" si="2"/>
        <v>-0.65971830985915503</v>
      </c>
      <c r="R51" s="33">
        <f t="shared" si="3"/>
        <v>90.6</v>
      </c>
      <c r="S51" s="33">
        <f t="shared" si="4"/>
        <v>-309700</v>
      </c>
      <c r="T51" s="7">
        <f t="shared" si="5"/>
        <v>-0.58159624413145539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-2.8243800485793367E-5</v>
      </c>
      <c r="Q52" s="7">
        <f t="shared" si="2"/>
        <v>-2.010676156583624E-2</v>
      </c>
      <c r="R52" s="33">
        <f t="shared" si="3"/>
        <v>275.35000000000002</v>
      </c>
      <c r="S52" s="33">
        <f t="shared" si="4"/>
        <v>-34375</v>
      </c>
      <c r="T52" s="7">
        <f t="shared" si="5"/>
        <v>-9.7864768683274025E-2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-3.1054145386813541E-5</v>
      </c>
      <c r="Q53" s="7">
        <f t="shared" si="2"/>
        <v>-0.63319638455217753</v>
      </c>
      <c r="R53" s="33">
        <f t="shared" si="3"/>
        <v>334.8</v>
      </c>
      <c r="S53" s="33">
        <f t="shared" si="4"/>
        <v>-339270</v>
      </c>
      <c r="T53" s="7">
        <f t="shared" si="5"/>
        <v>-0.61950150643659274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-3.0758347046429727E-5</v>
      </c>
      <c r="Q54" s="7">
        <f t="shared" si="2"/>
        <v>5.6518462697814575E-2</v>
      </c>
      <c r="R54" s="33">
        <f t="shared" si="3"/>
        <v>1402</v>
      </c>
      <c r="S54" s="33">
        <f t="shared" si="4"/>
        <v>-62300</v>
      </c>
      <c r="T54" s="7">
        <f t="shared" si="5"/>
        <v>-6.706857573474001E-2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-2.0153913890077453E-5</v>
      </c>
      <c r="Q55" s="7">
        <f t="shared" si="2"/>
        <v>0.12887420237010039</v>
      </c>
      <c r="R55" s="33">
        <f t="shared" si="3"/>
        <v>495.35</v>
      </c>
      <c r="S55" s="33">
        <f t="shared" si="4"/>
        <v>-43625.000000000015</v>
      </c>
      <c r="T55" s="7">
        <f t="shared" si="5"/>
        <v>-7.9535095715587992E-2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-3.7105751391465681E-5</v>
      </c>
      <c r="Q56" s="7">
        <f t="shared" si="2"/>
        <v>-0.47333333333333327</v>
      </c>
      <c r="R56" s="33">
        <f t="shared" si="3"/>
        <v>86.9</v>
      </c>
      <c r="S56" s="33">
        <f t="shared" si="4"/>
        <v>-339299.99999999994</v>
      </c>
      <c r="T56" s="7">
        <f t="shared" si="5"/>
        <v>-0.45696969696969691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-2.2969749758358232E-5</v>
      </c>
      <c r="Q57" s="7">
        <f t="shared" si="2"/>
        <v>0.61659238249594805</v>
      </c>
      <c r="R57" s="33">
        <f t="shared" si="3"/>
        <v>2393.85</v>
      </c>
      <c r="S57" s="33">
        <f t="shared" si="4"/>
        <v>-42319.999999999985</v>
      </c>
      <c r="T57" s="7">
        <f t="shared" si="5"/>
        <v>-7.1447866018368431E-2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-2.1209267601571185E-5</v>
      </c>
      <c r="Q58" s="7">
        <f t="shared" si="2"/>
        <v>-0.24345269909139489</v>
      </c>
      <c r="R58" s="33">
        <f t="shared" si="3"/>
        <v>141.55000000000001</v>
      </c>
      <c r="S58" s="33">
        <f t="shared" si="4"/>
        <v>-113879.99999999996</v>
      </c>
      <c r="T58" s="7">
        <f t="shared" si="5"/>
        <v>-0.23409941207910198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-3.2116890939522077E-5</v>
      </c>
      <c r="Q59" s="7">
        <f t="shared" si="2"/>
        <v>-0.24345269909139489</v>
      </c>
      <c r="R59" s="33">
        <f t="shared" si="3"/>
        <v>141.55000000000001</v>
      </c>
      <c r="S59" s="33">
        <f t="shared" si="4"/>
        <v>-111539.99999999996</v>
      </c>
      <c r="T59" s="7">
        <f t="shared" si="5"/>
        <v>-0.22928915018706564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-5.1508221318101448E-5</v>
      </c>
      <c r="Q60" s="7">
        <f t="shared" si="2"/>
        <v>-0.24345269909139489</v>
      </c>
      <c r="R60" s="33">
        <f t="shared" si="3"/>
        <v>141.55000000000001</v>
      </c>
      <c r="S60" s="33">
        <f t="shared" si="4"/>
        <v>-107379.99999999996</v>
      </c>
      <c r="T60" s="7">
        <f t="shared" si="5"/>
        <v>-0.22073757349011214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-3.4192845645785033E-5</v>
      </c>
      <c r="Q61" s="7">
        <f t="shared" si="2"/>
        <v>0.47868764286674748</v>
      </c>
      <c r="R61" s="33">
        <f t="shared" si="3"/>
        <v>3848.95</v>
      </c>
      <c r="S61" s="33">
        <f t="shared" si="4"/>
        <v>-78424.999999999956</v>
      </c>
      <c r="T61" s="7">
        <f t="shared" si="5"/>
        <v>-0.12051710559173238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-1.5985699811468926E-5</v>
      </c>
      <c r="Q62" s="7">
        <f t="shared" si="2"/>
        <v>0.47868764286674748</v>
      </c>
      <c r="R62" s="33">
        <f t="shared" si="3"/>
        <v>3848.95</v>
      </c>
      <c r="S62" s="33">
        <f t="shared" si="4"/>
        <v>-71149.999999999942</v>
      </c>
      <c r="T62" s="7">
        <f t="shared" si="5"/>
        <v>-0.10933748247181074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-4.3557765153866282E-5</v>
      </c>
      <c r="Q63" s="7">
        <f t="shared" si="2"/>
        <v>0.47868764286674748</v>
      </c>
      <c r="R63" s="33">
        <f t="shared" si="3"/>
        <v>3848.95</v>
      </c>
      <c r="S63" s="33">
        <f t="shared" si="4"/>
        <v>-50737.499999999956</v>
      </c>
      <c r="T63" s="7">
        <f t="shared" si="5"/>
        <v>-7.7969227222958501E-2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-3.3103901516938376E-5</v>
      </c>
      <c r="Q64" s="7">
        <f t="shared" si="2"/>
        <v>0.47868764286674748</v>
      </c>
      <c r="R64" s="33">
        <f t="shared" si="3"/>
        <v>3848.95</v>
      </c>
      <c r="S64" s="33">
        <f t="shared" si="4"/>
        <v>-41237.499999999956</v>
      </c>
      <c r="T64" s="7">
        <f t="shared" si="5"/>
        <v>-6.3370406653988673E-2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-2.5809781907342882E-5</v>
      </c>
      <c r="Q65" s="7">
        <f t="shared" si="2"/>
        <v>-0.45203252032520325</v>
      </c>
      <c r="R65" s="33">
        <f t="shared" si="3"/>
        <v>67.400000000000006</v>
      </c>
      <c r="S65" s="33">
        <f t="shared" si="4"/>
        <v>-222219.99999999997</v>
      </c>
      <c r="T65" s="7">
        <f t="shared" si="5"/>
        <v>-0.44065040650406501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-7.5558173579990995E-5</v>
      </c>
      <c r="Q66" s="7">
        <f t="shared" si="2"/>
        <v>9.7698209718670048E-2</v>
      </c>
      <c r="R66" s="33">
        <f t="shared" si="3"/>
        <v>751.1</v>
      </c>
      <c r="S66" s="33">
        <f t="shared" si="4"/>
        <v>-111595</v>
      </c>
      <c r="T66" s="7">
        <f t="shared" si="5"/>
        <v>-0.14826452320058459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-9.7761671956567308E-5</v>
      </c>
      <c r="Q67" s="7">
        <f t="shared" si="2"/>
        <v>9.7698209718670048E-2</v>
      </c>
      <c r="R67" s="33">
        <f t="shared" si="3"/>
        <v>751.1</v>
      </c>
      <c r="S67" s="33">
        <f t="shared" si="4"/>
        <v>-82225</v>
      </c>
      <c r="T67" s="7">
        <f t="shared" si="5"/>
        <v>-0.1092436974789916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-2.618024435447057E-5</v>
      </c>
      <c r="Q68" s="7">
        <f t="shared" ref="Q68:Q121" si="9">R68/D68-1</f>
        <v>9.7698209718670048E-2</v>
      </c>
      <c r="R68" s="33">
        <f t="shared" ref="R68:R121" si="10">mrigxl_stockquote(C68)</f>
        <v>751.1</v>
      </c>
      <c r="S68" s="33">
        <f t="shared" ref="S68:S121" si="11">(MIN(F68,R68)-D68+G68)*E68</f>
        <v>-83985</v>
      </c>
      <c r="T68" s="7">
        <f t="shared" ref="T68:T121" si="12">S68/U68</f>
        <v>-0.11158202411399343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-3.3139549815785527E-5</v>
      </c>
      <c r="Q69" s="7">
        <f t="shared" si="9"/>
        <v>9.7698209718670048E-2</v>
      </c>
      <c r="R69" s="33">
        <f t="shared" si="10"/>
        <v>751.1</v>
      </c>
      <c r="S69" s="33">
        <f t="shared" si="11"/>
        <v>-59675</v>
      </c>
      <c r="T69" s="7">
        <f t="shared" si="12"/>
        <v>-7.9283887468030695E-2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-1.9983148538918672E-4</v>
      </c>
      <c r="Q70" s="7">
        <f t="shared" si="9"/>
        <v>9.7698209718670048E-2</v>
      </c>
      <c r="R70" s="33">
        <f t="shared" si="10"/>
        <v>751.1</v>
      </c>
      <c r="S70" s="33">
        <f t="shared" si="11"/>
        <v>17654.999999999996</v>
      </c>
      <c r="T70" s="7">
        <f t="shared" si="12"/>
        <v>2.345633905736207E-2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-1.8296721593424887E-5</v>
      </c>
      <c r="Q71" s="7">
        <f t="shared" si="9"/>
        <v>-0.53684776761699848</v>
      </c>
      <c r="R71" s="33">
        <f t="shared" si="10"/>
        <v>43.05</v>
      </c>
      <c r="S71" s="33">
        <f t="shared" si="11"/>
        <v>-344050.00000000006</v>
      </c>
      <c r="T71" s="7">
        <f t="shared" si="12"/>
        <v>-0.52877891339429806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-5.1230820461589689E-5</v>
      </c>
      <c r="Q72" s="7">
        <f t="shared" si="9"/>
        <v>-0.53684776761699848</v>
      </c>
      <c r="R72" s="33">
        <f t="shared" si="10"/>
        <v>43.05</v>
      </c>
      <c r="S72" s="33">
        <f t="shared" si="11"/>
        <v>-334600.00000000006</v>
      </c>
      <c r="T72" s="7">
        <f t="shared" si="12"/>
        <v>-0.51425497579343737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-1.3126331092012298E-5</v>
      </c>
      <c r="Q73" s="7">
        <f t="shared" si="9"/>
        <v>-0.74413892908827783</v>
      </c>
      <c r="R73" s="33">
        <f t="shared" si="10"/>
        <v>88.4</v>
      </c>
      <c r="S73" s="33">
        <f t="shared" si="11"/>
        <v>-680351.70000000007</v>
      </c>
      <c r="T73" s="7">
        <f t="shared" si="12"/>
        <v>-0.73835021707670045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-1.7751080153227324E-5</v>
      </c>
      <c r="Q74" s="7">
        <f t="shared" si="9"/>
        <v>-0.49988816819503468</v>
      </c>
      <c r="R74" s="33">
        <f t="shared" si="10"/>
        <v>335.4</v>
      </c>
      <c r="S74" s="33">
        <f t="shared" si="11"/>
        <v>-330000</v>
      </c>
      <c r="T74" s="7">
        <f t="shared" si="12"/>
        <v>-0.49205994184746144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-3.9728607961984964E-5</v>
      </c>
      <c r="Q75" s="7">
        <f t="shared" si="9"/>
        <v>-0.49988816819503468</v>
      </c>
      <c r="R75" s="33">
        <f t="shared" si="10"/>
        <v>335.4</v>
      </c>
      <c r="S75" s="33">
        <f t="shared" si="11"/>
        <v>-323500</v>
      </c>
      <c r="T75" s="7">
        <f t="shared" si="12"/>
        <v>-0.48236785208379929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-2.8612917301515772E-5</v>
      </c>
      <c r="Q76" s="7">
        <f t="shared" si="9"/>
        <v>0.10094637223974767</v>
      </c>
      <c r="R76" s="33">
        <f t="shared" si="10"/>
        <v>17.45</v>
      </c>
      <c r="S76" s="33">
        <f t="shared" si="11"/>
        <v>-74249.999999999985</v>
      </c>
      <c r="T76" s="7">
        <f t="shared" si="12"/>
        <v>-0.10410094637223972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-9.7261126672891383E-6</v>
      </c>
      <c r="Q77" s="7">
        <f t="shared" si="9"/>
        <v>-0.31188725490196079</v>
      </c>
      <c r="R77" s="33">
        <f t="shared" si="10"/>
        <v>561.5</v>
      </c>
      <c r="S77" s="33">
        <f t="shared" si="11"/>
        <v>-188250</v>
      </c>
      <c r="T77" s="7">
        <f t="shared" si="12"/>
        <v>-0.30759803921568629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-2.9547072919221256E-5</v>
      </c>
      <c r="Q78" s="7">
        <f t="shared" si="9"/>
        <v>-0.18249601853192421</v>
      </c>
      <c r="R78" s="33">
        <f t="shared" si="10"/>
        <v>564.65</v>
      </c>
      <c r="S78" s="33">
        <f t="shared" si="11"/>
        <v>-117050.00000000007</v>
      </c>
      <c r="T78" s="7">
        <f t="shared" si="12"/>
        <v>-0.16946575937454766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-1.2161289096644245E-5</v>
      </c>
      <c r="Q79" s="7">
        <f t="shared" si="9"/>
        <v>-0.46368715083798884</v>
      </c>
      <c r="R79" s="33">
        <f t="shared" si="10"/>
        <v>120</v>
      </c>
      <c r="S79" s="33">
        <f t="shared" si="11"/>
        <v>-358925</v>
      </c>
      <c r="T79" s="7">
        <f t="shared" si="12"/>
        <v>-0.45832402234636871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-1.8241933644966369E-5</v>
      </c>
      <c r="Q80" s="7">
        <f t="shared" si="9"/>
        <v>-0.46368715083798884</v>
      </c>
      <c r="R80" s="33">
        <f t="shared" si="10"/>
        <v>120</v>
      </c>
      <c r="S80" s="33">
        <f t="shared" si="11"/>
        <v>-356825</v>
      </c>
      <c r="T80" s="7">
        <f t="shared" si="12"/>
        <v>-0.45564245810055864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-2.5336018951342177E-5</v>
      </c>
      <c r="Q81" s="7">
        <f t="shared" si="9"/>
        <v>-0.46368715083798884</v>
      </c>
      <c r="R81" s="33">
        <f t="shared" si="10"/>
        <v>120</v>
      </c>
      <c r="S81" s="33">
        <f t="shared" si="11"/>
        <v>-354375</v>
      </c>
      <c r="T81" s="7">
        <f t="shared" si="12"/>
        <v>-0.45251396648044695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-3.9893339716267696E-5</v>
      </c>
      <c r="Q82" s="7">
        <f t="shared" si="9"/>
        <v>-0.13114754098360648</v>
      </c>
      <c r="R82" s="33">
        <f t="shared" si="10"/>
        <v>217.3</v>
      </c>
      <c r="S82" s="33">
        <f t="shared" si="11"/>
        <v>-116969.99999999999</v>
      </c>
      <c r="T82" s="7">
        <f t="shared" si="12"/>
        <v>-0.22271091563374648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-1.9493336452267164E-5</v>
      </c>
      <c r="Q83" s="7">
        <f t="shared" si="9"/>
        <v>-0.13114754098360648</v>
      </c>
      <c r="R83" s="33">
        <f t="shared" si="10"/>
        <v>217.3</v>
      </c>
      <c r="S83" s="33">
        <f t="shared" si="11"/>
        <v>-79694.999999999985</v>
      </c>
      <c r="T83" s="7">
        <f t="shared" si="12"/>
        <v>-0.15173930427828866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-1.1650668530773631E-4</v>
      </c>
      <c r="Q84" s="7">
        <f t="shared" si="9"/>
        <v>-0.13114754098360648</v>
      </c>
      <c r="R84" s="33">
        <f t="shared" si="10"/>
        <v>217.3</v>
      </c>
      <c r="S84" s="33">
        <f t="shared" si="11"/>
        <v>-46724.999999999985</v>
      </c>
      <c r="T84" s="7">
        <f t="shared" si="12"/>
        <v>-8.8964414234306247E-2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-3.4000005440000866E-5</v>
      </c>
      <c r="Q85" s="7">
        <f t="shared" si="9"/>
        <v>-0.13114754098360648</v>
      </c>
      <c r="R85" s="33">
        <f t="shared" si="10"/>
        <v>217.3</v>
      </c>
      <c r="S85" s="33">
        <f t="shared" si="11"/>
        <v>-61004.999999999964</v>
      </c>
      <c r="T85" s="7">
        <f t="shared" si="12"/>
        <v>-0.1161535385845661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-4.7600007616001225E-5</v>
      </c>
      <c r="Q86" s="7">
        <f t="shared" si="9"/>
        <v>-0.13114754098360648</v>
      </c>
      <c r="R86" s="33">
        <f t="shared" si="10"/>
        <v>217.3</v>
      </c>
      <c r="S86" s="33">
        <f t="shared" si="11"/>
        <v>-57854.999999999964</v>
      </c>
      <c r="T86" s="7">
        <f t="shared" si="12"/>
        <v>-0.11015593762494995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-1.277326402560273E-5</v>
      </c>
      <c r="Q87" s="7">
        <f t="shared" si="9"/>
        <v>-2.1264610618222823E-2</v>
      </c>
      <c r="R87" s="33">
        <f t="shared" si="10"/>
        <v>347.5</v>
      </c>
      <c r="S87" s="33">
        <f t="shared" si="11"/>
        <v>-104637.50000000003</v>
      </c>
      <c r="T87" s="7">
        <f t="shared" si="12"/>
        <v>-0.10716800450640758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-1.7563238035203755E-5</v>
      </c>
      <c r="Q88" s="7">
        <f t="shared" si="9"/>
        <v>-2.1264610618222823E-2</v>
      </c>
      <c r="R88" s="33">
        <f t="shared" si="10"/>
        <v>347.5</v>
      </c>
      <c r="S88" s="33">
        <f t="shared" si="11"/>
        <v>-88825.000000000029</v>
      </c>
      <c r="T88" s="7">
        <f t="shared" si="12"/>
        <v>-9.0973102379946519E-2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-1.4712562505402269E-5</v>
      </c>
      <c r="Q89" s="7">
        <f t="shared" si="9"/>
        <v>-0.6585563665855636</v>
      </c>
      <c r="R89" s="33">
        <f t="shared" si="10"/>
        <v>21.05</v>
      </c>
      <c r="S89" s="33">
        <f t="shared" si="11"/>
        <v>-401999.99999999994</v>
      </c>
      <c r="T89" s="7">
        <f t="shared" si="12"/>
        <v>-0.65206812652068114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-1.4712562505402269E-5</v>
      </c>
      <c r="Q90" s="7">
        <f t="shared" si="9"/>
        <v>-0.6585563665855636</v>
      </c>
      <c r="R90" s="33">
        <f t="shared" si="10"/>
        <v>21.05</v>
      </c>
      <c r="S90" s="33">
        <f t="shared" si="11"/>
        <v>-401999.99999999994</v>
      </c>
      <c r="T90" s="7">
        <f t="shared" si="12"/>
        <v>-0.65206812652068114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-2.6747265092144332E-5</v>
      </c>
      <c r="Q91" s="7">
        <f t="shared" si="9"/>
        <v>-0.88466579292267367</v>
      </c>
      <c r="R91" s="33">
        <f t="shared" si="10"/>
        <v>4.4000000000000004</v>
      </c>
      <c r="S91" s="33">
        <f t="shared" si="11"/>
        <v>-399599.99999999994</v>
      </c>
      <c r="T91" s="7">
        <f t="shared" si="12"/>
        <v>-0.87287024901703791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-3.2691101779287515E-5</v>
      </c>
      <c r="Q92" s="7">
        <f t="shared" si="9"/>
        <v>-0.88466579292267367</v>
      </c>
      <c r="R92" s="33">
        <f t="shared" si="10"/>
        <v>4.4000000000000004</v>
      </c>
      <c r="S92" s="33">
        <f t="shared" si="11"/>
        <v>-398400.00000000006</v>
      </c>
      <c r="T92" s="7">
        <f t="shared" si="12"/>
        <v>-0.87024901703800794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-3.8634938466430702E-5</v>
      </c>
      <c r="Q93" s="7">
        <f t="shared" si="9"/>
        <v>-0.88466579292267367</v>
      </c>
      <c r="R93" s="33">
        <f t="shared" si="10"/>
        <v>4.4000000000000004</v>
      </c>
      <c r="S93" s="33">
        <f t="shared" si="11"/>
        <v>-397200</v>
      </c>
      <c r="T93" s="7">
        <f t="shared" si="12"/>
        <v>-0.86762778505897775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-5.3494530184288663E-5</v>
      </c>
      <c r="Q94" s="7">
        <f t="shared" si="9"/>
        <v>-0.88466579292267367</v>
      </c>
      <c r="R94" s="33">
        <f t="shared" si="10"/>
        <v>4.4000000000000004</v>
      </c>
      <c r="S94" s="33">
        <f t="shared" si="11"/>
        <v>-394200</v>
      </c>
      <c r="T94" s="7">
        <f t="shared" si="12"/>
        <v>-0.86107470511140238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-7.4297958589289798E-5</v>
      </c>
      <c r="Q95" s="7">
        <f t="shared" si="9"/>
        <v>-0.88466579292267367</v>
      </c>
      <c r="R95" s="33">
        <f t="shared" si="10"/>
        <v>4.4000000000000004</v>
      </c>
      <c r="S95" s="33">
        <f t="shared" si="11"/>
        <v>-390000</v>
      </c>
      <c r="T95" s="7">
        <f t="shared" si="12"/>
        <v>-0.85190039318479682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-3.1751323633303961E-5</v>
      </c>
      <c r="Q96" s="7">
        <f t="shared" si="9"/>
        <v>-0.63360560093348894</v>
      </c>
      <c r="R96" s="33">
        <f t="shared" si="10"/>
        <v>15.7</v>
      </c>
      <c r="S96" s="33">
        <f t="shared" si="11"/>
        <v>-350460</v>
      </c>
      <c r="T96" s="7">
        <f t="shared" si="12"/>
        <v>-0.61960326721120185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-3.4397267269412625E-5</v>
      </c>
      <c r="Q97" s="7">
        <f t="shared" si="9"/>
        <v>-0.63360560093348894</v>
      </c>
      <c r="R97" s="33">
        <f t="shared" si="10"/>
        <v>15.7</v>
      </c>
      <c r="S97" s="33">
        <f t="shared" si="11"/>
        <v>-349800.00000000006</v>
      </c>
      <c r="T97" s="7">
        <f t="shared" si="12"/>
        <v>-0.61843640606767802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-4.6754096827734531E-5</v>
      </c>
      <c r="Q98" s="7">
        <f t="shared" si="9"/>
        <v>-0.71134020618556704</v>
      </c>
      <c r="R98" s="33">
        <f t="shared" si="10"/>
        <v>4.2</v>
      </c>
      <c r="S98" s="33">
        <f t="shared" si="11"/>
        <v>-351750</v>
      </c>
      <c r="T98" s="7">
        <f t="shared" si="12"/>
        <v>-0.69072164948453607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-2.3937918097501315E-5</v>
      </c>
      <c r="Q99" s="7">
        <f t="shared" si="9"/>
        <v>0.73032629558541262</v>
      </c>
      <c r="R99" s="33">
        <f t="shared" si="10"/>
        <v>450.75</v>
      </c>
      <c r="S99" s="33">
        <f t="shared" si="11"/>
        <v>-48812.5</v>
      </c>
      <c r="T99" s="7">
        <f t="shared" si="12"/>
        <v>-6.8138195777351251E-2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-2.6064065472932468E-5</v>
      </c>
      <c r="Q100" s="7">
        <f t="shared" si="9"/>
        <v>0.14942528735632177</v>
      </c>
      <c r="R100" s="33">
        <f t="shared" si="10"/>
        <v>110</v>
      </c>
      <c r="S100" s="33">
        <f t="shared" si="11"/>
        <v>-65700.000000000015</v>
      </c>
      <c r="T100" s="7">
        <f t="shared" si="12"/>
        <v>-0.15256008359456638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-4.5019749453246984E-5</v>
      </c>
      <c r="Q101" s="7">
        <f t="shared" si="9"/>
        <v>0.14942528735632177</v>
      </c>
      <c r="R101" s="33">
        <f t="shared" si="10"/>
        <v>110</v>
      </c>
      <c r="S101" s="33">
        <f t="shared" si="11"/>
        <v>-39600.000000000015</v>
      </c>
      <c r="T101" s="7">
        <f t="shared" si="12"/>
        <v>-9.1954022988505787E-2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-7.5822735921258103E-5</v>
      </c>
      <c r="Q102" s="7">
        <f t="shared" si="9"/>
        <v>0.14942528735632177</v>
      </c>
      <c r="R102" s="33">
        <f t="shared" si="10"/>
        <v>110</v>
      </c>
      <c r="S102" s="33">
        <f t="shared" si="11"/>
        <v>-11250.000000000013</v>
      </c>
      <c r="T102" s="7">
        <f t="shared" si="12"/>
        <v>-2.6123301985370981E-2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-1.9007323521752932E-5</v>
      </c>
      <c r="Q103" s="7">
        <f t="shared" si="9"/>
        <v>-0.80364626990779553</v>
      </c>
      <c r="R103" s="33">
        <f t="shared" si="10"/>
        <v>46.85</v>
      </c>
      <c r="S103" s="33">
        <f t="shared" si="11"/>
        <v>-379500</v>
      </c>
      <c r="T103" s="7">
        <f t="shared" si="12"/>
        <v>-0.79526404023470243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-3.611391469133057E-5</v>
      </c>
      <c r="Q104" s="7">
        <f t="shared" si="9"/>
        <v>-0.80364626990779553</v>
      </c>
      <c r="R104" s="33">
        <f t="shared" si="10"/>
        <v>46.85</v>
      </c>
      <c r="S104" s="33">
        <f t="shared" si="11"/>
        <v>-375900</v>
      </c>
      <c r="T104" s="7">
        <f t="shared" si="12"/>
        <v>-0.78772003352891873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-1.4598113923681061E-5</v>
      </c>
      <c r="Q105" s="7">
        <f t="shared" si="9"/>
        <v>-0.38841201716738205</v>
      </c>
      <c r="R105" s="33">
        <f t="shared" si="10"/>
        <v>85.5</v>
      </c>
      <c r="S105" s="33">
        <f t="shared" si="11"/>
        <v>-186900.00000000006</v>
      </c>
      <c r="T105" s="7">
        <f t="shared" si="12"/>
        <v>-0.38197424892703868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-2.775239449013436E-5</v>
      </c>
      <c r="Q106" s="7">
        <f t="shared" si="9"/>
        <v>-0.55134328358208951</v>
      </c>
      <c r="R106" s="33">
        <f t="shared" si="10"/>
        <v>75.150000000000006</v>
      </c>
      <c r="S106" s="33">
        <f t="shared" si="11"/>
        <v>-288960</v>
      </c>
      <c r="T106" s="7">
        <f t="shared" si="12"/>
        <v>-0.53910447761194025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-4.0613260229464922E-5</v>
      </c>
      <c r="Q107" s="7">
        <f t="shared" si="9"/>
        <v>-0.55134328358208951</v>
      </c>
      <c r="R107" s="33">
        <f t="shared" si="10"/>
        <v>75.150000000000006</v>
      </c>
      <c r="S107" s="33">
        <f t="shared" si="11"/>
        <v>-285920</v>
      </c>
      <c r="T107" s="7">
        <f t="shared" si="12"/>
        <v>-0.53343283582089551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-5.4827901309777642E-5</v>
      </c>
      <c r="Q108" s="7">
        <f t="shared" si="9"/>
        <v>-0.55134328358208951</v>
      </c>
      <c r="R108" s="33">
        <f t="shared" si="10"/>
        <v>75.150000000000006</v>
      </c>
      <c r="S108" s="33">
        <f t="shared" si="11"/>
        <v>-282560</v>
      </c>
      <c r="T108" s="7">
        <f t="shared" si="12"/>
        <v>-0.52716417910447766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-6.3239107063808254E-5</v>
      </c>
      <c r="Q109" s="7">
        <f t="shared" si="9"/>
        <v>-0.9241035856573705</v>
      </c>
      <c r="R109" s="33">
        <f t="shared" si="10"/>
        <v>19.05</v>
      </c>
      <c r="S109" s="33">
        <f t="shared" si="11"/>
        <v>-494890</v>
      </c>
      <c r="T109" s="7">
        <f t="shared" si="12"/>
        <v>-0.89621513944223108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-3.456667219733422E-5</v>
      </c>
      <c r="Q110" s="7">
        <f t="shared" si="9"/>
        <v>-0.42835365853658536</v>
      </c>
      <c r="R110" s="33">
        <f t="shared" si="10"/>
        <v>93.75</v>
      </c>
      <c r="S110" s="33">
        <f t="shared" si="11"/>
        <v>-152437.5</v>
      </c>
      <c r="T110" s="7">
        <f t="shared" si="12"/>
        <v>-0.41310975609756095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-6.2911343399148277E-5</v>
      </c>
      <c r="Q111" s="7">
        <f t="shared" si="9"/>
        <v>-0.42835365853658536</v>
      </c>
      <c r="R111" s="33">
        <f t="shared" si="10"/>
        <v>93.75</v>
      </c>
      <c r="S111" s="33">
        <f t="shared" si="11"/>
        <v>-147825</v>
      </c>
      <c r="T111" s="7">
        <f t="shared" si="12"/>
        <v>-0.400609756097561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-4.1109022772754252E-5</v>
      </c>
      <c r="Q112" s="7">
        <f t="shared" si="9"/>
        <v>-0.9376359680928209</v>
      </c>
      <c r="R112" s="33">
        <f t="shared" si="10"/>
        <v>4.3</v>
      </c>
      <c r="S112" s="33">
        <f t="shared" si="11"/>
        <v>-570600</v>
      </c>
      <c r="T112" s="7">
        <f t="shared" si="12"/>
        <v>-0.9195068890500363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-5.7552631881855956E-5</v>
      </c>
      <c r="Q113" s="7">
        <f t="shared" si="9"/>
        <v>-0.9376359680928209</v>
      </c>
      <c r="R113" s="33">
        <f t="shared" si="10"/>
        <v>4.3</v>
      </c>
      <c r="S113" s="33">
        <f t="shared" si="11"/>
        <v>-566100</v>
      </c>
      <c r="T113" s="7">
        <f t="shared" si="12"/>
        <v>-0.91225525743292246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-5.7552631881855956E-5</v>
      </c>
      <c r="Q114" s="7">
        <f t="shared" si="9"/>
        <v>-0.9376359680928209</v>
      </c>
      <c r="R114" s="33">
        <f t="shared" si="10"/>
        <v>4.3</v>
      </c>
      <c r="S114" s="33">
        <f t="shared" si="11"/>
        <v>-566100</v>
      </c>
      <c r="T114" s="7">
        <f t="shared" si="12"/>
        <v>-0.91225525743292246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-9.8661654654610208E-5</v>
      </c>
      <c r="Q115" s="7">
        <f t="shared" si="9"/>
        <v>-0.9376359680928209</v>
      </c>
      <c r="R115" s="33">
        <f t="shared" si="10"/>
        <v>4.3</v>
      </c>
      <c r="S115" s="33">
        <f t="shared" si="11"/>
        <v>-554850</v>
      </c>
      <c r="T115" s="7">
        <f t="shared" si="12"/>
        <v>-0.89412617839013775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-2.2158700613796007E-5</v>
      </c>
      <c r="Q116" s="7">
        <f t="shared" si="9"/>
        <v>1.624592833876215E-2</v>
      </c>
      <c r="R116" s="33">
        <f t="shared" si="10"/>
        <v>1247.95</v>
      </c>
      <c r="S116" s="33">
        <f t="shared" si="11"/>
        <v>-124800</v>
      </c>
      <c r="T116" s="7">
        <f t="shared" si="12"/>
        <v>-0.12703583061889251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-1.4680139156639855E-5</v>
      </c>
      <c r="Q117" s="7">
        <f t="shared" si="9"/>
        <v>1.624592833876215E-2</v>
      </c>
      <c r="R117" s="33">
        <f t="shared" si="10"/>
        <v>1247.95</v>
      </c>
      <c r="S117" s="33">
        <f t="shared" si="11"/>
        <v>-112040.00000000001</v>
      </c>
      <c r="T117" s="7">
        <f t="shared" si="12"/>
        <v>-0.11404723127035832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-1.7726960491036806E-5</v>
      </c>
      <c r="Q118" s="7">
        <f t="shared" si="9"/>
        <v>1.624592833876215E-2</v>
      </c>
      <c r="R118" s="33">
        <f t="shared" si="10"/>
        <v>1247.95</v>
      </c>
      <c r="S118" s="33">
        <f t="shared" si="11"/>
        <v>-94720</v>
      </c>
      <c r="T118" s="7">
        <f t="shared" si="12"/>
        <v>-9.6416938110749181E-2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-1.6284191713789048E-5</v>
      </c>
      <c r="Q119" s="7" t="e">
        <f t="shared" si="9"/>
        <v>#VALUE!</v>
      </c>
      <c r="R119" s="33" t="str">
        <f t="shared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119" s="33">
        <f t="shared" si="11"/>
        <v>-47700.000000000022</v>
      </c>
      <c r="T119" s="7">
        <f t="shared" si="12"/>
        <v>-9.5152603231597896E-2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-4.7110256845120321E-5</v>
      </c>
      <c r="Q120" s="7">
        <f t="shared" si="9"/>
        <v>-0.59002770083102496</v>
      </c>
      <c r="R120" s="33">
        <f t="shared" si="10"/>
        <v>44.4</v>
      </c>
      <c r="S120" s="33">
        <f t="shared" si="11"/>
        <v>-289755</v>
      </c>
      <c r="T120" s="7">
        <f t="shared" si="12"/>
        <v>-0.56925207756232687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-1.2924405154252777E-5</v>
      </c>
      <c r="Q121" s="7">
        <f t="shared" si="9"/>
        <v>-1.5761312085611379E-2</v>
      </c>
      <c r="R121" s="33">
        <f t="shared" si="10"/>
        <v>846.15</v>
      </c>
      <c r="S121" s="33">
        <f t="shared" si="11"/>
        <v>-80360.000000000029</v>
      </c>
      <c r="T121" s="7">
        <f t="shared" si="12"/>
        <v>-0.13353495405373972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1327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1327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1327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1373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1373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1373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1373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1373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1441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1441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1482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1503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1503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1507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1554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1554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1572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1576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1576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1576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1576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1577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1577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1577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1588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1654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1668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1668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1726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1750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1757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1757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1757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1757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1757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1757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1758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1758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691"/>
  <sheetViews>
    <sheetView tabSelected="1" zoomScale="80" zoomScaleNormal="80" workbookViewId="0">
      <pane xSplit="4" ySplit="3" topLeftCell="Z4" activePane="bottomRight" state="frozen"/>
      <selection pane="topRight" activeCell="E1" sqref="E1"/>
      <selection pane="bottomLeft" activeCell="A4" sqref="A4"/>
      <selection pane="bottomRight" activeCell="AJ15" sqref="AJ15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59" t="s">
        <v>1889</v>
      </c>
      <c r="B1" s="64" t="s">
        <v>1853</v>
      </c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70" t="s">
        <v>1898</v>
      </c>
      <c r="AH1" s="70">
        <f ca="1">VLOOKUP(AG2,$A:$N,4,0)</f>
        <v>22.65</v>
      </c>
      <c r="AI1" s="70">
        <f ca="1">VLOOKUP(AG2,$A:$N,7,0)</f>
        <v>3.85</v>
      </c>
      <c r="AJ1" s="70">
        <f ca="1">VLOOKUP(AG2,$A:$N,9,0)</f>
        <v>1.45</v>
      </c>
      <c r="AK1" s="70">
        <f ca="1">VLOOKUP(AG2,$A:$N,5,0)</f>
        <v>10400</v>
      </c>
    </row>
    <row r="2" spans="1:39" x14ac:dyDescent="0.25">
      <c r="A2" s="40" t="b">
        <v>1</v>
      </c>
      <c r="B2" s="65"/>
      <c r="C2" s="65"/>
      <c r="D2" s="31"/>
      <c r="E2" s="31"/>
      <c r="F2" s="31"/>
      <c r="G2" s="69" t="s">
        <v>1892</v>
      </c>
      <c r="H2" s="31"/>
      <c r="I2" s="69" t="s">
        <v>1893</v>
      </c>
      <c r="J2" s="31"/>
      <c r="K2" s="31"/>
      <c r="L2" s="31"/>
      <c r="M2" s="31"/>
      <c r="N2" s="31"/>
      <c r="O2" s="5"/>
      <c r="P2" s="4"/>
      <c r="Q2" s="1"/>
      <c r="R2" s="1"/>
      <c r="S2" s="1"/>
      <c r="T2" s="66" t="s">
        <v>1851</v>
      </c>
      <c r="U2" s="68"/>
      <c r="V2" s="66" t="s">
        <v>1849</v>
      </c>
      <c r="W2" s="67"/>
      <c r="X2" s="67"/>
      <c r="Y2" s="68"/>
      <c r="Z2" s="66" t="s">
        <v>1850</v>
      </c>
      <c r="AA2" s="67"/>
      <c r="AB2" s="67"/>
      <c r="AC2" s="68"/>
      <c r="AD2" s="1"/>
      <c r="AE2" s="1"/>
      <c r="AG2" s="71">
        <v>29</v>
      </c>
      <c r="AH2" s="70">
        <f ca="1">(AJ2-AI2)/50</f>
        <v>0.08</v>
      </c>
      <c r="AI2" s="70">
        <f ca="1">VLOOKUP(AG2,$A:$N,6,0)</f>
        <v>24</v>
      </c>
      <c r="AJ2" s="70">
        <f ca="1">VLOOKUP(AG2,$A:$N,8,0)</f>
        <v>28</v>
      </c>
      <c r="AK2" s="70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1856</v>
      </c>
      <c r="G3" s="19" t="s">
        <v>1857</v>
      </c>
      <c r="H3" s="19" t="s">
        <v>1837</v>
      </c>
      <c r="I3" s="19" t="s">
        <v>1810</v>
      </c>
      <c r="J3" s="19" t="s">
        <v>1807</v>
      </c>
      <c r="K3" s="19" t="s">
        <v>1811</v>
      </c>
      <c r="L3" s="19" t="s">
        <v>1812</v>
      </c>
      <c r="M3" s="19" t="s">
        <v>1813</v>
      </c>
      <c r="N3" s="19" t="s">
        <v>1814</v>
      </c>
      <c r="O3" s="5"/>
      <c r="P3" s="19" t="s">
        <v>1826</v>
      </c>
      <c r="Q3" s="19" t="s">
        <v>1827</v>
      </c>
      <c r="R3" s="19" t="s">
        <v>1854</v>
      </c>
      <c r="S3" s="19" t="s">
        <v>1855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70"/>
      <c r="AH3" s="71" t="s">
        <v>1894</v>
      </c>
      <c r="AI3" s="70" t="s">
        <v>1895</v>
      </c>
      <c r="AJ3" s="70" t="s">
        <v>1896</v>
      </c>
      <c r="AK3" s="70" t="s">
        <v>1897</v>
      </c>
    </row>
    <row r="4" spans="1:39" x14ac:dyDescent="0.25">
      <c r="A4" s="1">
        <v>1</v>
      </c>
      <c r="B4" s="25">
        <v>43979</v>
      </c>
      <c r="C4" s="10" t="s">
        <v>126</v>
      </c>
      <c r="D4" s="1">
        <v>1399.8</v>
      </c>
      <c r="E4" s="30">
        <v>500</v>
      </c>
      <c r="F4" s="1">
        <v>1500</v>
      </c>
      <c r="G4" s="1">
        <v>16.149999999999999</v>
      </c>
      <c r="H4" s="1">
        <v>1560</v>
      </c>
      <c r="I4" s="1">
        <v>6</v>
      </c>
      <c r="J4" s="1">
        <v>1500</v>
      </c>
      <c r="K4" s="1">
        <v>8000</v>
      </c>
      <c r="L4" s="1">
        <v>2.0499999999999998</v>
      </c>
      <c r="M4" s="1">
        <v>12</v>
      </c>
      <c r="N4" s="1">
        <v>500</v>
      </c>
      <c r="O4" s="9"/>
      <c r="P4" s="7">
        <f ca="1">($G4-$I4)/($F4-$H4)</f>
        <v>-0.16916666666666663</v>
      </c>
      <c r="Q4" s="7">
        <f ca="1">P4/($B4-TODAY())</f>
        <v>-1.301282051282051E-2</v>
      </c>
      <c r="R4" s="33">
        <f t="shared" ref="R4:R67" ca="1" si="0">$E4*($G4-$I4)</f>
        <v>5074.9999999999991</v>
      </c>
      <c r="S4" s="33">
        <f t="shared" ref="S4:S67" ca="1" si="1">-(($H4-$F4)*$E4-$R4)</f>
        <v>-24925</v>
      </c>
      <c r="T4" s="33">
        <f ca="1">R4</f>
        <v>5074.9999999999991</v>
      </c>
      <c r="U4" s="7">
        <f t="shared" ref="U4:U67" ca="1" si="2">ABS($T4/$S4)</f>
        <v>0.20361083249749243</v>
      </c>
      <c r="V4" s="7">
        <f t="shared" ref="V4:V67" ca="1" si="3">mrigxl_max_drawdown($C4,INT($B4-TODAY()))</f>
        <v>-0.41962865769088503</v>
      </c>
      <c r="W4" s="33">
        <f ca="1">-(MAX(($F4-MAX($D4*(1+V4),$H4)),0)*$E4-$R4)</f>
        <v>5074.9999999999991</v>
      </c>
      <c r="X4" s="7">
        <f ca="1">W4/$R4</f>
        <v>1</v>
      </c>
      <c r="Y4" s="7">
        <f ca="1">$U4+X4</f>
        <v>1.2036108324974923</v>
      </c>
      <c r="Z4" s="7">
        <f t="shared" ref="Z4:Z67" ca="1" si="4">mrigxl_avg_drawdown($C4,INT($B4-TODAY()))</f>
        <v>-8.4686898096371185E-2</v>
      </c>
      <c r="AA4" s="33">
        <f ca="1">-(MAX(($F4-MAX($D4*(1+Z4),$H4)),0)*$E4-$R4)</f>
        <v>5074.9999999999991</v>
      </c>
      <c r="AB4" s="7">
        <f ca="1">AA4/$R4</f>
        <v>1</v>
      </c>
      <c r="AC4" s="7">
        <f ca="1">$U4+AB4</f>
        <v>1.2036108324974923</v>
      </c>
      <c r="AD4" s="40"/>
      <c r="AE4" s="40" t="s">
        <v>1891</v>
      </c>
      <c r="AF4" s="34"/>
      <c r="AH4" s="34"/>
    </row>
    <row r="5" spans="1:39" x14ac:dyDescent="0.25">
      <c r="A5" s="1">
        <v>2</v>
      </c>
      <c r="B5" s="25">
        <v>43979</v>
      </c>
      <c r="C5" s="10" t="s">
        <v>190</v>
      </c>
      <c r="D5" s="1">
        <v>4611.8500000000004</v>
      </c>
      <c r="E5" s="30">
        <v>125</v>
      </c>
      <c r="F5" s="1">
        <v>5000</v>
      </c>
      <c r="G5" s="1">
        <v>148.05000000000001</v>
      </c>
      <c r="H5" s="1">
        <v>5100</v>
      </c>
      <c r="I5" s="1">
        <v>120.15</v>
      </c>
      <c r="J5" s="1">
        <v>8750</v>
      </c>
      <c r="K5" s="1">
        <v>125</v>
      </c>
      <c r="L5" s="1">
        <v>118.05</v>
      </c>
      <c r="M5" s="1">
        <v>150.94999999999999</v>
      </c>
      <c r="N5" s="1">
        <v>2125</v>
      </c>
      <c r="O5" s="9"/>
      <c r="P5" s="7">
        <f t="shared" ref="P5:P68" ca="1" si="5">($G5-$I5)/($F5-$H5)</f>
        <v>-0.27900000000000008</v>
      </c>
      <c r="Q5" s="7">
        <f t="shared" ref="Q5:Q39" ca="1" si="6">P5/($B5-TODAY())</f>
        <v>-2.1461538461538469E-2</v>
      </c>
      <c r="R5" s="33">
        <f t="shared" ca="1" si="0"/>
        <v>3487.5000000000009</v>
      </c>
      <c r="S5" s="33">
        <f t="shared" ca="1" si="1"/>
        <v>-9012.5</v>
      </c>
      <c r="T5" s="33">
        <f t="shared" ref="T5:T39" ca="1" si="7">R5</f>
        <v>3487.5000000000009</v>
      </c>
      <c r="U5" s="7">
        <f t="shared" ca="1" si="2"/>
        <v>0.38696255201109581</v>
      </c>
      <c r="V5" s="7">
        <f t="shared" ca="1" si="3"/>
        <v>-0.68960023837264461</v>
      </c>
      <c r="W5" s="33">
        <f t="shared" ref="W5:W39" ca="1" si="8">-(MAX(($F5-MAX($D5*(1+V5),$H5)),0)*$E5-$R5)</f>
        <v>3487.5000000000009</v>
      </c>
      <c r="X5" s="7">
        <f t="shared" ref="X5:X39" ca="1" si="9">W5/$R5</f>
        <v>1</v>
      </c>
      <c r="Y5" s="7">
        <f t="shared" ref="Y5:Y39" ca="1" si="10">$U5+X5</f>
        <v>1.3869625520110958</v>
      </c>
      <c r="Z5" s="7">
        <f t="shared" ca="1" si="4"/>
        <v>-0.13714634035427209</v>
      </c>
      <c r="AA5" s="33">
        <f t="shared" ref="AA5:AA39" ca="1" si="11">-(MAX(($F5-MAX($D5*(1+Z5),$H5)),0)*$E5-$R5)</f>
        <v>3487.5000000000009</v>
      </c>
      <c r="AB5" s="7">
        <f t="shared" ref="AB5:AB39" ca="1" si="12">AA5/$R5</f>
        <v>1</v>
      </c>
      <c r="AC5" s="7">
        <f t="shared" ref="AC5:AC39" ca="1" si="13">$U5+AB5</f>
        <v>1.3869625520110958</v>
      </c>
      <c r="AD5" s="40"/>
      <c r="AE5" s="40"/>
      <c r="AF5" s="34"/>
    </row>
    <row r="6" spans="1:39" x14ac:dyDescent="0.25">
      <c r="A6" s="1">
        <v>3</v>
      </c>
      <c r="B6" s="25">
        <v>43979</v>
      </c>
      <c r="C6" s="10" t="s">
        <v>190</v>
      </c>
      <c r="D6" s="1">
        <v>4611.8500000000004</v>
      </c>
      <c r="E6" s="30">
        <v>125</v>
      </c>
      <c r="F6" s="1">
        <v>5000</v>
      </c>
      <c r="G6" s="1">
        <v>148.05000000000001</v>
      </c>
      <c r="H6" s="1">
        <v>5200</v>
      </c>
      <c r="I6" s="1">
        <v>98.85</v>
      </c>
      <c r="J6" s="1">
        <v>6625</v>
      </c>
      <c r="K6" s="1">
        <v>125</v>
      </c>
      <c r="L6" s="1">
        <v>94.8</v>
      </c>
      <c r="M6" s="1">
        <v>112</v>
      </c>
      <c r="N6" s="1">
        <v>1875</v>
      </c>
      <c r="O6" s="9"/>
      <c r="P6" s="7">
        <f t="shared" ca="1" si="5"/>
        <v>-0.24600000000000008</v>
      </c>
      <c r="Q6" s="7">
        <f t="shared" ca="1" si="6"/>
        <v>-1.8923076923076928E-2</v>
      </c>
      <c r="R6" s="33">
        <f t="shared" ca="1" si="0"/>
        <v>6150.0000000000018</v>
      </c>
      <c r="S6" s="33">
        <f t="shared" ca="1" si="1"/>
        <v>-18850</v>
      </c>
      <c r="T6" s="33">
        <f t="shared" ca="1" si="7"/>
        <v>6150.0000000000018</v>
      </c>
      <c r="U6" s="7">
        <f t="shared" ca="1" si="2"/>
        <v>0.3262599469496022</v>
      </c>
      <c r="V6" s="7">
        <f t="shared" ca="1" si="3"/>
        <v>-0.68960023837264461</v>
      </c>
      <c r="W6" s="33">
        <f t="shared" ca="1" si="8"/>
        <v>6150.0000000000018</v>
      </c>
      <c r="X6" s="7">
        <f t="shared" ca="1" si="9"/>
        <v>1</v>
      </c>
      <c r="Y6" s="7">
        <f t="shared" ca="1" si="10"/>
        <v>1.3262599469496021</v>
      </c>
      <c r="Z6" s="7">
        <f t="shared" ca="1" si="4"/>
        <v>-0.13714634035427209</v>
      </c>
      <c r="AA6" s="33">
        <f t="shared" ca="1" si="11"/>
        <v>6150.0000000000018</v>
      </c>
      <c r="AB6" s="7">
        <f t="shared" ca="1" si="12"/>
        <v>1</v>
      </c>
      <c r="AC6" s="7">
        <f t="shared" ca="1" si="13"/>
        <v>1.3262599469496021</v>
      </c>
      <c r="AD6" s="40"/>
      <c r="AE6" s="40"/>
      <c r="AF6" s="34"/>
    </row>
    <row r="7" spans="1:39" x14ac:dyDescent="0.25">
      <c r="A7" s="1">
        <v>4</v>
      </c>
      <c r="B7" s="25">
        <v>43979</v>
      </c>
      <c r="C7" s="10" t="s">
        <v>190</v>
      </c>
      <c r="D7" s="1">
        <v>4611.8500000000004</v>
      </c>
      <c r="E7" s="30">
        <v>125</v>
      </c>
      <c r="F7" s="1">
        <v>5000</v>
      </c>
      <c r="G7" s="1">
        <v>148.05000000000001</v>
      </c>
      <c r="H7" s="1">
        <v>5300</v>
      </c>
      <c r="I7" s="1">
        <v>78</v>
      </c>
      <c r="J7" s="1">
        <v>3625</v>
      </c>
      <c r="K7" s="1">
        <v>125</v>
      </c>
      <c r="L7" s="1">
        <v>76.5</v>
      </c>
      <c r="M7" s="1">
        <v>94.45</v>
      </c>
      <c r="N7" s="1">
        <v>2125</v>
      </c>
      <c r="O7" s="9"/>
      <c r="P7" s="7">
        <f t="shared" ca="1" si="5"/>
        <v>-0.23350000000000004</v>
      </c>
      <c r="Q7" s="7">
        <f t="shared" ca="1" si="6"/>
        <v>-1.7961538461538466E-2</v>
      </c>
      <c r="R7" s="33">
        <f t="shared" ca="1" si="0"/>
        <v>8756.2500000000018</v>
      </c>
      <c r="S7" s="33">
        <f t="shared" ca="1" si="1"/>
        <v>-28743.75</v>
      </c>
      <c r="T7" s="33">
        <f t="shared" ca="1" si="7"/>
        <v>8756.2500000000018</v>
      </c>
      <c r="U7" s="7">
        <f t="shared" ca="1" si="2"/>
        <v>0.30463144161774303</v>
      </c>
      <c r="V7" s="7">
        <f t="shared" ca="1" si="3"/>
        <v>-0.68960023837264461</v>
      </c>
      <c r="W7" s="33">
        <f t="shared" ca="1" si="8"/>
        <v>8756.2500000000018</v>
      </c>
      <c r="X7" s="7">
        <f t="shared" ca="1" si="9"/>
        <v>1</v>
      </c>
      <c r="Y7" s="7">
        <f t="shared" ca="1" si="10"/>
        <v>1.3046314416177429</v>
      </c>
      <c r="Z7" s="7">
        <f t="shared" ca="1" si="4"/>
        <v>-0.13714634035427209</v>
      </c>
      <c r="AA7" s="33">
        <f t="shared" ca="1" si="11"/>
        <v>8756.2500000000018</v>
      </c>
      <c r="AB7" s="7">
        <f t="shared" ca="1" si="12"/>
        <v>1</v>
      </c>
      <c r="AC7" s="7">
        <f t="shared" ca="1" si="13"/>
        <v>1.3046314416177429</v>
      </c>
      <c r="AD7" s="40"/>
      <c r="AE7" s="40"/>
      <c r="AF7" s="34"/>
    </row>
    <row r="8" spans="1:39" x14ac:dyDescent="0.25">
      <c r="A8" s="1">
        <v>5</v>
      </c>
      <c r="B8" s="25">
        <v>43979</v>
      </c>
      <c r="C8" s="10" t="s">
        <v>190</v>
      </c>
      <c r="D8" s="1">
        <v>4611.8500000000004</v>
      </c>
      <c r="E8" s="30">
        <v>125</v>
      </c>
      <c r="F8" s="1">
        <v>5000</v>
      </c>
      <c r="G8" s="1">
        <v>148.05000000000001</v>
      </c>
      <c r="H8" s="1">
        <v>5400</v>
      </c>
      <c r="I8" s="1">
        <v>64.3</v>
      </c>
      <c r="J8" s="1">
        <v>1375</v>
      </c>
      <c r="K8" s="1">
        <v>2000</v>
      </c>
      <c r="L8" s="1">
        <v>34.4</v>
      </c>
      <c r="M8" s="1">
        <v>74.650000000000006</v>
      </c>
      <c r="N8" s="1">
        <v>125</v>
      </c>
      <c r="O8" s="9"/>
      <c r="P8" s="7">
        <f t="shared" ca="1" si="5"/>
        <v>-0.20937500000000003</v>
      </c>
      <c r="Q8" s="7">
        <f t="shared" ca="1" si="6"/>
        <v>-1.6105769230769233E-2</v>
      </c>
      <c r="R8" s="33">
        <f t="shared" ca="1" si="0"/>
        <v>10468.750000000002</v>
      </c>
      <c r="S8" s="33">
        <f t="shared" ca="1" si="1"/>
        <v>-39531.25</v>
      </c>
      <c r="T8" s="33">
        <f t="shared" ca="1" si="7"/>
        <v>10468.750000000002</v>
      </c>
      <c r="U8" s="7">
        <f t="shared" ca="1" si="2"/>
        <v>0.2648221343873518</v>
      </c>
      <c r="V8" s="7">
        <f t="shared" ca="1" si="3"/>
        <v>-0.68960023837264461</v>
      </c>
      <c r="W8" s="33">
        <f t="shared" ca="1" si="8"/>
        <v>10468.750000000002</v>
      </c>
      <c r="X8" s="7">
        <f t="shared" ca="1" si="9"/>
        <v>1</v>
      </c>
      <c r="Y8" s="7">
        <f t="shared" ca="1" si="10"/>
        <v>1.2648221343873518</v>
      </c>
      <c r="Z8" s="7">
        <f t="shared" ca="1" si="4"/>
        <v>-0.13714634035427209</v>
      </c>
      <c r="AA8" s="33">
        <f t="shared" ca="1" si="11"/>
        <v>10468.750000000002</v>
      </c>
      <c r="AB8" s="7">
        <f t="shared" ca="1" si="12"/>
        <v>1</v>
      </c>
      <c r="AC8" s="7">
        <f t="shared" ca="1" si="13"/>
        <v>1.2648221343873518</v>
      </c>
      <c r="AD8" s="40"/>
      <c r="AE8" s="40"/>
      <c r="AF8" s="34"/>
      <c r="AH8" s="70">
        <f ca="1">$AI$2-$AH$2*3</f>
        <v>23.76</v>
      </c>
      <c r="AI8" s="70">
        <f ca="1">-MAX(-$AI$2+AH8,0)+$AI$1</f>
        <v>3.85</v>
      </c>
      <c r="AJ8" s="70">
        <f ca="1">MAX(AH8-$AJ$2,0)-$AJ$1</f>
        <v>-1.45</v>
      </c>
      <c r="AK8" s="70">
        <f ca="1">(AI8+AJ8)*$AK$1</f>
        <v>24960.000000000004</v>
      </c>
    </row>
    <row r="9" spans="1:39" x14ac:dyDescent="0.25">
      <c r="A9" s="1">
        <v>6</v>
      </c>
      <c r="B9" s="25">
        <v>43979</v>
      </c>
      <c r="C9" s="10" t="s">
        <v>190</v>
      </c>
      <c r="D9" s="1">
        <v>4611.8500000000004</v>
      </c>
      <c r="E9" s="30">
        <v>125</v>
      </c>
      <c r="F9" s="1">
        <v>5000</v>
      </c>
      <c r="G9" s="1">
        <v>148.05000000000001</v>
      </c>
      <c r="H9" s="1">
        <v>5500</v>
      </c>
      <c r="I9" s="1">
        <v>51</v>
      </c>
      <c r="J9" s="1">
        <v>11750</v>
      </c>
      <c r="K9" s="1">
        <v>125</v>
      </c>
      <c r="L9" s="1">
        <v>48.05</v>
      </c>
      <c r="M9" s="1">
        <v>54.75</v>
      </c>
      <c r="N9" s="1">
        <v>125</v>
      </c>
      <c r="O9" s="9"/>
      <c r="P9" s="7">
        <f t="shared" ca="1" si="5"/>
        <v>-0.19410000000000002</v>
      </c>
      <c r="Q9" s="7">
        <f t="shared" ca="1" si="6"/>
        <v>-1.4930769230769232E-2</v>
      </c>
      <c r="R9" s="33">
        <f t="shared" ca="1" si="0"/>
        <v>12131.250000000002</v>
      </c>
      <c r="S9" s="33">
        <f t="shared" ca="1" si="1"/>
        <v>-50368.75</v>
      </c>
      <c r="T9" s="33">
        <f t="shared" ca="1" si="7"/>
        <v>12131.250000000002</v>
      </c>
      <c r="U9" s="7">
        <f t="shared" ca="1" si="2"/>
        <v>0.24084874053852839</v>
      </c>
      <c r="V9" s="7">
        <f t="shared" ca="1" si="3"/>
        <v>-0.68960023837264461</v>
      </c>
      <c r="W9" s="33">
        <f t="shared" ca="1" si="8"/>
        <v>12131.250000000002</v>
      </c>
      <c r="X9" s="7">
        <f t="shared" ca="1" si="9"/>
        <v>1</v>
      </c>
      <c r="Y9" s="7">
        <f t="shared" ca="1" si="10"/>
        <v>1.2408487405385284</v>
      </c>
      <c r="Z9" s="7">
        <f t="shared" ca="1" si="4"/>
        <v>-0.13714634035427209</v>
      </c>
      <c r="AA9" s="33">
        <f t="shared" ca="1" si="11"/>
        <v>12131.250000000002</v>
      </c>
      <c r="AB9" s="7">
        <f t="shared" ca="1" si="12"/>
        <v>1</v>
      </c>
      <c r="AC9" s="7">
        <f t="shared" ca="1" si="13"/>
        <v>1.2408487405385284</v>
      </c>
      <c r="AD9" s="40"/>
      <c r="AE9" s="40"/>
      <c r="AF9" s="34"/>
      <c r="AH9" s="70">
        <f ca="1">AH8+$AH$2</f>
        <v>23.84</v>
      </c>
      <c r="AI9" s="70">
        <f ca="1">-MAX(-$AI$2+AH9,0)+$AI$1</f>
        <v>3.85</v>
      </c>
      <c r="AJ9" s="70">
        <f ca="1">MAX(AH9-$AJ$2,0)-$AJ$1</f>
        <v>-1.45</v>
      </c>
      <c r="AK9" s="70">
        <f ca="1">(AI9+AJ9)*$AK$1</f>
        <v>24960.000000000004</v>
      </c>
    </row>
    <row r="10" spans="1:39" x14ac:dyDescent="0.25">
      <c r="A10" s="1">
        <v>7</v>
      </c>
      <c r="B10" s="25">
        <v>43979</v>
      </c>
      <c r="C10" s="10" t="s">
        <v>190</v>
      </c>
      <c r="D10" s="1">
        <v>4611.8500000000004</v>
      </c>
      <c r="E10" s="30">
        <v>125</v>
      </c>
      <c r="F10" s="1">
        <v>5000</v>
      </c>
      <c r="G10" s="1">
        <v>148.05000000000001</v>
      </c>
      <c r="H10" s="1">
        <v>5600</v>
      </c>
      <c r="I10" s="1">
        <v>42.55</v>
      </c>
      <c r="J10" s="1">
        <v>1625</v>
      </c>
      <c r="K10" s="1">
        <v>2000</v>
      </c>
      <c r="L10" s="1">
        <v>22</v>
      </c>
      <c r="M10" s="1">
        <v>63.5</v>
      </c>
      <c r="N10" s="1">
        <v>2000</v>
      </c>
      <c r="O10" s="9"/>
      <c r="P10" s="7">
        <f t="shared" ca="1" si="5"/>
        <v>-0.17583333333333337</v>
      </c>
      <c r="Q10" s="7">
        <f t="shared" ca="1" si="6"/>
        <v>-1.3525641025641029E-2</v>
      </c>
      <c r="R10" s="33">
        <f t="shared" ca="1" si="0"/>
        <v>13187.500000000002</v>
      </c>
      <c r="S10" s="33">
        <f t="shared" ca="1" si="1"/>
        <v>-61812.5</v>
      </c>
      <c r="T10" s="33">
        <f t="shared" ca="1" si="7"/>
        <v>13187.500000000002</v>
      </c>
      <c r="U10" s="7">
        <f t="shared" ca="1" si="2"/>
        <v>0.21334681496461075</v>
      </c>
      <c r="V10" s="7">
        <f t="shared" ca="1" si="3"/>
        <v>-0.68960023837264461</v>
      </c>
      <c r="W10" s="33">
        <f t="shared" ca="1" si="8"/>
        <v>13187.500000000002</v>
      </c>
      <c r="X10" s="7">
        <f t="shared" ca="1" si="9"/>
        <v>1</v>
      </c>
      <c r="Y10" s="7">
        <f t="shared" ca="1" si="10"/>
        <v>1.2133468149646107</v>
      </c>
      <c r="Z10" s="7">
        <f t="shared" ca="1" si="4"/>
        <v>-0.13714634035427209</v>
      </c>
      <c r="AA10" s="33">
        <f t="shared" ca="1" si="11"/>
        <v>13187.500000000002</v>
      </c>
      <c r="AB10" s="7">
        <f t="shared" ca="1" si="12"/>
        <v>1</v>
      </c>
      <c r="AC10" s="7">
        <f t="shared" ca="1" si="13"/>
        <v>1.2133468149646107</v>
      </c>
      <c r="AD10" s="40"/>
      <c r="AE10" s="40"/>
      <c r="AF10" s="34"/>
      <c r="AH10" s="70">
        <f ca="1">AH9+$AH$2</f>
        <v>23.919999999999998</v>
      </c>
      <c r="AI10" s="70">
        <f ca="1">-MAX(-$AI$2+AH10,0)+$AI$1</f>
        <v>3.85</v>
      </c>
      <c r="AJ10" s="70">
        <f ca="1">MAX(AH10-$AJ$2,0)-$AJ$1</f>
        <v>-1.45</v>
      </c>
      <c r="AK10" s="70">
        <f ca="1">(AI10+AJ10)*$AK$1</f>
        <v>24960.000000000004</v>
      </c>
    </row>
    <row r="11" spans="1:39" x14ac:dyDescent="0.25">
      <c r="A11" s="1">
        <v>8</v>
      </c>
      <c r="B11" s="25">
        <v>43979</v>
      </c>
      <c r="C11" s="10" t="s">
        <v>190</v>
      </c>
      <c r="D11" s="1">
        <v>4611.8500000000004</v>
      </c>
      <c r="E11" s="30">
        <v>125</v>
      </c>
      <c r="F11" s="1">
        <v>5000</v>
      </c>
      <c r="G11" s="1">
        <v>148.05000000000001</v>
      </c>
      <c r="H11" s="1">
        <v>5800</v>
      </c>
      <c r="I11" s="1">
        <v>29</v>
      </c>
      <c r="J11" s="1">
        <v>750</v>
      </c>
      <c r="K11" s="1">
        <v>125</v>
      </c>
      <c r="L11" s="1">
        <v>15</v>
      </c>
      <c r="M11" s="1">
        <v>44.85</v>
      </c>
      <c r="N11" s="1">
        <v>2000</v>
      </c>
      <c r="O11" s="9"/>
      <c r="P11" s="7">
        <f t="shared" ca="1" si="5"/>
        <v>-0.14881250000000001</v>
      </c>
      <c r="Q11" s="7">
        <f t="shared" ca="1" si="6"/>
        <v>-1.1447115384615385E-2</v>
      </c>
      <c r="R11" s="33">
        <f t="shared" ca="1" si="0"/>
        <v>14881.250000000002</v>
      </c>
      <c r="S11" s="33">
        <f t="shared" ca="1" si="1"/>
        <v>-85118.75</v>
      </c>
      <c r="T11" s="33">
        <f t="shared" ca="1" si="7"/>
        <v>14881.250000000002</v>
      </c>
      <c r="U11" s="7">
        <f t="shared" ca="1" si="2"/>
        <v>0.17482928261986933</v>
      </c>
      <c r="V11" s="7">
        <f t="shared" ca="1" si="3"/>
        <v>-0.68960023837264461</v>
      </c>
      <c r="W11" s="33">
        <f t="shared" ca="1" si="8"/>
        <v>14881.250000000002</v>
      </c>
      <c r="X11" s="7">
        <f t="shared" ca="1" si="9"/>
        <v>1</v>
      </c>
      <c r="Y11" s="7">
        <f t="shared" ca="1" si="10"/>
        <v>1.1748292826198694</v>
      </c>
      <c r="Z11" s="7">
        <f t="shared" ca="1" si="4"/>
        <v>-0.13714634035427209</v>
      </c>
      <c r="AA11" s="33">
        <f t="shared" ca="1" si="11"/>
        <v>14881.250000000002</v>
      </c>
      <c r="AB11" s="7">
        <f t="shared" ca="1" si="12"/>
        <v>1</v>
      </c>
      <c r="AC11" s="7">
        <f t="shared" ca="1" si="13"/>
        <v>1.1748292826198694</v>
      </c>
      <c r="AD11" s="40"/>
      <c r="AE11" s="40"/>
      <c r="AF11" s="34"/>
      <c r="AH11" s="70">
        <f ca="1">AH10+$AH$2</f>
        <v>23.999999999999996</v>
      </c>
      <c r="AI11" s="70">
        <f ca="1">-MAX(-$AI$2+AH11,0)+$AI$1</f>
        <v>3.85</v>
      </c>
      <c r="AJ11" s="70">
        <f ca="1">MAX(AH11-$AJ$2,0)-$AJ$1</f>
        <v>-1.45</v>
      </c>
      <c r="AK11" s="70">
        <f ca="1">(AI11+AJ11)*$AK$1</f>
        <v>24960.000000000004</v>
      </c>
    </row>
    <row r="12" spans="1:39" x14ac:dyDescent="0.25">
      <c r="A12" s="1">
        <v>9</v>
      </c>
      <c r="B12" s="25">
        <v>43979</v>
      </c>
      <c r="C12" s="10" t="s">
        <v>190</v>
      </c>
      <c r="D12" s="1">
        <v>4611.8500000000004</v>
      </c>
      <c r="E12" s="30">
        <v>125</v>
      </c>
      <c r="F12" s="1">
        <v>5000</v>
      </c>
      <c r="G12" s="1">
        <v>148.05000000000001</v>
      </c>
      <c r="H12" s="1">
        <v>5900</v>
      </c>
      <c r="I12" s="1">
        <v>20.05</v>
      </c>
      <c r="J12" s="1">
        <v>500</v>
      </c>
      <c r="K12" s="1">
        <v>500</v>
      </c>
      <c r="L12" s="1">
        <v>8.1</v>
      </c>
      <c r="M12" s="1">
        <v>44.95</v>
      </c>
      <c r="N12" s="1">
        <v>1875</v>
      </c>
      <c r="O12" s="9"/>
      <c r="P12" s="7">
        <f t="shared" ca="1" si="5"/>
        <v>-0.14222222222222222</v>
      </c>
      <c r="Q12" s="7">
        <f t="shared" ca="1" si="6"/>
        <v>-1.094017094017094E-2</v>
      </c>
      <c r="R12" s="33">
        <f t="shared" ca="1" si="0"/>
        <v>16000</v>
      </c>
      <c r="S12" s="33">
        <f t="shared" ca="1" si="1"/>
        <v>-96500</v>
      </c>
      <c r="T12" s="33">
        <f t="shared" ca="1" si="7"/>
        <v>16000</v>
      </c>
      <c r="U12" s="7">
        <f t="shared" ca="1" si="2"/>
        <v>0.16580310880829016</v>
      </c>
      <c r="V12" s="7">
        <f t="shared" ca="1" si="3"/>
        <v>-0.68960023837264461</v>
      </c>
      <c r="W12" s="33">
        <f t="shared" ca="1" si="8"/>
        <v>16000</v>
      </c>
      <c r="X12" s="7">
        <f t="shared" ca="1" si="9"/>
        <v>1</v>
      </c>
      <c r="Y12" s="7">
        <f t="shared" ca="1" si="10"/>
        <v>1.1658031088082901</v>
      </c>
      <c r="Z12" s="7">
        <f t="shared" ca="1" si="4"/>
        <v>-0.13714634035427209</v>
      </c>
      <c r="AA12" s="33">
        <f t="shared" ca="1" si="11"/>
        <v>16000</v>
      </c>
      <c r="AB12" s="7">
        <f t="shared" ca="1" si="12"/>
        <v>1</v>
      </c>
      <c r="AC12" s="7">
        <f t="shared" ca="1" si="13"/>
        <v>1.1658031088082901</v>
      </c>
      <c r="AD12" s="40"/>
      <c r="AE12" s="40"/>
      <c r="AF12" s="34"/>
      <c r="AH12" s="70">
        <f ca="1">AH11+$AH$2</f>
        <v>24.079999999999995</v>
      </c>
      <c r="AI12" s="70">
        <f ca="1">-MAX(-$AI$2+AH12,0)+$AI$1</f>
        <v>3.7700000000000053</v>
      </c>
      <c r="AJ12" s="70">
        <f ca="1">MAX(AH12-$AJ$2,0)-$AJ$1</f>
        <v>-1.45</v>
      </c>
      <c r="AK12" s="70">
        <f ca="1">(AI12+AJ12)*$AK$1</f>
        <v>24128.000000000058</v>
      </c>
    </row>
    <row r="13" spans="1:39" x14ac:dyDescent="0.25">
      <c r="A13" s="1">
        <v>10</v>
      </c>
      <c r="B13" s="25">
        <v>43979</v>
      </c>
      <c r="C13" s="10" t="s">
        <v>190</v>
      </c>
      <c r="D13" s="1">
        <v>4611.8500000000004</v>
      </c>
      <c r="E13" s="30">
        <v>125</v>
      </c>
      <c r="F13" s="1">
        <v>5000</v>
      </c>
      <c r="G13" s="1">
        <v>148.05000000000001</v>
      </c>
      <c r="H13" s="1">
        <v>6000</v>
      </c>
      <c r="I13" s="1">
        <v>18.05</v>
      </c>
      <c r="J13" s="1">
        <v>12500</v>
      </c>
      <c r="K13" s="1">
        <v>125</v>
      </c>
      <c r="L13" s="1">
        <v>20</v>
      </c>
      <c r="M13" s="1">
        <v>26.95</v>
      </c>
      <c r="N13" s="1">
        <v>125</v>
      </c>
      <c r="O13" s="9"/>
      <c r="P13" s="7">
        <f t="shared" ca="1" si="5"/>
        <v>-0.13</v>
      </c>
      <c r="Q13" s="7">
        <f t="shared" ca="1" si="6"/>
        <v>-0.01</v>
      </c>
      <c r="R13" s="33">
        <f t="shared" ca="1" si="0"/>
        <v>16250</v>
      </c>
      <c r="S13" s="33">
        <f t="shared" ca="1" si="1"/>
        <v>-108750</v>
      </c>
      <c r="T13" s="33">
        <f t="shared" ca="1" si="7"/>
        <v>16250</v>
      </c>
      <c r="U13" s="7">
        <f t="shared" ca="1" si="2"/>
        <v>0.14942528735632185</v>
      </c>
      <c r="V13" s="7">
        <f t="shared" ca="1" si="3"/>
        <v>-0.68960023837264461</v>
      </c>
      <c r="W13" s="33">
        <f t="shared" ca="1" si="8"/>
        <v>16250</v>
      </c>
      <c r="X13" s="7">
        <f t="shared" ca="1" si="9"/>
        <v>1</v>
      </c>
      <c r="Y13" s="7">
        <f t="shared" ca="1" si="10"/>
        <v>1.1494252873563218</v>
      </c>
      <c r="Z13" s="7">
        <f t="shared" ca="1" si="4"/>
        <v>-0.13714634035427209</v>
      </c>
      <c r="AA13" s="33">
        <f t="shared" ca="1" si="11"/>
        <v>16250</v>
      </c>
      <c r="AB13" s="7">
        <f t="shared" ca="1" si="12"/>
        <v>1</v>
      </c>
      <c r="AC13" s="7">
        <f t="shared" ca="1" si="13"/>
        <v>1.1494252873563218</v>
      </c>
      <c r="AD13" s="40"/>
      <c r="AE13" s="40"/>
      <c r="AF13" s="34"/>
      <c r="AH13" s="70">
        <f ca="1">AH12+$AH$2</f>
        <v>24.159999999999993</v>
      </c>
      <c r="AI13" s="70">
        <f ca="1">-MAX(-$AI$2+AH13,0)+$AI$1</f>
        <v>3.6900000000000071</v>
      </c>
      <c r="AJ13" s="70">
        <f ca="1">MAX(AH13-$AJ$2,0)-$AJ$1</f>
        <v>-1.45</v>
      </c>
      <c r="AK13" s="70">
        <f ca="1">(AI13+AJ13)*$AK$1</f>
        <v>23296.000000000076</v>
      </c>
    </row>
    <row r="14" spans="1:39" x14ac:dyDescent="0.25">
      <c r="A14" s="1">
        <v>11</v>
      </c>
      <c r="B14" s="25">
        <v>43979</v>
      </c>
      <c r="C14" s="10" t="s">
        <v>192</v>
      </c>
      <c r="D14" s="1">
        <v>2318</v>
      </c>
      <c r="E14" s="30">
        <v>250</v>
      </c>
      <c r="F14" s="1">
        <v>2500</v>
      </c>
      <c r="G14" s="1">
        <v>37</v>
      </c>
      <c r="H14" s="1">
        <v>2600</v>
      </c>
      <c r="I14" s="1">
        <v>24</v>
      </c>
      <c r="J14" s="1">
        <v>178250</v>
      </c>
      <c r="K14" s="1">
        <v>250</v>
      </c>
      <c r="L14" s="1">
        <v>24.1</v>
      </c>
      <c r="M14" s="1">
        <v>24.6</v>
      </c>
      <c r="N14" s="1">
        <v>250</v>
      </c>
      <c r="O14" s="9"/>
      <c r="P14" s="7">
        <f t="shared" ca="1" si="5"/>
        <v>-0.13</v>
      </c>
      <c r="Q14" s="7">
        <f t="shared" ca="1" si="6"/>
        <v>-0.01</v>
      </c>
      <c r="R14" s="33">
        <f t="shared" ca="1" si="0"/>
        <v>3250</v>
      </c>
      <c r="S14" s="33">
        <f t="shared" ca="1" si="1"/>
        <v>-21750</v>
      </c>
      <c r="T14" s="33">
        <f t="shared" ca="1" si="7"/>
        <v>3250</v>
      </c>
      <c r="U14" s="7">
        <f t="shared" ca="1" si="2"/>
        <v>0.14942528735632185</v>
      </c>
      <c r="V14" s="7">
        <f t="shared" ca="1" si="3"/>
        <v>-0.6545617045611648</v>
      </c>
      <c r="W14" s="33">
        <f t="shared" ca="1" si="8"/>
        <v>3250</v>
      </c>
      <c r="X14" s="7">
        <f t="shared" ca="1" si="9"/>
        <v>1</v>
      </c>
      <c r="Y14" s="7">
        <f t="shared" ca="1" si="10"/>
        <v>1.1494252873563218</v>
      </c>
      <c r="Z14" s="7">
        <f t="shared" ca="1" si="4"/>
        <v>-0.16966566729292124</v>
      </c>
      <c r="AA14" s="33">
        <f t="shared" ca="1" si="11"/>
        <v>3250</v>
      </c>
      <c r="AB14" s="7">
        <f t="shared" ca="1" si="12"/>
        <v>1</v>
      </c>
      <c r="AC14" s="7">
        <f t="shared" ca="1" si="13"/>
        <v>1.1494252873563218</v>
      </c>
      <c r="AD14" s="40"/>
      <c r="AE14" s="40"/>
      <c r="AF14" s="34"/>
      <c r="AH14" s="70">
        <f ca="1">AH13+$AH$2</f>
        <v>24.239999999999991</v>
      </c>
      <c r="AI14" s="70">
        <f ca="1">-MAX(-$AI$2+AH14,0)+$AI$1</f>
        <v>3.6100000000000088</v>
      </c>
      <c r="AJ14" s="70">
        <f ca="1">MAX(AH14-$AJ$2,0)-$AJ$1</f>
        <v>-1.45</v>
      </c>
      <c r="AK14" s="70">
        <f ca="1">(AI14+AJ14)*$AK$1</f>
        <v>22464.000000000095</v>
      </c>
    </row>
    <row r="15" spans="1:39" x14ac:dyDescent="0.25">
      <c r="A15" s="1">
        <v>12</v>
      </c>
      <c r="B15" s="25">
        <v>43979</v>
      </c>
      <c r="C15" s="10" t="s">
        <v>192</v>
      </c>
      <c r="D15" s="1">
        <v>2318</v>
      </c>
      <c r="E15" s="30">
        <v>250</v>
      </c>
      <c r="F15" s="1">
        <v>2500</v>
      </c>
      <c r="G15" s="1">
        <v>37</v>
      </c>
      <c r="H15" s="1">
        <v>2700</v>
      </c>
      <c r="I15" s="1">
        <v>16.75</v>
      </c>
      <c r="J15" s="1">
        <v>135250</v>
      </c>
      <c r="K15" s="1">
        <v>250</v>
      </c>
      <c r="L15" s="1">
        <v>15.55</v>
      </c>
      <c r="M15" s="1">
        <v>16.850000000000001</v>
      </c>
      <c r="N15" s="1">
        <v>250</v>
      </c>
      <c r="O15" s="9"/>
      <c r="P15" s="7">
        <f t="shared" ca="1" si="5"/>
        <v>-0.10125000000000001</v>
      </c>
      <c r="Q15" s="7">
        <f t="shared" ca="1" si="6"/>
        <v>-7.7884615384615392E-3</v>
      </c>
      <c r="R15" s="33">
        <f t="shared" ca="1" si="0"/>
        <v>5062.5</v>
      </c>
      <c r="S15" s="33">
        <f t="shared" ca="1" si="1"/>
        <v>-44937.5</v>
      </c>
      <c r="T15" s="33">
        <f t="shared" ca="1" si="7"/>
        <v>5062.5</v>
      </c>
      <c r="U15" s="7">
        <f t="shared" ca="1" si="2"/>
        <v>0.11265646731571627</v>
      </c>
      <c r="V15" s="7">
        <f t="shared" ca="1" si="3"/>
        <v>-0.6545617045611648</v>
      </c>
      <c r="W15" s="33">
        <f t="shared" ca="1" si="8"/>
        <v>5062.5</v>
      </c>
      <c r="X15" s="7">
        <f t="shared" ca="1" si="9"/>
        <v>1</v>
      </c>
      <c r="Y15" s="7">
        <f t="shared" ca="1" si="10"/>
        <v>1.1126564673157162</v>
      </c>
      <c r="Z15" s="7">
        <f t="shared" ca="1" si="4"/>
        <v>-0.16966566729292124</v>
      </c>
      <c r="AA15" s="33">
        <f t="shared" ca="1" si="11"/>
        <v>5062.5</v>
      </c>
      <c r="AB15" s="7">
        <f t="shared" ca="1" si="12"/>
        <v>1</v>
      </c>
      <c r="AC15" s="7">
        <f t="shared" ca="1" si="13"/>
        <v>1.1126564673157162</v>
      </c>
      <c r="AD15" s="40"/>
      <c r="AE15" s="40"/>
      <c r="AF15" s="34"/>
      <c r="AH15" s="70">
        <f ca="1">AH14+$AH$2</f>
        <v>24.31999999999999</v>
      </c>
      <c r="AI15" s="70">
        <f ca="1">-MAX(-$AI$2+AH15,0)+$AI$1</f>
        <v>3.5300000000000105</v>
      </c>
      <c r="AJ15" s="70">
        <f ca="1">MAX(AH15-$AJ$2,0)-$AJ$1</f>
        <v>-1.45</v>
      </c>
      <c r="AK15" s="70">
        <f ca="1">(AI15+AJ15)*$AK$1</f>
        <v>21632.000000000113</v>
      </c>
    </row>
    <row r="16" spans="1:39" x14ac:dyDescent="0.25">
      <c r="A16" s="1">
        <v>13</v>
      </c>
      <c r="B16" s="25">
        <v>43979</v>
      </c>
      <c r="C16" s="10" t="s">
        <v>220</v>
      </c>
      <c r="D16" s="1">
        <v>72.2</v>
      </c>
      <c r="E16" s="30">
        <v>6000</v>
      </c>
      <c r="F16" s="1">
        <v>77.5</v>
      </c>
      <c r="G16" s="1">
        <v>1.1499999999999999</v>
      </c>
      <c r="H16" s="1">
        <v>80</v>
      </c>
      <c r="I16" s="1">
        <v>0.8</v>
      </c>
      <c r="J16" s="1">
        <v>1386000</v>
      </c>
      <c r="K16" s="1">
        <v>42000</v>
      </c>
      <c r="L16" s="1">
        <v>0.7</v>
      </c>
      <c r="M16" s="1">
        <v>0.8</v>
      </c>
      <c r="N16" s="1">
        <v>6000</v>
      </c>
      <c r="O16" s="9"/>
      <c r="P16" s="7">
        <f t="shared" ca="1" si="5"/>
        <v>-0.13999999999999996</v>
      </c>
      <c r="Q16" s="7">
        <f t="shared" ca="1" si="6"/>
        <v>-1.0769230769230765E-2</v>
      </c>
      <c r="R16" s="33">
        <f t="shared" ca="1" si="0"/>
        <v>2099.9999999999991</v>
      </c>
      <c r="S16" s="33">
        <f t="shared" ca="1" si="1"/>
        <v>-12900</v>
      </c>
      <c r="T16" s="33">
        <f t="shared" ca="1" si="7"/>
        <v>2099.9999999999991</v>
      </c>
      <c r="U16" s="7">
        <f t="shared" ca="1" si="2"/>
        <v>0.16279069767441853</v>
      </c>
      <c r="V16" s="7">
        <f t="shared" ca="1" si="3"/>
        <v>-0.25477800090920349</v>
      </c>
      <c r="W16" s="33">
        <f t="shared" ca="1" si="8"/>
        <v>2099.9999999999991</v>
      </c>
      <c r="X16" s="7">
        <f t="shared" ca="1" si="9"/>
        <v>1</v>
      </c>
      <c r="Y16" s="7">
        <f t="shared" ca="1" si="10"/>
        <v>1.1627906976744184</v>
      </c>
      <c r="Z16" s="7">
        <f t="shared" ca="1" si="4"/>
        <v>-8.5098210372634667E-2</v>
      </c>
      <c r="AA16" s="33">
        <f t="shared" ca="1" si="11"/>
        <v>2099.9999999999991</v>
      </c>
      <c r="AB16" s="7">
        <f t="shared" ca="1" si="12"/>
        <v>1</v>
      </c>
      <c r="AC16" s="7">
        <f t="shared" ca="1" si="13"/>
        <v>1.1627906976744184</v>
      </c>
      <c r="AD16" s="40"/>
      <c r="AE16" s="40"/>
      <c r="AF16" s="34"/>
      <c r="AH16" s="70">
        <f ca="1">AH15+$AH$2</f>
        <v>24.399999999999988</v>
      </c>
      <c r="AI16" s="70">
        <f ca="1">-MAX(-$AI$2+AH16,0)+$AI$1</f>
        <v>3.4500000000000122</v>
      </c>
      <c r="AJ16" s="70">
        <f ca="1">MAX(AH16-$AJ$2,0)-$AJ$1</f>
        <v>-1.45</v>
      </c>
      <c r="AK16" s="70">
        <f ca="1">(AI16+AJ16)*$AK$1</f>
        <v>20800.000000000131</v>
      </c>
    </row>
    <row r="17" spans="1:37" x14ac:dyDescent="0.25">
      <c r="A17" s="1">
        <v>14</v>
      </c>
      <c r="B17" s="25">
        <v>43979</v>
      </c>
      <c r="C17" s="10" t="s">
        <v>233</v>
      </c>
      <c r="D17" s="1">
        <v>246.15</v>
      </c>
      <c r="E17" s="30">
        <v>1300</v>
      </c>
      <c r="F17" s="1">
        <v>260</v>
      </c>
      <c r="G17" s="1">
        <v>35.299999999999997</v>
      </c>
      <c r="H17" s="1">
        <v>270</v>
      </c>
      <c r="I17" s="1">
        <v>20</v>
      </c>
      <c r="J17" s="1">
        <v>5200</v>
      </c>
      <c r="K17" s="1">
        <v>5200</v>
      </c>
      <c r="L17" s="1">
        <v>18.649999999999999</v>
      </c>
      <c r="M17" s="1">
        <v>20.399999999999999</v>
      </c>
      <c r="N17" s="1">
        <v>1300</v>
      </c>
      <c r="O17" s="9"/>
      <c r="P17" s="7">
        <f ca="1">($G17-$I17)/($F17-$H17)</f>
        <v>-1.5299999999999998</v>
      </c>
      <c r="Q17" s="7">
        <f t="shared" ca="1" si="6"/>
        <v>-0.11769230769230768</v>
      </c>
      <c r="R17" s="33">
        <f t="shared" ca="1" si="0"/>
        <v>19889.999999999996</v>
      </c>
      <c r="S17" s="33">
        <f t="shared" ca="1" si="1"/>
        <v>6889.9999999999964</v>
      </c>
      <c r="T17" s="33">
        <f t="shared" ca="1" si="7"/>
        <v>19889.999999999996</v>
      </c>
      <c r="U17" s="7">
        <f t="shared" ca="1" si="2"/>
        <v>2.8867924528301896</v>
      </c>
      <c r="V17" s="7">
        <f t="shared" ca="1" si="3"/>
        <v>-0.60704170958444126</v>
      </c>
      <c r="W17" s="33">
        <f t="shared" ca="1" si="8"/>
        <v>19889.999999999996</v>
      </c>
      <c r="X17" s="7">
        <f t="shared" ca="1" si="9"/>
        <v>1</v>
      </c>
      <c r="Y17" s="7">
        <f t="shared" ca="1" si="10"/>
        <v>3.8867924528301896</v>
      </c>
      <c r="Z17" s="7">
        <f t="shared" ca="1" si="4"/>
        <v>-0.11512100587692066</v>
      </c>
      <c r="AA17" s="33">
        <f t="shared" ca="1" si="11"/>
        <v>19889.999999999996</v>
      </c>
      <c r="AB17" s="7">
        <f t="shared" ca="1" si="12"/>
        <v>1</v>
      </c>
      <c r="AC17" s="7">
        <f t="shared" ca="1" si="13"/>
        <v>3.8867924528301896</v>
      </c>
      <c r="AD17" s="40"/>
      <c r="AE17" s="40"/>
      <c r="AF17" s="34"/>
      <c r="AH17" s="70">
        <f ca="1">AH16+$AH$2</f>
        <v>24.479999999999986</v>
      </c>
      <c r="AI17" s="70">
        <f ca="1">-MAX(-$AI$2+AH17,0)+$AI$1</f>
        <v>3.3700000000000139</v>
      </c>
      <c r="AJ17" s="70">
        <f ca="1">MAX(AH17-$AJ$2,0)-$AJ$1</f>
        <v>-1.45</v>
      </c>
      <c r="AK17" s="70">
        <f ca="1">(AI17+AJ17)*$AK$1</f>
        <v>19968.000000000146</v>
      </c>
    </row>
    <row r="18" spans="1:37" x14ac:dyDescent="0.25">
      <c r="A18" s="1">
        <v>15</v>
      </c>
      <c r="B18" s="25">
        <v>43979</v>
      </c>
      <c r="C18" s="10" t="s">
        <v>233</v>
      </c>
      <c r="D18" s="1">
        <v>246.15</v>
      </c>
      <c r="E18" s="30">
        <v>1300</v>
      </c>
      <c r="F18" s="1">
        <v>260</v>
      </c>
      <c r="G18" s="1">
        <v>35.299999999999997</v>
      </c>
      <c r="H18" s="1">
        <v>280</v>
      </c>
      <c r="I18" s="1">
        <v>15.1</v>
      </c>
      <c r="J18" s="1">
        <v>131300</v>
      </c>
      <c r="K18" s="1">
        <v>1300</v>
      </c>
      <c r="L18" s="1">
        <v>14.7</v>
      </c>
      <c r="M18" s="1">
        <v>15.25</v>
      </c>
      <c r="N18" s="1">
        <v>1300</v>
      </c>
      <c r="O18" s="9"/>
      <c r="P18" s="7">
        <f t="shared" ca="1" si="5"/>
        <v>-1.0099999999999998</v>
      </c>
      <c r="Q18" s="7">
        <f t="shared" ca="1" si="6"/>
        <v>-7.7692307692307672E-2</v>
      </c>
      <c r="R18" s="33">
        <f t="shared" ca="1" si="0"/>
        <v>26259.999999999993</v>
      </c>
      <c r="S18" s="33">
        <f t="shared" ca="1" si="1"/>
        <v>259.99999999999272</v>
      </c>
      <c r="T18" s="33">
        <f t="shared" ca="1" si="7"/>
        <v>26259.999999999993</v>
      </c>
      <c r="U18" s="7">
        <f t="shared" ca="1" si="2"/>
        <v>101.0000000000028</v>
      </c>
      <c r="V18" s="7">
        <f t="shared" ca="1" si="3"/>
        <v>-0.60704170958444126</v>
      </c>
      <c r="W18" s="33">
        <f t="shared" ca="1" si="8"/>
        <v>26259.999999999993</v>
      </c>
      <c r="X18" s="7">
        <f t="shared" ca="1" si="9"/>
        <v>1</v>
      </c>
      <c r="Y18" s="7">
        <f t="shared" ca="1" si="10"/>
        <v>102.0000000000028</v>
      </c>
      <c r="Z18" s="7">
        <f t="shared" ca="1" si="4"/>
        <v>-0.11512100587692066</v>
      </c>
      <c r="AA18" s="33">
        <f t="shared" ca="1" si="11"/>
        <v>26259.999999999993</v>
      </c>
      <c r="AB18" s="7">
        <f t="shared" ca="1" si="12"/>
        <v>1</v>
      </c>
      <c r="AC18" s="7">
        <f t="shared" ca="1" si="13"/>
        <v>102.0000000000028</v>
      </c>
      <c r="AD18" s="40"/>
      <c r="AE18" s="40"/>
      <c r="AF18" s="34"/>
      <c r="AH18" s="70">
        <f ca="1">AH17+$AH$2</f>
        <v>24.559999999999985</v>
      </c>
      <c r="AI18" s="70">
        <f ca="1">-MAX(-$AI$2+AH18,0)+$AI$1</f>
        <v>3.2900000000000156</v>
      </c>
      <c r="AJ18" s="70">
        <f ca="1">MAX(AH18-$AJ$2,0)-$AJ$1</f>
        <v>-1.45</v>
      </c>
      <c r="AK18" s="70">
        <f ca="1">(AI18+AJ18)*$AK$1</f>
        <v>19136.000000000164</v>
      </c>
    </row>
    <row r="19" spans="1:37" x14ac:dyDescent="0.25">
      <c r="A19" s="1">
        <v>16</v>
      </c>
      <c r="B19" s="25">
        <v>43979</v>
      </c>
      <c r="C19" s="10" t="s">
        <v>233</v>
      </c>
      <c r="D19" s="1">
        <v>246.15</v>
      </c>
      <c r="E19" s="30">
        <v>1300</v>
      </c>
      <c r="F19" s="1">
        <v>260</v>
      </c>
      <c r="G19" s="1">
        <v>35.299999999999997</v>
      </c>
      <c r="H19" s="1">
        <v>290</v>
      </c>
      <c r="I19" s="1">
        <v>11.4</v>
      </c>
      <c r="J19" s="1">
        <v>133900</v>
      </c>
      <c r="K19" s="1">
        <v>1300</v>
      </c>
      <c r="L19" s="1">
        <v>10.65</v>
      </c>
      <c r="M19" s="1">
        <v>11.4</v>
      </c>
      <c r="N19" s="1">
        <v>1300</v>
      </c>
      <c r="O19" s="9"/>
      <c r="P19" s="7">
        <f t="shared" ca="1" si="5"/>
        <v>-0.79666666666666663</v>
      </c>
      <c r="Q19" s="7">
        <f t="shared" ca="1" si="6"/>
        <v>-6.1282051282051282E-2</v>
      </c>
      <c r="R19" s="33">
        <f t="shared" ca="1" si="0"/>
        <v>31069.999999999996</v>
      </c>
      <c r="S19" s="33">
        <f t="shared" ca="1" si="1"/>
        <v>-7930.0000000000036</v>
      </c>
      <c r="T19" s="33">
        <f t="shared" ca="1" si="7"/>
        <v>31069.999999999996</v>
      </c>
      <c r="U19" s="7">
        <f t="shared" ca="1" si="2"/>
        <v>3.9180327868852438</v>
      </c>
      <c r="V19" s="7">
        <f t="shared" ca="1" si="3"/>
        <v>-0.60704170958444126</v>
      </c>
      <c r="W19" s="33">
        <f t="shared" ca="1" si="8"/>
        <v>31069.999999999996</v>
      </c>
      <c r="X19" s="7">
        <f t="shared" ca="1" si="9"/>
        <v>1</v>
      </c>
      <c r="Y19" s="7">
        <f t="shared" ca="1" si="10"/>
        <v>4.9180327868852434</v>
      </c>
      <c r="Z19" s="7">
        <f t="shared" ca="1" si="4"/>
        <v>-0.11512100587692066</v>
      </c>
      <c r="AA19" s="33">
        <f t="shared" ca="1" si="11"/>
        <v>31069.999999999996</v>
      </c>
      <c r="AB19" s="7">
        <f t="shared" ca="1" si="12"/>
        <v>1</v>
      </c>
      <c r="AC19" s="7">
        <f t="shared" ca="1" si="13"/>
        <v>4.9180327868852434</v>
      </c>
      <c r="AD19" s="40"/>
      <c r="AE19" s="40"/>
      <c r="AF19" s="34"/>
      <c r="AH19" s="70">
        <f ca="1">AH18+$AH$2</f>
        <v>24.639999999999983</v>
      </c>
      <c r="AI19" s="70">
        <f ca="1">-MAX(-$AI$2+AH19,0)+$AI$1</f>
        <v>3.2100000000000173</v>
      </c>
      <c r="AJ19" s="70">
        <f ca="1">MAX(AH19-$AJ$2,0)-$AJ$1</f>
        <v>-1.45</v>
      </c>
      <c r="AK19" s="70">
        <f ca="1">(AI19+AJ19)*$AK$1</f>
        <v>18304.000000000182</v>
      </c>
    </row>
    <row r="20" spans="1:37" x14ac:dyDescent="0.25">
      <c r="A20" s="1">
        <v>17</v>
      </c>
      <c r="B20" s="25">
        <v>43979</v>
      </c>
      <c r="C20" s="10" t="s">
        <v>233</v>
      </c>
      <c r="D20" s="1">
        <v>246.15</v>
      </c>
      <c r="E20" s="30">
        <v>1300</v>
      </c>
      <c r="F20" s="1">
        <v>260</v>
      </c>
      <c r="G20" s="1">
        <v>35.299999999999997</v>
      </c>
      <c r="H20" s="1">
        <v>300</v>
      </c>
      <c r="I20" s="1">
        <v>8.15</v>
      </c>
      <c r="J20" s="1">
        <v>297700</v>
      </c>
      <c r="K20" s="1">
        <v>1300</v>
      </c>
      <c r="L20" s="1">
        <v>8.0500000000000007</v>
      </c>
      <c r="M20" s="1">
        <v>8.4</v>
      </c>
      <c r="N20" s="1">
        <v>1300</v>
      </c>
      <c r="O20" s="9"/>
      <c r="P20" s="7">
        <f t="shared" ca="1" si="5"/>
        <v>-0.67874999999999996</v>
      </c>
      <c r="Q20" s="7">
        <f t="shared" ca="1" si="6"/>
        <v>-5.2211538461538462E-2</v>
      </c>
      <c r="R20" s="33">
        <f t="shared" ca="1" si="0"/>
        <v>35295</v>
      </c>
      <c r="S20" s="33">
        <f t="shared" ca="1" si="1"/>
        <v>-16705</v>
      </c>
      <c r="T20" s="33">
        <f t="shared" ca="1" si="7"/>
        <v>35295</v>
      </c>
      <c r="U20" s="7">
        <f t="shared" ca="1" si="2"/>
        <v>2.1128404669260701</v>
      </c>
      <c r="V20" s="7">
        <f t="shared" ca="1" si="3"/>
        <v>-0.60704170958444126</v>
      </c>
      <c r="W20" s="33">
        <f t="shared" ca="1" si="8"/>
        <v>35295</v>
      </c>
      <c r="X20" s="7">
        <f t="shared" ca="1" si="9"/>
        <v>1</v>
      </c>
      <c r="Y20" s="7">
        <f t="shared" ca="1" si="10"/>
        <v>3.1128404669260701</v>
      </c>
      <c r="Z20" s="7">
        <f t="shared" ca="1" si="4"/>
        <v>-0.11512100587692066</v>
      </c>
      <c r="AA20" s="33">
        <f t="shared" ca="1" si="11"/>
        <v>35295</v>
      </c>
      <c r="AB20" s="7">
        <f t="shared" ca="1" si="12"/>
        <v>1</v>
      </c>
      <c r="AC20" s="7">
        <f t="shared" ca="1" si="13"/>
        <v>3.1128404669260701</v>
      </c>
      <c r="AD20" s="40"/>
      <c r="AE20" s="40"/>
      <c r="AF20" s="34"/>
      <c r="AH20" s="70">
        <f ca="1">AH19+$AH$2</f>
        <v>24.719999999999981</v>
      </c>
      <c r="AI20" s="70">
        <f ca="1">-MAX(-$AI$2+AH20,0)+$AI$1</f>
        <v>3.130000000000019</v>
      </c>
      <c r="AJ20" s="70">
        <f ca="1">MAX(AH20-$AJ$2,0)-$AJ$1</f>
        <v>-1.45</v>
      </c>
      <c r="AK20" s="70">
        <f ca="1">(AI20+AJ20)*$AK$1</f>
        <v>17472.000000000196</v>
      </c>
    </row>
    <row r="21" spans="1:37" x14ac:dyDescent="0.25">
      <c r="A21" s="1">
        <v>18</v>
      </c>
      <c r="B21" s="25">
        <v>43979</v>
      </c>
      <c r="C21" s="10" t="s">
        <v>233</v>
      </c>
      <c r="D21" s="1">
        <v>246.15</v>
      </c>
      <c r="E21" s="30">
        <v>1300</v>
      </c>
      <c r="F21" s="1">
        <v>260</v>
      </c>
      <c r="G21" s="1">
        <v>35.299999999999997</v>
      </c>
      <c r="H21" s="1">
        <v>310</v>
      </c>
      <c r="I21" s="1">
        <v>5.95</v>
      </c>
      <c r="J21" s="1">
        <v>66300</v>
      </c>
      <c r="K21" s="1">
        <v>1300</v>
      </c>
      <c r="L21" s="1">
        <v>5.9</v>
      </c>
      <c r="M21" s="1">
        <v>6.2</v>
      </c>
      <c r="N21" s="1">
        <v>1300</v>
      </c>
      <c r="O21" s="9"/>
      <c r="P21" s="7">
        <f t="shared" ca="1" si="5"/>
        <v>-0.58699999999999997</v>
      </c>
      <c r="Q21" s="7">
        <f t="shared" ca="1" si="6"/>
        <v>-4.5153846153846149E-2</v>
      </c>
      <c r="R21" s="33">
        <f t="shared" ca="1" si="0"/>
        <v>38155</v>
      </c>
      <c r="S21" s="33">
        <f t="shared" ca="1" si="1"/>
        <v>-26845</v>
      </c>
      <c r="T21" s="33">
        <f t="shared" ca="1" si="7"/>
        <v>38155</v>
      </c>
      <c r="U21" s="7">
        <f t="shared" ca="1" si="2"/>
        <v>1.4213075060532687</v>
      </c>
      <c r="V21" s="7">
        <f t="shared" ca="1" si="3"/>
        <v>-0.60704170958444126</v>
      </c>
      <c r="W21" s="33">
        <f t="shared" ca="1" si="8"/>
        <v>38155</v>
      </c>
      <c r="X21" s="7">
        <f t="shared" ca="1" si="9"/>
        <v>1</v>
      </c>
      <c r="Y21" s="7">
        <f t="shared" ca="1" si="10"/>
        <v>2.4213075060532687</v>
      </c>
      <c r="Z21" s="7">
        <f t="shared" ca="1" si="4"/>
        <v>-0.11512100587692066</v>
      </c>
      <c r="AA21" s="33">
        <f t="shared" ca="1" si="11"/>
        <v>38155</v>
      </c>
      <c r="AB21" s="7">
        <f t="shared" ca="1" si="12"/>
        <v>1</v>
      </c>
      <c r="AC21" s="7">
        <f t="shared" ca="1" si="13"/>
        <v>2.4213075060532687</v>
      </c>
      <c r="AD21" s="40"/>
      <c r="AE21" s="40"/>
      <c r="AF21" s="34"/>
      <c r="AH21" s="70">
        <f ca="1">AH20+$AH$2</f>
        <v>24.799999999999979</v>
      </c>
      <c r="AI21" s="70">
        <f ca="1">-MAX(-$AI$2+AH21,0)+$AI$1</f>
        <v>3.0500000000000207</v>
      </c>
      <c r="AJ21" s="70">
        <f ca="1">MAX(AH21-$AJ$2,0)-$AJ$1</f>
        <v>-1.45</v>
      </c>
      <c r="AK21" s="70">
        <f ca="1">(AI21+AJ21)*$AK$1</f>
        <v>16640.000000000215</v>
      </c>
    </row>
    <row r="22" spans="1:37" x14ac:dyDescent="0.25">
      <c r="A22" s="1">
        <v>19</v>
      </c>
      <c r="B22" s="25">
        <v>43979</v>
      </c>
      <c r="C22" s="10" t="s">
        <v>233</v>
      </c>
      <c r="D22" s="1">
        <v>246.15</v>
      </c>
      <c r="E22" s="30">
        <v>1300</v>
      </c>
      <c r="F22" s="1">
        <v>260</v>
      </c>
      <c r="G22" s="1">
        <v>35.299999999999997</v>
      </c>
      <c r="H22" s="1">
        <v>320</v>
      </c>
      <c r="I22" s="1">
        <v>4.5</v>
      </c>
      <c r="J22" s="1">
        <v>149500</v>
      </c>
      <c r="K22" s="1">
        <v>1300</v>
      </c>
      <c r="L22" s="1">
        <v>4.0999999999999996</v>
      </c>
      <c r="M22" s="1">
        <v>4.55</v>
      </c>
      <c r="N22" s="1">
        <v>1300</v>
      </c>
      <c r="O22" s="9"/>
      <c r="P22" s="7">
        <f t="shared" ca="1" si="5"/>
        <v>-0.51333333333333331</v>
      </c>
      <c r="Q22" s="7">
        <f t="shared" ca="1" si="6"/>
        <v>-3.9487179487179488E-2</v>
      </c>
      <c r="R22" s="33">
        <f t="shared" ca="1" si="0"/>
        <v>40039.999999999993</v>
      </c>
      <c r="S22" s="33">
        <f t="shared" ca="1" si="1"/>
        <v>-37960.000000000007</v>
      </c>
      <c r="T22" s="33">
        <f t="shared" ca="1" si="7"/>
        <v>40039.999999999993</v>
      </c>
      <c r="U22" s="7">
        <f t="shared" ca="1" si="2"/>
        <v>1.0547945205479448</v>
      </c>
      <c r="V22" s="7">
        <f t="shared" ca="1" si="3"/>
        <v>-0.60704170958444126</v>
      </c>
      <c r="W22" s="33">
        <f t="shared" ca="1" si="8"/>
        <v>40039.999999999993</v>
      </c>
      <c r="X22" s="7">
        <f t="shared" ca="1" si="9"/>
        <v>1</v>
      </c>
      <c r="Y22" s="7">
        <f t="shared" ca="1" si="10"/>
        <v>2.0547945205479445</v>
      </c>
      <c r="Z22" s="7">
        <f t="shared" ca="1" si="4"/>
        <v>-0.11512100587692066</v>
      </c>
      <c r="AA22" s="33">
        <f t="shared" ca="1" si="11"/>
        <v>40039.999999999993</v>
      </c>
      <c r="AB22" s="7">
        <f t="shared" ca="1" si="12"/>
        <v>1</v>
      </c>
      <c r="AC22" s="7">
        <f t="shared" ca="1" si="13"/>
        <v>2.0547945205479445</v>
      </c>
      <c r="AD22" s="40"/>
      <c r="AE22" s="40"/>
      <c r="AF22" s="34"/>
      <c r="AH22" s="70">
        <f ca="1">AH21+$AH$2</f>
        <v>24.879999999999978</v>
      </c>
      <c r="AI22" s="70">
        <f ca="1">-MAX(-$AI$2+AH22,0)+$AI$1</f>
        <v>2.9700000000000224</v>
      </c>
      <c r="AJ22" s="70">
        <f ca="1">MAX(AH22-$AJ$2,0)-$AJ$1</f>
        <v>-1.45</v>
      </c>
      <c r="AK22" s="70">
        <f ca="1">(AI22+AJ22)*$AK$1</f>
        <v>15808.000000000233</v>
      </c>
    </row>
    <row r="23" spans="1:37" x14ac:dyDescent="0.25">
      <c r="A23" s="1">
        <v>20</v>
      </c>
      <c r="B23" s="25">
        <v>43979</v>
      </c>
      <c r="C23" s="10" t="s">
        <v>233</v>
      </c>
      <c r="D23" s="1">
        <v>246.15</v>
      </c>
      <c r="E23" s="30">
        <v>1300</v>
      </c>
      <c r="F23" s="1">
        <v>260</v>
      </c>
      <c r="G23" s="1">
        <v>35.299999999999997</v>
      </c>
      <c r="H23" s="1">
        <v>330</v>
      </c>
      <c r="I23" s="1">
        <v>3.35</v>
      </c>
      <c r="J23" s="1">
        <v>46800</v>
      </c>
      <c r="K23" s="1">
        <v>1300</v>
      </c>
      <c r="L23" s="1">
        <v>3.2</v>
      </c>
      <c r="M23" s="1">
        <v>4.45</v>
      </c>
      <c r="N23" s="1">
        <v>10400</v>
      </c>
      <c r="O23" s="9"/>
      <c r="P23" s="7">
        <f t="shared" ca="1" si="5"/>
        <v>-0.45642857142857135</v>
      </c>
      <c r="Q23" s="7">
        <f t="shared" ca="1" si="6"/>
        <v>-3.5109890109890102E-2</v>
      </c>
      <c r="R23" s="33">
        <f t="shared" ca="1" si="0"/>
        <v>41534.999999999993</v>
      </c>
      <c r="S23" s="33">
        <f t="shared" ca="1" si="1"/>
        <v>-49465.000000000007</v>
      </c>
      <c r="T23" s="33">
        <f t="shared" ca="1" si="7"/>
        <v>41534.999999999993</v>
      </c>
      <c r="U23" s="7">
        <f t="shared" ca="1" si="2"/>
        <v>0.83968462549277245</v>
      </c>
      <c r="V23" s="7">
        <f t="shared" ca="1" si="3"/>
        <v>-0.60704170958444126</v>
      </c>
      <c r="W23" s="33">
        <f t="shared" ca="1" si="8"/>
        <v>41534.999999999993</v>
      </c>
      <c r="X23" s="7">
        <f t="shared" ca="1" si="9"/>
        <v>1</v>
      </c>
      <c r="Y23" s="7">
        <f t="shared" ca="1" si="10"/>
        <v>1.8396846254927723</v>
      </c>
      <c r="Z23" s="7">
        <f t="shared" ca="1" si="4"/>
        <v>-0.11512100587692066</v>
      </c>
      <c r="AA23" s="33">
        <f t="shared" ca="1" si="11"/>
        <v>41534.999999999993</v>
      </c>
      <c r="AB23" s="7">
        <f t="shared" ca="1" si="12"/>
        <v>1</v>
      </c>
      <c r="AC23" s="7">
        <f t="shared" ca="1" si="13"/>
        <v>1.8396846254927723</v>
      </c>
      <c r="AD23" s="40"/>
      <c r="AE23" s="40"/>
      <c r="AF23" s="34"/>
      <c r="AH23" s="70">
        <f ca="1">AH22+$AH$2</f>
        <v>24.959999999999976</v>
      </c>
      <c r="AI23" s="70">
        <f ca="1">-MAX(-$AI$2+AH23,0)+$AI$1</f>
        <v>2.8900000000000241</v>
      </c>
      <c r="AJ23" s="70">
        <f ca="1">MAX(AH23-$AJ$2,0)-$AJ$1</f>
        <v>-1.45</v>
      </c>
      <c r="AK23" s="70">
        <f ca="1">(AI23+AJ23)*$AK$1</f>
        <v>14976.000000000251</v>
      </c>
    </row>
    <row r="24" spans="1:37" x14ac:dyDescent="0.25">
      <c r="A24" s="1">
        <v>21</v>
      </c>
      <c r="B24" s="25">
        <v>43979</v>
      </c>
      <c r="C24" s="10" t="s">
        <v>233</v>
      </c>
      <c r="D24" s="1">
        <v>246.15</v>
      </c>
      <c r="E24" s="30">
        <v>1300</v>
      </c>
      <c r="F24" s="1">
        <v>260</v>
      </c>
      <c r="G24" s="1">
        <v>35.299999999999997</v>
      </c>
      <c r="H24" s="1">
        <v>340</v>
      </c>
      <c r="I24" s="1">
        <v>2.5</v>
      </c>
      <c r="J24" s="1">
        <v>62400</v>
      </c>
      <c r="K24" s="1">
        <v>1300</v>
      </c>
      <c r="L24" s="1">
        <v>2.2999999999999998</v>
      </c>
      <c r="M24" s="1">
        <v>2.8</v>
      </c>
      <c r="N24" s="1">
        <v>1300</v>
      </c>
      <c r="O24" s="9"/>
      <c r="P24" s="7">
        <f t="shared" ca="1" si="5"/>
        <v>-0.41</v>
      </c>
      <c r="Q24" s="7">
        <f t="shared" ca="1" si="6"/>
        <v>-3.1538461538461536E-2</v>
      </c>
      <c r="R24" s="33">
        <f t="shared" ca="1" si="0"/>
        <v>42639.999999999993</v>
      </c>
      <c r="S24" s="33">
        <f t="shared" ca="1" si="1"/>
        <v>-61360.000000000007</v>
      </c>
      <c r="T24" s="33">
        <f t="shared" ca="1" si="7"/>
        <v>42639.999999999993</v>
      </c>
      <c r="U24" s="7">
        <f t="shared" ca="1" si="2"/>
        <v>0.69491525423728795</v>
      </c>
      <c r="V24" s="7">
        <f t="shared" ca="1" si="3"/>
        <v>-0.60704170958444126</v>
      </c>
      <c r="W24" s="33">
        <f t="shared" ca="1" si="8"/>
        <v>42639.999999999993</v>
      </c>
      <c r="X24" s="7">
        <f t="shared" ca="1" si="9"/>
        <v>1</v>
      </c>
      <c r="Y24" s="7">
        <f t="shared" ca="1" si="10"/>
        <v>1.6949152542372881</v>
      </c>
      <c r="Z24" s="7">
        <f t="shared" ca="1" si="4"/>
        <v>-0.11512100587692066</v>
      </c>
      <c r="AA24" s="33">
        <f t="shared" ca="1" si="11"/>
        <v>42639.999999999993</v>
      </c>
      <c r="AB24" s="7">
        <f t="shared" ca="1" si="12"/>
        <v>1</v>
      </c>
      <c r="AC24" s="7">
        <f t="shared" ca="1" si="13"/>
        <v>1.6949152542372881</v>
      </c>
      <c r="AD24" s="40"/>
      <c r="AE24" s="40"/>
      <c r="AF24" s="34"/>
      <c r="AH24" s="70">
        <f ca="1">AH23+$AH$2</f>
        <v>25.039999999999974</v>
      </c>
      <c r="AI24" s="70">
        <f ca="1">-MAX(-$AI$2+AH24,0)+$AI$1</f>
        <v>2.8100000000000258</v>
      </c>
      <c r="AJ24" s="70">
        <f ca="1">MAX(AH24-$AJ$2,0)-$AJ$1</f>
        <v>-1.45</v>
      </c>
      <c r="AK24" s="70">
        <f ca="1">(AI24+AJ24)*$AK$1</f>
        <v>14144.000000000269</v>
      </c>
    </row>
    <row r="25" spans="1:37" x14ac:dyDescent="0.25">
      <c r="A25" s="1">
        <v>22</v>
      </c>
      <c r="B25" s="25">
        <v>43979</v>
      </c>
      <c r="C25" s="10" t="s">
        <v>233</v>
      </c>
      <c r="D25" s="1">
        <v>246.15</v>
      </c>
      <c r="E25" s="30">
        <v>1300</v>
      </c>
      <c r="F25" s="1">
        <v>260</v>
      </c>
      <c r="G25" s="1">
        <v>35.299999999999997</v>
      </c>
      <c r="H25" s="1">
        <v>350</v>
      </c>
      <c r="I25" s="1">
        <v>1.8</v>
      </c>
      <c r="J25" s="1">
        <v>52000</v>
      </c>
      <c r="K25" s="1">
        <v>1300</v>
      </c>
      <c r="L25" s="1">
        <v>1.65</v>
      </c>
      <c r="M25" s="1">
        <v>2.6</v>
      </c>
      <c r="N25" s="1">
        <v>1300</v>
      </c>
      <c r="O25" s="9"/>
      <c r="P25" s="7">
        <f t="shared" ca="1" si="5"/>
        <v>-0.37222222222222223</v>
      </c>
      <c r="Q25" s="7">
        <f t="shared" ca="1" si="6"/>
        <v>-2.8632478632478635E-2</v>
      </c>
      <c r="R25" s="33">
        <f t="shared" ca="1" si="0"/>
        <v>43550</v>
      </c>
      <c r="S25" s="33">
        <f t="shared" ca="1" si="1"/>
        <v>-73450</v>
      </c>
      <c r="T25" s="33">
        <f t="shared" ca="1" si="7"/>
        <v>43550</v>
      </c>
      <c r="U25" s="7">
        <f t="shared" ca="1" si="2"/>
        <v>0.59292035398230092</v>
      </c>
      <c r="V25" s="7">
        <f t="shared" ca="1" si="3"/>
        <v>-0.60704170958444126</v>
      </c>
      <c r="W25" s="33">
        <f t="shared" ca="1" si="8"/>
        <v>43550</v>
      </c>
      <c r="X25" s="7">
        <f t="shared" ca="1" si="9"/>
        <v>1</v>
      </c>
      <c r="Y25" s="7">
        <f t="shared" ca="1" si="10"/>
        <v>1.5929203539823009</v>
      </c>
      <c r="Z25" s="7">
        <f t="shared" ca="1" si="4"/>
        <v>-0.11512100587692066</v>
      </c>
      <c r="AA25" s="33">
        <f t="shared" ca="1" si="11"/>
        <v>43550</v>
      </c>
      <c r="AB25" s="7">
        <f t="shared" ca="1" si="12"/>
        <v>1</v>
      </c>
      <c r="AC25" s="7">
        <f t="shared" ca="1" si="13"/>
        <v>1.5929203539823009</v>
      </c>
      <c r="AD25" s="40"/>
      <c r="AE25" s="40"/>
      <c r="AF25" s="34"/>
      <c r="AH25" s="70">
        <f ca="1">AH24+$AH$2</f>
        <v>25.119999999999973</v>
      </c>
      <c r="AI25" s="70">
        <f ca="1">-MAX(-$AI$2+AH25,0)+$AI$1</f>
        <v>2.7300000000000275</v>
      </c>
      <c r="AJ25" s="70">
        <f ca="1">MAX(AH25-$AJ$2,0)-$AJ$1</f>
        <v>-1.45</v>
      </c>
      <c r="AK25" s="70">
        <f ca="1">(AI25+AJ25)*$AK$1</f>
        <v>13312.000000000287</v>
      </c>
    </row>
    <row r="26" spans="1:37" x14ac:dyDescent="0.25">
      <c r="A26" s="1">
        <v>23</v>
      </c>
      <c r="B26" s="25">
        <v>43979</v>
      </c>
      <c r="C26" s="10" t="s">
        <v>233</v>
      </c>
      <c r="D26" s="1">
        <v>246.15</v>
      </c>
      <c r="E26" s="30">
        <v>1300</v>
      </c>
      <c r="F26" s="1">
        <v>260</v>
      </c>
      <c r="G26" s="1">
        <v>35.299999999999997</v>
      </c>
      <c r="H26" s="1">
        <v>360</v>
      </c>
      <c r="I26" s="1">
        <v>1.5</v>
      </c>
      <c r="J26" s="1">
        <v>27300</v>
      </c>
      <c r="K26" s="1">
        <v>1300</v>
      </c>
      <c r="L26" s="1">
        <v>1.35</v>
      </c>
      <c r="M26" s="1">
        <v>2.2000000000000002</v>
      </c>
      <c r="N26" s="1">
        <v>2600</v>
      </c>
      <c r="O26" s="9"/>
      <c r="P26" s="7">
        <f t="shared" ca="1" si="5"/>
        <v>-0.33799999999999997</v>
      </c>
      <c r="Q26" s="7">
        <f t="shared" ca="1" si="6"/>
        <v>-2.5999999999999999E-2</v>
      </c>
      <c r="R26" s="33">
        <f t="shared" ca="1" si="0"/>
        <v>43939.999999999993</v>
      </c>
      <c r="S26" s="33">
        <f t="shared" ca="1" si="1"/>
        <v>-86060</v>
      </c>
      <c r="T26" s="33">
        <f t="shared" ca="1" si="7"/>
        <v>43939.999999999993</v>
      </c>
      <c r="U26" s="7">
        <f t="shared" ca="1" si="2"/>
        <v>0.51057401812688818</v>
      </c>
      <c r="V26" s="7">
        <f t="shared" ca="1" si="3"/>
        <v>-0.60704170958444126</v>
      </c>
      <c r="W26" s="33">
        <f t="shared" ca="1" si="8"/>
        <v>43939.999999999993</v>
      </c>
      <c r="X26" s="7">
        <f t="shared" ca="1" si="9"/>
        <v>1</v>
      </c>
      <c r="Y26" s="7">
        <f t="shared" ca="1" si="10"/>
        <v>1.5105740181268881</v>
      </c>
      <c r="Z26" s="7">
        <f t="shared" ca="1" si="4"/>
        <v>-0.11512100587692066</v>
      </c>
      <c r="AA26" s="33">
        <f t="shared" ca="1" si="11"/>
        <v>43939.999999999993</v>
      </c>
      <c r="AB26" s="7">
        <f t="shared" ca="1" si="12"/>
        <v>1</v>
      </c>
      <c r="AC26" s="7">
        <f t="shared" ca="1" si="13"/>
        <v>1.5105740181268881</v>
      </c>
      <c r="AD26" s="40"/>
      <c r="AE26" s="40"/>
      <c r="AF26" s="34"/>
      <c r="AH26" s="70">
        <f ca="1">AH25+$AH$2</f>
        <v>25.199999999999971</v>
      </c>
      <c r="AI26" s="70">
        <f ca="1">-MAX(-$AI$2+AH26,0)+$AI$1</f>
        <v>2.6500000000000292</v>
      </c>
      <c r="AJ26" s="70">
        <f ca="1">MAX(AH26-$AJ$2,0)-$AJ$1</f>
        <v>-1.45</v>
      </c>
      <c r="AK26" s="70">
        <f ca="1">(AI26+AJ26)*$AK$1</f>
        <v>12480.000000000304</v>
      </c>
    </row>
    <row r="27" spans="1:37" x14ac:dyDescent="0.25">
      <c r="A27" s="1">
        <v>24</v>
      </c>
      <c r="B27" s="25">
        <v>43979</v>
      </c>
      <c r="C27" s="10" t="s">
        <v>233</v>
      </c>
      <c r="D27" s="1">
        <v>246.15</v>
      </c>
      <c r="E27" s="30">
        <v>1300</v>
      </c>
      <c r="F27" s="1">
        <v>260</v>
      </c>
      <c r="G27" s="1">
        <v>35.299999999999997</v>
      </c>
      <c r="H27" s="1">
        <v>380</v>
      </c>
      <c r="I27" s="1">
        <v>0.85</v>
      </c>
      <c r="J27" s="1">
        <v>2600</v>
      </c>
      <c r="K27" s="1">
        <v>1300</v>
      </c>
      <c r="L27" s="1">
        <v>0.3</v>
      </c>
      <c r="M27" s="1">
        <v>1.95</v>
      </c>
      <c r="N27" s="1">
        <v>20800</v>
      </c>
      <c r="O27" s="9"/>
      <c r="P27" s="7">
        <f t="shared" ca="1" si="5"/>
        <v>-0.2870833333333333</v>
      </c>
      <c r="Q27" s="7">
        <f t="shared" ca="1" si="6"/>
        <v>-2.208333333333333E-2</v>
      </c>
      <c r="R27" s="33">
        <f t="shared" ca="1" si="0"/>
        <v>44784.999999999993</v>
      </c>
      <c r="S27" s="33">
        <f t="shared" ca="1" si="1"/>
        <v>-111215</v>
      </c>
      <c r="T27" s="33">
        <f t="shared" ca="1" si="7"/>
        <v>44784.999999999993</v>
      </c>
      <c r="U27" s="7">
        <f t="shared" ca="1" si="2"/>
        <v>0.40268848626534182</v>
      </c>
      <c r="V27" s="7">
        <f t="shared" ca="1" si="3"/>
        <v>-0.60704170958444126</v>
      </c>
      <c r="W27" s="33">
        <f t="shared" ca="1" si="8"/>
        <v>44784.999999999993</v>
      </c>
      <c r="X27" s="7">
        <f t="shared" ca="1" si="9"/>
        <v>1</v>
      </c>
      <c r="Y27" s="7">
        <f t="shared" ca="1" si="10"/>
        <v>1.4026884862653417</v>
      </c>
      <c r="Z27" s="7">
        <f t="shared" ca="1" si="4"/>
        <v>-0.11512100587692066</v>
      </c>
      <c r="AA27" s="33">
        <f t="shared" ca="1" si="11"/>
        <v>44784.999999999993</v>
      </c>
      <c r="AB27" s="7">
        <f t="shared" ca="1" si="12"/>
        <v>1</v>
      </c>
      <c r="AC27" s="7">
        <f t="shared" ca="1" si="13"/>
        <v>1.4026884862653417</v>
      </c>
      <c r="AD27" s="40"/>
      <c r="AE27" s="40"/>
      <c r="AF27" s="34"/>
      <c r="AH27" s="70">
        <f ca="1">AH26+$AH$2</f>
        <v>25.279999999999969</v>
      </c>
      <c r="AI27" s="70">
        <f ca="1">-MAX(-$AI$2+AH27,0)+$AI$1</f>
        <v>2.5700000000000309</v>
      </c>
      <c r="AJ27" s="70">
        <f ca="1">MAX(AH27-$AJ$2,0)-$AJ$1</f>
        <v>-1.45</v>
      </c>
      <c r="AK27" s="70">
        <f ca="1">(AI27+AJ27)*$AK$1</f>
        <v>11648.000000000322</v>
      </c>
    </row>
    <row r="28" spans="1:37" x14ac:dyDescent="0.25">
      <c r="A28" s="1">
        <v>25</v>
      </c>
      <c r="B28" s="25">
        <v>43979</v>
      </c>
      <c r="C28" s="10" t="s">
        <v>233</v>
      </c>
      <c r="D28" s="1">
        <v>246.15</v>
      </c>
      <c r="E28" s="30">
        <v>1300</v>
      </c>
      <c r="F28" s="1">
        <v>260</v>
      </c>
      <c r="G28" s="1">
        <v>35.299999999999997</v>
      </c>
      <c r="H28" s="1">
        <v>400</v>
      </c>
      <c r="I28" s="1">
        <v>0.6</v>
      </c>
      <c r="J28" s="1">
        <v>20800</v>
      </c>
      <c r="K28" s="1">
        <v>5200</v>
      </c>
      <c r="L28" s="1">
        <v>0.1</v>
      </c>
      <c r="M28" s="1">
        <v>1.95</v>
      </c>
      <c r="N28" s="1">
        <v>15600</v>
      </c>
      <c r="O28" s="9"/>
      <c r="P28" s="7">
        <f t="shared" ca="1" si="5"/>
        <v>-0.24785714285714283</v>
      </c>
      <c r="Q28" s="7">
        <f t="shared" ca="1" si="6"/>
        <v>-1.9065934065934063E-2</v>
      </c>
      <c r="R28" s="33">
        <f t="shared" ca="1" si="0"/>
        <v>45109.999999999993</v>
      </c>
      <c r="S28" s="33">
        <f t="shared" ca="1" si="1"/>
        <v>-136890</v>
      </c>
      <c r="T28" s="33">
        <f t="shared" ca="1" si="7"/>
        <v>45109.999999999993</v>
      </c>
      <c r="U28" s="7">
        <f t="shared" ca="1" si="2"/>
        <v>0.32953466286799615</v>
      </c>
      <c r="V28" s="7">
        <f t="shared" ca="1" si="3"/>
        <v>-0.60704170958444126</v>
      </c>
      <c r="W28" s="33">
        <f t="shared" ca="1" si="8"/>
        <v>45109.999999999993</v>
      </c>
      <c r="X28" s="7">
        <f t="shared" ca="1" si="9"/>
        <v>1</v>
      </c>
      <c r="Y28" s="7">
        <f t="shared" ca="1" si="10"/>
        <v>1.3295346628679963</v>
      </c>
      <c r="Z28" s="7">
        <f t="shared" ca="1" si="4"/>
        <v>-0.11512100587692066</v>
      </c>
      <c r="AA28" s="33">
        <f t="shared" ca="1" si="11"/>
        <v>45109.999999999993</v>
      </c>
      <c r="AB28" s="7">
        <f t="shared" ca="1" si="12"/>
        <v>1</v>
      </c>
      <c r="AC28" s="7">
        <f t="shared" ca="1" si="13"/>
        <v>1.3295346628679963</v>
      </c>
      <c r="AD28" s="40"/>
      <c r="AE28" s="40"/>
      <c r="AF28" s="34"/>
      <c r="AH28" s="70">
        <f ca="1">AH27+$AH$2</f>
        <v>25.359999999999967</v>
      </c>
      <c r="AI28" s="70">
        <f ca="1">-MAX(-$AI$2+AH28,0)+$AI$1</f>
        <v>2.4900000000000326</v>
      </c>
      <c r="AJ28" s="70">
        <f ca="1">MAX(AH28-$AJ$2,0)-$AJ$1</f>
        <v>-1.45</v>
      </c>
      <c r="AK28" s="70">
        <f ca="1">(AI28+AJ28)*$AK$1</f>
        <v>10816.00000000034</v>
      </c>
    </row>
    <row r="29" spans="1:37" x14ac:dyDescent="0.25">
      <c r="A29" s="1">
        <v>26</v>
      </c>
      <c r="B29" s="25">
        <v>43979</v>
      </c>
      <c r="C29" s="10" t="s">
        <v>239</v>
      </c>
      <c r="D29" s="1">
        <v>22.65</v>
      </c>
      <c r="E29" s="30">
        <v>10400</v>
      </c>
      <c r="F29" s="1">
        <v>24</v>
      </c>
      <c r="G29" s="1">
        <v>3.85</v>
      </c>
      <c r="H29" s="1">
        <v>25</v>
      </c>
      <c r="I29" s="1">
        <v>3</v>
      </c>
      <c r="J29" s="1">
        <v>2568800</v>
      </c>
      <c r="K29" s="1">
        <v>10400</v>
      </c>
      <c r="L29" s="1">
        <v>2.9</v>
      </c>
      <c r="M29" s="1">
        <v>3.1</v>
      </c>
      <c r="N29" s="1">
        <v>10400</v>
      </c>
      <c r="O29" s="9"/>
      <c r="P29" s="7">
        <f t="shared" ca="1" si="5"/>
        <v>-0.85000000000000009</v>
      </c>
      <c r="Q29" s="7">
        <f t="shared" ca="1" si="6"/>
        <v>-6.5384615384615388E-2</v>
      </c>
      <c r="R29" s="33">
        <f t="shared" ca="1" si="0"/>
        <v>8840.0000000000018</v>
      </c>
      <c r="S29" s="33">
        <f t="shared" ca="1" si="1"/>
        <v>-1559.9999999999982</v>
      </c>
      <c r="T29" s="33">
        <f t="shared" ca="1" si="7"/>
        <v>8840.0000000000018</v>
      </c>
      <c r="U29" s="7">
        <f t="shared" ca="1" si="2"/>
        <v>5.6666666666666741</v>
      </c>
      <c r="V29" s="7">
        <f t="shared" ca="1" si="3"/>
        <v>-0.43825493093115531</v>
      </c>
      <c r="W29" s="33">
        <f t="shared" ca="1" si="8"/>
        <v>8840.0000000000018</v>
      </c>
      <c r="X29" s="7">
        <f t="shared" ca="1" si="9"/>
        <v>1</v>
      </c>
      <c r="Y29" s="7">
        <f t="shared" ca="1" si="10"/>
        <v>6.6666666666666741</v>
      </c>
      <c r="Z29" s="7">
        <f t="shared" ca="1" si="4"/>
        <v>-0.14072336205104558</v>
      </c>
      <c r="AA29" s="33">
        <f t="shared" ca="1" si="11"/>
        <v>8840.0000000000018</v>
      </c>
      <c r="AB29" s="7">
        <f t="shared" ca="1" si="12"/>
        <v>1</v>
      </c>
      <c r="AC29" s="7">
        <f t="shared" ca="1" si="13"/>
        <v>6.6666666666666741</v>
      </c>
      <c r="AD29" s="40"/>
      <c r="AE29" s="40"/>
      <c r="AF29" s="34"/>
      <c r="AH29" s="70">
        <f ca="1">AH28+$AH$2</f>
        <v>25.439999999999966</v>
      </c>
      <c r="AI29" s="70">
        <f ca="1">-MAX(-$AI$2+AH29,0)+$AI$1</f>
        <v>2.4100000000000343</v>
      </c>
      <c r="AJ29" s="70">
        <f ca="1">MAX(AH29-$AJ$2,0)-$AJ$1</f>
        <v>-1.45</v>
      </c>
      <c r="AK29" s="70">
        <f ca="1">(AI29+AJ29)*$AK$1</f>
        <v>9984.0000000003583</v>
      </c>
    </row>
    <row r="30" spans="1:37" x14ac:dyDescent="0.25">
      <c r="A30" s="1">
        <v>27</v>
      </c>
      <c r="B30" s="25">
        <v>43979</v>
      </c>
      <c r="C30" s="10" t="s">
        <v>239</v>
      </c>
      <c r="D30" s="1">
        <v>22.65</v>
      </c>
      <c r="E30" s="30">
        <v>10400</v>
      </c>
      <c r="F30" s="1">
        <v>24</v>
      </c>
      <c r="G30" s="1">
        <v>3.85</v>
      </c>
      <c r="H30" s="1">
        <v>26</v>
      </c>
      <c r="I30" s="1">
        <v>2.7</v>
      </c>
      <c r="J30" s="1">
        <v>1726400</v>
      </c>
      <c r="K30" s="1">
        <v>10400</v>
      </c>
      <c r="L30" s="1">
        <v>2.2999999999999998</v>
      </c>
      <c r="M30" s="1">
        <v>2.5</v>
      </c>
      <c r="N30" s="1">
        <v>10400</v>
      </c>
      <c r="O30" s="9"/>
      <c r="P30" s="7">
        <f t="shared" ca="1" si="5"/>
        <v>-0.57499999999999996</v>
      </c>
      <c r="Q30" s="7">
        <f t="shared" ca="1" si="6"/>
        <v>-4.4230769230769226E-2</v>
      </c>
      <c r="R30" s="33">
        <f t="shared" ca="1" si="0"/>
        <v>11959.999999999998</v>
      </c>
      <c r="S30" s="33">
        <f t="shared" ca="1" si="1"/>
        <v>-8840.0000000000018</v>
      </c>
      <c r="T30" s="33">
        <f t="shared" ca="1" si="7"/>
        <v>11959.999999999998</v>
      </c>
      <c r="U30" s="7">
        <f t="shared" ca="1" si="2"/>
        <v>1.3529411764705876</v>
      </c>
      <c r="V30" s="7">
        <f t="shared" ca="1" si="3"/>
        <v>-0.43825493093115531</v>
      </c>
      <c r="W30" s="33">
        <f t="shared" ca="1" si="8"/>
        <v>11959.999999999998</v>
      </c>
      <c r="X30" s="7">
        <f t="shared" ca="1" si="9"/>
        <v>1</v>
      </c>
      <c r="Y30" s="7">
        <f t="shared" ca="1" si="10"/>
        <v>2.3529411764705879</v>
      </c>
      <c r="Z30" s="7">
        <f t="shared" ca="1" si="4"/>
        <v>-0.14072336205104558</v>
      </c>
      <c r="AA30" s="33">
        <f t="shared" ca="1" si="11"/>
        <v>11959.999999999998</v>
      </c>
      <c r="AB30" s="7">
        <f t="shared" ca="1" si="12"/>
        <v>1</v>
      </c>
      <c r="AC30" s="7">
        <f t="shared" ca="1" si="13"/>
        <v>2.3529411764705879</v>
      </c>
      <c r="AD30" s="40"/>
      <c r="AE30" s="40"/>
      <c r="AF30" s="34"/>
      <c r="AH30" s="70">
        <f ca="1">AH29+$AH$2</f>
        <v>25.519999999999964</v>
      </c>
      <c r="AI30" s="70">
        <f ca="1">-MAX(-$AI$2+AH30,0)+$AI$1</f>
        <v>2.330000000000036</v>
      </c>
      <c r="AJ30" s="70">
        <f ca="1">MAX(AH30-$AJ$2,0)-$AJ$1</f>
        <v>-1.45</v>
      </c>
      <c r="AK30" s="70">
        <f ca="1">(AI30+AJ30)*$AK$1</f>
        <v>9152.0000000003747</v>
      </c>
    </row>
    <row r="31" spans="1:37" x14ac:dyDescent="0.25">
      <c r="A31" s="1">
        <v>28</v>
      </c>
      <c r="B31" s="25">
        <v>43979</v>
      </c>
      <c r="C31" s="10" t="s">
        <v>239</v>
      </c>
      <c r="D31" s="1">
        <v>22.65</v>
      </c>
      <c r="E31" s="30">
        <v>10400</v>
      </c>
      <c r="F31" s="1">
        <v>24</v>
      </c>
      <c r="G31" s="1">
        <v>3.85</v>
      </c>
      <c r="H31" s="1">
        <v>27</v>
      </c>
      <c r="I31" s="1">
        <v>1.8</v>
      </c>
      <c r="J31" s="1">
        <v>2017600</v>
      </c>
      <c r="K31" s="1">
        <v>41600</v>
      </c>
      <c r="L31" s="1">
        <v>1.75</v>
      </c>
      <c r="M31" s="1">
        <v>1.85</v>
      </c>
      <c r="N31" s="1">
        <v>20800</v>
      </c>
      <c r="O31" s="9"/>
      <c r="P31" s="7">
        <f t="shared" ca="1" si="5"/>
        <v>-0.68333333333333324</v>
      </c>
      <c r="Q31" s="7">
        <f t="shared" ca="1" si="6"/>
        <v>-5.2564102564102558E-2</v>
      </c>
      <c r="R31" s="33">
        <f ca="1">$E31*($G31-$I31)</f>
        <v>21319.999999999996</v>
      </c>
      <c r="S31" s="33">
        <f t="shared" ca="1" si="1"/>
        <v>-9880.0000000000036</v>
      </c>
      <c r="T31" s="33">
        <f t="shared" ca="1" si="7"/>
        <v>21319.999999999996</v>
      </c>
      <c r="U31" s="7">
        <f t="shared" ca="1" si="2"/>
        <v>2.157894736842104</v>
      </c>
      <c r="V31" s="7">
        <f t="shared" ca="1" si="3"/>
        <v>-0.43825493093115531</v>
      </c>
      <c r="W31" s="33">
        <f t="shared" ca="1" si="8"/>
        <v>21319.999999999996</v>
      </c>
      <c r="X31" s="7">
        <f t="shared" ca="1" si="9"/>
        <v>1</v>
      </c>
      <c r="Y31" s="7">
        <f t="shared" ca="1" si="10"/>
        <v>3.157894736842104</v>
      </c>
      <c r="Z31" s="7">
        <f t="shared" ca="1" si="4"/>
        <v>-0.14072336205104558</v>
      </c>
      <c r="AA31" s="33">
        <f t="shared" ca="1" si="11"/>
        <v>21319.999999999996</v>
      </c>
      <c r="AB31" s="7">
        <f t="shared" ca="1" si="12"/>
        <v>1</v>
      </c>
      <c r="AC31" s="7">
        <f t="shared" ca="1" si="13"/>
        <v>3.157894736842104</v>
      </c>
      <c r="AD31" s="40"/>
      <c r="AE31" s="40"/>
      <c r="AF31" s="34"/>
      <c r="AH31" s="70">
        <f ca="1">AH30+$AH$2</f>
        <v>25.599999999999962</v>
      </c>
      <c r="AI31" s="70">
        <f ca="1">-MAX(-$AI$2+AH31,0)+$AI$1</f>
        <v>2.2500000000000377</v>
      </c>
      <c r="AJ31" s="70">
        <f ca="1">MAX(AH31-$AJ$2,0)-$AJ$1</f>
        <v>-1.45</v>
      </c>
      <c r="AK31" s="70">
        <f ca="1">(AI31+AJ31)*$AK$1</f>
        <v>8320.0000000003929</v>
      </c>
    </row>
    <row r="32" spans="1:37" x14ac:dyDescent="0.25">
      <c r="A32" s="1">
        <v>29</v>
      </c>
      <c r="B32" s="25">
        <v>43979</v>
      </c>
      <c r="C32" s="10" t="s">
        <v>239</v>
      </c>
      <c r="D32" s="1">
        <v>22.65</v>
      </c>
      <c r="E32" s="30">
        <v>10400</v>
      </c>
      <c r="F32" s="1">
        <v>24</v>
      </c>
      <c r="G32" s="1">
        <v>3.85</v>
      </c>
      <c r="H32" s="1">
        <v>28</v>
      </c>
      <c r="I32" s="1">
        <v>1.45</v>
      </c>
      <c r="J32" s="1">
        <v>1726400</v>
      </c>
      <c r="K32" s="1">
        <v>10400</v>
      </c>
      <c r="L32" s="1">
        <v>1.45</v>
      </c>
      <c r="M32" s="1">
        <v>1.55</v>
      </c>
      <c r="N32" s="1">
        <v>20800</v>
      </c>
      <c r="O32" s="9"/>
      <c r="P32" s="7">
        <f t="shared" ca="1" si="5"/>
        <v>-0.60000000000000009</v>
      </c>
      <c r="Q32" s="7">
        <f t="shared" ca="1" si="6"/>
        <v>-4.6153846153846163E-2</v>
      </c>
      <c r="R32" s="33">
        <f t="shared" ca="1" si="0"/>
        <v>24960.000000000004</v>
      </c>
      <c r="S32" s="33">
        <f t="shared" ca="1" si="1"/>
        <v>-16639.999999999996</v>
      </c>
      <c r="T32" s="33">
        <f t="shared" ca="1" si="7"/>
        <v>24960.000000000004</v>
      </c>
      <c r="U32" s="7">
        <f t="shared" ca="1" si="2"/>
        <v>1.5000000000000004</v>
      </c>
      <c r="V32" s="7">
        <f t="shared" ca="1" si="3"/>
        <v>-0.43825493093115531</v>
      </c>
      <c r="W32" s="33">
        <f t="shared" ca="1" si="8"/>
        <v>24960.000000000004</v>
      </c>
      <c r="X32" s="7">
        <f t="shared" ca="1" si="9"/>
        <v>1</v>
      </c>
      <c r="Y32" s="7">
        <f t="shared" ca="1" si="10"/>
        <v>2.5000000000000004</v>
      </c>
      <c r="Z32" s="7">
        <f t="shared" ca="1" si="4"/>
        <v>-0.14072336205104558</v>
      </c>
      <c r="AA32" s="33">
        <f t="shared" ca="1" si="11"/>
        <v>24960.000000000004</v>
      </c>
      <c r="AB32" s="7">
        <f t="shared" ca="1" si="12"/>
        <v>1</v>
      </c>
      <c r="AC32" s="7">
        <f t="shared" ca="1" si="13"/>
        <v>2.5000000000000004</v>
      </c>
      <c r="AD32" s="40"/>
      <c r="AE32" s="40"/>
      <c r="AF32" s="34"/>
      <c r="AH32" s="70">
        <f ca="1">AH31+$AH$2</f>
        <v>25.679999999999961</v>
      </c>
      <c r="AI32" s="70">
        <f ca="1">-MAX(-$AI$2+AH32,0)+$AI$1</f>
        <v>2.1700000000000395</v>
      </c>
      <c r="AJ32" s="70">
        <f ca="1">MAX(AH32-$AJ$2,0)-$AJ$1</f>
        <v>-1.45</v>
      </c>
      <c r="AK32" s="70">
        <f ca="1">(AI32+AJ32)*$AK$1</f>
        <v>7488.0000000004111</v>
      </c>
    </row>
    <row r="33" spans="1:37" x14ac:dyDescent="0.25">
      <c r="A33" s="1">
        <v>30</v>
      </c>
      <c r="B33" s="25">
        <v>43979</v>
      </c>
      <c r="C33" s="10" t="s">
        <v>239</v>
      </c>
      <c r="D33" s="1">
        <v>22.65</v>
      </c>
      <c r="E33" s="30">
        <v>10400</v>
      </c>
      <c r="F33" s="1">
        <v>24</v>
      </c>
      <c r="G33" s="1">
        <v>3.85</v>
      </c>
      <c r="H33" s="1">
        <v>29</v>
      </c>
      <c r="I33" s="1">
        <v>1.1499999999999999</v>
      </c>
      <c r="J33" s="1">
        <v>665600</v>
      </c>
      <c r="K33" s="1">
        <v>20800</v>
      </c>
      <c r="L33" s="1">
        <v>1.1000000000000001</v>
      </c>
      <c r="M33" s="1">
        <v>1.25</v>
      </c>
      <c r="N33" s="1">
        <v>10400</v>
      </c>
      <c r="O33" s="9"/>
      <c r="P33" s="7">
        <f t="shared" ca="1" si="5"/>
        <v>-0.54</v>
      </c>
      <c r="Q33" s="7">
        <f t="shared" ca="1" si="6"/>
        <v>-4.1538461538461538E-2</v>
      </c>
      <c r="R33" s="33">
        <f t="shared" ca="1" si="0"/>
        <v>28080.000000000004</v>
      </c>
      <c r="S33" s="33">
        <f t="shared" ca="1" si="1"/>
        <v>-23919.999999999996</v>
      </c>
      <c r="T33" s="33">
        <f t="shared" ca="1" si="7"/>
        <v>28080.000000000004</v>
      </c>
      <c r="U33" s="7">
        <f t="shared" ca="1" si="2"/>
        <v>1.1739130434782612</v>
      </c>
      <c r="V33" s="7">
        <f t="shared" ca="1" si="3"/>
        <v>-0.43825493093115531</v>
      </c>
      <c r="W33" s="33">
        <f t="shared" ca="1" si="8"/>
        <v>28080.000000000004</v>
      </c>
      <c r="X33" s="7">
        <f t="shared" ca="1" si="9"/>
        <v>1</v>
      </c>
      <c r="Y33" s="7">
        <f t="shared" ca="1" si="10"/>
        <v>2.1739130434782612</v>
      </c>
      <c r="Z33" s="7">
        <f t="shared" ca="1" si="4"/>
        <v>-0.14072336205104558</v>
      </c>
      <c r="AA33" s="33">
        <f t="shared" ca="1" si="11"/>
        <v>28080.000000000004</v>
      </c>
      <c r="AB33" s="7">
        <f t="shared" ca="1" si="12"/>
        <v>1</v>
      </c>
      <c r="AC33" s="7">
        <f t="shared" ca="1" si="13"/>
        <v>2.1739130434782612</v>
      </c>
      <c r="AD33" s="40"/>
      <c r="AE33" s="40"/>
      <c r="AF33" s="34"/>
      <c r="AH33" s="70">
        <f ca="1">AH32+$AH$2</f>
        <v>25.759999999999959</v>
      </c>
      <c r="AI33" s="70">
        <f ca="1">-MAX(-$AI$2+AH33,0)+$AI$1</f>
        <v>2.0900000000000412</v>
      </c>
      <c r="AJ33" s="70">
        <f ca="1">MAX(AH33-$AJ$2,0)-$AJ$1</f>
        <v>-1.45</v>
      </c>
      <c r="AK33" s="70">
        <f ca="1">(AI33+AJ33)*$AK$1</f>
        <v>6656.0000000004284</v>
      </c>
    </row>
    <row r="34" spans="1:37" x14ac:dyDescent="0.25">
      <c r="A34" s="1">
        <v>31</v>
      </c>
      <c r="B34" s="25">
        <v>43979</v>
      </c>
      <c r="C34" s="10" t="s">
        <v>239</v>
      </c>
      <c r="D34" s="1">
        <v>22.65</v>
      </c>
      <c r="E34" s="30">
        <v>10400</v>
      </c>
      <c r="F34" s="1">
        <v>24</v>
      </c>
      <c r="G34" s="1">
        <v>3.85</v>
      </c>
      <c r="H34" s="1">
        <v>30</v>
      </c>
      <c r="I34" s="1">
        <v>0.85</v>
      </c>
      <c r="J34" s="1">
        <v>5012800</v>
      </c>
      <c r="K34" s="1">
        <v>52000</v>
      </c>
      <c r="L34" s="1">
        <v>0.85</v>
      </c>
      <c r="M34" s="1">
        <v>0.9</v>
      </c>
      <c r="N34" s="1">
        <v>10400</v>
      </c>
      <c r="O34" s="9"/>
      <c r="P34" s="7">
        <f t="shared" ca="1" si="5"/>
        <v>-0.5</v>
      </c>
      <c r="Q34" s="7">
        <f t="shared" ca="1" si="6"/>
        <v>-3.8461538461538464E-2</v>
      </c>
      <c r="R34" s="33">
        <f t="shared" ca="1" si="0"/>
        <v>31200</v>
      </c>
      <c r="S34" s="33">
        <f t="shared" ca="1" si="1"/>
        <v>-31200</v>
      </c>
      <c r="T34" s="33">
        <f t="shared" ca="1" si="7"/>
        <v>31200</v>
      </c>
      <c r="U34" s="7">
        <f t="shared" ca="1" si="2"/>
        <v>1</v>
      </c>
      <c r="V34" s="7">
        <f t="shared" ca="1" si="3"/>
        <v>-0.43825493093115531</v>
      </c>
      <c r="W34" s="33">
        <f t="shared" ca="1" si="8"/>
        <v>31200</v>
      </c>
      <c r="X34" s="7">
        <f t="shared" ca="1" si="9"/>
        <v>1</v>
      </c>
      <c r="Y34" s="7">
        <f t="shared" ca="1" si="10"/>
        <v>2</v>
      </c>
      <c r="Z34" s="7">
        <f t="shared" ca="1" si="4"/>
        <v>-0.14072336205104558</v>
      </c>
      <c r="AA34" s="33">
        <f t="shared" ca="1" si="11"/>
        <v>31200</v>
      </c>
      <c r="AB34" s="7">
        <f t="shared" ca="1" si="12"/>
        <v>1</v>
      </c>
      <c r="AC34" s="7">
        <f t="shared" ca="1" si="13"/>
        <v>2</v>
      </c>
      <c r="AD34" s="40"/>
      <c r="AE34" s="40"/>
      <c r="AF34" s="34"/>
      <c r="AH34" s="70">
        <f ca="1">AH33+$AH$2</f>
        <v>25.839999999999957</v>
      </c>
      <c r="AI34" s="70">
        <f ca="1">-MAX(-$AI$2+AH34,0)+$AI$1</f>
        <v>2.0100000000000429</v>
      </c>
      <c r="AJ34" s="70">
        <f ca="1">MAX(AH34-$AJ$2,0)-$AJ$1</f>
        <v>-1.45</v>
      </c>
      <c r="AK34" s="70">
        <f ca="1">(AI34+AJ34)*$AK$1</f>
        <v>5824.0000000004466</v>
      </c>
    </row>
    <row r="35" spans="1:37" x14ac:dyDescent="0.25">
      <c r="A35" s="1">
        <v>32</v>
      </c>
      <c r="B35" s="25">
        <v>43979</v>
      </c>
      <c r="C35" s="10" t="s">
        <v>239</v>
      </c>
      <c r="D35" s="1">
        <v>22.65</v>
      </c>
      <c r="E35" s="30">
        <v>10400</v>
      </c>
      <c r="F35" s="1">
        <v>24</v>
      </c>
      <c r="G35" s="1">
        <v>3.85</v>
      </c>
      <c r="H35" s="1">
        <v>31</v>
      </c>
      <c r="I35" s="1">
        <v>0.7</v>
      </c>
      <c r="J35" s="1">
        <v>374400</v>
      </c>
      <c r="K35" s="1">
        <v>31200</v>
      </c>
      <c r="L35" s="1">
        <v>0.7</v>
      </c>
      <c r="M35" s="1">
        <v>0.75</v>
      </c>
      <c r="N35" s="1">
        <v>10400</v>
      </c>
      <c r="O35" s="9"/>
      <c r="P35" s="7">
        <f t="shared" ca="1" si="5"/>
        <v>-0.45000000000000007</v>
      </c>
      <c r="Q35" s="7">
        <f t="shared" ca="1" si="6"/>
        <v>-3.4615384615384617E-2</v>
      </c>
      <c r="R35" s="33">
        <f t="shared" ca="1" si="0"/>
        <v>32760.000000000004</v>
      </c>
      <c r="S35" s="33">
        <f t="shared" ca="1" si="1"/>
        <v>-40040</v>
      </c>
      <c r="T35" s="33">
        <f t="shared" ca="1" si="7"/>
        <v>32760.000000000004</v>
      </c>
      <c r="U35" s="7">
        <f t="shared" ca="1" si="2"/>
        <v>0.81818181818181823</v>
      </c>
      <c r="V35" s="7">
        <f t="shared" ca="1" si="3"/>
        <v>-0.43825493093115531</v>
      </c>
      <c r="W35" s="33">
        <f t="shared" ca="1" si="8"/>
        <v>32760.000000000004</v>
      </c>
      <c r="X35" s="7">
        <f t="shared" ca="1" si="9"/>
        <v>1</v>
      </c>
      <c r="Y35" s="7">
        <f t="shared" ca="1" si="10"/>
        <v>1.8181818181818183</v>
      </c>
      <c r="Z35" s="7">
        <f t="shared" ca="1" si="4"/>
        <v>-0.14072336205104558</v>
      </c>
      <c r="AA35" s="33">
        <f t="shared" ca="1" si="11"/>
        <v>32760.000000000004</v>
      </c>
      <c r="AB35" s="7">
        <f t="shared" ca="1" si="12"/>
        <v>1</v>
      </c>
      <c r="AC35" s="7">
        <f t="shared" ca="1" si="13"/>
        <v>1.8181818181818183</v>
      </c>
      <c r="AD35" s="40"/>
      <c r="AE35" s="40"/>
      <c r="AF35" s="34"/>
      <c r="AH35" s="70">
        <f ca="1">AH34+$AH$2</f>
        <v>25.919999999999956</v>
      </c>
      <c r="AI35" s="70">
        <f ca="1">-MAX(-$AI$2+AH35,0)+$AI$1</f>
        <v>1.9300000000000446</v>
      </c>
      <c r="AJ35" s="70">
        <f ca="1">MAX(AH35-$AJ$2,0)-$AJ$1</f>
        <v>-1.45</v>
      </c>
      <c r="AK35" s="70">
        <f ca="1">(AI35+AJ35)*$AK$1</f>
        <v>4992.0000000004638</v>
      </c>
    </row>
    <row r="36" spans="1:37" x14ac:dyDescent="0.25">
      <c r="A36" s="1">
        <v>33</v>
      </c>
      <c r="B36" s="25">
        <v>43979</v>
      </c>
      <c r="C36" s="10" t="s">
        <v>239</v>
      </c>
      <c r="D36" s="1">
        <v>22.65</v>
      </c>
      <c r="E36" s="30">
        <v>10400</v>
      </c>
      <c r="F36" s="1">
        <v>24</v>
      </c>
      <c r="G36" s="1">
        <v>3.85</v>
      </c>
      <c r="H36" s="1">
        <v>32</v>
      </c>
      <c r="I36" s="1">
        <v>0.55000000000000004</v>
      </c>
      <c r="J36" s="1">
        <v>769600</v>
      </c>
      <c r="K36" s="1">
        <v>31200</v>
      </c>
      <c r="L36" s="1">
        <v>0.5</v>
      </c>
      <c r="M36" s="1">
        <v>0.6</v>
      </c>
      <c r="N36" s="1">
        <v>20800</v>
      </c>
      <c r="O36" s="9"/>
      <c r="P36" s="7">
        <f t="shared" ca="1" si="5"/>
        <v>-0.41249999999999998</v>
      </c>
      <c r="Q36" s="7">
        <f t="shared" ca="1" si="6"/>
        <v>-3.1730769230769229E-2</v>
      </c>
      <c r="R36" s="33">
        <f t="shared" ca="1" si="0"/>
        <v>34320</v>
      </c>
      <c r="S36" s="33">
        <f t="shared" ca="1" si="1"/>
        <v>-48880</v>
      </c>
      <c r="T36" s="33">
        <f t="shared" ca="1" si="7"/>
        <v>34320</v>
      </c>
      <c r="U36" s="7">
        <f t="shared" ca="1" si="2"/>
        <v>0.7021276595744681</v>
      </c>
      <c r="V36" s="7">
        <f t="shared" ca="1" si="3"/>
        <v>-0.43825493093115531</v>
      </c>
      <c r="W36" s="33">
        <f t="shared" ca="1" si="8"/>
        <v>34320</v>
      </c>
      <c r="X36" s="7">
        <f t="shared" ca="1" si="9"/>
        <v>1</v>
      </c>
      <c r="Y36" s="7">
        <f t="shared" ca="1" si="10"/>
        <v>1.7021276595744681</v>
      </c>
      <c r="Z36" s="7">
        <f t="shared" ca="1" si="4"/>
        <v>-0.14072336205104558</v>
      </c>
      <c r="AA36" s="33">
        <f t="shared" ca="1" si="11"/>
        <v>34320</v>
      </c>
      <c r="AB36" s="7">
        <f t="shared" ca="1" si="12"/>
        <v>1</v>
      </c>
      <c r="AC36" s="7">
        <f t="shared" ca="1" si="13"/>
        <v>1.7021276595744681</v>
      </c>
      <c r="AD36" s="40"/>
      <c r="AE36" s="40"/>
      <c r="AF36" s="34"/>
      <c r="AH36" s="70">
        <f ca="1">AH35+$AH$2</f>
        <v>25.999999999999954</v>
      </c>
      <c r="AI36" s="70">
        <f ca="1">-MAX(-$AI$2+AH36,0)+$AI$1</f>
        <v>1.8500000000000463</v>
      </c>
      <c r="AJ36" s="70">
        <f ca="1">MAX(AH36-$AJ$2,0)-$AJ$1</f>
        <v>-1.45</v>
      </c>
      <c r="AK36" s="70">
        <f ca="1">(AI36+AJ36)*$AK$1</f>
        <v>4160.000000000482</v>
      </c>
    </row>
    <row r="37" spans="1:37" x14ac:dyDescent="0.25">
      <c r="A37" s="1">
        <v>34</v>
      </c>
      <c r="B37" s="25">
        <v>43979</v>
      </c>
      <c r="C37" s="10" t="s">
        <v>239</v>
      </c>
      <c r="D37" s="1">
        <v>22.65</v>
      </c>
      <c r="E37" s="30">
        <v>10400</v>
      </c>
      <c r="F37" s="1">
        <v>24</v>
      </c>
      <c r="G37" s="1">
        <v>3.85</v>
      </c>
      <c r="H37" s="1">
        <v>33</v>
      </c>
      <c r="I37" s="1">
        <v>0.55000000000000004</v>
      </c>
      <c r="J37" s="1">
        <v>332800</v>
      </c>
      <c r="K37" s="1">
        <v>10400</v>
      </c>
      <c r="L37" s="1">
        <v>0.4</v>
      </c>
      <c r="M37" s="1">
        <v>0.45</v>
      </c>
      <c r="N37" s="1">
        <v>52000</v>
      </c>
      <c r="O37" s="9"/>
      <c r="P37" s="7">
        <f t="shared" ca="1" si="5"/>
        <v>-0.36666666666666664</v>
      </c>
      <c r="Q37" s="7">
        <f t="shared" ca="1" si="6"/>
        <v>-2.8205128205128202E-2</v>
      </c>
      <c r="R37" s="33">
        <f t="shared" ca="1" si="0"/>
        <v>34320</v>
      </c>
      <c r="S37" s="33">
        <f t="shared" ca="1" si="1"/>
        <v>-59280</v>
      </c>
      <c r="T37" s="33">
        <f t="shared" ca="1" si="7"/>
        <v>34320</v>
      </c>
      <c r="U37" s="7">
        <f t="shared" ca="1" si="2"/>
        <v>0.57894736842105265</v>
      </c>
      <c r="V37" s="7">
        <f t="shared" ca="1" si="3"/>
        <v>-0.43825493093115531</v>
      </c>
      <c r="W37" s="33">
        <f t="shared" ca="1" si="8"/>
        <v>34320</v>
      </c>
      <c r="X37" s="7">
        <f t="shared" ca="1" si="9"/>
        <v>1</v>
      </c>
      <c r="Y37" s="7">
        <f t="shared" ca="1" si="10"/>
        <v>1.5789473684210527</v>
      </c>
      <c r="Z37" s="7">
        <f t="shared" ca="1" si="4"/>
        <v>-0.14072336205104558</v>
      </c>
      <c r="AA37" s="33">
        <f t="shared" ca="1" si="11"/>
        <v>34320</v>
      </c>
      <c r="AB37" s="7">
        <f t="shared" ca="1" si="12"/>
        <v>1</v>
      </c>
      <c r="AC37" s="7">
        <f t="shared" ca="1" si="13"/>
        <v>1.5789473684210527</v>
      </c>
      <c r="AD37" s="40"/>
      <c r="AE37" s="40"/>
      <c r="AF37" s="34"/>
      <c r="AH37" s="70">
        <f ca="1">AH36+$AH$2</f>
        <v>26.079999999999952</v>
      </c>
      <c r="AI37" s="70">
        <f ca="1">-MAX(-$AI$2+AH37,0)+$AI$1</f>
        <v>1.770000000000048</v>
      </c>
      <c r="AJ37" s="70">
        <f ca="1">MAX(AH37-$AJ$2,0)-$AJ$1</f>
        <v>-1.45</v>
      </c>
      <c r="AK37" s="70">
        <f ca="1">(AI37+AJ37)*$AK$1</f>
        <v>3328.0000000004993</v>
      </c>
    </row>
    <row r="38" spans="1:37" x14ac:dyDescent="0.25">
      <c r="A38" s="1">
        <v>35</v>
      </c>
      <c r="B38" s="25">
        <v>43979</v>
      </c>
      <c r="C38" s="10" t="s">
        <v>239</v>
      </c>
      <c r="D38" s="1">
        <v>22.65</v>
      </c>
      <c r="E38" s="30">
        <v>10400</v>
      </c>
      <c r="F38" s="1">
        <v>24</v>
      </c>
      <c r="G38" s="1">
        <v>3.85</v>
      </c>
      <c r="H38" s="1">
        <v>34</v>
      </c>
      <c r="I38" s="1">
        <v>0.4</v>
      </c>
      <c r="J38" s="1">
        <v>218400</v>
      </c>
      <c r="K38" s="1">
        <v>10400</v>
      </c>
      <c r="L38" s="1">
        <v>0.35</v>
      </c>
      <c r="M38" s="1">
        <v>0.45</v>
      </c>
      <c r="N38" s="1">
        <v>10400</v>
      </c>
      <c r="O38" s="9"/>
      <c r="P38" s="7">
        <f t="shared" ca="1" si="5"/>
        <v>-0.34500000000000003</v>
      </c>
      <c r="Q38" s="7">
        <f t="shared" ca="1" si="6"/>
        <v>-2.6538461538461542E-2</v>
      </c>
      <c r="R38" s="33">
        <f t="shared" ca="1" si="0"/>
        <v>35880</v>
      </c>
      <c r="S38" s="33">
        <f t="shared" ca="1" si="1"/>
        <v>-68120</v>
      </c>
      <c r="T38" s="33">
        <f t="shared" ca="1" si="7"/>
        <v>35880</v>
      </c>
      <c r="U38" s="7">
        <f t="shared" ca="1" si="2"/>
        <v>0.52671755725190839</v>
      </c>
      <c r="V38" s="7">
        <f t="shared" ca="1" si="3"/>
        <v>-0.43825493093115531</v>
      </c>
      <c r="W38" s="33">
        <f t="shared" ca="1" si="8"/>
        <v>35880</v>
      </c>
      <c r="X38" s="7">
        <f t="shared" ca="1" si="9"/>
        <v>1</v>
      </c>
      <c r="Y38" s="7">
        <f t="shared" ca="1" si="10"/>
        <v>1.5267175572519083</v>
      </c>
      <c r="Z38" s="7">
        <f t="shared" ca="1" si="4"/>
        <v>-0.14072336205104558</v>
      </c>
      <c r="AA38" s="33">
        <f t="shared" ca="1" si="11"/>
        <v>35880</v>
      </c>
      <c r="AB38" s="7">
        <f t="shared" ca="1" si="12"/>
        <v>1</v>
      </c>
      <c r="AC38" s="7">
        <f t="shared" ca="1" si="13"/>
        <v>1.5267175572519083</v>
      </c>
      <c r="AD38" s="40"/>
      <c r="AE38" s="40"/>
      <c r="AF38" s="34"/>
      <c r="AH38" s="70">
        <f ca="1">AH37+$AH$2</f>
        <v>26.15999999999995</v>
      </c>
      <c r="AI38" s="70">
        <f ca="1">-MAX(-$AI$2+AH38,0)+$AI$1</f>
        <v>1.6900000000000497</v>
      </c>
      <c r="AJ38" s="70">
        <f ca="1">MAX(AH38-$AJ$2,0)-$AJ$1</f>
        <v>-1.45</v>
      </c>
      <c r="AK38" s="70">
        <f ca="1">(AI38+AJ38)*$AK$1</f>
        <v>2496.000000000517</v>
      </c>
    </row>
    <row r="39" spans="1:37" x14ac:dyDescent="0.25">
      <c r="A39" s="1">
        <v>36</v>
      </c>
      <c r="B39" s="25">
        <v>43979</v>
      </c>
      <c r="C39" s="10" t="s">
        <v>239</v>
      </c>
      <c r="D39" s="1">
        <v>22.65</v>
      </c>
      <c r="E39" s="30">
        <v>10400</v>
      </c>
      <c r="F39" s="1">
        <v>24</v>
      </c>
      <c r="G39" s="1">
        <v>3.85</v>
      </c>
      <c r="H39" s="1">
        <v>35</v>
      </c>
      <c r="I39" s="1">
        <v>0.35</v>
      </c>
      <c r="J39" s="1">
        <v>2839200</v>
      </c>
      <c r="K39" s="1">
        <v>20800</v>
      </c>
      <c r="L39" s="1">
        <v>0.35</v>
      </c>
      <c r="M39" s="1">
        <v>0.4</v>
      </c>
      <c r="N39" s="1">
        <v>52000</v>
      </c>
      <c r="O39" s="9"/>
      <c r="P39" s="7">
        <f t="shared" ca="1" si="5"/>
        <v>-0.31818181818181818</v>
      </c>
      <c r="Q39" s="7">
        <f t="shared" ca="1" si="6"/>
        <v>-2.4475524475524476E-2</v>
      </c>
      <c r="R39" s="33">
        <f t="shared" ca="1" si="0"/>
        <v>36400</v>
      </c>
      <c r="S39" s="33">
        <f t="shared" ca="1" si="1"/>
        <v>-78000</v>
      </c>
      <c r="T39" s="33">
        <f t="shared" ca="1" si="7"/>
        <v>36400</v>
      </c>
      <c r="U39" s="7">
        <f t="shared" ca="1" si="2"/>
        <v>0.46666666666666667</v>
      </c>
      <c r="V39" s="7">
        <f t="shared" ca="1" si="3"/>
        <v>-0.43825493093115531</v>
      </c>
      <c r="W39" s="33">
        <f t="shared" ca="1" si="8"/>
        <v>36400</v>
      </c>
      <c r="X39" s="7">
        <f t="shared" ca="1" si="9"/>
        <v>1</v>
      </c>
      <c r="Y39" s="7">
        <f t="shared" ca="1" si="10"/>
        <v>1.4666666666666668</v>
      </c>
      <c r="Z39" s="7">
        <f t="shared" ca="1" si="4"/>
        <v>-0.14072336205104558</v>
      </c>
      <c r="AA39" s="33">
        <f t="shared" ca="1" si="11"/>
        <v>36400</v>
      </c>
      <c r="AB39" s="7">
        <f t="shared" ca="1" si="12"/>
        <v>1</v>
      </c>
      <c r="AC39" s="7">
        <f t="shared" ca="1" si="13"/>
        <v>1.4666666666666668</v>
      </c>
      <c r="AD39" s="40"/>
      <c r="AE39" s="40"/>
      <c r="AF39" s="34"/>
      <c r="AH39" s="70">
        <f ca="1">AH38+$AH$2</f>
        <v>26.239999999999949</v>
      </c>
      <c r="AI39" s="70">
        <f ca="1">-MAX(-$AI$2+AH39,0)+$AI$1</f>
        <v>1.6100000000000514</v>
      </c>
      <c r="AJ39" s="70">
        <f ca="1">MAX(AH39-$AJ$2,0)-$AJ$1</f>
        <v>-1.45</v>
      </c>
      <c r="AK39" s="70">
        <f ca="1">(AI39+AJ39)*$AK$1</f>
        <v>1664.000000000535</v>
      </c>
    </row>
    <row r="40" spans="1:37" x14ac:dyDescent="0.25">
      <c r="A40" s="1">
        <v>37</v>
      </c>
      <c r="B40" s="25">
        <v>43979</v>
      </c>
      <c r="C40" s="10" t="s">
        <v>239</v>
      </c>
      <c r="D40" s="1">
        <v>22.65</v>
      </c>
      <c r="E40" s="30">
        <v>10400</v>
      </c>
      <c r="F40" s="1">
        <v>24</v>
      </c>
      <c r="G40" s="1">
        <v>3.85</v>
      </c>
      <c r="H40" s="1">
        <v>36</v>
      </c>
      <c r="I40" s="1">
        <v>0.3</v>
      </c>
      <c r="J40" s="1">
        <v>176800</v>
      </c>
      <c r="K40" s="1">
        <v>10400</v>
      </c>
      <c r="L40" s="1">
        <v>0.25</v>
      </c>
      <c r="M40" s="1">
        <v>0.35</v>
      </c>
      <c r="N40" s="1">
        <v>20800</v>
      </c>
      <c r="O40" s="9"/>
      <c r="P40" s="7">
        <f t="shared" ca="1" si="5"/>
        <v>-0.29583333333333334</v>
      </c>
      <c r="Q40" s="7">
        <f t="shared" ref="Q40:Q103" ca="1" si="14">P40/($B40-TODAY())</f>
        <v>-2.2756410256410255E-2</v>
      </c>
      <c r="R40" s="33">
        <f t="shared" ca="1" si="0"/>
        <v>36920</v>
      </c>
      <c r="S40" s="33">
        <f t="shared" ca="1" si="1"/>
        <v>-87880</v>
      </c>
      <c r="T40" s="33">
        <f t="shared" ref="T40:T103" ca="1" si="15">R40</f>
        <v>36920</v>
      </c>
      <c r="U40" s="7">
        <f t="shared" ca="1" si="2"/>
        <v>0.42011834319526625</v>
      </c>
      <c r="V40" s="7">
        <f t="shared" ca="1" si="3"/>
        <v>-0.43825493093115531</v>
      </c>
      <c r="W40" s="33">
        <f t="shared" ref="W40:W103" ca="1" si="16">-(MAX(($F40-MAX($D40*(1+V40),$H40)),0)*$E40-$R40)</f>
        <v>36920</v>
      </c>
      <c r="X40" s="7">
        <f t="shared" ref="X40:X103" ca="1" si="17">W40/$R40</f>
        <v>1</v>
      </c>
      <c r="Y40" s="7">
        <f t="shared" ref="Y40:Y103" ca="1" si="18">$U40+X40</f>
        <v>1.4201183431952662</v>
      </c>
      <c r="Z40" s="7">
        <f t="shared" ca="1" si="4"/>
        <v>-0.14072336205104558</v>
      </c>
      <c r="AA40" s="33">
        <f t="shared" ref="AA40:AA103" ca="1" si="19">-(MAX(($F40-MAX($D40*(1+Z40),$H40)),0)*$E40-$R40)</f>
        <v>36920</v>
      </c>
      <c r="AB40" s="7">
        <f t="shared" ref="AB40:AB103" ca="1" si="20">AA40/$R40</f>
        <v>1</v>
      </c>
      <c r="AC40" s="7">
        <f t="shared" ref="AC40:AC103" ca="1" si="21">$U40+AB40</f>
        <v>1.4201183431952662</v>
      </c>
      <c r="AD40" s="40"/>
      <c r="AE40" s="40"/>
      <c r="AF40" s="34"/>
      <c r="AH40" s="70">
        <f ca="1">AH39+$AH$2</f>
        <v>26.319999999999947</v>
      </c>
      <c r="AI40" s="70">
        <f ca="1">-MAX(-$AI$2+AH40,0)+$AI$1</f>
        <v>1.5300000000000531</v>
      </c>
      <c r="AJ40" s="70">
        <f ca="1">MAX(AH40-$AJ$2,0)-$AJ$1</f>
        <v>-1.45</v>
      </c>
      <c r="AK40" s="70">
        <f ca="1">(AI40+AJ40)*$AK$1</f>
        <v>832.00000000055263</v>
      </c>
    </row>
    <row r="41" spans="1:37" x14ac:dyDescent="0.25">
      <c r="A41" s="1">
        <v>38</v>
      </c>
      <c r="B41" s="25">
        <v>43979</v>
      </c>
      <c r="C41" s="10" t="s">
        <v>239</v>
      </c>
      <c r="D41" s="1">
        <v>22.65</v>
      </c>
      <c r="E41" s="30">
        <v>10400</v>
      </c>
      <c r="F41" s="1">
        <v>24</v>
      </c>
      <c r="G41" s="1">
        <v>3.85</v>
      </c>
      <c r="H41" s="1">
        <v>40</v>
      </c>
      <c r="I41" s="1">
        <v>0.15</v>
      </c>
      <c r="J41" s="1">
        <v>1393600</v>
      </c>
      <c r="K41" s="1">
        <v>551200</v>
      </c>
      <c r="L41" s="1">
        <v>0.1</v>
      </c>
      <c r="M41" s="1">
        <v>0.2</v>
      </c>
      <c r="N41" s="1">
        <v>468000</v>
      </c>
      <c r="O41" s="9"/>
      <c r="P41" s="7">
        <f t="shared" ca="1" si="5"/>
        <v>-0.23125000000000001</v>
      </c>
      <c r="Q41" s="7">
        <f t="shared" ca="1" si="14"/>
        <v>-1.7788461538461538E-2</v>
      </c>
      <c r="R41" s="33">
        <f t="shared" ca="1" si="0"/>
        <v>38480</v>
      </c>
      <c r="S41" s="33">
        <f t="shared" ca="1" si="1"/>
        <v>-127920</v>
      </c>
      <c r="T41" s="33">
        <f t="shared" ca="1" si="15"/>
        <v>38480</v>
      </c>
      <c r="U41" s="7">
        <f t="shared" ca="1" si="2"/>
        <v>0.30081300813008133</v>
      </c>
      <c r="V41" s="7">
        <f t="shared" ca="1" si="3"/>
        <v>-0.43825493093115531</v>
      </c>
      <c r="W41" s="33">
        <f t="shared" ca="1" si="16"/>
        <v>38480</v>
      </c>
      <c r="X41" s="7">
        <f t="shared" ca="1" si="17"/>
        <v>1</v>
      </c>
      <c r="Y41" s="7">
        <f t="shared" ca="1" si="18"/>
        <v>1.3008130081300813</v>
      </c>
      <c r="Z41" s="7">
        <f t="shared" ca="1" si="4"/>
        <v>-0.14072336205104558</v>
      </c>
      <c r="AA41" s="33">
        <f t="shared" ca="1" si="19"/>
        <v>38480</v>
      </c>
      <c r="AB41" s="7">
        <f t="shared" ca="1" si="20"/>
        <v>1</v>
      </c>
      <c r="AC41" s="7">
        <f t="shared" ca="1" si="21"/>
        <v>1.3008130081300813</v>
      </c>
      <c r="AD41" s="40"/>
      <c r="AE41" s="40"/>
      <c r="AF41" s="34"/>
      <c r="AH41" s="70">
        <f ca="1">AH40+$AH$2</f>
        <v>26.399999999999945</v>
      </c>
      <c r="AI41" s="70">
        <f ca="1">-MAX(-$AI$2+AH41,0)+$AI$1</f>
        <v>1.4500000000000548</v>
      </c>
      <c r="AJ41" s="70">
        <f ca="1">MAX(AH41-$AJ$2,0)-$AJ$1</f>
        <v>-1.45</v>
      </c>
      <c r="AK41" s="70">
        <f ca="1">(AI41+AJ41)*$AK$1</f>
        <v>5.7038818113142042E-10</v>
      </c>
    </row>
    <row r="42" spans="1:37" x14ac:dyDescent="0.25">
      <c r="A42" s="1">
        <v>39</v>
      </c>
      <c r="B42" s="25">
        <v>43979</v>
      </c>
      <c r="C42" s="10" t="s">
        <v>239</v>
      </c>
      <c r="D42" s="1">
        <v>22.65</v>
      </c>
      <c r="E42" s="30">
        <v>10400</v>
      </c>
      <c r="F42" s="1">
        <v>24</v>
      </c>
      <c r="G42" s="1">
        <v>3.85</v>
      </c>
      <c r="H42" s="1">
        <v>41</v>
      </c>
      <c r="I42" s="1">
        <v>0.2</v>
      </c>
      <c r="J42" s="1">
        <v>156000</v>
      </c>
      <c r="K42" s="1">
        <v>187200</v>
      </c>
      <c r="L42" s="1">
        <v>0.05</v>
      </c>
      <c r="M42" s="1">
        <v>0.3</v>
      </c>
      <c r="N42" s="1">
        <v>20800</v>
      </c>
      <c r="O42" s="9"/>
      <c r="P42" s="7">
        <f t="shared" ca="1" si="5"/>
        <v>-0.21470588235294116</v>
      </c>
      <c r="Q42" s="7">
        <f t="shared" ca="1" si="14"/>
        <v>-1.6515837104072398E-2</v>
      </c>
      <c r="R42" s="33">
        <f t="shared" ca="1" si="0"/>
        <v>37960</v>
      </c>
      <c r="S42" s="33">
        <f t="shared" ca="1" si="1"/>
        <v>-138840</v>
      </c>
      <c r="T42" s="33">
        <f t="shared" ca="1" si="15"/>
        <v>37960</v>
      </c>
      <c r="U42" s="7">
        <f t="shared" ca="1" si="2"/>
        <v>0.27340823970037453</v>
      </c>
      <c r="V42" s="7">
        <f t="shared" ca="1" si="3"/>
        <v>-0.43825493093115531</v>
      </c>
      <c r="W42" s="33">
        <f t="shared" ca="1" si="16"/>
        <v>37960</v>
      </c>
      <c r="X42" s="7">
        <f t="shared" ca="1" si="17"/>
        <v>1</v>
      </c>
      <c r="Y42" s="7">
        <f t="shared" ca="1" si="18"/>
        <v>1.2734082397003745</v>
      </c>
      <c r="Z42" s="7">
        <f t="shared" ca="1" si="4"/>
        <v>-0.14072336205104558</v>
      </c>
      <c r="AA42" s="33">
        <f t="shared" ca="1" si="19"/>
        <v>37960</v>
      </c>
      <c r="AB42" s="7">
        <f t="shared" ca="1" si="20"/>
        <v>1</v>
      </c>
      <c r="AC42" s="7">
        <f t="shared" ca="1" si="21"/>
        <v>1.2734082397003745</v>
      </c>
      <c r="AD42" s="40"/>
      <c r="AE42" s="40"/>
      <c r="AF42" s="34"/>
      <c r="AH42" s="70">
        <f ca="1">AH41+$AH$2</f>
        <v>26.479999999999944</v>
      </c>
      <c r="AI42" s="70">
        <f ca="1">-MAX(-$AI$2+AH42,0)+$AI$1</f>
        <v>1.3700000000000565</v>
      </c>
      <c r="AJ42" s="70">
        <f ca="1">MAX(AH42-$AJ$2,0)-$AJ$1</f>
        <v>-1.45</v>
      </c>
      <c r="AK42" s="70">
        <f ca="1">(AI42+AJ42)*$AK$1</f>
        <v>-831.9999999994119</v>
      </c>
    </row>
    <row r="43" spans="1:37" x14ac:dyDescent="0.25">
      <c r="A43" s="1">
        <v>40</v>
      </c>
      <c r="B43" s="25">
        <v>43979</v>
      </c>
      <c r="C43" s="10" t="s">
        <v>239</v>
      </c>
      <c r="D43" s="1">
        <v>22.65</v>
      </c>
      <c r="E43" s="30">
        <v>10400</v>
      </c>
      <c r="F43" s="1">
        <v>24</v>
      </c>
      <c r="G43" s="1">
        <v>3.85</v>
      </c>
      <c r="H43" s="1">
        <v>45</v>
      </c>
      <c r="I43" s="1">
        <v>0.05</v>
      </c>
      <c r="J43" s="1">
        <v>83200</v>
      </c>
      <c r="K43" s="1">
        <v>72800</v>
      </c>
      <c r="L43" s="1">
        <v>0.05</v>
      </c>
      <c r="M43" s="1">
        <v>0.1</v>
      </c>
      <c r="N43" s="1">
        <v>31200</v>
      </c>
      <c r="O43" s="9"/>
      <c r="P43" s="7">
        <f t="shared" ca="1" si="5"/>
        <v>-0.18095238095238098</v>
      </c>
      <c r="Q43" s="7">
        <f t="shared" ca="1" si="14"/>
        <v>-1.3919413919413922E-2</v>
      </c>
      <c r="R43" s="33">
        <f t="shared" ca="1" si="0"/>
        <v>39520</v>
      </c>
      <c r="S43" s="33">
        <f t="shared" ca="1" si="1"/>
        <v>-178880</v>
      </c>
      <c r="T43" s="33">
        <f t="shared" ca="1" si="15"/>
        <v>39520</v>
      </c>
      <c r="U43" s="7">
        <f t="shared" ca="1" si="2"/>
        <v>0.22093023255813954</v>
      </c>
      <c r="V43" s="7">
        <f t="shared" ca="1" si="3"/>
        <v>-0.43825493093115531</v>
      </c>
      <c r="W43" s="33">
        <f t="shared" ca="1" si="16"/>
        <v>39520</v>
      </c>
      <c r="X43" s="7">
        <f t="shared" ca="1" si="17"/>
        <v>1</v>
      </c>
      <c r="Y43" s="7">
        <f t="shared" ca="1" si="18"/>
        <v>1.2209302325581395</v>
      </c>
      <c r="Z43" s="7">
        <f t="shared" ca="1" si="4"/>
        <v>-0.14072336205104558</v>
      </c>
      <c r="AA43" s="33">
        <f t="shared" ca="1" si="19"/>
        <v>39520</v>
      </c>
      <c r="AB43" s="7">
        <f t="shared" ca="1" si="20"/>
        <v>1</v>
      </c>
      <c r="AC43" s="7">
        <f t="shared" ca="1" si="21"/>
        <v>1.2209302325581395</v>
      </c>
      <c r="AD43" s="40"/>
      <c r="AE43" s="40"/>
      <c r="AF43" s="34"/>
      <c r="AH43" s="70">
        <f ca="1">AH42+$AH$2</f>
        <v>26.559999999999942</v>
      </c>
      <c r="AI43" s="70">
        <f ca="1">-MAX(-$AI$2+AH43,0)+$AI$1</f>
        <v>1.2900000000000582</v>
      </c>
      <c r="AJ43" s="70">
        <f ca="1">MAX(AH43-$AJ$2,0)-$AJ$1</f>
        <v>-1.45</v>
      </c>
      <c r="AK43" s="70">
        <f ca="1">(AI43+AJ43)*$AK$1</f>
        <v>-1663.999999999394</v>
      </c>
    </row>
    <row r="44" spans="1:37" x14ac:dyDescent="0.25">
      <c r="A44" s="1">
        <v>41</v>
      </c>
      <c r="B44" s="25">
        <v>43979</v>
      </c>
      <c r="C44" s="10" t="s">
        <v>286</v>
      </c>
      <c r="D44" s="1">
        <v>90.6</v>
      </c>
      <c r="E44" s="30">
        <v>2600</v>
      </c>
      <c r="F44" s="1">
        <v>100</v>
      </c>
      <c r="G44" s="1">
        <v>2.2000000000000002</v>
      </c>
      <c r="H44" s="1">
        <v>105</v>
      </c>
      <c r="I44" s="1">
        <v>1.4</v>
      </c>
      <c r="J44" s="1">
        <v>187200</v>
      </c>
      <c r="K44" s="1">
        <v>2600</v>
      </c>
      <c r="L44" s="1">
        <v>1.4</v>
      </c>
      <c r="M44" s="1">
        <v>1.7</v>
      </c>
      <c r="N44" s="1">
        <v>2600</v>
      </c>
      <c r="O44" s="9"/>
      <c r="P44" s="7">
        <f t="shared" ca="1" si="5"/>
        <v>-0.16000000000000006</v>
      </c>
      <c r="Q44" s="7">
        <f t="shared" ca="1" si="14"/>
        <v>-1.2307692307692313E-2</v>
      </c>
      <c r="R44" s="33">
        <f t="shared" ca="1" si="0"/>
        <v>2080.0000000000009</v>
      </c>
      <c r="S44" s="33">
        <f t="shared" ca="1" si="1"/>
        <v>-10920</v>
      </c>
      <c r="T44" s="33">
        <f t="shared" ca="1" si="15"/>
        <v>2080.0000000000009</v>
      </c>
      <c r="U44" s="7">
        <f t="shared" ca="1" si="2"/>
        <v>0.19047619047619055</v>
      </c>
      <c r="V44" s="7">
        <f t="shared" ca="1" si="3"/>
        <v>-0.59629178650178527</v>
      </c>
      <c r="W44" s="33">
        <f t="shared" ca="1" si="16"/>
        <v>2080.0000000000009</v>
      </c>
      <c r="X44" s="7">
        <f t="shared" ca="1" si="17"/>
        <v>1</v>
      </c>
      <c r="Y44" s="7">
        <f t="shared" ca="1" si="18"/>
        <v>1.1904761904761905</v>
      </c>
      <c r="Z44" s="7">
        <f t="shared" ca="1" si="4"/>
        <v>-0.13680103428802623</v>
      </c>
      <c r="AA44" s="33">
        <f t="shared" ca="1" si="19"/>
        <v>2080.0000000000009</v>
      </c>
      <c r="AB44" s="7">
        <f t="shared" ca="1" si="20"/>
        <v>1</v>
      </c>
      <c r="AC44" s="7">
        <f t="shared" ca="1" si="21"/>
        <v>1.1904761904761905</v>
      </c>
      <c r="AD44" s="40"/>
      <c r="AE44" s="40"/>
      <c r="AF44" s="34"/>
      <c r="AH44" s="70">
        <f ca="1">AH43+$AH$2</f>
        <v>26.63999999999994</v>
      </c>
      <c r="AI44" s="70">
        <f ca="1">-MAX(-$AI$2+AH44,0)+$AI$1</f>
        <v>1.2100000000000599</v>
      </c>
      <c r="AJ44" s="70">
        <f ca="1">MAX(AH44-$AJ$2,0)-$AJ$1</f>
        <v>-1.45</v>
      </c>
      <c r="AK44" s="70">
        <f ca="1">(AI44+AJ44)*$AK$1</f>
        <v>-2495.9999999993765</v>
      </c>
    </row>
    <row r="45" spans="1:37" x14ac:dyDescent="0.25">
      <c r="A45" s="1">
        <v>42</v>
      </c>
      <c r="B45" s="25">
        <v>43979</v>
      </c>
      <c r="C45" s="10" t="s">
        <v>286</v>
      </c>
      <c r="D45" s="1">
        <v>90.6</v>
      </c>
      <c r="E45" s="30">
        <v>2600</v>
      </c>
      <c r="F45" s="1">
        <v>100</v>
      </c>
      <c r="G45" s="1">
        <v>2.2000000000000002</v>
      </c>
      <c r="H45" s="1">
        <v>110</v>
      </c>
      <c r="I45" s="1">
        <v>1</v>
      </c>
      <c r="J45" s="1">
        <v>353600</v>
      </c>
      <c r="K45" s="1">
        <v>2600</v>
      </c>
      <c r="L45" s="1">
        <v>0.95</v>
      </c>
      <c r="M45" s="1">
        <v>1</v>
      </c>
      <c r="N45" s="1">
        <v>2600</v>
      </c>
      <c r="O45" s="9"/>
      <c r="P45" s="7">
        <f t="shared" ca="1" si="5"/>
        <v>-0.12000000000000002</v>
      </c>
      <c r="Q45" s="7">
        <f t="shared" ca="1" si="14"/>
        <v>-9.2307692307692334E-3</v>
      </c>
      <c r="R45" s="33">
        <f t="shared" ca="1" si="0"/>
        <v>3120.0000000000005</v>
      </c>
      <c r="S45" s="33">
        <f t="shared" ca="1" si="1"/>
        <v>-22880</v>
      </c>
      <c r="T45" s="33">
        <f t="shared" ca="1" si="15"/>
        <v>3120.0000000000005</v>
      </c>
      <c r="U45" s="7">
        <f t="shared" ca="1" si="2"/>
        <v>0.13636363636363638</v>
      </c>
      <c r="V45" s="7">
        <f t="shared" ca="1" si="3"/>
        <v>-0.59629178650178527</v>
      </c>
      <c r="W45" s="33">
        <f t="shared" ca="1" si="16"/>
        <v>3120.0000000000005</v>
      </c>
      <c r="X45" s="7">
        <f t="shared" ca="1" si="17"/>
        <v>1</v>
      </c>
      <c r="Y45" s="7">
        <f t="shared" ca="1" si="18"/>
        <v>1.1363636363636365</v>
      </c>
      <c r="Z45" s="7">
        <f t="shared" ca="1" si="4"/>
        <v>-0.13680103428802623</v>
      </c>
      <c r="AA45" s="33">
        <f t="shared" ca="1" si="19"/>
        <v>3120.0000000000005</v>
      </c>
      <c r="AB45" s="7">
        <f t="shared" ca="1" si="20"/>
        <v>1</v>
      </c>
      <c r="AC45" s="7">
        <f t="shared" ca="1" si="21"/>
        <v>1.1363636363636365</v>
      </c>
      <c r="AD45" s="40"/>
      <c r="AE45" s="40"/>
      <c r="AF45" s="34"/>
      <c r="AH45" s="70">
        <f ca="1">AH44+$AH$2</f>
        <v>26.719999999999938</v>
      </c>
      <c r="AI45" s="70">
        <f ca="1">-MAX(-$AI$2+AH45,0)+$AI$1</f>
        <v>1.1300000000000616</v>
      </c>
      <c r="AJ45" s="70">
        <f ca="1">MAX(AH45-$AJ$2,0)-$AJ$1</f>
        <v>-1.45</v>
      </c>
      <c r="AK45" s="70">
        <f ca="1">(AI45+AJ45)*$AK$1</f>
        <v>-3327.9999999993588</v>
      </c>
    </row>
    <row r="46" spans="1:37" x14ac:dyDescent="0.25">
      <c r="A46" s="1">
        <v>43</v>
      </c>
      <c r="B46" s="25">
        <v>43979</v>
      </c>
      <c r="C46" s="10" t="s">
        <v>286</v>
      </c>
      <c r="D46" s="1">
        <v>90.6</v>
      </c>
      <c r="E46" s="30">
        <v>2600</v>
      </c>
      <c r="F46" s="1">
        <v>100</v>
      </c>
      <c r="G46" s="1">
        <v>2.2000000000000002</v>
      </c>
      <c r="H46" s="1">
        <v>115</v>
      </c>
      <c r="I46" s="1">
        <v>0.55000000000000004</v>
      </c>
      <c r="J46" s="1">
        <v>104000</v>
      </c>
      <c r="K46" s="1">
        <v>5200</v>
      </c>
      <c r="L46" s="1">
        <v>0.55000000000000004</v>
      </c>
      <c r="M46" s="1">
        <v>0.6</v>
      </c>
      <c r="N46" s="1">
        <v>2600</v>
      </c>
      <c r="O46" s="9"/>
      <c r="P46" s="7">
        <f t="shared" ca="1" si="5"/>
        <v>-0.11000000000000001</v>
      </c>
      <c r="Q46" s="7">
        <f t="shared" ca="1" si="14"/>
        <v>-8.461538461538463E-3</v>
      </c>
      <c r="R46" s="33">
        <f t="shared" ca="1" si="0"/>
        <v>4290</v>
      </c>
      <c r="S46" s="33">
        <f t="shared" ca="1" si="1"/>
        <v>-34710</v>
      </c>
      <c r="T46" s="33">
        <f t="shared" ca="1" si="15"/>
        <v>4290</v>
      </c>
      <c r="U46" s="7">
        <f t="shared" ca="1" si="2"/>
        <v>0.12359550561797752</v>
      </c>
      <c r="V46" s="7">
        <f t="shared" ca="1" si="3"/>
        <v>-0.59629178650178527</v>
      </c>
      <c r="W46" s="33">
        <f t="shared" ca="1" si="16"/>
        <v>4290</v>
      </c>
      <c r="X46" s="7">
        <f t="shared" ca="1" si="17"/>
        <v>1</v>
      </c>
      <c r="Y46" s="7">
        <f t="shared" ca="1" si="18"/>
        <v>1.1235955056179776</v>
      </c>
      <c r="Z46" s="7">
        <f t="shared" ca="1" si="4"/>
        <v>-0.13680103428802623</v>
      </c>
      <c r="AA46" s="33">
        <f t="shared" ca="1" si="19"/>
        <v>4290</v>
      </c>
      <c r="AB46" s="7">
        <f t="shared" ca="1" si="20"/>
        <v>1</v>
      </c>
      <c r="AC46" s="7">
        <f t="shared" ca="1" si="21"/>
        <v>1.1235955056179776</v>
      </c>
      <c r="AD46" s="40"/>
      <c r="AE46" s="40"/>
      <c r="AF46" s="34"/>
      <c r="AH46" s="70">
        <f ca="1">AH45+$AH$2</f>
        <v>26.799999999999937</v>
      </c>
      <c r="AI46" s="70">
        <f ca="1">-MAX(-$AI$2+AH46,0)+$AI$1</f>
        <v>1.0500000000000633</v>
      </c>
      <c r="AJ46" s="70">
        <f ca="1">MAX(AH46-$AJ$2,0)-$AJ$1</f>
        <v>-1.45</v>
      </c>
      <c r="AK46" s="70">
        <f ca="1">(AI46+AJ46)*$AK$1</f>
        <v>-4159.9999999993406</v>
      </c>
    </row>
    <row r="47" spans="1:37" x14ac:dyDescent="0.25">
      <c r="A47" s="1">
        <v>44</v>
      </c>
      <c r="B47" s="25">
        <v>43979</v>
      </c>
      <c r="C47" s="10" t="s">
        <v>321</v>
      </c>
      <c r="D47" s="1">
        <v>159.94999999999999</v>
      </c>
      <c r="E47" s="30">
        <v>2500</v>
      </c>
      <c r="F47" s="1">
        <v>170</v>
      </c>
      <c r="G47" s="1">
        <v>3.1</v>
      </c>
      <c r="H47" s="1">
        <v>175</v>
      </c>
      <c r="I47" s="1">
        <v>2.2999999999999998</v>
      </c>
      <c r="J47" s="1">
        <v>25000</v>
      </c>
      <c r="K47" s="1">
        <v>2500</v>
      </c>
      <c r="L47" s="1">
        <v>2.2999999999999998</v>
      </c>
      <c r="M47" s="1">
        <v>2.9</v>
      </c>
      <c r="N47" s="1">
        <v>2500</v>
      </c>
      <c r="O47" s="9"/>
      <c r="P47" s="7">
        <f t="shared" ca="1" si="5"/>
        <v>-0.16000000000000006</v>
      </c>
      <c r="Q47" s="7">
        <f t="shared" ca="1" si="14"/>
        <v>-1.2307692307692313E-2</v>
      </c>
      <c r="R47" s="33">
        <f t="shared" ca="1" si="0"/>
        <v>2000.0000000000007</v>
      </c>
      <c r="S47" s="33">
        <f t="shared" ca="1" si="1"/>
        <v>-10500</v>
      </c>
      <c r="T47" s="33">
        <f t="shared" ca="1" si="15"/>
        <v>2000.0000000000007</v>
      </c>
      <c r="U47" s="7">
        <f t="shared" ca="1" si="2"/>
        <v>0.19047619047619055</v>
      </c>
      <c r="V47" s="7">
        <f t="shared" ca="1" si="3"/>
        <v>-0.79740455214561445</v>
      </c>
      <c r="W47" s="33">
        <f t="shared" ca="1" si="16"/>
        <v>2000.0000000000007</v>
      </c>
      <c r="X47" s="7">
        <f t="shared" ca="1" si="17"/>
        <v>1</v>
      </c>
      <c r="Y47" s="7">
        <f t="shared" ca="1" si="18"/>
        <v>1.1904761904761905</v>
      </c>
      <c r="Z47" s="7">
        <f t="shared" ca="1" si="4"/>
        <v>-0.15116766045685837</v>
      </c>
      <c r="AA47" s="33">
        <f t="shared" ca="1" si="19"/>
        <v>2000.0000000000007</v>
      </c>
      <c r="AB47" s="7">
        <f t="shared" ca="1" si="20"/>
        <v>1</v>
      </c>
      <c r="AC47" s="7">
        <f t="shared" ca="1" si="21"/>
        <v>1.1904761904761905</v>
      </c>
      <c r="AD47" s="40"/>
      <c r="AE47" s="40"/>
      <c r="AF47" s="34"/>
      <c r="AH47" s="70">
        <f ca="1">AH46+$AH$2</f>
        <v>26.879999999999935</v>
      </c>
      <c r="AI47" s="70">
        <f ca="1">-MAX(-$AI$2+AH47,0)+$AI$1</f>
        <v>0.97000000000006503</v>
      </c>
      <c r="AJ47" s="70">
        <f ca="1">MAX(AH47-$AJ$2,0)-$AJ$1</f>
        <v>-1.45</v>
      </c>
      <c r="AK47" s="70">
        <f ca="1">(AI47+AJ47)*$AK$1</f>
        <v>-4991.9999999993233</v>
      </c>
    </row>
    <row r="48" spans="1:37" x14ac:dyDescent="0.25">
      <c r="A48" s="1">
        <v>45</v>
      </c>
      <c r="B48" s="25">
        <v>43979</v>
      </c>
      <c r="C48" s="10" t="s">
        <v>321</v>
      </c>
      <c r="D48" s="1">
        <v>159.94999999999999</v>
      </c>
      <c r="E48" s="30">
        <v>2500</v>
      </c>
      <c r="F48" s="1">
        <v>170</v>
      </c>
      <c r="G48" s="1">
        <v>3.1</v>
      </c>
      <c r="H48" s="1">
        <v>180</v>
      </c>
      <c r="I48" s="1">
        <v>1.85</v>
      </c>
      <c r="J48" s="1">
        <v>130000</v>
      </c>
      <c r="K48" s="1">
        <v>2500</v>
      </c>
      <c r="L48" s="1">
        <v>1.6</v>
      </c>
      <c r="M48" s="1">
        <v>1.8</v>
      </c>
      <c r="N48" s="1">
        <v>2500</v>
      </c>
      <c r="O48" s="9"/>
      <c r="P48" s="7">
        <f t="shared" ca="1" si="5"/>
        <v>-0.125</v>
      </c>
      <c r="Q48" s="7">
        <f t="shared" ca="1" si="14"/>
        <v>-9.6153846153846159E-3</v>
      </c>
      <c r="R48" s="33">
        <f t="shared" ca="1" si="0"/>
        <v>3125</v>
      </c>
      <c r="S48" s="33">
        <f t="shared" ca="1" si="1"/>
        <v>-21875</v>
      </c>
      <c r="T48" s="33">
        <f t="shared" ca="1" si="15"/>
        <v>3125</v>
      </c>
      <c r="U48" s="7">
        <f t="shared" ca="1" si="2"/>
        <v>0.14285714285714285</v>
      </c>
      <c r="V48" s="7">
        <f t="shared" ca="1" si="3"/>
        <v>-0.79740455214561445</v>
      </c>
      <c r="W48" s="33">
        <f t="shared" ca="1" si="16"/>
        <v>3125</v>
      </c>
      <c r="X48" s="7">
        <f t="shared" ca="1" si="17"/>
        <v>1</v>
      </c>
      <c r="Y48" s="7">
        <f t="shared" ca="1" si="18"/>
        <v>1.1428571428571428</v>
      </c>
      <c r="Z48" s="7">
        <f t="shared" ca="1" si="4"/>
        <v>-0.15116766045685837</v>
      </c>
      <c r="AA48" s="33">
        <f t="shared" ca="1" si="19"/>
        <v>3125</v>
      </c>
      <c r="AB48" s="7">
        <f t="shared" ca="1" si="20"/>
        <v>1</v>
      </c>
      <c r="AC48" s="7">
        <f t="shared" ca="1" si="21"/>
        <v>1.1428571428571428</v>
      </c>
      <c r="AD48" s="40"/>
      <c r="AE48" s="40"/>
      <c r="AF48" s="34"/>
      <c r="AH48" s="70">
        <f ca="1">AH47+$AH$2</f>
        <v>26.959999999999933</v>
      </c>
      <c r="AI48" s="70">
        <f ca="1">-MAX(-$AI$2+AH48,0)+$AI$1</f>
        <v>0.89000000000006674</v>
      </c>
      <c r="AJ48" s="70">
        <f ca="1">MAX(AH48-$AJ$2,0)-$AJ$1</f>
        <v>-1.45</v>
      </c>
      <c r="AK48" s="70">
        <f ca="1">(AI48+AJ48)*$AK$1</f>
        <v>-5823.9999999993051</v>
      </c>
    </row>
    <row r="49" spans="1:37" x14ac:dyDescent="0.25">
      <c r="A49" s="1">
        <v>46</v>
      </c>
      <c r="B49" s="25">
        <v>43979</v>
      </c>
      <c r="C49" s="10" t="s">
        <v>321</v>
      </c>
      <c r="D49" s="1">
        <v>159.94999999999999</v>
      </c>
      <c r="E49" s="30">
        <v>2500</v>
      </c>
      <c r="F49" s="1">
        <v>170</v>
      </c>
      <c r="G49" s="1">
        <v>3.1</v>
      </c>
      <c r="H49" s="1">
        <v>190</v>
      </c>
      <c r="I49" s="1">
        <v>1</v>
      </c>
      <c r="J49" s="1">
        <v>17500</v>
      </c>
      <c r="K49" s="1">
        <v>10000</v>
      </c>
      <c r="L49" s="1">
        <v>1</v>
      </c>
      <c r="M49" s="1">
        <v>1.7</v>
      </c>
      <c r="N49" s="1">
        <v>22500</v>
      </c>
      <c r="O49" s="9"/>
      <c r="P49" s="7">
        <f t="shared" ca="1" si="5"/>
        <v>-0.10500000000000001</v>
      </c>
      <c r="Q49" s="7">
        <f t="shared" ca="1" si="14"/>
        <v>-8.076923076923077E-3</v>
      </c>
      <c r="R49" s="33">
        <f t="shared" ca="1" si="0"/>
        <v>5250</v>
      </c>
      <c r="S49" s="33">
        <f t="shared" ca="1" si="1"/>
        <v>-44750</v>
      </c>
      <c r="T49" s="33">
        <f t="shared" ca="1" si="15"/>
        <v>5250</v>
      </c>
      <c r="U49" s="7">
        <f t="shared" ca="1" si="2"/>
        <v>0.11731843575418995</v>
      </c>
      <c r="V49" s="7">
        <f t="shared" ca="1" si="3"/>
        <v>-0.79740455214561445</v>
      </c>
      <c r="W49" s="33">
        <f t="shared" ca="1" si="16"/>
        <v>5250</v>
      </c>
      <c r="X49" s="7">
        <f t="shared" ca="1" si="17"/>
        <v>1</v>
      </c>
      <c r="Y49" s="7">
        <f t="shared" ca="1" si="18"/>
        <v>1.1173184357541899</v>
      </c>
      <c r="Z49" s="7">
        <f t="shared" ca="1" si="4"/>
        <v>-0.15116766045685837</v>
      </c>
      <c r="AA49" s="33">
        <f t="shared" ca="1" si="19"/>
        <v>5250</v>
      </c>
      <c r="AB49" s="7">
        <f t="shared" ca="1" si="20"/>
        <v>1</v>
      </c>
      <c r="AC49" s="7">
        <f t="shared" ca="1" si="21"/>
        <v>1.1173184357541899</v>
      </c>
      <c r="AD49" s="40"/>
      <c r="AE49" s="40"/>
      <c r="AF49" s="34"/>
      <c r="AH49" s="70">
        <f ca="1">AH48+$AH$2</f>
        <v>27.039999999999932</v>
      </c>
      <c r="AI49" s="70">
        <f ca="1">-MAX(-$AI$2+AH49,0)+$AI$1</f>
        <v>0.81000000000006844</v>
      </c>
      <c r="AJ49" s="70">
        <f ca="1">MAX(AH49-$AJ$2,0)-$AJ$1</f>
        <v>-1.45</v>
      </c>
      <c r="AK49" s="70">
        <f ca="1">(AI49+AJ49)*$AK$1</f>
        <v>-6655.9999999992879</v>
      </c>
    </row>
    <row r="50" spans="1:37" x14ac:dyDescent="0.25">
      <c r="A50" s="1">
        <v>47</v>
      </c>
      <c r="B50" s="25">
        <v>43979</v>
      </c>
      <c r="C50" s="10" t="s">
        <v>356</v>
      </c>
      <c r="D50" s="1">
        <v>380.95</v>
      </c>
      <c r="E50" s="30">
        <v>900</v>
      </c>
      <c r="F50" s="1">
        <v>410</v>
      </c>
      <c r="G50" s="1">
        <v>7.2</v>
      </c>
      <c r="H50" s="1">
        <v>390</v>
      </c>
      <c r="I50" s="1">
        <v>4.25</v>
      </c>
      <c r="J50" s="1">
        <v>2700</v>
      </c>
      <c r="K50" s="1">
        <v>900</v>
      </c>
      <c r="L50" s="1">
        <v>2.15</v>
      </c>
      <c r="M50" s="1">
        <v>5</v>
      </c>
      <c r="N50" s="1">
        <v>900</v>
      </c>
      <c r="O50" s="9"/>
      <c r="P50" s="7">
        <f t="shared" ca="1" si="5"/>
        <v>0.14750000000000002</v>
      </c>
      <c r="Q50" s="7">
        <f t="shared" ca="1" si="14"/>
        <v>1.1346153846153848E-2</v>
      </c>
      <c r="R50" s="33">
        <f t="shared" ca="1" si="0"/>
        <v>2655</v>
      </c>
      <c r="S50" s="33">
        <f t="shared" ca="1" si="1"/>
        <v>20655</v>
      </c>
      <c r="T50" s="33">
        <f t="shared" ca="1" si="15"/>
        <v>2655</v>
      </c>
      <c r="U50" s="7">
        <f t="shared" ca="1" si="2"/>
        <v>0.12854030501089325</v>
      </c>
      <c r="V50" s="7">
        <f t="shared" ca="1" si="3"/>
        <v>-0.42141477686814155</v>
      </c>
      <c r="W50" s="33">
        <f t="shared" ca="1" si="16"/>
        <v>-15345</v>
      </c>
      <c r="X50" s="7">
        <f t="shared" ca="1" si="17"/>
        <v>-5.7796610169491522</v>
      </c>
      <c r="Y50" s="7">
        <f t="shared" ca="1" si="18"/>
        <v>-5.6511207119382592</v>
      </c>
      <c r="Z50" s="7">
        <f t="shared" ca="1" si="4"/>
        <v>-9.0830836617571936E-2</v>
      </c>
      <c r="AA50" s="33">
        <f t="shared" ca="1" si="19"/>
        <v>-15345</v>
      </c>
      <c r="AB50" s="7">
        <f t="shared" ca="1" si="20"/>
        <v>-5.7796610169491522</v>
      </c>
      <c r="AC50" s="7">
        <f t="shared" ca="1" si="21"/>
        <v>-5.6511207119382592</v>
      </c>
      <c r="AD50" s="40"/>
      <c r="AE50" s="40"/>
      <c r="AF50" s="34"/>
      <c r="AH50" s="70">
        <f ca="1">AH49+$AH$2</f>
        <v>27.11999999999993</v>
      </c>
      <c r="AI50" s="70">
        <f ca="1">-MAX(-$AI$2+AH50,0)+$AI$1</f>
        <v>0.73000000000007015</v>
      </c>
      <c r="AJ50" s="70">
        <f ca="1">MAX(AH50-$AJ$2,0)-$AJ$1</f>
        <v>-1.45</v>
      </c>
      <c r="AK50" s="70">
        <f ca="1">(AI50+AJ50)*$AK$1</f>
        <v>-7487.9999999992697</v>
      </c>
    </row>
    <row r="51" spans="1:37" x14ac:dyDescent="0.25">
      <c r="A51" s="1">
        <v>48</v>
      </c>
      <c r="B51" s="25">
        <v>43979</v>
      </c>
      <c r="C51" s="10" t="s">
        <v>356</v>
      </c>
      <c r="D51" s="1">
        <v>380.95</v>
      </c>
      <c r="E51" s="30">
        <v>900</v>
      </c>
      <c r="F51" s="1">
        <v>410</v>
      </c>
      <c r="G51" s="1">
        <v>7.2</v>
      </c>
      <c r="H51" s="1">
        <v>400</v>
      </c>
      <c r="I51" s="1">
        <v>3</v>
      </c>
      <c r="J51" s="1">
        <v>54000</v>
      </c>
      <c r="K51" s="1">
        <v>900</v>
      </c>
      <c r="L51" s="1">
        <v>2.95</v>
      </c>
      <c r="M51" s="1">
        <v>3.35</v>
      </c>
      <c r="N51" s="1">
        <v>900</v>
      </c>
      <c r="O51" s="9"/>
      <c r="P51" s="7">
        <f t="shared" ca="1" si="5"/>
        <v>0.42000000000000004</v>
      </c>
      <c r="Q51" s="7">
        <f t="shared" ca="1" si="14"/>
        <v>3.2307692307692308E-2</v>
      </c>
      <c r="R51" s="33">
        <f t="shared" ca="1" si="0"/>
        <v>3780</v>
      </c>
      <c r="S51" s="33">
        <f t="shared" ca="1" si="1"/>
        <v>12780</v>
      </c>
      <c r="T51" s="33">
        <f t="shared" ca="1" si="15"/>
        <v>3780</v>
      </c>
      <c r="U51" s="7">
        <f t="shared" ca="1" si="2"/>
        <v>0.29577464788732394</v>
      </c>
      <c r="V51" s="7">
        <f t="shared" ca="1" si="3"/>
        <v>-0.42141477686814155</v>
      </c>
      <c r="W51" s="33">
        <f t="shared" ca="1" si="16"/>
        <v>-5220</v>
      </c>
      <c r="X51" s="7">
        <f t="shared" ca="1" si="17"/>
        <v>-1.3809523809523809</v>
      </c>
      <c r="Y51" s="7">
        <f t="shared" ca="1" si="18"/>
        <v>-1.0851777330650569</v>
      </c>
      <c r="Z51" s="7">
        <f t="shared" ca="1" si="4"/>
        <v>-9.0830836617571936E-2</v>
      </c>
      <c r="AA51" s="33">
        <f t="shared" ca="1" si="19"/>
        <v>-5220</v>
      </c>
      <c r="AB51" s="7">
        <f t="shared" ca="1" si="20"/>
        <v>-1.3809523809523809</v>
      </c>
      <c r="AC51" s="7">
        <f t="shared" ca="1" si="21"/>
        <v>-1.0851777330650569</v>
      </c>
      <c r="AD51" s="40"/>
      <c r="AE51" s="40"/>
      <c r="AF51" s="34"/>
      <c r="AH51" s="70">
        <f ca="1">AH50+$AH$2</f>
        <v>27.199999999999928</v>
      </c>
      <c r="AI51" s="70">
        <f ca="1">-MAX(-$AI$2+AH51,0)+$AI$1</f>
        <v>0.65000000000007185</v>
      </c>
      <c r="AJ51" s="70">
        <f ca="1">MAX(AH51-$AJ$2,0)-$AJ$1</f>
        <v>-1.45</v>
      </c>
      <c r="AK51" s="70">
        <f ca="1">(AI51+AJ51)*$AK$1</f>
        <v>-8319.9999999992524</v>
      </c>
    </row>
    <row r="52" spans="1:37" x14ac:dyDescent="0.25">
      <c r="A52" s="1">
        <v>49</v>
      </c>
      <c r="B52" s="25">
        <v>43979</v>
      </c>
      <c r="C52" s="10" t="s">
        <v>356</v>
      </c>
      <c r="D52" s="1">
        <v>380.95</v>
      </c>
      <c r="E52" s="30">
        <v>900</v>
      </c>
      <c r="F52" s="1">
        <v>410</v>
      </c>
      <c r="G52" s="1">
        <v>7.2</v>
      </c>
      <c r="H52" s="1">
        <v>420</v>
      </c>
      <c r="I52" s="1">
        <v>2.2000000000000002</v>
      </c>
      <c r="J52" s="1">
        <v>9900</v>
      </c>
      <c r="K52" s="1">
        <v>900</v>
      </c>
      <c r="L52" s="1">
        <v>1.1499999999999999</v>
      </c>
      <c r="M52" s="1">
        <v>2.9</v>
      </c>
      <c r="N52" s="1">
        <v>4500</v>
      </c>
      <c r="O52" s="9"/>
      <c r="P52" s="7">
        <f t="shared" ca="1" si="5"/>
        <v>-0.5</v>
      </c>
      <c r="Q52" s="7">
        <f t="shared" ca="1" si="14"/>
        <v>-3.8461538461538464E-2</v>
      </c>
      <c r="R52" s="33">
        <f t="shared" ca="1" si="0"/>
        <v>4500</v>
      </c>
      <c r="S52" s="33">
        <f t="shared" ca="1" si="1"/>
        <v>-4500</v>
      </c>
      <c r="T52" s="33">
        <f t="shared" ca="1" si="15"/>
        <v>4500</v>
      </c>
      <c r="U52" s="7">
        <f t="shared" ca="1" si="2"/>
        <v>1</v>
      </c>
      <c r="V52" s="7">
        <f t="shared" ca="1" si="3"/>
        <v>-0.42141477686814155</v>
      </c>
      <c r="W52" s="33">
        <f t="shared" ca="1" si="16"/>
        <v>4500</v>
      </c>
      <c r="X52" s="7">
        <f t="shared" ca="1" si="17"/>
        <v>1</v>
      </c>
      <c r="Y52" s="7">
        <f t="shared" ca="1" si="18"/>
        <v>2</v>
      </c>
      <c r="Z52" s="7">
        <f t="shared" ca="1" si="4"/>
        <v>-9.0830836617571936E-2</v>
      </c>
      <c r="AA52" s="33">
        <f t="shared" ca="1" si="19"/>
        <v>4500</v>
      </c>
      <c r="AB52" s="7">
        <f t="shared" ca="1" si="20"/>
        <v>1</v>
      </c>
      <c r="AC52" s="7">
        <f t="shared" ca="1" si="21"/>
        <v>2</v>
      </c>
      <c r="AD52" s="40"/>
      <c r="AE52" s="40"/>
      <c r="AF52" s="34"/>
      <c r="AH52" s="70">
        <f ca="1">AH51+$AH$2</f>
        <v>27.279999999999927</v>
      </c>
      <c r="AI52" s="70">
        <f ca="1">-MAX(-$AI$2+AH52,0)+$AI$1</f>
        <v>0.57000000000007356</v>
      </c>
      <c r="AJ52" s="70">
        <f ca="1">MAX(AH52-$AJ$2,0)-$AJ$1</f>
        <v>-1.45</v>
      </c>
      <c r="AK52" s="70">
        <f ca="1">(AI52+AJ52)*$AK$1</f>
        <v>-9151.9999999992342</v>
      </c>
    </row>
    <row r="53" spans="1:37" x14ac:dyDescent="0.25">
      <c r="A53" s="1">
        <v>50</v>
      </c>
      <c r="B53" s="25">
        <v>43979</v>
      </c>
      <c r="C53" s="10" t="s">
        <v>356</v>
      </c>
      <c r="D53" s="1">
        <v>380.95</v>
      </c>
      <c r="E53" s="30">
        <v>900</v>
      </c>
      <c r="F53" s="1">
        <v>410</v>
      </c>
      <c r="G53" s="1">
        <v>7.2</v>
      </c>
      <c r="H53" s="1">
        <v>430</v>
      </c>
      <c r="I53" s="1">
        <v>1.75</v>
      </c>
      <c r="J53" s="1">
        <v>900</v>
      </c>
      <c r="K53" s="1">
        <v>900</v>
      </c>
      <c r="L53" s="1">
        <v>0.75</v>
      </c>
      <c r="M53" s="1">
        <v>3.6</v>
      </c>
      <c r="N53" s="1">
        <v>12600</v>
      </c>
      <c r="O53" s="9"/>
      <c r="P53" s="7">
        <f t="shared" ca="1" si="5"/>
        <v>-0.27250000000000002</v>
      </c>
      <c r="Q53" s="7">
        <f t="shared" ca="1" si="14"/>
        <v>-2.0961538461538462E-2</v>
      </c>
      <c r="R53" s="33">
        <f t="shared" ca="1" si="0"/>
        <v>4905</v>
      </c>
      <c r="S53" s="33">
        <f t="shared" ca="1" si="1"/>
        <v>-13095</v>
      </c>
      <c r="T53" s="33">
        <f t="shared" ca="1" si="15"/>
        <v>4905</v>
      </c>
      <c r="U53" s="7">
        <f t="shared" ca="1" si="2"/>
        <v>0.37457044673539519</v>
      </c>
      <c r="V53" s="7">
        <f t="shared" ca="1" si="3"/>
        <v>-0.42141477686814155</v>
      </c>
      <c r="W53" s="33">
        <f t="shared" ca="1" si="16"/>
        <v>4905</v>
      </c>
      <c r="X53" s="7">
        <f t="shared" ca="1" si="17"/>
        <v>1</v>
      </c>
      <c r="Y53" s="7">
        <f t="shared" ca="1" si="18"/>
        <v>1.3745704467353952</v>
      </c>
      <c r="Z53" s="7">
        <f t="shared" ca="1" si="4"/>
        <v>-9.0830836617571936E-2</v>
      </c>
      <c r="AA53" s="33">
        <f t="shared" ca="1" si="19"/>
        <v>4905</v>
      </c>
      <c r="AB53" s="7">
        <f t="shared" ca="1" si="20"/>
        <v>1</v>
      </c>
      <c r="AC53" s="7">
        <f t="shared" ca="1" si="21"/>
        <v>1.3745704467353952</v>
      </c>
      <c r="AD53" s="40"/>
      <c r="AE53" s="40"/>
      <c r="AF53" s="34"/>
      <c r="AH53" s="70">
        <f ca="1">AH52+$AH$2</f>
        <v>27.359999999999925</v>
      </c>
      <c r="AI53" s="70">
        <f ca="1">-MAX(-$AI$2+AH53,0)+$AI$1</f>
        <v>0.49000000000007526</v>
      </c>
      <c r="AJ53" s="70">
        <f ca="1">MAX(AH53-$AJ$2,0)-$AJ$1</f>
        <v>-1.45</v>
      </c>
      <c r="AK53" s="70">
        <f ca="1">(AI53+AJ53)*$AK$1</f>
        <v>-9983.999999999216</v>
      </c>
    </row>
    <row r="54" spans="1:37" x14ac:dyDescent="0.25">
      <c r="A54" s="1">
        <v>51</v>
      </c>
      <c r="B54" s="25">
        <v>43979</v>
      </c>
      <c r="C54" s="10" t="s">
        <v>356</v>
      </c>
      <c r="D54" s="1">
        <v>380.95</v>
      </c>
      <c r="E54" s="30">
        <v>900</v>
      </c>
      <c r="F54" s="1">
        <v>410</v>
      </c>
      <c r="G54" s="1">
        <v>7.2</v>
      </c>
      <c r="H54" s="1">
        <v>450</v>
      </c>
      <c r="I54" s="1">
        <v>1.55</v>
      </c>
      <c r="J54" s="1">
        <v>15300</v>
      </c>
      <c r="K54" s="1">
        <v>900</v>
      </c>
      <c r="L54" s="1">
        <v>0.3</v>
      </c>
      <c r="M54" s="1">
        <v>1.95</v>
      </c>
      <c r="N54" s="1">
        <v>900</v>
      </c>
      <c r="O54" s="9"/>
      <c r="P54" s="7">
        <f t="shared" ca="1" si="5"/>
        <v>-0.14125000000000001</v>
      </c>
      <c r="Q54" s="7">
        <f t="shared" ca="1" si="14"/>
        <v>-1.0865384615384617E-2</v>
      </c>
      <c r="R54" s="33">
        <f t="shared" ca="1" si="0"/>
        <v>5085</v>
      </c>
      <c r="S54" s="33">
        <f t="shared" ca="1" si="1"/>
        <v>-30915</v>
      </c>
      <c r="T54" s="33">
        <f t="shared" ca="1" si="15"/>
        <v>5085</v>
      </c>
      <c r="U54" s="7">
        <f t="shared" ca="1" si="2"/>
        <v>0.16448326055312956</v>
      </c>
      <c r="V54" s="7">
        <f t="shared" ca="1" si="3"/>
        <v>-0.42141477686814155</v>
      </c>
      <c r="W54" s="33">
        <f t="shared" ca="1" si="16"/>
        <v>5085</v>
      </c>
      <c r="X54" s="7">
        <f t="shared" ca="1" si="17"/>
        <v>1</v>
      </c>
      <c r="Y54" s="7">
        <f t="shared" ca="1" si="18"/>
        <v>1.1644832605531295</v>
      </c>
      <c r="Z54" s="7">
        <f t="shared" ca="1" si="4"/>
        <v>-9.0830836617571936E-2</v>
      </c>
      <c r="AA54" s="33">
        <f t="shared" ca="1" si="19"/>
        <v>5085</v>
      </c>
      <c r="AB54" s="7">
        <f t="shared" ca="1" si="20"/>
        <v>1</v>
      </c>
      <c r="AC54" s="7">
        <f t="shared" ca="1" si="21"/>
        <v>1.1644832605531295</v>
      </c>
      <c r="AD54" s="40"/>
      <c r="AE54" s="40"/>
      <c r="AF54" s="34"/>
      <c r="AH54" s="70">
        <f ca="1">AH53+$AH$2</f>
        <v>27.439999999999923</v>
      </c>
      <c r="AI54" s="70">
        <f ca="1">-MAX(-$AI$2+AH54,0)+$AI$1</f>
        <v>0.41000000000007697</v>
      </c>
      <c r="AJ54" s="70">
        <f ca="1">MAX(AH54-$AJ$2,0)-$AJ$1</f>
        <v>-1.45</v>
      </c>
      <c r="AK54" s="70">
        <f ca="1">(AI54+AJ54)*$AK$1</f>
        <v>-10815.9999999992</v>
      </c>
    </row>
    <row r="55" spans="1:37" x14ac:dyDescent="0.25">
      <c r="A55" s="1">
        <v>52</v>
      </c>
      <c r="B55" s="25">
        <v>43979</v>
      </c>
      <c r="C55" s="10" t="s">
        <v>396</v>
      </c>
      <c r="D55" s="1">
        <v>141.55000000000001</v>
      </c>
      <c r="E55" s="30">
        <v>3300</v>
      </c>
      <c r="F55" s="1">
        <v>150</v>
      </c>
      <c r="G55" s="1">
        <v>3.35</v>
      </c>
      <c r="H55" s="1">
        <v>155</v>
      </c>
      <c r="I55" s="1">
        <v>2.4</v>
      </c>
      <c r="J55" s="1">
        <v>244200</v>
      </c>
      <c r="K55" s="1">
        <v>3300</v>
      </c>
      <c r="L55" s="1">
        <v>2.25</v>
      </c>
      <c r="M55" s="1">
        <v>2.4</v>
      </c>
      <c r="N55" s="1">
        <v>3300</v>
      </c>
      <c r="O55" s="9"/>
      <c r="P55" s="7">
        <f t="shared" ca="1" si="5"/>
        <v>-0.19000000000000003</v>
      </c>
      <c r="Q55" s="7">
        <f t="shared" ca="1" si="14"/>
        <v>-1.4615384615384617E-2</v>
      </c>
      <c r="R55" s="33">
        <f t="shared" ca="1" si="0"/>
        <v>3135.0000000000005</v>
      </c>
      <c r="S55" s="33">
        <f t="shared" ca="1" si="1"/>
        <v>-13365</v>
      </c>
      <c r="T55" s="33">
        <f t="shared" ca="1" si="15"/>
        <v>3135.0000000000005</v>
      </c>
      <c r="U55" s="7">
        <f t="shared" ca="1" si="2"/>
        <v>0.23456790123456794</v>
      </c>
      <c r="V55" s="7">
        <f t="shared" ca="1" si="3"/>
        <v>-0.53761585713355953</v>
      </c>
      <c r="W55" s="33">
        <f t="shared" ca="1" si="16"/>
        <v>3135.0000000000005</v>
      </c>
      <c r="X55" s="7">
        <f t="shared" ca="1" si="17"/>
        <v>1</v>
      </c>
      <c r="Y55" s="7">
        <f t="shared" ca="1" si="18"/>
        <v>1.2345679012345681</v>
      </c>
      <c r="Z55" s="7">
        <f t="shared" ca="1" si="4"/>
        <v>-0.11679350920802226</v>
      </c>
      <c r="AA55" s="33">
        <f t="shared" ca="1" si="19"/>
        <v>3135.0000000000005</v>
      </c>
      <c r="AB55" s="7">
        <f t="shared" ca="1" si="20"/>
        <v>1</v>
      </c>
      <c r="AC55" s="7">
        <f t="shared" ca="1" si="21"/>
        <v>1.2345679012345681</v>
      </c>
      <c r="AD55" s="40"/>
      <c r="AE55" s="40"/>
      <c r="AF55" s="34"/>
      <c r="AH55" s="70">
        <f ca="1">AH54+$AH$2</f>
        <v>27.519999999999921</v>
      </c>
      <c r="AI55" s="70">
        <f ca="1">-MAX(-$AI$2+AH55,0)+$AI$1</f>
        <v>0.33000000000007867</v>
      </c>
      <c r="AJ55" s="70">
        <f ca="1">MAX(AH55-$AJ$2,0)-$AJ$1</f>
        <v>-1.45</v>
      </c>
      <c r="AK55" s="70">
        <f ca="1">(AI55+AJ55)*$AK$1</f>
        <v>-11647.999999999181</v>
      </c>
    </row>
    <row r="56" spans="1:37" x14ac:dyDescent="0.25">
      <c r="A56" s="1">
        <v>53</v>
      </c>
      <c r="B56" s="25">
        <v>43979</v>
      </c>
      <c r="C56" s="10" t="s">
        <v>396</v>
      </c>
      <c r="D56" s="1">
        <v>141.55000000000001</v>
      </c>
      <c r="E56" s="30">
        <v>3300</v>
      </c>
      <c r="F56" s="1">
        <v>150</v>
      </c>
      <c r="G56" s="1">
        <v>3.35</v>
      </c>
      <c r="H56" s="1">
        <v>160</v>
      </c>
      <c r="I56" s="1">
        <v>1.65</v>
      </c>
      <c r="J56" s="1">
        <v>808500</v>
      </c>
      <c r="K56" s="1">
        <v>6600</v>
      </c>
      <c r="L56" s="1">
        <v>1.5</v>
      </c>
      <c r="M56" s="1">
        <v>1.6</v>
      </c>
      <c r="N56" s="1">
        <v>3300</v>
      </c>
      <c r="O56" s="9"/>
      <c r="P56" s="7">
        <f t="shared" ca="1" si="5"/>
        <v>-0.17</v>
      </c>
      <c r="Q56" s="7">
        <f t="shared" ca="1" si="14"/>
        <v>-1.3076923076923078E-2</v>
      </c>
      <c r="R56" s="33">
        <f t="shared" ca="1" si="0"/>
        <v>5610.0000000000009</v>
      </c>
      <c r="S56" s="33">
        <f t="shared" ca="1" si="1"/>
        <v>-27390</v>
      </c>
      <c r="T56" s="33">
        <f t="shared" ca="1" si="15"/>
        <v>5610.0000000000009</v>
      </c>
      <c r="U56" s="7">
        <f t="shared" ca="1" si="2"/>
        <v>0.20481927710843376</v>
      </c>
      <c r="V56" s="7">
        <f t="shared" ca="1" si="3"/>
        <v>-0.53761585713355953</v>
      </c>
      <c r="W56" s="33">
        <f t="shared" ca="1" si="16"/>
        <v>5610.0000000000009</v>
      </c>
      <c r="X56" s="7">
        <f t="shared" ca="1" si="17"/>
        <v>1</v>
      </c>
      <c r="Y56" s="7">
        <f t="shared" ca="1" si="18"/>
        <v>1.2048192771084338</v>
      </c>
      <c r="Z56" s="7">
        <f t="shared" ca="1" si="4"/>
        <v>-0.11679350920802226</v>
      </c>
      <c r="AA56" s="33">
        <f t="shared" ca="1" si="19"/>
        <v>5610.0000000000009</v>
      </c>
      <c r="AB56" s="7">
        <f t="shared" ca="1" si="20"/>
        <v>1</v>
      </c>
      <c r="AC56" s="7">
        <f t="shared" ca="1" si="21"/>
        <v>1.2048192771084338</v>
      </c>
      <c r="AD56" s="40"/>
      <c r="AE56" s="40"/>
      <c r="AF56" s="34"/>
      <c r="AH56" s="70">
        <f ca="1">AH55+$AH$2</f>
        <v>27.59999999999992</v>
      </c>
      <c r="AI56" s="70">
        <f ca="1">-MAX(-$AI$2+AH56,0)+$AI$1</f>
        <v>0.25000000000008038</v>
      </c>
      <c r="AJ56" s="70">
        <f ca="1">MAX(AH56-$AJ$2,0)-$AJ$1</f>
        <v>-1.45</v>
      </c>
      <c r="AK56" s="70">
        <f ca="1">(AI56+AJ56)*$AK$1</f>
        <v>-12479.999999999163</v>
      </c>
    </row>
    <row r="57" spans="1:37" x14ac:dyDescent="0.25">
      <c r="A57" s="1">
        <v>54</v>
      </c>
      <c r="B57" s="25">
        <v>43979</v>
      </c>
      <c r="C57" s="10" t="s">
        <v>396</v>
      </c>
      <c r="D57" s="1">
        <v>141.55000000000001</v>
      </c>
      <c r="E57" s="30">
        <v>3300</v>
      </c>
      <c r="F57" s="1">
        <v>150</v>
      </c>
      <c r="G57" s="1">
        <v>3.35</v>
      </c>
      <c r="H57" s="1">
        <v>165</v>
      </c>
      <c r="I57" s="1">
        <v>1.2</v>
      </c>
      <c r="J57" s="1">
        <v>72600</v>
      </c>
      <c r="K57" s="1">
        <v>3300</v>
      </c>
      <c r="L57" s="1">
        <v>0.6</v>
      </c>
      <c r="M57" s="1">
        <v>1.2</v>
      </c>
      <c r="N57" s="1">
        <v>3300</v>
      </c>
      <c r="O57" s="9"/>
      <c r="P57" s="7">
        <f t="shared" ca="1" si="5"/>
        <v>-0.14333333333333337</v>
      </c>
      <c r="Q57" s="7">
        <f t="shared" ca="1" si="14"/>
        <v>-1.1025641025641028E-2</v>
      </c>
      <c r="R57" s="33">
        <f t="shared" ca="1" si="0"/>
        <v>7095.0000000000009</v>
      </c>
      <c r="S57" s="33">
        <f t="shared" ca="1" si="1"/>
        <v>-42405</v>
      </c>
      <c r="T57" s="33">
        <f t="shared" ca="1" si="15"/>
        <v>7095.0000000000009</v>
      </c>
      <c r="U57" s="7">
        <f t="shared" ca="1" si="2"/>
        <v>0.16731517509727628</v>
      </c>
      <c r="V57" s="7">
        <f t="shared" ca="1" si="3"/>
        <v>-0.53761585713355953</v>
      </c>
      <c r="W57" s="33">
        <f t="shared" ca="1" si="16"/>
        <v>7095.0000000000009</v>
      </c>
      <c r="X57" s="7">
        <f t="shared" ca="1" si="17"/>
        <v>1</v>
      </c>
      <c r="Y57" s="7">
        <f t="shared" ca="1" si="18"/>
        <v>1.1673151750972763</v>
      </c>
      <c r="Z57" s="7">
        <f t="shared" ca="1" si="4"/>
        <v>-0.11679350920802226</v>
      </c>
      <c r="AA57" s="33">
        <f t="shared" ca="1" si="19"/>
        <v>7095.0000000000009</v>
      </c>
      <c r="AB57" s="7">
        <f t="shared" ca="1" si="20"/>
        <v>1</v>
      </c>
      <c r="AC57" s="7">
        <f t="shared" ca="1" si="21"/>
        <v>1.1673151750972763</v>
      </c>
      <c r="AD57" s="40"/>
      <c r="AE57" s="40"/>
      <c r="AF57" s="34"/>
      <c r="AH57" s="70">
        <f ca="1">AH56+$AH$2</f>
        <v>27.679999999999918</v>
      </c>
      <c r="AI57" s="70">
        <f ca="1">-MAX(-$AI$2+AH57,0)+$AI$1</f>
        <v>0.17000000000008209</v>
      </c>
      <c r="AJ57" s="70">
        <f ca="1">MAX(AH57-$AJ$2,0)-$AJ$1</f>
        <v>-1.45</v>
      </c>
      <c r="AK57" s="70">
        <f ca="1">(AI57+AJ57)*$AK$1</f>
        <v>-13311.999999999145</v>
      </c>
    </row>
    <row r="58" spans="1:37" x14ac:dyDescent="0.25">
      <c r="A58" s="1">
        <v>55</v>
      </c>
      <c r="B58" s="25">
        <v>43979</v>
      </c>
      <c r="C58" s="10" t="s">
        <v>396</v>
      </c>
      <c r="D58" s="1">
        <v>141.55000000000001</v>
      </c>
      <c r="E58" s="30">
        <v>3300</v>
      </c>
      <c r="F58" s="1">
        <v>150</v>
      </c>
      <c r="G58" s="1">
        <v>3.35</v>
      </c>
      <c r="H58" s="1">
        <v>170</v>
      </c>
      <c r="I58" s="1">
        <v>0.8</v>
      </c>
      <c r="J58" s="1">
        <v>346500</v>
      </c>
      <c r="K58" s="1">
        <v>3300</v>
      </c>
      <c r="L58" s="1">
        <v>0.75</v>
      </c>
      <c r="M58" s="1">
        <v>0.8</v>
      </c>
      <c r="N58" s="1">
        <v>3300</v>
      </c>
      <c r="O58" s="9"/>
      <c r="P58" s="7">
        <f t="shared" ca="1" si="5"/>
        <v>-0.1275</v>
      </c>
      <c r="Q58" s="7">
        <f t="shared" ca="1" si="14"/>
        <v>-9.8076923076923072E-3</v>
      </c>
      <c r="R58" s="33">
        <f t="shared" ca="1" si="0"/>
        <v>8415</v>
      </c>
      <c r="S58" s="33">
        <f t="shared" ca="1" si="1"/>
        <v>-57585</v>
      </c>
      <c r="T58" s="33">
        <f t="shared" ca="1" si="15"/>
        <v>8415</v>
      </c>
      <c r="U58" s="7">
        <f t="shared" ca="1" si="2"/>
        <v>0.14613180515759314</v>
      </c>
      <c r="V58" s="7">
        <f t="shared" ca="1" si="3"/>
        <v>-0.53761585713355953</v>
      </c>
      <c r="W58" s="33">
        <f t="shared" ca="1" si="16"/>
        <v>8415</v>
      </c>
      <c r="X58" s="7">
        <f t="shared" ca="1" si="17"/>
        <v>1</v>
      </c>
      <c r="Y58" s="7">
        <f t="shared" ca="1" si="18"/>
        <v>1.1461318051575931</v>
      </c>
      <c r="Z58" s="7">
        <f t="shared" ca="1" si="4"/>
        <v>-0.11679350920802226</v>
      </c>
      <c r="AA58" s="33">
        <f t="shared" ca="1" si="19"/>
        <v>8415</v>
      </c>
      <c r="AB58" s="7">
        <f t="shared" ca="1" si="20"/>
        <v>1</v>
      </c>
      <c r="AC58" s="7">
        <f t="shared" ca="1" si="21"/>
        <v>1.1461318051575931</v>
      </c>
      <c r="AD58" s="40"/>
      <c r="AE58" s="40"/>
      <c r="AF58" s="34"/>
      <c r="AH58" s="70">
        <f ca="1">AH57+$AH$2</f>
        <v>27.759999999999916</v>
      </c>
      <c r="AI58" s="70">
        <f ca="1">-MAX(-$AI$2+AH58,0)+$AI$1</f>
        <v>9.0000000000083791E-2</v>
      </c>
      <c r="AJ58" s="70">
        <f ca="1">MAX(AH58-$AJ$2,0)-$AJ$1</f>
        <v>-1.45</v>
      </c>
      <c r="AK58" s="70">
        <f ca="1">(AI58+AJ58)*$AK$1</f>
        <v>-14143.999999999129</v>
      </c>
    </row>
    <row r="59" spans="1:37" x14ac:dyDescent="0.25">
      <c r="A59" s="1">
        <v>56</v>
      </c>
      <c r="B59" s="25">
        <v>43979</v>
      </c>
      <c r="C59" s="10" t="s">
        <v>396</v>
      </c>
      <c r="D59" s="1">
        <v>141.55000000000001</v>
      </c>
      <c r="E59" s="30">
        <v>3300</v>
      </c>
      <c r="F59" s="1">
        <v>150</v>
      </c>
      <c r="G59" s="1">
        <v>3.35</v>
      </c>
      <c r="H59" s="1">
        <v>175</v>
      </c>
      <c r="I59" s="1">
        <v>0.4</v>
      </c>
      <c r="J59" s="1">
        <v>33000</v>
      </c>
      <c r="K59" s="1">
        <v>3300</v>
      </c>
      <c r="L59" s="1">
        <v>0.4</v>
      </c>
      <c r="M59" s="1">
        <v>0.75</v>
      </c>
      <c r="N59" s="1">
        <v>3300</v>
      </c>
      <c r="O59" s="9"/>
      <c r="P59" s="7">
        <f t="shared" ca="1" si="5"/>
        <v>-0.11800000000000001</v>
      </c>
      <c r="Q59" s="7">
        <f t="shared" ca="1" si="14"/>
        <v>-9.0769230769230779E-3</v>
      </c>
      <c r="R59" s="33">
        <f t="shared" ca="1" si="0"/>
        <v>9735</v>
      </c>
      <c r="S59" s="33">
        <f t="shared" ca="1" si="1"/>
        <v>-72765</v>
      </c>
      <c r="T59" s="33">
        <f t="shared" ca="1" si="15"/>
        <v>9735</v>
      </c>
      <c r="U59" s="7">
        <f t="shared" ca="1" si="2"/>
        <v>0.13378684807256236</v>
      </c>
      <c r="V59" s="7">
        <f t="shared" ca="1" si="3"/>
        <v>-0.53761585713355953</v>
      </c>
      <c r="W59" s="33">
        <f t="shared" ca="1" si="16"/>
        <v>9735</v>
      </c>
      <c r="X59" s="7">
        <f t="shared" ca="1" si="17"/>
        <v>1</v>
      </c>
      <c r="Y59" s="7">
        <f t="shared" ca="1" si="18"/>
        <v>1.1337868480725624</v>
      </c>
      <c r="Z59" s="7">
        <f t="shared" ca="1" si="4"/>
        <v>-0.11679350920802226</v>
      </c>
      <c r="AA59" s="33">
        <f t="shared" ca="1" si="19"/>
        <v>9735</v>
      </c>
      <c r="AB59" s="7">
        <f t="shared" ca="1" si="20"/>
        <v>1</v>
      </c>
      <c r="AC59" s="7">
        <f t="shared" ca="1" si="21"/>
        <v>1.1337868480725624</v>
      </c>
      <c r="AD59" s="40"/>
      <c r="AE59" s="40"/>
      <c r="AF59" s="34"/>
      <c r="AH59" s="70">
        <f ca="1">AH58+$AH$2</f>
        <v>27.839999999999915</v>
      </c>
      <c r="AI59" s="70">
        <f ca="1">-MAX(-$AI$2+AH59,0)+$AI$1</f>
        <v>1.0000000000085496E-2</v>
      </c>
      <c r="AJ59" s="70">
        <f ca="1">MAX(AH59-$AJ$2,0)-$AJ$1</f>
        <v>-1.45</v>
      </c>
      <c r="AK59" s="70">
        <f ca="1">(AI59+AJ59)*$AK$1</f>
        <v>-14975.999999999111</v>
      </c>
    </row>
    <row r="60" spans="1:37" x14ac:dyDescent="0.25">
      <c r="A60" s="1">
        <v>57</v>
      </c>
      <c r="B60" s="25">
        <v>43979</v>
      </c>
      <c r="C60" s="10" t="s">
        <v>453</v>
      </c>
      <c r="D60" s="1">
        <v>41.7</v>
      </c>
      <c r="E60" s="30">
        <v>4900</v>
      </c>
      <c r="F60" s="1">
        <v>45</v>
      </c>
      <c r="G60" s="1">
        <v>7</v>
      </c>
      <c r="H60" s="1">
        <v>47.5</v>
      </c>
      <c r="I60" s="1">
        <v>5.5</v>
      </c>
      <c r="J60" s="1">
        <v>9800</v>
      </c>
      <c r="K60" s="1">
        <v>4900</v>
      </c>
      <c r="L60" s="1">
        <v>2.5</v>
      </c>
      <c r="M60" s="1">
        <v>5.65</v>
      </c>
      <c r="N60" s="1">
        <v>63700</v>
      </c>
      <c r="O60" s="9"/>
      <c r="P60" s="7">
        <f t="shared" ca="1" si="5"/>
        <v>-0.6</v>
      </c>
      <c r="Q60" s="7">
        <f t="shared" ca="1" si="14"/>
        <v>-4.6153846153846149E-2</v>
      </c>
      <c r="R60" s="33">
        <f t="shared" ca="1" si="0"/>
        <v>7350</v>
      </c>
      <c r="S60" s="33">
        <f t="shared" ca="1" si="1"/>
        <v>-4900</v>
      </c>
      <c r="T60" s="33">
        <f t="shared" ca="1" si="15"/>
        <v>7350</v>
      </c>
      <c r="U60" s="7">
        <f t="shared" ca="1" si="2"/>
        <v>1.5</v>
      </c>
      <c r="V60" s="7">
        <f t="shared" ca="1" si="3"/>
        <v>-1.0686615239577171</v>
      </c>
      <c r="W60" s="33">
        <f t="shared" ca="1" si="16"/>
        <v>7350</v>
      </c>
      <c r="X60" s="7">
        <f t="shared" ca="1" si="17"/>
        <v>1</v>
      </c>
      <c r="Y60" s="7">
        <f t="shared" ca="1" si="18"/>
        <v>2.5</v>
      </c>
      <c r="Z60" s="7">
        <f t="shared" ca="1" si="4"/>
        <v>-0.21094396309474855</v>
      </c>
      <c r="AA60" s="33">
        <f t="shared" ca="1" si="19"/>
        <v>7350</v>
      </c>
      <c r="AB60" s="7">
        <f t="shared" ca="1" si="20"/>
        <v>1</v>
      </c>
      <c r="AC60" s="7">
        <f t="shared" ca="1" si="21"/>
        <v>2.5</v>
      </c>
      <c r="AD60" s="40"/>
      <c r="AE60" s="40"/>
      <c r="AF60" s="34"/>
      <c r="AH60" s="70">
        <f ca="1">AH59+$AH$2</f>
        <v>27.919999999999913</v>
      </c>
      <c r="AI60" s="70">
        <f ca="1">-MAX(-$AI$2+AH60,0)+$AI$1</f>
        <v>-6.9999999999912799E-2</v>
      </c>
      <c r="AJ60" s="70">
        <f ca="1">MAX(AH60-$AJ$2,0)-$AJ$1</f>
        <v>-1.45</v>
      </c>
      <c r="AK60" s="70">
        <f ca="1">(AI60+AJ60)*$AK$1</f>
        <v>-15807.999999999092</v>
      </c>
    </row>
    <row r="61" spans="1:37" x14ac:dyDescent="0.25">
      <c r="A61" s="1">
        <v>58</v>
      </c>
      <c r="B61" s="25">
        <v>43979</v>
      </c>
      <c r="C61" s="10" t="s">
        <v>453</v>
      </c>
      <c r="D61" s="1">
        <v>41.7</v>
      </c>
      <c r="E61" s="30">
        <v>4900</v>
      </c>
      <c r="F61" s="1">
        <v>45</v>
      </c>
      <c r="G61" s="1">
        <v>7</v>
      </c>
      <c r="H61" s="1">
        <v>50</v>
      </c>
      <c r="I61" s="1">
        <v>4.05</v>
      </c>
      <c r="J61" s="1">
        <v>774200</v>
      </c>
      <c r="K61" s="1">
        <v>9800</v>
      </c>
      <c r="L61" s="1">
        <v>3.9</v>
      </c>
      <c r="M61" s="1">
        <v>4.0999999999999996</v>
      </c>
      <c r="N61" s="1">
        <v>9800</v>
      </c>
      <c r="O61" s="9"/>
      <c r="P61" s="7">
        <f t="shared" ca="1" si="5"/>
        <v>-0.59000000000000008</v>
      </c>
      <c r="Q61" s="7">
        <f t="shared" ca="1" si="14"/>
        <v>-4.5384615384615391E-2</v>
      </c>
      <c r="R61" s="33">
        <f t="shared" ca="1" si="0"/>
        <v>14455</v>
      </c>
      <c r="S61" s="33">
        <f t="shared" ca="1" si="1"/>
        <v>-10045</v>
      </c>
      <c r="T61" s="33">
        <f t="shared" ca="1" si="15"/>
        <v>14455</v>
      </c>
      <c r="U61" s="7">
        <f t="shared" ca="1" si="2"/>
        <v>1.4390243902439024</v>
      </c>
      <c r="V61" s="7">
        <f t="shared" ca="1" si="3"/>
        <v>-1.0686615239577171</v>
      </c>
      <c r="W61" s="33">
        <f t="shared" ca="1" si="16"/>
        <v>14455</v>
      </c>
      <c r="X61" s="7">
        <f t="shared" ca="1" si="17"/>
        <v>1</v>
      </c>
      <c r="Y61" s="7">
        <f t="shared" ca="1" si="18"/>
        <v>2.4390243902439024</v>
      </c>
      <c r="Z61" s="7">
        <f t="shared" ca="1" si="4"/>
        <v>-0.21094396309474855</v>
      </c>
      <c r="AA61" s="33">
        <f t="shared" ca="1" si="19"/>
        <v>14455</v>
      </c>
      <c r="AB61" s="7">
        <f t="shared" ca="1" si="20"/>
        <v>1</v>
      </c>
      <c r="AC61" s="7">
        <f t="shared" ca="1" si="21"/>
        <v>2.4390243902439024</v>
      </c>
      <c r="AD61" s="40"/>
      <c r="AE61" s="40"/>
      <c r="AF61" s="34"/>
      <c r="AH61" s="70">
        <f ca="1">AH60+$AH$2</f>
        <v>27.999999999999911</v>
      </c>
      <c r="AI61" s="70">
        <f ca="1">-MAX(-$AI$2+AH61,0)+$AI$1</f>
        <v>-0.14999999999991109</v>
      </c>
      <c r="AJ61" s="70">
        <f ca="1">MAX(AH61-$AJ$2,0)-$AJ$1</f>
        <v>-1.45</v>
      </c>
      <c r="AK61" s="70">
        <f ca="1">(AI61+AJ61)*$AK$1</f>
        <v>-16639.999999999076</v>
      </c>
    </row>
    <row r="62" spans="1:37" x14ac:dyDescent="0.25">
      <c r="A62" s="1">
        <v>59</v>
      </c>
      <c r="B62" s="25">
        <v>43979</v>
      </c>
      <c r="C62" s="10" t="s">
        <v>453</v>
      </c>
      <c r="D62" s="1">
        <v>41.7</v>
      </c>
      <c r="E62" s="30">
        <v>4900</v>
      </c>
      <c r="F62" s="1">
        <v>45</v>
      </c>
      <c r="G62" s="1">
        <v>7</v>
      </c>
      <c r="H62" s="1">
        <v>52.5</v>
      </c>
      <c r="I62" s="1">
        <v>3.05</v>
      </c>
      <c r="J62" s="1">
        <v>220500</v>
      </c>
      <c r="K62" s="1">
        <v>4900</v>
      </c>
      <c r="L62" s="1">
        <v>3.1</v>
      </c>
      <c r="M62" s="1">
        <v>3.15</v>
      </c>
      <c r="N62" s="1">
        <v>4900</v>
      </c>
      <c r="O62" s="9"/>
      <c r="P62" s="7">
        <f t="shared" ca="1" si="5"/>
        <v>-0.52666666666666673</v>
      </c>
      <c r="Q62" s="7">
        <f t="shared" ca="1" si="14"/>
        <v>-4.051282051282052E-2</v>
      </c>
      <c r="R62" s="33">
        <f t="shared" ca="1" si="0"/>
        <v>19355</v>
      </c>
      <c r="S62" s="33">
        <f t="shared" ca="1" si="1"/>
        <v>-17395</v>
      </c>
      <c r="T62" s="33">
        <f t="shared" ca="1" si="15"/>
        <v>19355</v>
      </c>
      <c r="U62" s="7">
        <f t="shared" ca="1" si="2"/>
        <v>1.1126760563380282</v>
      </c>
      <c r="V62" s="7">
        <f t="shared" ca="1" si="3"/>
        <v>-1.0686615239577171</v>
      </c>
      <c r="W62" s="33">
        <f t="shared" ca="1" si="16"/>
        <v>19355</v>
      </c>
      <c r="X62" s="7">
        <f t="shared" ca="1" si="17"/>
        <v>1</v>
      </c>
      <c r="Y62" s="7">
        <f t="shared" ca="1" si="18"/>
        <v>2.112676056338028</v>
      </c>
      <c r="Z62" s="7">
        <f t="shared" ca="1" si="4"/>
        <v>-0.21094396309474855</v>
      </c>
      <c r="AA62" s="33">
        <f t="shared" ca="1" si="19"/>
        <v>19355</v>
      </c>
      <c r="AB62" s="7">
        <f t="shared" ca="1" si="20"/>
        <v>1</v>
      </c>
      <c r="AC62" s="7">
        <f t="shared" ca="1" si="21"/>
        <v>2.112676056338028</v>
      </c>
      <c r="AD62" s="40"/>
      <c r="AE62" s="40"/>
      <c r="AF62" s="34"/>
      <c r="AH62" s="70">
        <f ca="1">AH61+$AH$2</f>
        <v>28.079999999999909</v>
      </c>
      <c r="AI62" s="70">
        <f ca="1">-MAX(-$AI$2+AH62,0)+$AI$1</f>
        <v>-0.22999999999990939</v>
      </c>
      <c r="AJ62" s="70">
        <f ca="1">MAX(AH62-$AJ$2,0)-$AJ$1</f>
        <v>-1.3700000000000905</v>
      </c>
      <c r="AK62" s="70">
        <f ca="1">(AI62+AJ62)*$AK$1</f>
        <v>-16640</v>
      </c>
    </row>
    <row r="63" spans="1:37" x14ac:dyDescent="0.25">
      <c r="A63" s="1">
        <v>60</v>
      </c>
      <c r="B63" s="25">
        <v>43979</v>
      </c>
      <c r="C63" s="10" t="s">
        <v>453</v>
      </c>
      <c r="D63" s="1">
        <v>41.7</v>
      </c>
      <c r="E63" s="30">
        <v>4900</v>
      </c>
      <c r="F63" s="1">
        <v>45</v>
      </c>
      <c r="G63" s="1">
        <v>7</v>
      </c>
      <c r="H63" s="1">
        <v>55</v>
      </c>
      <c r="I63" s="1">
        <v>2.2999999999999998</v>
      </c>
      <c r="J63" s="1">
        <v>1455300</v>
      </c>
      <c r="K63" s="1">
        <v>9800</v>
      </c>
      <c r="L63" s="1">
        <v>2.25</v>
      </c>
      <c r="M63" s="1">
        <v>2.35</v>
      </c>
      <c r="N63" s="1">
        <v>9800</v>
      </c>
      <c r="O63" s="9"/>
      <c r="P63" s="7">
        <f t="shared" ca="1" si="5"/>
        <v>-0.47000000000000003</v>
      </c>
      <c r="Q63" s="7">
        <f t="shared" ca="1" si="14"/>
        <v>-3.6153846153846154E-2</v>
      </c>
      <c r="R63" s="33">
        <f t="shared" ca="1" si="0"/>
        <v>23030</v>
      </c>
      <c r="S63" s="33">
        <f t="shared" ca="1" si="1"/>
        <v>-25970</v>
      </c>
      <c r="T63" s="33">
        <f t="shared" ca="1" si="15"/>
        <v>23030</v>
      </c>
      <c r="U63" s="7">
        <f t="shared" ca="1" si="2"/>
        <v>0.8867924528301887</v>
      </c>
      <c r="V63" s="7">
        <f t="shared" ca="1" si="3"/>
        <v>-1.0686615239577171</v>
      </c>
      <c r="W63" s="33">
        <f t="shared" ca="1" si="16"/>
        <v>23030</v>
      </c>
      <c r="X63" s="7">
        <f t="shared" ca="1" si="17"/>
        <v>1</v>
      </c>
      <c r="Y63" s="7">
        <f t="shared" ca="1" si="18"/>
        <v>1.8867924528301887</v>
      </c>
      <c r="Z63" s="7">
        <f t="shared" ca="1" si="4"/>
        <v>-0.21094396309474855</v>
      </c>
      <c r="AA63" s="33">
        <f t="shared" ca="1" si="19"/>
        <v>23030</v>
      </c>
      <c r="AB63" s="7">
        <f t="shared" ca="1" si="20"/>
        <v>1</v>
      </c>
      <c r="AC63" s="7">
        <f t="shared" ca="1" si="21"/>
        <v>1.8867924528301887</v>
      </c>
      <c r="AD63" s="40"/>
      <c r="AE63" s="40"/>
      <c r="AF63" s="34"/>
      <c r="AH63" s="70">
        <f ca="1">AH62+$AH$2</f>
        <v>28.159999999999908</v>
      </c>
      <c r="AI63" s="70">
        <f ca="1">-MAX(-$AI$2+AH63,0)+$AI$1</f>
        <v>-0.30999999999990768</v>
      </c>
      <c r="AJ63" s="70">
        <f ca="1">MAX(AH63-$AJ$2,0)-$AJ$1</f>
        <v>-1.2900000000000922</v>
      </c>
      <c r="AK63" s="70">
        <f ca="1">(AI63+AJ63)*$AK$1</f>
        <v>-16640</v>
      </c>
    </row>
    <row r="64" spans="1:37" x14ac:dyDescent="0.25">
      <c r="A64" s="1">
        <v>61</v>
      </c>
      <c r="B64" s="25">
        <v>43979</v>
      </c>
      <c r="C64" s="10" t="s">
        <v>453</v>
      </c>
      <c r="D64" s="1">
        <v>41.7</v>
      </c>
      <c r="E64" s="30">
        <v>4900</v>
      </c>
      <c r="F64" s="1">
        <v>45</v>
      </c>
      <c r="G64" s="1">
        <v>7</v>
      </c>
      <c r="H64" s="1">
        <v>57.5</v>
      </c>
      <c r="I64" s="1">
        <v>1.7</v>
      </c>
      <c r="J64" s="1">
        <v>161700</v>
      </c>
      <c r="K64" s="1">
        <v>9800</v>
      </c>
      <c r="L64" s="1">
        <v>1.6</v>
      </c>
      <c r="M64" s="1">
        <v>1.75</v>
      </c>
      <c r="N64" s="1">
        <v>4900</v>
      </c>
      <c r="O64" s="9"/>
      <c r="P64" s="7">
        <f t="shared" ca="1" si="5"/>
        <v>-0.42399999999999999</v>
      </c>
      <c r="Q64" s="7">
        <f t="shared" ca="1" si="14"/>
        <v>-3.2615384615384616E-2</v>
      </c>
      <c r="R64" s="33">
        <f t="shared" ca="1" si="0"/>
        <v>25970</v>
      </c>
      <c r="S64" s="33">
        <f t="shared" ca="1" si="1"/>
        <v>-35280</v>
      </c>
      <c r="T64" s="33">
        <f t="shared" ca="1" si="15"/>
        <v>25970</v>
      </c>
      <c r="U64" s="7">
        <f t="shared" ca="1" si="2"/>
        <v>0.73611111111111116</v>
      </c>
      <c r="V64" s="7">
        <f t="shared" ca="1" si="3"/>
        <v>-1.0686615239577171</v>
      </c>
      <c r="W64" s="33">
        <f t="shared" ca="1" si="16"/>
        <v>25970</v>
      </c>
      <c r="X64" s="7">
        <f t="shared" ca="1" si="17"/>
        <v>1</v>
      </c>
      <c r="Y64" s="7">
        <f t="shared" ca="1" si="18"/>
        <v>1.7361111111111112</v>
      </c>
      <c r="Z64" s="7">
        <f t="shared" ca="1" si="4"/>
        <v>-0.21094396309474855</v>
      </c>
      <c r="AA64" s="33">
        <f t="shared" ca="1" si="19"/>
        <v>25970</v>
      </c>
      <c r="AB64" s="7">
        <f t="shared" ca="1" si="20"/>
        <v>1</v>
      </c>
      <c r="AC64" s="7">
        <f t="shared" ca="1" si="21"/>
        <v>1.7361111111111112</v>
      </c>
      <c r="AD64" s="40"/>
      <c r="AE64" s="40"/>
      <c r="AF64" s="34"/>
      <c r="AH64" s="70">
        <f ca="1">AH63+$AH$2</f>
        <v>28.239999999999906</v>
      </c>
      <c r="AI64" s="70">
        <f ca="1">-MAX(-$AI$2+AH64,0)+$AI$1</f>
        <v>-0.38999999999990598</v>
      </c>
      <c r="AJ64" s="70">
        <f ca="1">MAX(AH64-$AJ$2,0)-$AJ$1</f>
        <v>-1.2100000000000939</v>
      </c>
      <c r="AK64" s="70">
        <f ca="1">(AI64+AJ64)*$AK$1</f>
        <v>-16640</v>
      </c>
    </row>
    <row r="65" spans="1:34" x14ac:dyDescent="0.25">
      <c r="A65" s="1">
        <v>62</v>
      </c>
      <c r="B65" s="25">
        <v>43979</v>
      </c>
      <c r="C65" s="10" t="s">
        <v>453</v>
      </c>
      <c r="D65" s="1">
        <v>41.7</v>
      </c>
      <c r="E65" s="30">
        <v>4900</v>
      </c>
      <c r="F65" s="1">
        <v>45</v>
      </c>
      <c r="G65" s="1">
        <v>7</v>
      </c>
      <c r="H65" s="1">
        <v>60</v>
      </c>
      <c r="I65" s="1">
        <v>1.2</v>
      </c>
      <c r="J65" s="1">
        <v>1293600</v>
      </c>
      <c r="K65" s="1">
        <v>14700</v>
      </c>
      <c r="L65" s="1">
        <v>1.1499999999999999</v>
      </c>
      <c r="M65" s="1">
        <v>1.25</v>
      </c>
      <c r="N65" s="1">
        <v>9800</v>
      </c>
      <c r="O65" s="9"/>
      <c r="P65" s="7">
        <f t="shared" ca="1" si="5"/>
        <v>-0.38666666666666666</v>
      </c>
      <c r="Q65" s="7">
        <f t="shared" ca="1" si="14"/>
        <v>-2.9743589743589743E-2</v>
      </c>
      <c r="R65" s="33">
        <f t="shared" ca="1" si="0"/>
        <v>28420</v>
      </c>
      <c r="S65" s="33">
        <f t="shared" ca="1" si="1"/>
        <v>-45080</v>
      </c>
      <c r="T65" s="33">
        <f t="shared" ca="1" si="15"/>
        <v>28420</v>
      </c>
      <c r="U65" s="7">
        <f t="shared" ca="1" si="2"/>
        <v>0.63043478260869568</v>
      </c>
      <c r="V65" s="7">
        <f t="shared" ca="1" si="3"/>
        <v>-1.0686615239577171</v>
      </c>
      <c r="W65" s="33">
        <f t="shared" ca="1" si="16"/>
        <v>28420</v>
      </c>
      <c r="X65" s="7">
        <f t="shared" ca="1" si="17"/>
        <v>1</v>
      </c>
      <c r="Y65" s="7">
        <f t="shared" ca="1" si="18"/>
        <v>1.6304347826086958</v>
      </c>
      <c r="Z65" s="7">
        <f t="shared" ca="1" si="4"/>
        <v>-0.21094396309474855</v>
      </c>
      <c r="AA65" s="33">
        <f t="shared" ca="1" si="19"/>
        <v>28420</v>
      </c>
      <c r="AB65" s="7">
        <f t="shared" ca="1" si="20"/>
        <v>1</v>
      </c>
      <c r="AC65" s="7">
        <f t="shared" ca="1" si="21"/>
        <v>1.6304347826086958</v>
      </c>
      <c r="AD65" s="40"/>
      <c r="AE65" s="40"/>
      <c r="AF65" s="34"/>
    </row>
    <row r="66" spans="1:34" x14ac:dyDescent="0.25">
      <c r="A66" s="1">
        <v>63</v>
      </c>
      <c r="B66" s="25">
        <v>43979</v>
      </c>
      <c r="C66" s="10" t="s">
        <v>453</v>
      </c>
      <c r="D66" s="1">
        <v>41.7</v>
      </c>
      <c r="E66" s="30">
        <v>4900</v>
      </c>
      <c r="F66" s="1">
        <v>45</v>
      </c>
      <c r="G66" s="1">
        <v>7</v>
      </c>
      <c r="H66" s="1">
        <v>62.5</v>
      </c>
      <c r="I66" s="1">
        <v>1.05</v>
      </c>
      <c r="J66" s="1">
        <v>63700</v>
      </c>
      <c r="K66" s="1">
        <v>9800</v>
      </c>
      <c r="L66" s="1">
        <v>0.95</v>
      </c>
      <c r="M66" s="1">
        <v>1.05</v>
      </c>
      <c r="N66" s="1">
        <v>4900</v>
      </c>
      <c r="O66" s="9"/>
      <c r="P66" s="7">
        <f t="shared" ca="1" si="5"/>
        <v>-0.34</v>
      </c>
      <c r="Q66" s="7">
        <f t="shared" ca="1" si="14"/>
        <v>-2.6153846153846156E-2</v>
      </c>
      <c r="R66" s="33">
        <f t="shared" ca="1" si="0"/>
        <v>29155</v>
      </c>
      <c r="S66" s="33">
        <f t="shared" ca="1" si="1"/>
        <v>-56595</v>
      </c>
      <c r="T66" s="33">
        <f t="shared" ca="1" si="15"/>
        <v>29155</v>
      </c>
      <c r="U66" s="7">
        <f t="shared" ca="1" si="2"/>
        <v>0.51515151515151514</v>
      </c>
      <c r="V66" s="7">
        <f t="shared" ca="1" si="3"/>
        <v>-1.0686615239577171</v>
      </c>
      <c r="W66" s="33">
        <f t="shared" ca="1" si="16"/>
        <v>29155</v>
      </c>
      <c r="X66" s="7">
        <f t="shared" ca="1" si="17"/>
        <v>1</v>
      </c>
      <c r="Y66" s="7">
        <f t="shared" ca="1" si="18"/>
        <v>1.5151515151515151</v>
      </c>
      <c r="Z66" s="7">
        <f t="shared" ca="1" si="4"/>
        <v>-0.21094396309474855</v>
      </c>
      <c r="AA66" s="33">
        <f t="shared" ca="1" si="19"/>
        <v>29155</v>
      </c>
      <c r="AB66" s="7">
        <f t="shared" ca="1" si="20"/>
        <v>1</v>
      </c>
      <c r="AC66" s="7">
        <f t="shared" ca="1" si="21"/>
        <v>1.5151515151515151</v>
      </c>
      <c r="AD66" s="40"/>
      <c r="AE66" s="40"/>
      <c r="AF66" s="34"/>
    </row>
    <row r="67" spans="1:34" x14ac:dyDescent="0.25">
      <c r="A67" s="1">
        <v>64</v>
      </c>
      <c r="B67" s="25">
        <v>43979</v>
      </c>
      <c r="C67" s="10" t="s">
        <v>453</v>
      </c>
      <c r="D67" s="1">
        <v>41.7</v>
      </c>
      <c r="E67" s="30">
        <v>4900</v>
      </c>
      <c r="F67" s="1">
        <v>45</v>
      </c>
      <c r="G67" s="1">
        <v>7</v>
      </c>
      <c r="H67" s="1">
        <v>65</v>
      </c>
      <c r="I67" s="1">
        <v>0.7</v>
      </c>
      <c r="J67" s="1">
        <v>298900</v>
      </c>
      <c r="K67" s="1">
        <v>4900</v>
      </c>
      <c r="L67" s="1">
        <v>0.7</v>
      </c>
      <c r="M67" s="1">
        <v>0.8</v>
      </c>
      <c r="N67" s="1">
        <v>4900</v>
      </c>
      <c r="O67" s="9"/>
      <c r="P67" s="7">
        <f t="shared" ca="1" si="5"/>
        <v>-0.315</v>
      </c>
      <c r="Q67" s="7">
        <f t="shared" ca="1" si="14"/>
        <v>-2.4230769230769229E-2</v>
      </c>
      <c r="R67" s="33">
        <f t="shared" ca="1" si="0"/>
        <v>30870</v>
      </c>
      <c r="S67" s="33">
        <f t="shared" ca="1" si="1"/>
        <v>-67130</v>
      </c>
      <c r="T67" s="33">
        <f t="shared" ca="1" si="15"/>
        <v>30870</v>
      </c>
      <c r="U67" s="7">
        <f t="shared" ca="1" si="2"/>
        <v>0.45985401459854014</v>
      </c>
      <c r="V67" s="7">
        <f t="shared" ca="1" si="3"/>
        <v>-1.0686615239577171</v>
      </c>
      <c r="W67" s="33">
        <f t="shared" ca="1" si="16"/>
        <v>30870</v>
      </c>
      <c r="X67" s="7">
        <f t="shared" ca="1" si="17"/>
        <v>1</v>
      </c>
      <c r="Y67" s="7">
        <f t="shared" ca="1" si="18"/>
        <v>1.4598540145985401</v>
      </c>
      <c r="Z67" s="7">
        <f t="shared" ca="1" si="4"/>
        <v>-0.21094396309474855</v>
      </c>
      <c r="AA67" s="33">
        <f t="shared" ca="1" si="19"/>
        <v>30870</v>
      </c>
      <c r="AB67" s="7">
        <f t="shared" ca="1" si="20"/>
        <v>1</v>
      </c>
      <c r="AC67" s="7">
        <f t="shared" ca="1" si="21"/>
        <v>1.4598540145985401</v>
      </c>
      <c r="AD67" s="40"/>
      <c r="AE67" s="40"/>
      <c r="AF67" s="34"/>
    </row>
    <row r="68" spans="1:34" x14ac:dyDescent="0.25">
      <c r="A68" s="1">
        <v>65</v>
      </c>
      <c r="B68" s="25">
        <v>43979</v>
      </c>
      <c r="C68" s="10" t="s">
        <v>453</v>
      </c>
      <c r="D68" s="1">
        <v>41.7</v>
      </c>
      <c r="E68" s="30">
        <v>4900</v>
      </c>
      <c r="F68" s="1">
        <v>45</v>
      </c>
      <c r="G68" s="1">
        <v>7</v>
      </c>
      <c r="H68" s="1">
        <v>67.5</v>
      </c>
      <c r="I68" s="1">
        <v>1.2</v>
      </c>
      <c r="J68" s="1">
        <v>19600</v>
      </c>
      <c r="K68" s="1">
        <v>4900</v>
      </c>
      <c r="L68" s="1">
        <v>0.45</v>
      </c>
      <c r="M68" s="1">
        <v>0.65</v>
      </c>
      <c r="N68" s="1">
        <v>4900</v>
      </c>
      <c r="O68" s="9"/>
      <c r="P68" s="7">
        <f t="shared" ca="1" si="5"/>
        <v>-0.25777777777777777</v>
      </c>
      <c r="Q68" s="7">
        <f t="shared" ca="1" si="14"/>
        <v>-1.9829059829059827E-2</v>
      </c>
      <c r="R68" s="33">
        <f t="shared" ref="R68:R131" ca="1" si="22">$E68*($G68-$I68)</f>
        <v>28420</v>
      </c>
      <c r="S68" s="33">
        <f t="shared" ref="S68:S131" ca="1" si="23">-(($H68-$F68)*$E68-$R68)</f>
        <v>-81830</v>
      </c>
      <c r="T68" s="33">
        <f t="shared" ca="1" si="15"/>
        <v>28420</v>
      </c>
      <c r="U68" s="7">
        <f t="shared" ref="U68:U131" ca="1" si="24">ABS($T68/$S68)</f>
        <v>0.3473053892215569</v>
      </c>
      <c r="V68" s="7">
        <f t="shared" ref="V68:V131" ca="1" si="25">mrigxl_max_drawdown($C68,INT($B68-TODAY()))</f>
        <v>-1.0686615239577171</v>
      </c>
      <c r="W68" s="33">
        <f t="shared" ca="1" si="16"/>
        <v>28420</v>
      </c>
      <c r="X68" s="7">
        <f t="shared" ca="1" si="17"/>
        <v>1</v>
      </c>
      <c r="Y68" s="7">
        <f t="shared" ca="1" si="18"/>
        <v>1.347305389221557</v>
      </c>
      <c r="Z68" s="7">
        <f t="shared" ref="Z68:Z131" ca="1" si="26">mrigxl_avg_drawdown($C68,INT($B68-TODAY()))</f>
        <v>-0.21094396309474855</v>
      </c>
      <c r="AA68" s="33">
        <f t="shared" ca="1" si="19"/>
        <v>28420</v>
      </c>
      <c r="AB68" s="7">
        <f t="shared" ca="1" si="20"/>
        <v>1</v>
      </c>
      <c r="AC68" s="7">
        <f t="shared" ca="1" si="21"/>
        <v>1.347305389221557</v>
      </c>
      <c r="AD68" s="40"/>
      <c r="AE68" s="40"/>
      <c r="AF68" s="34"/>
    </row>
    <row r="69" spans="1:34" x14ac:dyDescent="0.25">
      <c r="A69" s="1">
        <v>66</v>
      </c>
      <c r="B69" s="25">
        <v>43979</v>
      </c>
      <c r="C69" s="10" t="s">
        <v>453</v>
      </c>
      <c r="D69" s="1">
        <v>41.7</v>
      </c>
      <c r="E69" s="30">
        <v>4900</v>
      </c>
      <c r="F69" s="1">
        <v>45</v>
      </c>
      <c r="G69" s="1">
        <v>7</v>
      </c>
      <c r="H69" s="1">
        <v>70</v>
      </c>
      <c r="I69" s="1">
        <v>0.4</v>
      </c>
      <c r="J69" s="1">
        <v>294000</v>
      </c>
      <c r="K69" s="1">
        <v>9800</v>
      </c>
      <c r="L69" s="1">
        <v>0.4</v>
      </c>
      <c r="M69" s="1">
        <v>0.45</v>
      </c>
      <c r="N69" s="1">
        <v>9800</v>
      </c>
      <c r="O69" s="9"/>
      <c r="P69" s="7">
        <f t="shared" ref="P69:P132" ca="1" si="27">($G69-$I69)/($F69-$H69)</f>
        <v>-0.26400000000000001</v>
      </c>
      <c r="Q69" s="7">
        <f t="shared" ca="1" si="14"/>
        <v>-2.0307692307692308E-2</v>
      </c>
      <c r="R69" s="33">
        <f t="shared" ca="1" si="22"/>
        <v>32340</v>
      </c>
      <c r="S69" s="33">
        <f t="shared" ca="1" si="23"/>
        <v>-90160</v>
      </c>
      <c r="T69" s="33">
        <f t="shared" ca="1" si="15"/>
        <v>32340</v>
      </c>
      <c r="U69" s="7">
        <f t="shared" ca="1" si="24"/>
        <v>0.35869565217391303</v>
      </c>
      <c r="V69" s="7">
        <f t="shared" ca="1" si="25"/>
        <v>-1.0686615239577171</v>
      </c>
      <c r="W69" s="33">
        <f t="shared" ca="1" si="16"/>
        <v>32340</v>
      </c>
      <c r="X69" s="7">
        <f t="shared" ca="1" si="17"/>
        <v>1</v>
      </c>
      <c r="Y69" s="7">
        <f t="shared" ca="1" si="18"/>
        <v>1.3586956521739131</v>
      </c>
      <c r="Z69" s="7">
        <f t="shared" ca="1" si="26"/>
        <v>-0.21094396309474855</v>
      </c>
      <c r="AA69" s="33">
        <f t="shared" ca="1" si="19"/>
        <v>32340</v>
      </c>
      <c r="AB69" s="7">
        <f t="shared" ca="1" si="20"/>
        <v>1</v>
      </c>
      <c r="AC69" s="7">
        <f t="shared" ca="1" si="21"/>
        <v>1.3586956521739131</v>
      </c>
      <c r="AD69" s="40"/>
      <c r="AE69" s="40"/>
      <c r="AF69" s="34"/>
      <c r="AH69" s="34"/>
    </row>
    <row r="70" spans="1:34" x14ac:dyDescent="0.25">
      <c r="A70" s="1">
        <v>67</v>
      </c>
      <c r="B70" s="25">
        <v>43979</v>
      </c>
      <c r="C70" s="10" t="s">
        <v>453</v>
      </c>
      <c r="D70" s="1">
        <v>41.7</v>
      </c>
      <c r="E70" s="30">
        <v>4900</v>
      </c>
      <c r="F70" s="1">
        <v>45</v>
      </c>
      <c r="G70" s="1">
        <v>7</v>
      </c>
      <c r="H70" s="1">
        <v>75</v>
      </c>
      <c r="I70" s="1">
        <v>0.25</v>
      </c>
      <c r="J70" s="1">
        <v>98000</v>
      </c>
      <c r="K70" s="1">
        <v>19600</v>
      </c>
      <c r="L70" s="1">
        <v>0.2</v>
      </c>
      <c r="M70" s="1">
        <v>0.25</v>
      </c>
      <c r="N70" s="1">
        <v>4900</v>
      </c>
      <c r="O70" s="9"/>
      <c r="P70" s="7">
        <f t="shared" ca="1" si="27"/>
        <v>-0.22500000000000001</v>
      </c>
      <c r="Q70" s="7">
        <f t="shared" ca="1" si="14"/>
        <v>-1.7307692307692309E-2</v>
      </c>
      <c r="R70" s="33">
        <f t="shared" ca="1" si="22"/>
        <v>33075</v>
      </c>
      <c r="S70" s="33">
        <f t="shared" ca="1" si="23"/>
        <v>-113925</v>
      </c>
      <c r="T70" s="33">
        <f t="shared" ca="1" si="15"/>
        <v>33075</v>
      </c>
      <c r="U70" s="7">
        <f t="shared" ca="1" si="24"/>
        <v>0.29032258064516131</v>
      </c>
      <c r="V70" s="7">
        <f t="shared" ca="1" si="25"/>
        <v>-1.0686615239577171</v>
      </c>
      <c r="W70" s="33">
        <f t="shared" ca="1" si="16"/>
        <v>33075</v>
      </c>
      <c r="X70" s="7">
        <f t="shared" ca="1" si="17"/>
        <v>1</v>
      </c>
      <c r="Y70" s="7">
        <f t="shared" ca="1" si="18"/>
        <v>1.2903225806451613</v>
      </c>
      <c r="Z70" s="7">
        <f t="shared" ca="1" si="26"/>
        <v>-0.21094396309474855</v>
      </c>
      <c r="AA70" s="33">
        <f t="shared" ca="1" si="19"/>
        <v>33075</v>
      </c>
      <c r="AB70" s="7">
        <f t="shared" ca="1" si="20"/>
        <v>1</v>
      </c>
      <c r="AC70" s="7">
        <f t="shared" ca="1" si="21"/>
        <v>1.2903225806451613</v>
      </c>
      <c r="AD70" s="40"/>
      <c r="AE70" s="40"/>
      <c r="AF70" s="34"/>
      <c r="AH70" s="34"/>
    </row>
    <row r="71" spans="1:34" x14ac:dyDescent="0.25">
      <c r="A71" s="1">
        <v>68</v>
      </c>
      <c r="B71" s="25">
        <v>43979</v>
      </c>
      <c r="C71" s="10" t="s">
        <v>453</v>
      </c>
      <c r="D71" s="1">
        <v>41.7</v>
      </c>
      <c r="E71" s="30">
        <v>4900</v>
      </c>
      <c r="F71" s="1">
        <v>45</v>
      </c>
      <c r="G71" s="1">
        <v>7</v>
      </c>
      <c r="H71" s="1">
        <v>80</v>
      </c>
      <c r="I71" s="1">
        <v>0.3</v>
      </c>
      <c r="J71" s="1">
        <v>9800</v>
      </c>
      <c r="K71" s="1">
        <v>34300</v>
      </c>
      <c r="L71" s="1">
        <v>0.15</v>
      </c>
      <c r="M71" s="1">
        <v>0.3</v>
      </c>
      <c r="N71" s="1">
        <v>4900</v>
      </c>
      <c r="O71" s="9"/>
      <c r="P71" s="7">
        <f t="shared" ca="1" si="27"/>
        <v>-0.19142857142857142</v>
      </c>
      <c r="Q71" s="7">
        <f t="shared" ca="1" si="14"/>
        <v>-1.4725274725274724E-2</v>
      </c>
      <c r="R71" s="33">
        <f t="shared" ca="1" si="22"/>
        <v>32830</v>
      </c>
      <c r="S71" s="33">
        <f t="shared" ca="1" si="23"/>
        <v>-138670</v>
      </c>
      <c r="T71" s="33">
        <f t="shared" ca="1" si="15"/>
        <v>32830</v>
      </c>
      <c r="U71" s="7">
        <f t="shared" ca="1" si="24"/>
        <v>0.23674911660777384</v>
      </c>
      <c r="V71" s="7">
        <f t="shared" ca="1" si="25"/>
        <v>-1.0686615239577171</v>
      </c>
      <c r="W71" s="33">
        <f t="shared" ca="1" si="16"/>
        <v>32830</v>
      </c>
      <c r="X71" s="7">
        <f t="shared" ca="1" si="17"/>
        <v>1</v>
      </c>
      <c r="Y71" s="7">
        <f t="shared" ca="1" si="18"/>
        <v>1.2367491166077738</v>
      </c>
      <c r="Z71" s="7">
        <f t="shared" ca="1" si="26"/>
        <v>-0.21094396309474855</v>
      </c>
      <c r="AA71" s="33">
        <f t="shared" ca="1" si="19"/>
        <v>32830</v>
      </c>
      <c r="AB71" s="7">
        <f t="shared" ca="1" si="20"/>
        <v>1</v>
      </c>
      <c r="AC71" s="7">
        <f t="shared" ca="1" si="21"/>
        <v>1.2367491166077738</v>
      </c>
      <c r="AD71" s="40"/>
      <c r="AE71" s="40"/>
      <c r="AF71" s="34"/>
      <c r="AH71" s="34"/>
    </row>
    <row r="72" spans="1:34" x14ac:dyDescent="0.25">
      <c r="A72" s="1">
        <v>69</v>
      </c>
      <c r="B72" s="25">
        <v>43979</v>
      </c>
      <c r="C72" s="10" t="s">
        <v>453</v>
      </c>
      <c r="D72" s="1">
        <v>41.7</v>
      </c>
      <c r="E72" s="30">
        <v>4900</v>
      </c>
      <c r="F72" s="1">
        <v>45</v>
      </c>
      <c r="G72" s="1">
        <v>7</v>
      </c>
      <c r="H72" s="1">
        <v>82.5</v>
      </c>
      <c r="I72" s="1">
        <v>0.2</v>
      </c>
      <c r="J72" s="1">
        <v>4900</v>
      </c>
      <c r="K72" s="1">
        <v>14700</v>
      </c>
      <c r="L72" s="1">
        <v>0.1</v>
      </c>
      <c r="M72" s="1">
        <v>0.6</v>
      </c>
      <c r="N72" s="1">
        <v>39200</v>
      </c>
      <c r="O72" s="9"/>
      <c r="P72" s="7">
        <f t="shared" ca="1" si="27"/>
        <v>-0.18133333333333332</v>
      </c>
      <c r="Q72" s="7">
        <f t="shared" ca="1" si="14"/>
        <v>-1.3948717948717947E-2</v>
      </c>
      <c r="R72" s="33">
        <f t="shared" ca="1" si="22"/>
        <v>33320</v>
      </c>
      <c r="S72" s="33">
        <f t="shared" ca="1" si="23"/>
        <v>-150430</v>
      </c>
      <c r="T72" s="33">
        <f t="shared" ca="1" si="15"/>
        <v>33320</v>
      </c>
      <c r="U72" s="7">
        <f t="shared" ca="1" si="24"/>
        <v>0.22149837133550487</v>
      </c>
      <c r="V72" s="7">
        <f t="shared" ca="1" si="25"/>
        <v>-1.0686615239577171</v>
      </c>
      <c r="W72" s="33">
        <f t="shared" ca="1" si="16"/>
        <v>33320</v>
      </c>
      <c r="X72" s="7">
        <f t="shared" ca="1" si="17"/>
        <v>1</v>
      </c>
      <c r="Y72" s="7">
        <f t="shared" ca="1" si="18"/>
        <v>1.221498371335505</v>
      </c>
      <c r="Z72" s="7">
        <f t="shared" ca="1" si="26"/>
        <v>-0.21094396309474855</v>
      </c>
      <c r="AA72" s="33">
        <f t="shared" ca="1" si="19"/>
        <v>33320</v>
      </c>
      <c r="AB72" s="7">
        <f t="shared" ca="1" si="20"/>
        <v>1</v>
      </c>
      <c r="AC72" s="7">
        <f t="shared" ca="1" si="21"/>
        <v>1.221498371335505</v>
      </c>
      <c r="AD72" s="40"/>
      <c r="AE72" s="40"/>
      <c r="AF72" s="34"/>
      <c r="AH72" s="34"/>
    </row>
    <row r="73" spans="1:34" x14ac:dyDescent="0.25">
      <c r="A73" s="1">
        <v>70</v>
      </c>
      <c r="B73" s="25">
        <v>43979</v>
      </c>
      <c r="C73" s="10" t="s">
        <v>453</v>
      </c>
      <c r="D73" s="1">
        <v>41.7</v>
      </c>
      <c r="E73" s="30">
        <v>4900</v>
      </c>
      <c r="F73" s="1">
        <v>45</v>
      </c>
      <c r="G73" s="1">
        <v>7</v>
      </c>
      <c r="H73" s="1">
        <v>87.5</v>
      </c>
      <c r="I73" s="1">
        <v>2</v>
      </c>
      <c r="J73" s="1">
        <v>4900</v>
      </c>
      <c r="K73" s="1">
        <v>9800</v>
      </c>
      <c r="L73" s="1">
        <v>0.05</v>
      </c>
      <c r="M73" s="1">
        <v>0.6</v>
      </c>
      <c r="N73" s="1">
        <v>9800</v>
      </c>
      <c r="O73" s="9"/>
      <c r="P73" s="7">
        <f t="shared" ca="1" si="27"/>
        <v>-0.11764705882352941</v>
      </c>
      <c r="Q73" s="7">
        <f t="shared" ca="1" si="14"/>
        <v>-9.0497737556561077E-3</v>
      </c>
      <c r="R73" s="33">
        <f t="shared" ca="1" si="22"/>
        <v>24500</v>
      </c>
      <c r="S73" s="33">
        <f t="shared" ca="1" si="23"/>
        <v>-183750</v>
      </c>
      <c r="T73" s="33">
        <f t="shared" ca="1" si="15"/>
        <v>24500</v>
      </c>
      <c r="U73" s="7">
        <f t="shared" ca="1" si="24"/>
        <v>0.13333333333333333</v>
      </c>
      <c r="V73" s="7">
        <f t="shared" ca="1" si="25"/>
        <v>-1.0686615239577171</v>
      </c>
      <c r="W73" s="33">
        <f t="shared" ca="1" si="16"/>
        <v>24500</v>
      </c>
      <c r="X73" s="7">
        <f t="shared" ca="1" si="17"/>
        <v>1</v>
      </c>
      <c r="Y73" s="7">
        <f t="shared" ca="1" si="18"/>
        <v>1.1333333333333333</v>
      </c>
      <c r="Z73" s="7">
        <f t="shared" ca="1" si="26"/>
        <v>-0.21094396309474855</v>
      </c>
      <c r="AA73" s="33">
        <f t="shared" ca="1" si="19"/>
        <v>24500</v>
      </c>
      <c r="AB73" s="7">
        <f t="shared" ca="1" si="20"/>
        <v>1</v>
      </c>
      <c r="AC73" s="7">
        <f t="shared" ca="1" si="21"/>
        <v>1.1333333333333333</v>
      </c>
      <c r="AD73" s="40"/>
      <c r="AE73" s="40"/>
      <c r="AF73" s="34"/>
      <c r="AH73" s="34"/>
    </row>
    <row r="74" spans="1:34" x14ac:dyDescent="0.25">
      <c r="A74" s="1">
        <v>71</v>
      </c>
      <c r="B74" s="25">
        <v>43979</v>
      </c>
      <c r="C74" s="10" t="s">
        <v>453</v>
      </c>
      <c r="D74" s="1">
        <v>41.7</v>
      </c>
      <c r="E74" s="30">
        <v>4900</v>
      </c>
      <c r="F74" s="1">
        <v>45</v>
      </c>
      <c r="G74" s="1">
        <v>7</v>
      </c>
      <c r="H74" s="1">
        <v>90</v>
      </c>
      <c r="I74" s="1">
        <v>0.15</v>
      </c>
      <c r="J74" s="1">
        <v>9800</v>
      </c>
      <c r="K74" s="1">
        <v>4900</v>
      </c>
      <c r="L74" s="1">
        <v>0.1</v>
      </c>
      <c r="M74" s="1">
        <v>0.3</v>
      </c>
      <c r="N74" s="1">
        <v>4900</v>
      </c>
      <c r="O74" s="9"/>
      <c r="P74" s="7">
        <f t="shared" ca="1" si="27"/>
        <v>-0.1522222222222222</v>
      </c>
      <c r="Q74" s="7">
        <f t="shared" ca="1" si="14"/>
        <v>-1.1709401709401709E-2</v>
      </c>
      <c r="R74" s="33">
        <f t="shared" ca="1" si="22"/>
        <v>33565</v>
      </c>
      <c r="S74" s="33">
        <f t="shared" ca="1" si="23"/>
        <v>-186935</v>
      </c>
      <c r="T74" s="33">
        <f t="shared" ca="1" si="15"/>
        <v>33565</v>
      </c>
      <c r="U74" s="7">
        <f t="shared" ca="1" si="24"/>
        <v>0.17955439056356487</v>
      </c>
      <c r="V74" s="7">
        <f t="shared" ca="1" si="25"/>
        <v>-1.0686615239577171</v>
      </c>
      <c r="W74" s="33">
        <f t="shared" ca="1" si="16"/>
        <v>33565</v>
      </c>
      <c r="X74" s="7">
        <f t="shared" ca="1" si="17"/>
        <v>1</v>
      </c>
      <c r="Y74" s="7">
        <f t="shared" ca="1" si="18"/>
        <v>1.1795543905635648</v>
      </c>
      <c r="Z74" s="7">
        <f t="shared" ca="1" si="26"/>
        <v>-0.21094396309474855</v>
      </c>
      <c r="AA74" s="33">
        <f t="shared" ca="1" si="19"/>
        <v>33565</v>
      </c>
      <c r="AB74" s="7">
        <f t="shared" ca="1" si="20"/>
        <v>1</v>
      </c>
      <c r="AC74" s="7">
        <f t="shared" ca="1" si="21"/>
        <v>1.1795543905635648</v>
      </c>
      <c r="AD74" s="40"/>
      <c r="AE74" s="40"/>
      <c r="AF74" s="34"/>
      <c r="AH74" s="34"/>
    </row>
    <row r="75" spans="1:34" x14ac:dyDescent="0.25">
      <c r="A75" s="1">
        <v>72</v>
      </c>
      <c r="B75" s="25">
        <v>43979</v>
      </c>
      <c r="C75" s="10" t="s">
        <v>453</v>
      </c>
      <c r="D75" s="1">
        <v>41.7</v>
      </c>
      <c r="E75" s="30">
        <v>4900</v>
      </c>
      <c r="F75" s="1">
        <v>45</v>
      </c>
      <c r="G75" s="1">
        <v>7</v>
      </c>
      <c r="H75" s="1">
        <v>100</v>
      </c>
      <c r="I75" s="1">
        <v>0.3</v>
      </c>
      <c r="J75" s="1">
        <v>14700</v>
      </c>
      <c r="K75" s="1">
        <v>4900</v>
      </c>
      <c r="L75" s="1">
        <v>0.1</v>
      </c>
      <c r="M75" s="1">
        <v>0.2</v>
      </c>
      <c r="N75" s="1">
        <v>4900</v>
      </c>
      <c r="O75" s="9"/>
      <c r="P75" s="7">
        <f t="shared" ca="1" si="27"/>
        <v>-0.12181818181818183</v>
      </c>
      <c r="Q75" s="7">
        <f t="shared" ca="1" si="14"/>
        <v>-9.3706293706293711E-3</v>
      </c>
      <c r="R75" s="33">
        <f t="shared" ca="1" si="22"/>
        <v>32830</v>
      </c>
      <c r="S75" s="33">
        <f t="shared" ca="1" si="23"/>
        <v>-236670</v>
      </c>
      <c r="T75" s="33">
        <f t="shared" ca="1" si="15"/>
        <v>32830</v>
      </c>
      <c r="U75" s="7">
        <f t="shared" ca="1" si="24"/>
        <v>0.13871635610766045</v>
      </c>
      <c r="V75" s="7">
        <f t="shared" ca="1" si="25"/>
        <v>-1.0686615239577171</v>
      </c>
      <c r="W75" s="33">
        <f t="shared" ca="1" si="16"/>
        <v>32830</v>
      </c>
      <c r="X75" s="7">
        <f t="shared" ca="1" si="17"/>
        <v>1</v>
      </c>
      <c r="Y75" s="7">
        <f t="shared" ca="1" si="18"/>
        <v>1.1387163561076605</v>
      </c>
      <c r="Z75" s="7">
        <f t="shared" ca="1" si="26"/>
        <v>-0.21094396309474855</v>
      </c>
      <c r="AA75" s="33">
        <f t="shared" ca="1" si="19"/>
        <v>32830</v>
      </c>
      <c r="AB75" s="7">
        <f t="shared" ca="1" si="20"/>
        <v>1</v>
      </c>
      <c r="AC75" s="7">
        <f t="shared" ca="1" si="21"/>
        <v>1.1387163561076605</v>
      </c>
      <c r="AD75" s="40"/>
      <c r="AE75" s="40"/>
      <c r="AF75" s="34"/>
      <c r="AH75" s="34"/>
    </row>
    <row r="76" spans="1:34" x14ac:dyDescent="0.25">
      <c r="A76" s="1">
        <v>73</v>
      </c>
      <c r="B76" s="25">
        <v>43979</v>
      </c>
      <c r="C76" s="10" t="s">
        <v>453</v>
      </c>
      <c r="D76" s="1">
        <v>41.7</v>
      </c>
      <c r="E76" s="30">
        <v>4900</v>
      </c>
      <c r="F76" s="1">
        <v>45</v>
      </c>
      <c r="G76" s="1">
        <v>7</v>
      </c>
      <c r="H76" s="1">
        <v>102.5</v>
      </c>
      <c r="I76" s="1">
        <v>0.15</v>
      </c>
      <c r="J76" s="1">
        <v>142100</v>
      </c>
      <c r="K76" s="1">
        <v>39200</v>
      </c>
      <c r="L76" s="1">
        <v>0.1</v>
      </c>
      <c r="M76" s="1">
        <v>0.2</v>
      </c>
      <c r="N76" s="1">
        <v>9800</v>
      </c>
      <c r="O76" s="9"/>
      <c r="P76" s="7">
        <f t="shared" ca="1" si="27"/>
        <v>-0.11913043478260869</v>
      </c>
      <c r="Q76" s="7">
        <f t="shared" ca="1" si="14"/>
        <v>-9.1638795986622064E-3</v>
      </c>
      <c r="R76" s="33">
        <f t="shared" ca="1" si="22"/>
        <v>33565</v>
      </c>
      <c r="S76" s="33">
        <f t="shared" ca="1" si="23"/>
        <v>-248185</v>
      </c>
      <c r="T76" s="33">
        <f t="shared" ca="1" si="15"/>
        <v>33565</v>
      </c>
      <c r="U76" s="7">
        <f t="shared" ca="1" si="24"/>
        <v>0.13524185587364265</v>
      </c>
      <c r="V76" s="7">
        <f t="shared" ca="1" si="25"/>
        <v>-1.0686615239577171</v>
      </c>
      <c r="W76" s="33">
        <f t="shared" ca="1" si="16"/>
        <v>33565</v>
      </c>
      <c r="X76" s="7">
        <f t="shared" ca="1" si="17"/>
        <v>1</v>
      </c>
      <c r="Y76" s="7">
        <f t="shared" ca="1" si="18"/>
        <v>1.1352418558736426</v>
      </c>
      <c r="Z76" s="7">
        <f t="shared" ca="1" si="26"/>
        <v>-0.21094396309474855</v>
      </c>
      <c r="AA76" s="33">
        <f t="shared" ca="1" si="19"/>
        <v>33565</v>
      </c>
      <c r="AB76" s="7">
        <f t="shared" ca="1" si="20"/>
        <v>1</v>
      </c>
      <c r="AC76" s="7">
        <f t="shared" ca="1" si="21"/>
        <v>1.1352418558736426</v>
      </c>
      <c r="AD76" s="40"/>
      <c r="AE76" s="40"/>
      <c r="AF76" s="34"/>
      <c r="AH76" s="34"/>
    </row>
    <row r="77" spans="1:34" x14ac:dyDescent="0.25">
      <c r="A77" s="1">
        <v>74</v>
      </c>
      <c r="B77" s="25">
        <v>43979</v>
      </c>
      <c r="C77" s="10" t="s">
        <v>470</v>
      </c>
      <c r="D77" s="1">
        <v>144.80000000000001</v>
      </c>
      <c r="E77" s="30">
        <v>2900</v>
      </c>
      <c r="F77" s="1">
        <v>155</v>
      </c>
      <c r="G77" s="1">
        <v>6.5</v>
      </c>
      <c r="H77" s="1">
        <v>160</v>
      </c>
      <c r="I77" s="1">
        <v>4.3499999999999996</v>
      </c>
      <c r="J77" s="1">
        <v>255200</v>
      </c>
      <c r="K77" s="1">
        <v>5800</v>
      </c>
      <c r="L77" s="1">
        <v>4.3</v>
      </c>
      <c r="M77" s="1">
        <v>4.55</v>
      </c>
      <c r="N77" s="1">
        <v>5800</v>
      </c>
      <c r="O77" s="9"/>
      <c r="P77" s="7">
        <f t="shared" ca="1" si="27"/>
        <v>-0.43000000000000005</v>
      </c>
      <c r="Q77" s="7">
        <f t="shared" ca="1" si="14"/>
        <v>-3.307692307692308E-2</v>
      </c>
      <c r="R77" s="33">
        <f t="shared" ca="1" si="22"/>
        <v>6235.0000000000009</v>
      </c>
      <c r="S77" s="33">
        <f t="shared" ca="1" si="23"/>
        <v>-8265</v>
      </c>
      <c r="T77" s="33">
        <f t="shared" ca="1" si="15"/>
        <v>6235.0000000000009</v>
      </c>
      <c r="U77" s="7">
        <f t="shared" ca="1" si="24"/>
        <v>0.75438596491228083</v>
      </c>
      <c r="V77" s="7">
        <f t="shared" ca="1" si="25"/>
        <v>-0.24405893836912784</v>
      </c>
      <c r="W77" s="33">
        <f t="shared" ca="1" si="16"/>
        <v>6235.0000000000009</v>
      </c>
      <c r="X77" s="7">
        <f t="shared" ca="1" si="17"/>
        <v>1</v>
      </c>
      <c r="Y77" s="7">
        <f t="shared" ca="1" si="18"/>
        <v>1.7543859649122808</v>
      </c>
      <c r="Z77" s="7">
        <f t="shared" ca="1" si="26"/>
        <v>-7.7291997249445382E-2</v>
      </c>
      <c r="AA77" s="33">
        <f t="shared" ca="1" si="19"/>
        <v>6235.0000000000009</v>
      </c>
      <c r="AB77" s="7">
        <f t="shared" ca="1" si="20"/>
        <v>1</v>
      </c>
      <c r="AC77" s="7">
        <f t="shared" ca="1" si="21"/>
        <v>1.7543859649122808</v>
      </c>
      <c r="AD77" s="40"/>
      <c r="AE77" s="40"/>
      <c r="AF77" s="34"/>
      <c r="AH77" s="34"/>
    </row>
    <row r="78" spans="1:34" x14ac:dyDescent="0.25">
      <c r="A78" s="1">
        <v>75</v>
      </c>
      <c r="B78" s="25">
        <v>43979</v>
      </c>
      <c r="C78" s="10" t="s">
        <v>470</v>
      </c>
      <c r="D78" s="1">
        <v>144.80000000000001</v>
      </c>
      <c r="E78" s="30">
        <v>2900</v>
      </c>
      <c r="F78" s="1">
        <v>155</v>
      </c>
      <c r="G78" s="1">
        <v>6.5</v>
      </c>
      <c r="H78" s="1">
        <v>165</v>
      </c>
      <c r="I78" s="1">
        <v>2.95</v>
      </c>
      <c r="J78" s="1">
        <v>66700</v>
      </c>
      <c r="K78" s="1">
        <v>8700</v>
      </c>
      <c r="L78" s="1">
        <v>2.7</v>
      </c>
      <c r="M78" s="1">
        <v>3.05</v>
      </c>
      <c r="N78" s="1">
        <v>2900</v>
      </c>
      <c r="O78" s="9"/>
      <c r="P78" s="7">
        <f t="shared" ca="1" si="27"/>
        <v>-0.35499999999999998</v>
      </c>
      <c r="Q78" s="7">
        <f t="shared" ca="1" si="14"/>
        <v>-2.7307692307692307E-2</v>
      </c>
      <c r="R78" s="33">
        <f t="shared" ca="1" si="22"/>
        <v>10295</v>
      </c>
      <c r="S78" s="33">
        <f t="shared" ca="1" si="23"/>
        <v>-18705</v>
      </c>
      <c r="T78" s="33">
        <f t="shared" ca="1" si="15"/>
        <v>10295</v>
      </c>
      <c r="U78" s="7">
        <f t="shared" ca="1" si="24"/>
        <v>0.55038759689922478</v>
      </c>
      <c r="V78" s="7">
        <f t="shared" ca="1" si="25"/>
        <v>-0.24405893836912784</v>
      </c>
      <c r="W78" s="33">
        <f t="shared" ca="1" si="16"/>
        <v>10295</v>
      </c>
      <c r="X78" s="7">
        <f t="shared" ca="1" si="17"/>
        <v>1</v>
      </c>
      <c r="Y78" s="7">
        <f t="shared" ca="1" si="18"/>
        <v>1.5503875968992249</v>
      </c>
      <c r="Z78" s="7">
        <f t="shared" ca="1" si="26"/>
        <v>-7.7291997249445382E-2</v>
      </c>
      <c r="AA78" s="33">
        <f t="shared" ca="1" si="19"/>
        <v>10295</v>
      </c>
      <c r="AB78" s="7">
        <f t="shared" ca="1" si="20"/>
        <v>1</v>
      </c>
      <c r="AC78" s="7">
        <f t="shared" ca="1" si="21"/>
        <v>1.5503875968992249</v>
      </c>
      <c r="AD78" s="40"/>
      <c r="AE78" s="40"/>
      <c r="AF78" s="34"/>
      <c r="AH78" s="34"/>
    </row>
    <row r="79" spans="1:34" x14ac:dyDescent="0.25">
      <c r="A79" s="1">
        <v>76</v>
      </c>
      <c r="B79" s="25">
        <v>43979</v>
      </c>
      <c r="C79" s="10" t="s">
        <v>470</v>
      </c>
      <c r="D79" s="1">
        <v>144.80000000000001</v>
      </c>
      <c r="E79" s="30">
        <v>2900</v>
      </c>
      <c r="F79" s="1">
        <v>155</v>
      </c>
      <c r="G79" s="1">
        <v>6.5</v>
      </c>
      <c r="H79" s="1">
        <v>170</v>
      </c>
      <c r="I79" s="1">
        <v>2.2000000000000002</v>
      </c>
      <c r="J79" s="1">
        <v>200100</v>
      </c>
      <c r="K79" s="1">
        <v>2900</v>
      </c>
      <c r="L79" s="1">
        <v>2</v>
      </c>
      <c r="M79" s="1">
        <v>2.5499999999999998</v>
      </c>
      <c r="N79" s="1">
        <v>23200</v>
      </c>
      <c r="O79" s="9"/>
      <c r="P79" s="7">
        <f t="shared" ca="1" si="27"/>
        <v>-0.28666666666666668</v>
      </c>
      <c r="Q79" s="7">
        <f t="shared" ca="1" si="14"/>
        <v>-2.2051282051282053E-2</v>
      </c>
      <c r="R79" s="33">
        <f t="shared" ca="1" si="22"/>
        <v>12470</v>
      </c>
      <c r="S79" s="33">
        <f t="shared" ca="1" si="23"/>
        <v>-31030</v>
      </c>
      <c r="T79" s="33">
        <f t="shared" ca="1" si="15"/>
        <v>12470</v>
      </c>
      <c r="U79" s="7">
        <f t="shared" ca="1" si="24"/>
        <v>0.40186915887850466</v>
      </c>
      <c r="V79" s="7">
        <f t="shared" ca="1" si="25"/>
        <v>-0.24405893836912784</v>
      </c>
      <c r="W79" s="33">
        <f t="shared" ca="1" si="16"/>
        <v>12470</v>
      </c>
      <c r="X79" s="7">
        <f t="shared" ca="1" si="17"/>
        <v>1</v>
      </c>
      <c r="Y79" s="7">
        <f t="shared" ca="1" si="18"/>
        <v>1.4018691588785046</v>
      </c>
      <c r="Z79" s="7">
        <f t="shared" ca="1" si="26"/>
        <v>-7.7291997249445382E-2</v>
      </c>
      <c r="AA79" s="33">
        <f t="shared" ca="1" si="19"/>
        <v>12470</v>
      </c>
      <c r="AB79" s="7">
        <f t="shared" ca="1" si="20"/>
        <v>1</v>
      </c>
      <c r="AC79" s="7">
        <f t="shared" ca="1" si="21"/>
        <v>1.4018691588785046</v>
      </c>
      <c r="AD79" s="40"/>
      <c r="AE79" s="40"/>
      <c r="AF79" s="34"/>
      <c r="AH79" s="34"/>
    </row>
    <row r="80" spans="1:34" x14ac:dyDescent="0.25">
      <c r="A80" s="1">
        <v>77</v>
      </c>
      <c r="B80" s="25">
        <v>43979</v>
      </c>
      <c r="C80" s="10" t="s">
        <v>470</v>
      </c>
      <c r="D80" s="1">
        <v>144.80000000000001</v>
      </c>
      <c r="E80" s="30">
        <v>2900</v>
      </c>
      <c r="F80" s="1">
        <v>155</v>
      </c>
      <c r="G80" s="1">
        <v>6.5</v>
      </c>
      <c r="H80" s="1">
        <v>175</v>
      </c>
      <c r="I80" s="1">
        <v>2.4</v>
      </c>
      <c r="J80" s="1">
        <v>31900</v>
      </c>
      <c r="K80" s="1">
        <v>2900</v>
      </c>
      <c r="L80" s="1">
        <v>0.9</v>
      </c>
      <c r="M80" s="1">
        <v>1.75</v>
      </c>
      <c r="N80" s="1">
        <v>14500</v>
      </c>
      <c r="O80" s="9"/>
      <c r="P80" s="7">
        <f t="shared" ca="1" si="27"/>
        <v>-0.20499999999999999</v>
      </c>
      <c r="Q80" s="7">
        <f t="shared" ca="1" si="14"/>
        <v>-1.5769230769230768E-2</v>
      </c>
      <c r="R80" s="33">
        <f t="shared" ca="1" si="22"/>
        <v>11889.999999999998</v>
      </c>
      <c r="S80" s="33">
        <f t="shared" ca="1" si="23"/>
        <v>-46110</v>
      </c>
      <c r="T80" s="33">
        <f t="shared" ca="1" si="15"/>
        <v>11889.999999999998</v>
      </c>
      <c r="U80" s="7">
        <f t="shared" ca="1" si="24"/>
        <v>0.25786163522012573</v>
      </c>
      <c r="V80" s="7">
        <f t="shared" ca="1" si="25"/>
        <v>-0.24405893836912784</v>
      </c>
      <c r="W80" s="33">
        <f t="shared" ca="1" si="16"/>
        <v>11889.999999999998</v>
      </c>
      <c r="X80" s="7">
        <f t="shared" ca="1" si="17"/>
        <v>1</v>
      </c>
      <c r="Y80" s="7">
        <f t="shared" ca="1" si="18"/>
        <v>1.2578616352201257</v>
      </c>
      <c r="Z80" s="7">
        <f t="shared" ca="1" si="26"/>
        <v>-7.7291997249445382E-2</v>
      </c>
      <c r="AA80" s="33">
        <f t="shared" ca="1" si="19"/>
        <v>11889.999999999998</v>
      </c>
      <c r="AB80" s="7">
        <f t="shared" ca="1" si="20"/>
        <v>1</v>
      </c>
      <c r="AC80" s="7">
        <f t="shared" ca="1" si="21"/>
        <v>1.2578616352201257</v>
      </c>
      <c r="AD80" s="40"/>
      <c r="AE80" s="40"/>
      <c r="AF80" s="34"/>
      <c r="AH80" s="34"/>
    </row>
    <row r="81" spans="1:34" x14ac:dyDescent="0.25">
      <c r="A81" s="1">
        <v>78</v>
      </c>
      <c r="B81" s="25">
        <v>43979</v>
      </c>
      <c r="C81" s="10" t="s">
        <v>470</v>
      </c>
      <c r="D81" s="1">
        <v>144.80000000000001</v>
      </c>
      <c r="E81" s="30">
        <v>2900</v>
      </c>
      <c r="F81" s="1">
        <v>155</v>
      </c>
      <c r="G81" s="1">
        <v>6.5</v>
      </c>
      <c r="H81" s="1">
        <v>180</v>
      </c>
      <c r="I81" s="1">
        <v>0.85</v>
      </c>
      <c r="J81" s="1">
        <v>130500</v>
      </c>
      <c r="K81" s="1">
        <v>2900</v>
      </c>
      <c r="L81" s="1">
        <v>0.55000000000000004</v>
      </c>
      <c r="M81" s="1">
        <v>1</v>
      </c>
      <c r="N81" s="1">
        <v>2900</v>
      </c>
      <c r="O81" s="9"/>
      <c r="P81" s="7">
        <f t="shared" ca="1" si="27"/>
        <v>-0.22600000000000001</v>
      </c>
      <c r="Q81" s="7">
        <f t="shared" ca="1" si="14"/>
        <v>-1.7384615384615384E-2</v>
      </c>
      <c r="R81" s="33">
        <f t="shared" ca="1" si="22"/>
        <v>16385</v>
      </c>
      <c r="S81" s="33">
        <f t="shared" ca="1" si="23"/>
        <v>-56115</v>
      </c>
      <c r="T81" s="33">
        <f t="shared" ca="1" si="15"/>
        <v>16385</v>
      </c>
      <c r="U81" s="7">
        <f t="shared" ca="1" si="24"/>
        <v>0.29198966408268734</v>
      </c>
      <c r="V81" s="7">
        <f t="shared" ca="1" si="25"/>
        <v>-0.24405893836912784</v>
      </c>
      <c r="W81" s="33">
        <f t="shared" ca="1" si="16"/>
        <v>16385</v>
      </c>
      <c r="X81" s="7">
        <f t="shared" ca="1" si="17"/>
        <v>1</v>
      </c>
      <c r="Y81" s="7">
        <f t="shared" ca="1" si="18"/>
        <v>1.2919896640826873</v>
      </c>
      <c r="Z81" s="7">
        <f t="shared" ca="1" si="26"/>
        <v>-7.7291997249445382E-2</v>
      </c>
      <c r="AA81" s="33">
        <f t="shared" ca="1" si="19"/>
        <v>16385</v>
      </c>
      <c r="AB81" s="7">
        <f t="shared" ca="1" si="20"/>
        <v>1</v>
      </c>
      <c r="AC81" s="7">
        <f t="shared" ca="1" si="21"/>
        <v>1.2919896640826873</v>
      </c>
      <c r="AD81" s="40"/>
      <c r="AE81" s="40"/>
      <c r="AF81" s="34"/>
      <c r="AH81" s="34"/>
    </row>
    <row r="82" spans="1:34" x14ac:dyDescent="0.25">
      <c r="A82" s="1">
        <v>79</v>
      </c>
      <c r="B82" s="25">
        <v>43979</v>
      </c>
      <c r="C82" s="10" t="s">
        <v>470</v>
      </c>
      <c r="D82" s="1">
        <v>144.80000000000001</v>
      </c>
      <c r="E82" s="30">
        <v>2900</v>
      </c>
      <c r="F82" s="1">
        <v>155</v>
      </c>
      <c r="G82" s="1">
        <v>6.5</v>
      </c>
      <c r="H82" s="1">
        <v>185</v>
      </c>
      <c r="I82" s="1">
        <v>0.55000000000000004</v>
      </c>
      <c r="J82" s="1">
        <v>2900</v>
      </c>
      <c r="K82" s="1">
        <v>2900</v>
      </c>
      <c r="L82" s="1">
        <v>0.25</v>
      </c>
      <c r="M82" s="1">
        <v>1.1000000000000001</v>
      </c>
      <c r="N82" s="1">
        <v>40600</v>
      </c>
      <c r="O82" s="9"/>
      <c r="P82" s="7">
        <f t="shared" ca="1" si="27"/>
        <v>-0.19833333333333333</v>
      </c>
      <c r="Q82" s="7">
        <f t="shared" ca="1" si="14"/>
        <v>-1.5256410256410256E-2</v>
      </c>
      <c r="R82" s="33">
        <f t="shared" ca="1" si="22"/>
        <v>17255</v>
      </c>
      <c r="S82" s="33">
        <f t="shared" ca="1" si="23"/>
        <v>-69745</v>
      </c>
      <c r="T82" s="33">
        <f t="shared" ca="1" si="15"/>
        <v>17255</v>
      </c>
      <c r="U82" s="7">
        <f t="shared" ca="1" si="24"/>
        <v>0.24740124740124741</v>
      </c>
      <c r="V82" s="7">
        <f t="shared" ca="1" si="25"/>
        <v>-0.24405893836912784</v>
      </c>
      <c r="W82" s="33">
        <f t="shared" ca="1" si="16"/>
        <v>17255</v>
      </c>
      <c r="X82" s="7">
        <f t="shared" ca="1" si="17"/>
        <v>1</v>
      </c>
      <c r="Y82" s="7">
        <f t="shared" ca="1" si="18"/>
        <v>1.2474012474012475</v>
      </c>
      <c r="Z82" s="7">
        <f t="shared" ca="1" si="26"/>
        <v>-7.7291997249445382E-2</v>
      </c>
      <c r="AA82" s="33">
        <f t="shared" ca="1" si="19"/>
        <v>17255</v>
      </c>
      <c r="AB82" s="7">
        <f t="shared" ca="1" si="20"/>
        <v>1</v>
      </c>
      <c r="AC82" s="7">
        <f t="shared" ca="1" si="21"/>
        <v>1.2474012474012475</v>
      </c>
      <c r="AD82" s="40"/>
      <c r="AE82" s="40"/>
      <c r="AF82" s="34"/>
      <c r="AH82" s="34"/>
    </row>
    <row r="83" spans="1:34" x14ac:dyDescent="0.25">
      <c r="A83" s="1">
        <v>80</v>
      </c>
      <c r="B83" s="25">
        <v>43979</v>
      </c>
      <c r="C83" s="10" t="s">
        <v>470</v>
      </c>
      <c r="D83" s="1">
        <v>144.80000000000001</v>
      </c>
      <c r="E83" s="30">
        <v>2900</v>
      </c>
      <c r="F83" s="1">
        <v>155</v>
      </c>
      <c r="G83" s="1">
        <v>6.5</v>
      </c>
      <c r="H83" s="1">
        <v>190</v>
      </c>
      <c r="I83" s="1">
        <v>0.8</v>
      </c>
      <c r="J83" s="1">
        <v>23200</v>
      </c>
      <c r="K83" s="1">
        <v>5800</v>
      </c>
      <c r="L83" s="1">
        <v>0.3</v>
      </c>
      <c r="M83" s="1">
        <v>0.6</v>
      </c>
      <c r="N83" s="1">
        <v>2900</v>
      </c>
      <c r="O83" s="9"/>
      <c r="P83" s="7">
        <f t="shared" ca="1" si="27"/>
        <v>-0.16285714285714287</v>
      </c>
      <c r="Q83" s="7">
        <f t="shared" ca="1" si="14"/>
        <v>-1.2527472527472529E-2</v>
      </c>
      <c r="R83" s="33">
        <f t="shared" ca="1" si="22"/>
        <v>16530</v>
      </c>
      <c r="S83" s="33">
        <f t="shared" ca="1" si="23"/>
        <v>-84970</v>
      </c>
      <c r="T83" s="33">
        <f t="shared" ca="1" si="15"/>
        <v>16530</v>
      </c>
      <c r="U83" s="7">
        <f t="shared" ca="1" si="24"/>
        <v>0.19453924914675769</v>
      </c>
      <c r="V83" s="7">
        <f t="shared" ca="1" si="25"/>
        <v>-0.24405893836912784</v>
      </c>
      <c r="W83" s="33">
        <f t="shared" ca="1" si="16"/>
        <v>16530</v>
      </c>
      <c r="X83" s="7">
        <f t="shared" ca="1" si="17"/>
        <v>1</v>
      </c>
      <c r="Y83" s="7">
        <f t="shared" ca="1" si="18"/>
        <v>1.1945392491467577</v>
      </c>
      <c r="Z83" s="7">
        <f t="shared" ca="1" si="26"/>
        <v>-7.7291997249445382E-2</v>
      </c>
      <c r="AA83" s="33">
        <f t="shared" ca="1" si="19"/>
        <v>16530</v>
      </c>
      <c r="AB83" s="7">
        <f t="shared" ca="1" si="20"/>
        <v>1</v>
      </c>
      <c r="AC83" s="7">
        <f t="shared" ca="1" si="21"/>
        <v>1.1945392491467577</v>
      </c>
      <c r="AD83" s="40"/>
      <c r="AE83" s="40"/>
      <c r="AF83" s="34"/>
      <c r="AH83" s="34"/>
    </row>
    <row r="84" spans="1:34" x14ac:dyDescent="0.25">
      <c r="A84" s="1">
        <v>81</v>
      </c>
      <c r="B84" s="25">
        <v>43979</v>
      </c>
      <c r="C84" s="10" t="s">
        <v>470</v>
      </c>
      <c r="D84" s="1">
        <v>144.80000000000001</v>
      </c>
      <c r="E84" s="30">
        <v>2900</v>
      </c>
      <c r="F84" s="1">
        <v>155</v>
      </c>
      <c r="G84" s="1">
        <v>6.5</v>
      </c>
      <c r="H84" s="1">
        <v>200</v>
      </c>
      <c r="I84" s="1">
        <v>0.4</v>
      </c>
      <c r="J84" s="1">
        <v>5800</v>
      </c>
      <c r="K84" s="1">
        <v>2900</v>
      </c>
      <c r="L84" s="1">
        <v>0.1</v>
      </c>
      <c r="M84" s="1">
        <v>0.4</v>
      </c>
      <c r="N84" s="1">
        <v>2900</v>
      </c>
      <c r="O84" s="9"/>
      <c r="P84" s="7">
        <f t="shared" ca="1" si="27"/>
        <v>-0.13555555555555554</v>
      </c>
      <c r="Q84" s="7">
        <f t="shared" ca="1" si="14"/>
        <v>-1.0427350427350426E-2</v>
      </c>
      <c r="R84" s="33">
        <f t="shared" ca="1" si="22"/>
        <v>17690</v>
      </c>
      <c r="S84" s="33">
        <f t="shared" ca="1" si="23"/>
        <v>-112810</v>
      </c>
      <c r="T84" s="33">
        <f t="shared" ca="1" si="15"/>
        <v>17690</v>
      </c>
      <c r="U84" s="7">
        <f t="shared" ca="1" si="24"/>
        <v>0.15681233933161953</v>
      </c>
      <c r="V84" s="7">
        <f t="shared" ca="1" si="25"/>
        <v>-0.24405893836912784</v>
      </c>
      <c r="W84" s="33">
        <f t="shared" ca="1" si="16"/>
        <v>17690</v>
      </c>
      <c r="X84" s="7">
        <f t="shared" ca="1" si="17"/>
        <v>1</v>
      </c>
      <c r="Y84" s="7">
        <f t="shared" ca="1" si="18"/>
        <v>1.1568123393316196</v>
      </c>
      <c r="Z84" s="7">
        <f t="shared" ca="1" si="26"/>
        <v>-7.7291997249445382E-2</v>
      </c>
      <c r="AA84" s="33">
        <f t="shared" ca="1" si="19"/>
        <v>17690</v>
      </c>
      <c r="AB84" s="7">
        <f t="shared" ca="1" si="20"/>
        <v>1</v>
      </c>
      <c r="AC84" s="7">
        <f t="shared" ca="1" si="21"/>
        <v>1.1568123393316196</v>
      </c>
      <c r="AD84" s="40"/>
      <c r="AE84" s="40"/>
      <c r="AF84" s="34"/>
      <c r="AH84" s="34"/>
    </row>
    <row r="85" spans="1:34" x14ac:dyDescent="0.25">
      <c r="A85" s="1">
        <v>82</v>
      </c>
      <c r="B85" s="25">
        <v>43979</v>
      </c>
      <c r="C85" s="10" t="s">
        <v>478</v>
      </c>
      <c r="D85" s="1">
        <v>43.05</v>
      </c>
      <c r="E85" s="30">
        <v>7000</v>
      </c>
      <c r="F85" s="1">
        <v>45</v>
      </c>
      <c r="G85" s="1">
        <v>2.4500000000000002</v>
      </c>
      <c r="H85" s="1">
        <v>47.5</v>
      </c>
      <c r="I85" s="1">
        <v>1.65</v>
      </c>
      <c r="J85" s="1">
        <v>882000</v>
      </c>
      <c r="K85" s="1">
        <v>7000</v>
      </c>
      <c r="L85" s="1">
        <v>1.6</v>
      </c>
      <c r="M85" s="1">
        <v>1.7</v>
      </c>
      <c r="N85" s="1">
        <v>7000</v>
      </c>
      <c r="O85" s="9"/>
      <c r="P85" s="7">
        <f t="shared" ca="1" si="27"/>
        <v>-0.32000000000000012</v>
      </c>
      <c r="Q85" s="7">
        <f t="shared" ca="1" si="14"/>
        <v>-2.4615384615384626E-2</v>
      </c>
      <c r="R85" s="33">
        <f t="shared" ca="1" si="22"/>
        <v>5600.0000000000018</v>
      </c>
      <c r="S85" s="33">
        <f t="shared" ca="1" si="23"/>
        <v>-11899.999999999998</v>
      </c>
      <c r="T85" s="33">
        <f t="shared" ca="1" si="15"/>
        <v>5600.0000000000018</v>
      </c>
      <c r="U85" s="7">
        <f t="shared" ca="1" si="24"/>
        <v>0.47058823529411786</v>
      </c>
      <c r="V85" s="7">
        <f t="shared" ca="1" si="25"/>
        <v>-0.80444243173758612</v>
      </c>
      <c r="W85" s="33">
        <f t="shared" ca="1" si="16"/>
        <v>5600.0000000000018</v>
      </c>
      <c r="X85" s="7">
        <f t="shared" ca="1" si="17"/>
        <v>1</v>
      </c>
      <c r="Y85" s="7">
        <f t="shared" ca="1" si="18"/>
        <v>1.4705882352941178</v>
      </c>
      <c r="Z85" s="7">
        <f t="shared" ca="1" si="26"/>
        <v>-0.13550201081914767</v>
      </c>
      <c r="AA85" s="33">
        <f t="shared" ca="1" si="19"/>
        <v>5600.0000000000018</v>
      </c>
      <c r="AB85" s="7">
        <f t="shared" ca="1" si="20"/>
        <v>1</v>
      </c>
      <c r="AC85" s="7">
        <f t="shared" ca="1" si="21"/>
        <v>1.4705882352941178</v>
      </c>
      <c r="AD85" s="40"/>
      <c r="AE85" s="40"/>
      <c r="AF85" s="34"/>
      <c r="AH85" s="34"/>
    </row>
    <row r="86" spans="1:34" x14ac:dyDescent="0.25">
      <c r="A86" s="1">
        <v>83</v>
      </c>
      <c r="B86" s="25">
        <v>43979</v>
      </c>
      <c r="C86" s="10" t="s">
        <v>478</v>
      </c>
      <c r="D86" s="1">
        <v>43.05</v>
      </c>
      <c r="E86" s="30">
        <v>7000</v>
      </c>
      <c r="F86" s="1">
        <v>45</v>
      </c>
      <c r="G86" s="1">
        <v>2.4500000000000002</v>
      </c>
      <c r="H86" s="1">
        <v>50</v>
      </c>
      <c r="I86" s="1">
        <v>1.1499999999999999</v>
      </c>
      <c r="J86" s="1">
        <v>2989000</v>
      </c>
      <c r="K86" s="1">
        <v>49000</v>
      </c>
      <c r="L86" s="1">
        <v>1.1499999999999999</v>
      </c>
      <c r="M86" s="1">
        <v>1.2</v>
      </c>
      <c r="N86" s="1">
        <v>21000</v>
      </c>
      <c r="O86" s="9"/>
      <c r="P86" s="7">
        <f t="shared" ca="1" si="27"/>
        <v>-0.26000000000000006</v>
      </c>
      <c r="Q86" s="7">
        <f t="shared" ca="1" si="14"/>
        <v>-2.0000000000000004E-2</v>
      </c>
      <c r="R86" s="33">
        <f t="shared" ca="1" si="22"/>
        <v>9100.0000000000018</v>
      </c>
      <c r="S86" s="33">
        <f t="shared" ca="1" si="23"/>
        <v>-25900</v>
      </c>
      <c r="T86" s="33">
        <f t="shared" ca="1" si="15"/>
        <v>9100.0000000000018</v>
      </c>
      <c r="U86" s="7">
        <f t="shared" ca="1" si="24"/>
        <v>0.35135135135135143</v>
      </c>
      <c r="V86" s="7">
        <f t="shared" ca="1" si="25"/>
        <v>-0.80444243173758612</v>
      </c>
      <c r="W86" s="33">
        <f t="shared" ca="1" si="16"/>
        <v>9100.0000000000018</v>
      </c>
      <c r="X86" s="7">
        <f t="shared" ca="1" si="17"/>
        <v>1</v>
      </c>
      <c r="Y86" s="7">
        <f t="shared" ca="1" si="18"/>
        <v>1.3513513513513513</v>
      </c>
      <c r="Z86" s="7">
        <f t="shared" ca="1" si="26"/>
        <v>-0.13550201081914767</v>
      </c>
      <c r="AA86" s="33">
        <f t="shared" ca="1" si="19"/>
        <v>9100.0000000000018</v>
      </c>
      <c r="AB86" s="7">
        <f t="shared" ca="1" si="20"/>
        <v>1</v>
      </c>
      <c r="AC86" s="7">
        <f t="shared" ca="1" si="21"/>
        <v>1.3513513513513513</v>
      </c>
      <c r="AD86" s="40"/>
      <c r="AE86" s="40"/>
      <c r="AF86" s="34"/>
      <c r="AH86" s="34"/>
    </row>
    <row r="87" spans="1:34" x14ac:dyDescent="0.25">
      <c r="A87" s="1">
        <v>84</v>
      </c>
      <c r="B87" s="25">
        <v>43979</v>
      </c>
      <c r="C87" s="10" t="s">
        <v>478</v>
      </c>
      <c r="D87" s="1">
        <v>43.05</v>
      </c>
      <c r="E87" s="30">
        <v>7000</v>
      </c>
      <c r="F87" s="1">
        <v>45</v>
      </c>
      <c r="G87" s="1">
        <v>2.4500000000000002</v>
      </c>
      <c r="H87" s="1">
        <v>52.5</v>
      </c>
      <c r="I87" s="1">
        <v>0.75</v>
      </c>
      <c r="J87" s="1">
        <v>518000</v>
      </c>
      <c r="K87" s="1">
        <v>7000</v>
      </c>
      <c r="L87" s="1">
        <v>0.75</v>
      </c>
      <c r="M87" s="1">
        <v>0.8</v>
      </c>
      <c r="N87" s="1">
        <v>14000</v>
      </c>
      <c r="O87" s="9"/>
      <c r="P87" s="7">
        <f t="shared" ca="1" si="27"/>
        <v>-0.22666666666666668</v>
      </c>
      <c r="Q87" s="7">
        <f t="shared" ca="1" si="14"/>
        <v>-1.7435897435897438E-2</v>
      </c>
      <c r="R87" s="33">
        <f t="shared" ca="1" si="22"/>
        <v>11900.000000000002</v>
      </c>
      <c r="S87" s="33">
        <f t="shared" ca="1" si="23"/>
        <v>-40600</v>
      </c>
      <c r="T87" s="33">
        <f t="shared" ca="1" si="15"/>
        <v>11900.000000000002</v>
      </c>
      <c r="U87" s="7">
        <f t="shared" ca="1" si="24"/>
        <v>0.2931034482758621</v>
      </c>
      <c r="V87" s="7">
        <f t="shared" ca="1" si="25"/>
        <v>-0.80444243173758612</v>
      </c>
      <c r="W87" s="33">
        <f t="shared" ca="1" si="16"/>
        <v>11900.000000000002</v>
      </c>
      <c r="X87" s="7">
        <f t="shared" ca="1" si="17"/>
        <v>1</v>
      </c>
      <c r="Y87" s="7">
        <f t="shared" ca="1" si="18"/>
        <v>1.2931034482758621</v>
      </c>
      <c r="Z87" s="7">
        <f t="shared" ca="1" si="26"/>
        <v>-0.13550201081914767</v>
      </c>
      <c r="AA87" s="33">
        <f t="shared" ca="1" si="19"/>
        <v>11900.000000000002</v>
      </c>
      <c r="AB87" s="7">
        <f t="shared" ca="1" si="20"/>
        <v>1</v>
      </c>
      <c r="AC87" s="7">
        <f t="shared" ca="1" si="21"/>
        <v>1.2931034482758621</v>
      </c>
      <c r="AD87" s="40"/>
      <c r="AE87" s="40"/>
      <c r="AF87" s="34"/>
      <c r="AH87" s="34"/>
    </row>
    <row r="88" spans="1:34" x14ac:dyDescent="0.25">
      <c r="A88" s="1">
        <v>85</v>
      </c>
      <c r="B88" s="25">
        <v>43979</v>
      </c>
      <c r="C88" s="10" t="s">
        <v>478</v>
      </c>
      <c r="D88" s="1">
        <v>43.05</v>
      </c>
      <c r="E88" s="30">
        <v>7000</v>
      </c>
      <c r="F88" s="1">
        <v>45</v>
      </c>
      <c r="G88" s="1">
        <v>2.4500000000000002</v>
      </c>
      <c r="H88" s="1">
        <v>55</v>
      </c>
      <c r="I88" s="1">
        <v>0.55000000000000004</v>
      </c>
      <c r="J88" s="1">
        <v>1484000</v>
      </c>
      <c r="K88" s="1">
        <v>21000</v>
      </c>
      <c r="L88" s="1">
        <v>0.5</v>
      </c>
      <c r="M88" s="1">
        <v>0.55000000000000004</v>
      </c>
      <c r="N88" s="1">
        <v>14000</v>
      </c>
      <c r="O88" s="9"/>
      <c r="P88" s="7">
        <f t="shared" ca="1" si="27"/>
        <v>-0.19</v>
      </c>
      <c r="Q88" s="7">
        <f t="shared" ca="1" si="14"/>
        <v>-1.4615384615384615E-2</v>
      </c>
      <c r="R88" s="33">
        <f t="shared" ca="1" si="22"/>
        <v>13300.000000000002</v>
      </c>
      <c r="S88" s="33">
        <f t="shared" ca="1" si="23"/>
        <v>-56700</v>
      </c>
      <c r="T88" s="33">
        <f t="shared" ca="1" si="15"/>
        <v>13300.000000000002</v>
      </c>
      <c r="U88" s="7">
        <f t="shared" ca="1" si="24"/>
        <v>0.23456790123456794</v>
      </c>
      <c r="V88" s="7">
        <f t="shared" ca="1" si="25"/>
        <v>-0.80444243173758612</v>
      </c>
      <c r="W88" s="33">
        <f t="shared" ca="1" si="16"/>
        <v>13300.000000000002</v>
      </c>
      <c r="X88" s="7">
        <f t="shared" ca="1" si="17"/>
        <v>1</v>
      </c>
      <c r="Y88" s="7">
        <f t="shared" ca="1" si="18"/>
        <v>1.2345679012345681</v>
      </c>
      <c r="Z88" s="7">
        <f t="shared" ca="1" si="26"/>
        <v>-0.13550201081914767</v>
      </c>
      <c r="AA88" s="33">
        <f t="shared" ca="1" si="19"/>
        <v>13300.000000000002</v>
      </c>
      <c r="AB88" s="7">
        <f t="shared" ca="1" si="20"/>
        <v>1</v>
      </c>
      <c r="AC88" s="7">
        <f t="shared" ca="1" si="21"/>
        <v>1.2345679012345681</v>
      </c>
      <c r="AD88" s="40"/>
      <c r="AE88" s="40"/>
      <c r="AF88" s="34"/>
      <c r="AH88" s="34"/>
    </row>
    <row r="89" spans="1:34" x14ac:dyDescent="0.25">
      <c r="A89" s="1">
        <v>86</v>
      </c>
      <c r="B89" s="25">
        <v>43979</v>
      </c>
      <c r="C89" s="10" t="s">
        <v>478</v>
      </c>
      <c r="D89" s="1">
        <v>43.05</v>
      </c>
      <c r="E89" s="30">
        <v>7000</v>
      </c>
      <c r="F89" s="1">
        <v>45</v>
      </c>
      <c r="G89" s="1">
        <v>2.4500000000000002</v>
      </c>
      <c r="H89" s="1">
        <v>57.5</v>
      </c>
      <c r="I89" s="1">
        <v>0.35</v>
      </c>
      <c r="J89" s="1">
        <v>140000</v>
      </c>
      <c r="K89" s="1">
        <v>7000</v>
      </c>
      <c r="L89" s="1">
        <v>0.25</v>
      </c>
      <c r="M89" s="1">
        <v>0.45</v>
      </c>
      <c r="N89" s="1">
        <v>7000</v>
      </c>
      <c r="O89" s="9"/>
      <c r="P89" s="7">
        <f t="shared" ca="1" si="27"/>
        <v>-0.16800000000000001</v>
      </c>
      <c r="Q89" s="7">
        <f t="shared" ca="1" si="14"/>
        <v>-1.2923076923076924E-2</v>
      </c>
      <c r="R89" s="33">
        <f t="shared" ca="1" si="22"/>
        <v>14700</v>
      </c>
      <c r="S89" s="33">
        <f t="shared" ca="1" si="23"/>
        <v>-72800</v>
      </c>
      <c r="T89" s="33">
        <f t="shared" ca="1" si="15"/>
        <v>14700</v>
      </c>
      <c r="U89" s="7">
        <f t="shared" ca="1" si="24"/>
        <v>0.20192307692307693</v>
      </c>
      <c r="V89" s="7">
        <f t="shared" ca="1" si="25"/>
        <v>-0.80444243173758612</v>
      </c>
      <c r="W89" s="33">
        <f t="shared" ca="1" si="16"/>
        <v>14700</v>
      </c>
      <c r="X89" s="7">
        <f t="shared" ca="1" si="17"/>
        <v>1</v>
      </c>
      <c r="Y89" s="7">
        <f t="shared" ca="1" si="18"/>
        <v>1.2019230769230769</v>
      </c>
      <c r="Z89" s="7">
        <f t="shared" ca="1" si="26"/>
        <v>-0.13550201081914767</v>
      </c>
      <c r="AA89" s="33">
        <f t="shared" ca="1" si="19"/>
        <v>14700</v>
      </c>
      <c r="AB89" s="7">
        <f t="shared" ca="1" si="20"/>
        <v>1</v>
      </c>
      <c r="AC89" s="7">
        <f t="shared" ca="1" si="21"/>
        <v>1.2019230769230769</v>
      </c>
      <c r="AD89" s="40"/>
      <c r="AE89" s="40"/>
      <c r="AF89" s="34"/>
      <c r="AH89" s="34"/>
    </row>
    <row r="90" spans="1:34" x14ac:dyDescent="0.25">
      <c r="A90" s="1">
        <v>87</v>
      </c>
      <c r="B90" s="25">
        <v>43979</v>
      </c>
      <c r="C90" s="10" t="s">
        <v>478</v>
      </c>
      <c r="D90" s="1">
        <v>43.05</v>
      </c>
      <c r="E90" s="30">
        <v>7000</v>
      </c>
      <c r="F90" s="1">
        <v>45</v>
      </c>
      <c r="G90" s="1">
        <v>2.4500000000000002</v>
      </c>
      <c r="H90" s="1">
        <v>60</v>
      </c>
      <c r="I90" s="1">
        <v>0.3</v>
      </c>
      <c r="J90" s="1">
        <v>1456000</v>
      </c>
      <c r="K90" s="1">
        <v>14000</v>
      </c>
      <c r="L90" s="1">
        <v>0.25</v>
      </c>
      <c r="M90" s="1">
        <v>0.3</v>
      </c>
      <c r="N90" s="1">
        <v>28000</v>
      </c>
      <c r="O90" s="9"/>
      <c r="P90" s="7">
        <f t="shared" ca="1" si="27"/>
        <v>-0.14333333333333337</v>
      </c>
      <c r="Q90" s="7">
        <f t="shared" ca="1" si="14"/>
        <v>-1.1025641025641028E-2</v>
      </c>
      <c r="R90" s="33">
        <f t="shared" ca="1" si="22"/>
        <v>15050.000000000002</v>
      </c>
      <c r="S90" s="33">
        <f t="shared" ca="1" si="23"/>
        <v>-89950</v>
      </c>
      <c r="T90" s="33">
        <f t="shared" ca="1" si="15"/>
        <v>15050.000000000002</v>
      </c>
      <c r="U90" s="7">
        <f t="shared" ca="1" si="24"/>
        <v>0.16731517509727628</v>
      </c>
      <c r="V90" s="7">
        <f t="shared" ca="1" si="25"/>
        <v>-0.80444243173758612</v>
      </c>
      <c r="W90" s="33">
        <f t="shared" ca="1" si="16"/>
        <v>15050.000000000002</v>
      </c>
      <c r="X90" s="7">
        <f t="shared" ca="1" si="17"/>
        <v>1</v>
      </c>
      <c r="Y90" s="7">
        <f t="shared" ca="1" si="18"/>
        <v>1.1673151750972763</v>
      </c>
      <c r="Z90" s="7">
        <f t="shared" ca="1" si="26"/>
        <v>-0.13550201081914767</v>
      </c>
      <c r="AA90" s="33">
        <f t="shared" ca="1" si="19"/>
        <v>15050.000000000002</v>
      </c>
      <c r="AB90" s="7">
        <f t="shared" ca="1" si="20"/>
        <v>1</v>
      </c>
      <c r="AC90" s="7">
        <f t="shared" ca="1" si="21"/>
        <v>1.1673151750972763</v>
      </c>
      <c r="AD90" s="40"/>
      <c r="AE90" s="40"/>
      <c r="AF90" s="34"/>
      <c r="AH90" s="34"/>
    </row>
    <row r="91" spans="1:34" x14ac:dyDescent="0.25">
      <c r="A91" s="1">
        <v>88</v>
      </c>
      <c r="B91" s="25">
        <v>43979</v>
      </c>
      <c r="C91" s="10" t="s">
        <v>478</v>
      </c>
      <c r="D91" s="1">
        <v>43.05</v>
      </c>
      <c r="E91" s="30">
        <v>7000</v>
      </c>
      <c r="F91" s="1">
        <v>45</v>
      </c>
      <c r="G91" s="1">
        <v>2.4500000000000002</v>
      </c>
      <c r="H91" s="1">
        <v>62.5</v>
      </c>
      <c r="I91" s="1">
        <v>0.2</v>
      </c>
      <c r="J91" s="1">
        <v>287000</v>
      </c>
      <c r="K91" s="1">
        <v>7000</v>
      </c>
      <c r="L91" s="1">
        <v>0.15</v>
      </c>
      <c r="M91" s="1">
        <v>0.25</v>
      </c>
      <c r="N91" s="1">
        <v>14000</v>
      </c>
      <c r="O91" s="9"/>
      <c r="P91" s="7">
        <f t="shared" ca="1" si="27"/>
        <v>-0.12857142857142856</v>
      </c>
      <c r="Q91" s="7">
        <f t="shared" ca="1" si="14"/>
        <v>-9.8901098901098897E-3</v>
      </c>
      <c r="R91" s="33">
        <f t="shared" ca="1" si="22"/>
        <v>15750</v>
      </c>
      <c r="S91" s="33">
        <f t="shared" ca="1" si="23"/>
        <v>-106750</v>
      </c>
      <c r="T91" s="33">
        <f t="shared" ca="1" si="15"/>
        <v>15750</v>
      </c>
      <c r="U91" s="7">
        <f t="shared" ca="1" si="24"/>
        <v>0.14754098360655737</v>
      </c>
      <c r="V91" s="7">
        <f t="shared" ca="1" si="25"/>
        <v>-0.80444243173758612</v>
      </c>
      <c r="W91" s="33">
        <f t="shared" ca="1" si="16"/>
        <v>15750</v>
      </c>
      <c r="X91" s="7">
        <f t="shared" ca="1" si="17"/>
        <v>1</v>
      </c>
      <c r="Y91" s="7">
        <f t="shared" ca="1" si="18"/>
        <v>1.1475409836065573</v>
      </c>
      <c r="Z91" s="7">
        <f t="shared" ca="1" si="26"/>
        <v>-0.13550201081914767</v>
      </c>
      <c r="AA91" s="33">
        <f t="shared" ca="1" si="19"/>
        <v>15750</v>
      </c>
      <c r="AB91" s="7">
        <f t="shared" ca="1" si="20"/>
        <v>1</v>
      </c>
      <c r="AC91" s="7">
        <f t="shared" ca="1" si="21"/>
        <v>1.1475409836065573</v>
      </c>
      <c r="AD91" s="40"/>
      <c r="AE91" s="40"/>
      <c r="AF91" s="34"/>
      <c r="AH91" s="34"/>
    </row>
    <row r="92" spans="1:34" x14ac:dyDescent="0.25">
      <c r="A92" s="1">
        <v>89</v>
      </c>
      <c r="B92" s="25">
        <v>43979</v>
      </c>
      <c r="C92" s="10" t="s">
        <v>478</v>
      </c>
      <c r="D92" s="1">
        <v>43.05</v>
      </c>
      <c r="E92" s="30">
        <v>7000</v>
      </c>
      <c r="F92" s="1">
        <v>45</v>
      </c>
      <c r="G92" s="1">
        <v>2.4500000000000002</v>
      </c>
      <c r="H92" s="1">
        <v>65</v>
      </c>
      <c r="I92" s="1">
        <v>0.1</v>
      </c>
      <c r="J92" s="1">
        <v>168000</v>
      </c>
      <c r="K92" s="1">
        <v>28000</v>
      </c>
      <c r="L92" s="1">
        <v>0.1</v>
      </c>
      <c r="M92" s="1">
        <v>0.15</v>
      </c>
      <c r="N92" s="1">
        <v>49000</v>
      </c>
      <c r="O92" s="9"/>
      <c r="P92" s="7">
        <f t="shared" ca="1" si="27"/>
        <v>-0.11750000000000001</v>
      </c>
      <c r="Q92" s="7">
        <f t="shared" ca="1" si="14"/>
        <v>-9.0384615384615386E-3</v>
      </c>
      <c r="R92" s="33">
        <f t="shared" ca="1" si="22"/>
        <v>16450</v>
      </c>
      <c r="S92" s="33">
        <f t="shared" ca="1" si="23"/>
        <v>-123550</v>
      </c>
      <c r="T92" s="33">
        <f t="shared" ca="1" si="15"/>
        <v>16450</v>
      </c>
      <c r="U92" s="7">
        <f t="shared" ca="1" si="24"/>
        <v>0.13314447592067988</v>
      </c>
      <c r="V92" s="7">
        <f t="shared" ca="1" si="25"/>
        <v>-0.80444243173758612</v>
      </c>
      <c r="W92" s="33">
        <f t="shared" ca="1" si="16"/>
        <v>16450</v>
      </c>
      <c r="X92" s="7">
        <f t="shared" ca="1" si="17"/>
        <v>1</v>
      </c>
      <c r="Y92" s="7">
        <f t="shared" ca="1" si="18"/>
        <v>1.1331444759206799</v>
      </c>
      <c r="Z92" s="7">
        <f t="shared" ca="1" si="26"/>
        <v>-0.13550201081914767</v>
      </c>
      <c r="AA92" s="33">
        <f t="shared" ca="1" si="19"/>
        <v>16450</v>
      </c>
      <c r="AB92" s="7">
        <f t="shared" ca="1" si="20"/>
        <v>1</v>
      </c>
      <c r="AC92" s="7">
        <f t="shared" ca="1" si="21"/>
        <v>1.1331444759206799</v>
      </c>
      <c r="AD92" s="40"/>
      <c r="AE92" s="40"/>
      <c r="AF92" s="34"/>
      <c r="AH92" s="34"/>
    </row>
    <row r="93" spans="1:34" x14ac:dyDescent="0.25">
      <c r="A93" s="1">
        <v>90</v>
      </c>
      <c r="B93" s="25">
        <v>43979</v>
      </c>
      <c r="C93" s="10" t="s">
        <v>606</v>
      </c>
      <c r="D93" s="1">
        <v>564.65</v>
      </c>
      <c r="E93" s="30">
        <v>1000</v>
      </c>
      <c r="F93" s="1">
        <v>610</v>
      </c>
      <c r="G93" s="1">
        <v>3</v>
      </c>
      <c r="H93" s="1">
        <v>600</v>
      </c>
      <c r="I93" s="1">
        <v>0.9</v>
      </c>
      <c r="J93" s="1">
        <v>202000</v>
      </c>
      <c r="K93" s="1">
        <v>3000</v>
      </c>
      <c r="L93" s="1">
        <v>0.7</v>
      </c>
      <c r="M93" s="1">
        <v>0.9</v>
      </c>
      <c r="N93" s="1">
        <v>1000</v>
      </c>
      <c r="O93" s="9"/>
      <c r="P93" s="7">
        <f t="shared" ca="1" si="27"/>
        <v>0.21000000000000002</v>
      </c>
      <c r="Q93" s="7">
        <f t="shared" ca="1" si="14"/>
        <v>1.6153846153846154E-2</v>
      </c>
      <c r="R93" s="33">
        <f t="shared" ca="1" si="22"/>
        <v>2100</v>
      </c>
      <c r="S93" s="33">
        <f t="shared" ca="1" si="23"/>
        <v>12100</v>
      </c>
      <c r="T93" s="33">
        <f t="shared" ca="1" si="15"/>
        <v>2100</v>
      </c>
      <c r="U93" s="7">
        <f t="shared" ca="1" si="24"/>
        <v>0.17355371900826447</v>
      </c>
      <c r="V93" s="7">
        <f t="shared" ca="1" si="25"/>
        <v>-0.28992277776129377</v>
      </c>
      <c r="W93" s="33">
        <f t="shared" ca="1" si="16"/>
        <v>-7900</v>
      </c>
      <c r="X93" s="7">
        <f t="shared" ca="1" si="17"/>
        <v>-3.7619047619047619</v>
      </c>
      <c r="Y93" s="7">
        <f t="shared" ca="1" si="18"/>
        <v>-3.5883510428964973</v>
      </c>
      <c r="Z93" s="7">
        <f t="shared" ca="1" si="26"/>
        <v>-6.6086088036956453E-2</v>
      </c>
      <c r="AA93" s="33">
        <f t="shared" ca="1" si="19"/>
        <v>-7900</v>
      </c>
      <c r="AB93" s="7">
        <f t="shared" ca="1" si="20"/>
        <v>-3.7619047619047619</v>
      </c>
      <c r="AC93" s="7">
        <f t="shared" ca="1" si="21"/>
        <v>-3.5883510428964973</v>
      </c>
      <c r="AD93" s="40"/>
      <c r="AE93" s="40"/>
      <c r="AF93" s="34"/>
      <c r="AH93" s="34"/>
    </row>
    <row r="94" spans="1:34" x14ac:dyDescent="0.25">
      <c r="A94" s="1">
        <v>91</v>
      </c>
      <c r="B94" s="25">
        <v>43979</v>
      </c>
      <c r="C94" s="10" t="s">
        <v>606</v>
      </c>
      <c r="D94" s="1">
        <v>564.65</v>
      </c>
      <c r="E94" s="30">
        <v>1000</v>
      </c>
      <c r="F94" s="1">
        <v>610</v>
      </c>
      <c r="G94" s="1">
        <v>3</v>
      </c>
      <c r="H94" s="1">
        <v>620</v>
      </c>
      <c r="I94" s="1">
        <v>0.4</v>
      </c>
      <c r="J94" s="1">
        <v>9000</v>
      </c>
      <c r="K94" s="1">
        <v>1000</v>
      </c>
      <c r="L94" s="1">
        <v>0.15</v>
      </c>
      <c r="M94" s="1">
        <v>0.55000000000000004</v>
      </c>
      <c r="N94" s="1">
        <v>1000</v>
      </c>
      <c r="O94" s="9"/>
      <c r="P94" s="7">
        <f t="shared" ca="1" si="27"/>
        <v>-0.26</v>
      </c>
      <c r="Q94" s="7">
        <f t="shared" ca="1" si="14"/>
        <v>-0.02</v>
      </c>
      <c r="R94" s="33">
        <f t="shared" ca="1" si="22"/>
        <v>2600</v>
      </c>
      <c r="S94" s="33">
        <f t="shared" ca="1" si="23"/>
        <v>-7400</v>
      </c>
      <c r="T94" s="33">
        <f t="shared" ca="1" si="15"/>
        <v>2600</v>
      </c>
      <c r="U94" s="7">
        <f t="shared" ca="1" si="24"/>
        <v>0.35135135135135137</v>
      </c>
      <c r="V94" s="7">
        <f t="shared" ca="1" si="25"/>
        <v>-0.28992277776129377</v>
      </c>
      <c r="W94" s="33">
        <f t="shared" ca="1" si="16"/>
        <v>2600</v>
      </c>
      <c r="X94" s="7">
        <f t="shared" ca="1" si="17"/>
        <v>1</v>
      </c>
      <c r="Y94" s="7">
        <f t="shared" ca="1" si="18"/>
        <v>1.3513513513513513</v>
      </c>
      <c r="Z94" s="7">
        <f t="shared" ca="1" si="26"/>
        <v>-6.6086088036956453E-2</v>
      </c>
      <c r="AA94" s="33">
        <f t="shared" ca="1" si="19"/>
        <v>2600</v>
      </c>
      <c r="AB94" s="7">
        <f t="shared" ca="1" si="20"/>
        <v>1</v>
      </c>
      <c r="AC94" s="7">
        <f t="shared" ca="1" si="21"/>
        <v>1.3513513513513513</v>
      </c>
      <c r="AD94" s="40"/>
      <c r="AE94" s="40"/>
      <c r="AF94" s="34"/>
      <c r="AH94" s="34"/>
    </row>
    <row r="95" spans="1:34" x14ac:dyDescent="0.25">
      <c r="A95" s="1">
        <v>92</v>
      </c>
      <c r="B95" s="25">
        <v>43979</v>
      </c>
      <c r="C95" s="10" t="s">
        <v>0</v>
      </c>
      <c r="D95" s="1">
        <v>1655</v>
      </c>
      <c r="E95" s="30">
        <v>250</v>
      </c>
      <c r="F95" s="1">
        <v>1820</v>
      </c>
      <c r="G95" s="1">
        <v>21.5</v>
      </c>
      <c r="H95" s="1">
        <v>1840</v>
      </c>
      <c r="I95" s="1">
        <v>18.75</v>
      </c>
      <c r="J95" s="1">
        <v>23000</v>
      </c>
      <c r="K95" s="1">
        <v>2750</v>
      </c>
      <c r="L95" s="1">
        <v>17.350000000000001</v>
      </c>
      <c r="M95" s="1">
        <v>20</v>
      </c>
      <c r="N95" s="1">
        <v>250</v>
      </c>
      <c r="O95" s="9"/>
      <c r="P95" s="7">
        <f t="shared" ca="1" si="27"/>
        <v>-0.13750000000000001</v>
      </c>
      <c r="Q95" s="7">
        <f t="shared" ca="1" si="14"/>
        <v>-1.0576923076923078E-2</v>
      </c>
      <c r="R95" s="33">
        <f t="shared" ca="1" si="22"/>
        <v>687.5</v>
      </c>
      <c r="S95" s="33">
        <f t="shared" ca="1" si="23"/>
        <v>-4312.5</v>
      </c>
      <c r="T95" s="33">
        <f t="shared" ca="1" si="15"/>
        <v>687.5</v>
      </c>
      <c r="U95" s="7">
        <f t="shared" ca="1" si="24"/>
        <v>0.15942028985507245</v>
      </c>
      <c r="V95" s="7">
        <f t="shared" ca="1" si="25"/>
        <v>-0.37568126781297601</v>
      </c>
      <c r="W95" s="33">
        <f t="shared" ca="1" si="16"/>
        <v>687.5</v>
      </c>
      <c r="X95" s="7">
        <f t="shared" ca="1" si="17"/>
        <v>1</v>
      </c>
      <c r="Y95" s="7">
        <f t="shared" ca="1" si="18"/>
        <v>1.1594202898550725</v>
      </c>
      <c r="Z95" s="7">
        <f t="shared" ca="1" si="26"/>
        <v>-7.7320133782636941E-2</v>
      </c>
      <c r="AA95" s="33">
        <f t="shared" ca="1" si="19"/>
        <v>687.5</v>
      </c>
      <c r="AB95" s="7">
        <f t="shared" ca="1" si="20"/>
        <v>1</v>
      </c>
      <c r="AC95" s="7">
        <f t="shared" ca="1" si="21"/>
        <v>1.1594202898550725</v>
      </c>
      <c r="AD95" s="40"/>
      <c r="AE95" s="40"/>
      <c r="AF95" s="34"/>
      <c r="AH95" s="34"/>
    </row>
    <row r="96" spans="1:34" x14ac:dyDescent="0.25">
      <c r="A96" s="1">
        <v>93</v>
      </c>
      <c r="B96" s="25">
        <v>43979</v>
      </c>
      <c r="C96" s="10" t="s">
        <v>0</v>
      </c>
      <c r="D96" s="1">
        <v>1655</v>
      </c>
      <c r="E96" s="30">
        <v>250</v>
      </c>
      <c r="F96" s="1">
        <v>1820</v>
      </c>
      <c r="G96" s="1">
        <v>21.5</v>
      </c>
      <c r="H96" s="1">
        <v>1850</v>
      </c>
      <c r="I96" s="1">
        <v>17.95</v>
      </c>
      <c r="J96" s="1">
        <v>55750</v>
      </c>
      <c r="K96" s="1">
        <v>250</v>
      </c>
      <c r="L96" s="1">
        <v>14.25</v>
      </c>
      <c r="M96" s="1">
        <v>18.05</v>
      </c>
      <c r="N96" s="1">
        <v>250</v>
      </c>
      <c r="O96" s="9"/>
      <c r="P96" s="7">
        <f t="shared" ca="1" si="27"/>
        <v>-0.11833333333333336</v>
      </c>
      <c r="Q96" s="7">
        <f t="shared" ca="1" si="14"/>
        <v>-9.1025641025641053E-3</v>
      </c>
      <c r="R96" s="33">
        <f t="shared" ca="1" si="22"/>
        <v>887.50000000000023</v>
      </c>
      <c r="S96" s="33">
        <f t="shared" ca="1" si="23"/>
        <v>-6612.5</v>
      </c>
      <c r="T96" s="33">
        <f t="shared" ca="1" si="15"/>
        <v>887.50000000000023</v>
      </c>
      <c r="U96" s="7">
        <f t="shared" ca="1" si="24"/>
        <v>0.13421550094517962</v>
      </c>
      <c r="V96" s="7">
        <f t="shared" ca="1" si="25"/>
        <v>-0.37568126781297601</v>
      </c>
      <c r="W96" s="33">
        <f t="shared" ca="1" si="16"/>
        <v>887.50000000000023</v>
      </c>
      <c r="X96" s="7">
        <f t="shared" ca="1" si="17"/>
        <v>1</v>
      </c>
      <c r="Y96" s="7">
        <f t="shared" ca="1" si="18"/>
        <v>1.1342155009451795</v>
      </c>
      <c r="Z96" s="7">
        <f t="shared" ca="1" si="26"/>
        <v>-7.7320133782636941E-2</v>
      </c>
      <c r="AA96" s="33">
        <f t="shared" ca="1" si="19"/>
        <v>887.50000000000023</v>
      </c>
      <c r="AB96" s="7">
        <f t="shared" ca="1" si="20"/>
        <v>1</v>
      </c>
      <c r="AC96" s="7">
        <f t="shared" ca="1" si="21"/>
        <v>1.1342155009451795</v>
      </c>
      <c r="AD96" s="40"/>
      <c r="AE96" s="40"/>
      <c r="AF96" s="34"/>
      <c r="AH96" s="34"/>
    </row>
    <row r="97" spans="1:34" x14ac:dyDescent="0.25">
      <c r="A97" s="1">
        <v>94</v>
      </c>
      <c r="B97" s="25">
        <v>43979</v>
      </c>
      <c r="C97" s="10" t="s">
        <v>0</v>
      </c>
      <c r="D97" s="1">
        <v>1655</v>
      </c>
      <c r="E97" s="30">
        <v>250</v>
      </c>
      <c r="F97" s="1">
        <v>1820</v>
      </c>
      <c r="G97" s="1">
        <v>21.5</v>
      </c>
      <c r="H97" s="1">
        <v>1880</v>
      </c>
      <c r="I97" s="1">
        <v>13.5</v>
      </c>
      <c r="J97" s="1">
        <v>18500</v>
      </c>
      <c r="K97" s="1">
        <v>250</v>
      </c>
      <c r="L97" s="1">
        <v>13.85</v>
      </c>
      <c r="M97" s="1">
        <v>14.7</v>
      </c>
      <c r="N97" s="1">
        <v>250</v>
      </c>
      <c r="O97" s="9"/>
      <c r="P97" s="7">
        <f t="shared" ca="1" si="27"/>
        <v>-0.13333333333333333</v>
      </c>
      <c r="Q97" s="7">
        <f t="shared" ca="1" si="14"/>
        <v>-1.0256410256410256E-2</v>
      </c>
      <c r="R97" s="33">
        <f t="shared" ca="1" si="22"/>
        <v>2000</v>
      </c>
      <c r="S97" s="33">
        <f t="shared" ca="1" si="23"/>
        <v>-13000</v>
      </c>
      <c r="T97" s="33">
        <f t="shared" ca="1" si="15"/>
        <v>2000</v>
      </c>
      <c r="U97" s="7">
        <f t="shared" ca="1" si="24"/>
        <v>0.15384615384615385</v>
      </c>
      <c r="V97" s="7">
        <f t="shared" ca="1" si="25"/>
        <v>-0.37568126781297601</v>
      </c>
      <c r="W97" s="33">
        <f t="shared" ca="1" si="16"/>
        <v>2000</v>
      </c>
      <c r="X97" s="7">
        <f t="shared" ca="1" si="17"/>
        <v>1</v>
      </c>
      <c r="Y97" s="7">
        <f t="shared" ca="1" si="18"/>
        <v>1.1538461538461537</v>
      </c>
      <c r="Z97" s="7">
        <f t="shared" ca="1" si="26"/>
        <v>-7.7320133782636941E-2</v>
      </c>
      <c r="AA97" s="33">
        <f t="shared" ca="1" si="19"/>
        <v>2000</v>
      </c>
      <c r="AB97" s="7">
        <f t="shared" ca="1" si="20"/>
        <v>1</v>
      </c>
      <c r="AC97" s="7">
        <f t="shared" ca="1" si="21"/>
        <v>1.1538461538461537</v>
      </c>
      <c r="AD97" s="40"/>
      <c r="AE97" s="40"/>
      <c r="AF97" s="34"/>
      <c r="AH97" s="34"/>
    </row>
    <row r="98" spans="1:34" x14ac:dyDescent="0.25">
      <c r="A98" s="1">
        <v>95</v>
      </c>
      <c r="B98" s="25">
        <v>43979</v>
      </c>
      <c r="C98" s="10" t="s">
        <v>0</v>
      </c>
      <c r="D98" s="1">
        <v>1655</v>
      </c>
      <c r="E98" s="30">
        <v>250</v>
      </c>
      <c r="F98" s="1">
        <v>1820</v>
      </c>
      <c r="G98" s="1">
        <v>21.5</v>
      </c>
      <c r="H98" s="1">
        <v>1900</v>
      </c>
      <c r="I98" s="1">
        <v>12.7</v>
      </c>
      <c r="J98" s="1">
        <v>224500</v>
      </c>
      <c r="K98" s="1">
        <v>250</v>
      </c>
      <c r="L98" s="1">
        <v>12.25</v>
      </c>
      <c r="M98" s="1">
        <v>12.7</v>
      </c>
      <c r="N98" s="1">
        <v>250</v>
      </c>
      <c r="O98" s="9"/>
      <c r="P98" s="7">
        <f t="shared" ca="1" si="27"/>
        <v>-0.11000000000000001</v>
      </c>
      <c r="Q98" s="7">
        <f t="shared" ca="1" si="14"/>
        <v>-8.461538461538463E-3</v>
      </c>
      <c r="R98" s="33">
        <f t="shared" ca="1" si="22"/>
        <v>2200</v>
      </c>
      <c r="S98" s="33">
        <f t="shared" ca="1" si="23"/>
        <v>-17800</v>
      </c>
      <c r="T98" s="33">
        <f t="shared" ca="1" si="15"/>
        <v>2200</v>
      </c>
      <c r="U98" s="7">
        <f t="shared" ca="1" si="24"/>
        <v>0.12359550561797752</v>
      </c>
      <c r="V98" s="7">
        <f t="shared" ca="1" si="25"/>
        <v>-0.37568126781297601</v>
      </c>
      <c r="W98" s="33">
        <f t="shared" ca="1" si="16"/>
        <v>2200</v>
      </c>
      <c r="X98" s="7">
        <f t="shared" ca="1" si="17"/>
        <v>1</v>
      </c>
      <c r="Y98" s="7">
        <f t="shared" ca="1" si="18"/>
        <v>1.1235955056179776</v>
      </c>
      <c r="Z98" s="7">
        <f t="shared" ca="1" si="26"/>
        <v>-7.7320133782636941E-2</v>
      </c>
      <c r="AA98" s="33">
        <f t="shared" ca="1" si="19"/>
        <v>2200</v>
      </c>
      <c r="AB98" s="7">
        <f t="shared" ca="1" si="20"/>
        <v>1</v>
      </c>
      <c r="AC98" s="7">
        <f t="shared" ca="1" si="21"/>
        <v>1.1235955056179776</v>
      </c>
      <c r="AD98" s="40"/>
      <c r="AE98" s="40"/>
      <c r="AF98" s="34"/>
      <c r="AH98" s="34"/>
    </row>
    <row r="99" spans="1:34" x14ac:dyDescent="0.25">
      <c r="A99" s="1">
        <v>96</v>
      </c>
      <c r="B99" s="25">
        <v>43979</v>
      </c>
      <c r="C99" s="10" t="s">
        <v>0</v>
      </c>
      <c r="D99" s="1">
        <v>1655</v>
      </c>
      <c r="E99" s="30">
        <v>250</v>
      </c>
      <c r="F99" s="1">
        <v>1820</v>
      </c>
      <c r="G99" s="1">
        <v>21.5</v>
      </c>
      <c r="H99" s="1">
        <v>1950</v>
      </c>
      <c r="I99" s="1">
        <v>8</v>
      </c>
      <c r="J99" s="1">
        <v>16750</v>
      </c>
      <c r="K99" s="1">
        <v>750</v>
      </c>
      <c r="L99" s="1">
        <v>5.05</v>
      </c>
      <c r="M99" s="1">
        <v>8.9499999999999993</v>
      </c>
      <c r="N99" s="1">
        <v>750</v>
      </c>
      <c r="O99" s="9"/>
      <c r="P99" s="7">
        <f t="shared" ca="1" si="27"/>
        <v>-0.10384615384615385</v>
      </c>
      <c r="Q99" s="7">
        <f t="shared" ca="1" si="14"/>
        <v>-7.988165680473374E-3</v>
      </c>
      <c r="R99" s="33">
        <f t="shared" ca="1" si="22"/>
        <v>3375</v>
      </c>
      <c r="S99" s="33">
        <f t="shared" ca="1" si="23"/>
        <v>-29125</v>
      </c>
      <c r="T99" s="33">
        <f t="shared" ca="1" si="15"/>
        <v>3375</v>
      </c>
      <c r="U99" s="7">
        <f t="shared" ca="1" si="24"/>
        <v>0.11587982832618025</v>
      </c>
      <c r="V99" s="7">
        <f t="shared" ca="1" si="25"/>
        <v>-0.37568126781297601</v>
      </c>
      <c r="W99" s="33">
        <f t="shared" ca="1" si="16"/>
        <v>3375</v>
      </c>
      <c r="X99" s="7">
        <f t="shared" ca="1" si="17"/>
        <v>1</v>
      </c>
      <c r="Y99" s="7">
        <f t="shared" ca="1" si="18"/>
        <v>1.1158798283261802</v>
      </c>
      <c r="Z99" s="7">
        <f t="shared" ca="1" si="26"/>
        <v>-7.7320133782636941E-2</v>
      </c>
      <c r="AA99" s="33">
        <f t="shared" ca="1" si="19"/>
        <v>3375</v>
      </c>
      <c r="AB99" s="7">
        <f t="shared" ca="1" si="20"/>
        <v>1</v>
      </c>
      <c r="AC99" s="7">
        <f t="shared" ca="1" si="21"/>
        <v>1.1158798283261802</v>
      </c>
      <c r="AD99" s="40"/>
      <c r="AE99" s="40"/>
      <c r="AF99" s="34"/>
      <c r="AH99" s="34"/>
    </row>
    <row r="100" spans="1:34" x14ac:dyDescent="0.25">
      <c r="A100" s="1">
        <v>97</v>
      </c>
      <c r="B100" s="25">
        <v>43979</v>
      </c>
      <c r="C100" s="10" t="s">
        <v>0</v>
      </c>
      <c r="D100" s="1">
        <v>1655</v>
      </c>
      <c r="E100" s="30">
        <v>250</v>
      </c>
      <c r="F100" s="1">
        <v>1820</v>
      </c>
      <c r="G100" s="1">
        <v>21.5</v>
      </c>
      <c r="H100" s="1">
        <v>1960</v>
      </c>
      <c r="I100" s="1">
        <v>6.9</v>
      </c>
      <c r="J100" s="1">
        <v>5500</v>
      </c>
      <c r="K100" s="1">
        <v>250</v>
      </c>
      <c r="L100" s="1">
        <v>3</v>
      </c>
      <c r="M100" s="1">
        <v>11.7</v>
      </c>
      <c r="N100" s="1">
        <v>250</v>
      </c>
      <c r="O100" s="9"/>
      <c r="P100" s="7">
        <f t="shared" ca="1" si="27"/>
        <v>-0.10428571428571429</v>
      </c>
      <c r="Q100" s="7">
        <f t="shared" ca="1" si="14"/>
        <v>-8.0219780219780226E-3</v>
      </c>
      <c r="R100" s="33">
        <f t="shared" ca="1" si="22"/>
        <v>3650</v>
      </c>
      <c r="S100" s="33">
        <f t="shared" ca="1" si="23"/>
        <v>-31350</v>
      </c>
      <c r="T100" s="33">
        <f t="shared" ca="1" si="15"/>
        <v>3650</v>
      </c>
      <c r="U100" s="7">
        <f t="shared" ca="1" si="24"/>
        <v>0.11642743221690591</v>
      </c>
      <c r="V100" s="7">
        <f t="shared" ca="1" si="25"/>
        <v>-0.37568126781297601</v>
      </c>
      <c r="W100" s="33">
        <f t="shared" ca="1" si="16"/>
        <v>3650</v>
      </c>
      <c r="X100" s="7">
        <f t="shared" ca="1" si="17"/>
        <v>1</v>
      </c>
      <c r="Y100" s="7">
        <f t="shared" ca="1" si="18"/>
        <v>1.1164274322169059</v>
      </c>
      <c r="Z100" s="7">
        <f t="shared" ca="1" si="26"/>
        <v>-7.7320133782636941E-2</v>
      </c>
      <c r="AA100" s="33">
        <f t="shared" ca="1" si="19"/>
        <v>3650</v>
      </c>
      <c r="AB100" s="7">
        <f t="shared" ca="1" si="20"/>
        <v>1</v>
      </c>
      <c r="AC100" s="7">
        <f t="shared" ca="1" si="21"/>
        <v>1.1164274322169059</v>
      </c>
      <c r="AD100" s="40"/>
      <c r="AE100" s="40"/>
      <c r="AF100" s="34"/>
      <c r="AH100" s="34"/>
    </row>
    <row r="101" spans="1:34" x14ac:dyDescent="0.25">
      <c r="A101" s="1">
        <v>98</v>
      </c>
      <c r="B101" s="25">
        <v>43979</v>
      </c>
      <c r="C101" s="10" t="s">
        <v>1890</v>
      </c>
      <c r="D101" s="1">
        <v>20.95</v>
      </c>
      <c r="E101" s="30">
        <v>12000</v>
      </c>
      <c r="F101" s="1">
        <v>22</v>
      </c>
      <c r="G101" s="1">
        <v>1.05</v>
      </c>
      <c r="H101" s="1">
        <v>23</v>
      </c>
      <c r="I101" s="1">
        <v>0.8</v>
      </c>
      <c r="J101" s="1">
        <v>2352000</v>
      </c>
      <c r="K101" s="1">
        <v>12000</v>
      </c>
      <c r="L101" s="1">
        <v>0.75</v>
      </c>
      <c r="M101" s="1">
        <v>0.8</v>
      </c>
      <c r="N101" s="1">
        <v>36000</v>
      </c>
      <c r="O101" s="9"/>
      <c r="P101" s="7">
        <f t="shared" ca="1" si="27"/>
        <v>-0.25</v>
      </c>
      <c r="Q101" s="7">
        <f t="shared" ca="1" si="14"/>
        <v>-1.9230769230769232E-2</v>
      </c>
      <c r="R101" s="33">
        <f t="shared" ca="1" si="22"/>
        <v>3000</v>
      </c>
      <c r="S101" s="33">
        <f t="shared" ca="1" si="23"/>
        <v>-9000</v>
      </c>
      <c r="T101" s="33">
        <f t="shared" ca="1" si="15"/>
        <v>3000</v>
      </c>
      <c r="U101" s="7">
        <f t="shared" ca="1" si="24"/>
        <v>0.33333333333333331</v>
      </c>
      <c r="V101" s="7">
        <f t="shared" ca="1" si="25"/>
        <v>-0.72433614925236867</v>
      </c>
      <c r="W101" s="33">
        <f t="shared" ca="1" si="16"/>
        <v>3000</v>
      </c>
      <c r="X101" s="7">
        <f t="shared" ca="1" si="17"/>
        <v>1</v>
      </c>
      <c r="Y101" s="7">
        <f t="shared" ca="1" si="18"/>
        <v>1.3333333333333333</v>
      </c>
      <c r="Z101" s="7">
        <f t="shared" ca="1" si="26"/>
        <v>-0.1316544520863942</v>
      </c>
      <c r="AA101" s="33">
        <f t="shared" ca="1" si="19"/>
        <v>3000</v>
      </c>
      <c r="AB101" s="7">
        <f t="shared" ca="1" si="20"/>
        <v>1</v>
      </c>
      <c r="AC101" s="7">
        <f t="shared" ca="1" si="21"/>
        <v>1.3333333333333333</v>
      </c>
      <c r="AD101" s="40"/>
      <c r="AE101" s="40"/>
      <c r="AF101" s="34"/>
      <c r="AH101" s="34"/>
    </row>
    <row r="102" spans="1:34" x14ac:dyDescent="0.25">
      <c r="A102" s="1">
        <v>99</v>
      </c>
      <c r="B102" s="25">
        <v>43979</v>
      </c>
      <c r="C102" s="10" t="s">
        <v>1890</v>
      </c>
      <c r="D102" s="1">
        <v>20.95</v>
      </c>
      <c r="E102" s="30">
        <v>12000</v>
      </c>
      <c r="F102" s="1">
        <v>22</v>
      </c>
      <c r="G102" s="1">
        <v>1.05</v>
      </c>
      <c r="H102" s="1">
        <v>24</v>
      </c>
      <c r="I102" s="1">
        <v>0.55000000000000004</v>
      </c>
      <c r="J102" s="1">
        <v>1620000</v>
      </c>
      <c r="K102" s="1">
        <v>36000</v>
      </c>
      <c r="L102" s="1">
        <v>0.55000000000000004</v>
      </c>
      <c r="M102" s="1">
        <v>0.6</v>
      </c>
      <c r="N102" s="1">
        <v>72000</v>
      </c>
      <c r="O102" s="9"/>
      <c r="P102" s="7">
        <f t="shared" ca="1" si="27"/>
        <v>-0.25</v>
      </c>
      <c r="Q102" s="7">
        <f t="shared" ca="1" si="14"/>
        <v>-1.9230769230769232E-2</v>
      </c>
      <c r="R102" s="33">
        <f t="shared" ca="1" si="22"/>
        <v>6000</v>
      </c>
      <c r="S102" s="33">
        <f t="shared" ca="1" si="23"/>
        <v>-18000</v>
      </c>
      <c r="T102" s="33">
        <f t="shared" ca="1" si="15"/>
        <v>6000</v>
      </c>
      <c r="U102" s="7">
        <f t="shared" ca="1" si="24"/>
        <v>0.33333333333333331</v>
      </c>
      <c r="V102" s="7">
        <f t="shared" ca="1" si="25"/>
        <v>-0.72433614925236867</v>
      </c>
      <c r="W102" s="33">
        <f t="shared" ca="1" si="16"/>
        <v>6000</v>
      </c>
      <c r="X102" s="7">
        <f t="shared" ca="1" si="17"/>
        <v>1</v>
      </c>
      <c r="Y102" s="7">
        <f t="shared" ca="1" si="18"/>
        <v>1.3333333333333333</v>
      </c>
      <c r="Z102" s="7">
        <f t="shared" ca="1" si="26"/>
        <v>-0.1316544520863942</v>
      </c>
      <c r="AA102" s="33">
        <f t="shared" ca="1" si="19"/>
        <v>6000</v>
      </c>
      <c r="AB102" s="7">
        <f t="shared" ca="1" si="20"/>
        <v>1</v>
      </c>
      <c r="AC102" s="7">
        <f t="shared" ca="1" si="21"/>
        <v>1.3333333333333333</v>
      </c>
      <c r="AD102" s="40"/>
      <c r="AE102" s="40"/>
      <c r="AF102" s="34"/>
      <c r="AH102" s="34"/>
    </row>
    <row r="103" spans="1:34" x14ac:dyDescent="0.25">
      <c r="A103" s="1">
        <v>100</v>
      </c>
      <c r="B103" s="25">
        <v>43979</v>
      </c>
      <c r="C103" s="10" t="s">
        <v>1890</v>
      </c>
      <c r="D103" s="1">
        <v>20.95</v>
      </c>
      <c r="E103" s="30">
        <v>12000</v>
      </c>
      <c r="F103" s="1">
        <v>22</v>
      </c>
      <c r="G103" s="1">
        <v>1.05</v>
      </c>
      <c r="H103" s="1">
        <v>25</v>
      </c>
      <c r="I103" s="1">
        <v>0.45</v>
      </c>
      <c r="J103" s="1">
        <v>3048000</v>
      </c>
      <c r="K103" s="1">
        <v>228000</v>
      </c>
      <c r="L103" s="1">
        <v>0.4</v>
      </c>
      <c r="M103" s="1">
        <v>0.45</v>
      </c>
      <c r="N103" s="1">
        <v>48000</v>
      </c>
      <c r="O103" s="9"/>
      <c r="P103" s="7">
        <f t="shared" ca="1" si="27"/>
        <v>-0.20000000000000004</v>
      </c>
      <c r="Q103" s="7">
        <f t="shared" ca="1" si="14"/>
        <v>-1.5384615384615387E-2</v>
      </c>
      <c r="R103" s="33">
        <f t="shared" ca="1" si="22"/>
        <v>7200.0000000000009</v>
      </c>
      <c r="S103" s="33">
        <f t="shared" ca="1" si="23"/>
        <v>-28800</v>
      </c>
      <c r="T103" s="33">
        <f t="shared" ca="1" si="15"/>
        <v>7200.0000000000009</v>
      </c>
      <c r="U103" s="7">
        <f t="shared" ca="1" si="24"/>
        <v>0.25000000000000006</v>
      </c>
      <c r="V103" s="7">
        <f t="shared" ca="1" si="25"/>
        <v>-0.72433614925236867</v>
      </c>
      <c r="W103" s="33">
        <f t="shared" ca="1" si="16"/>
        <v>7200.0000000000009</v>
      </c>
      <c r="X103" s="7">
        <f t="shared" ca="1" si="17"/>
        <v>1</v>
      </c>
      <c r="Y103" s="7">
        <f t="shared" ca="1" si="18"/>
        <v>1.25</v>
      </c>
      <c r="Z103" s="7">
        <f t="shared" ca="1" si="26"/>
        <v>-0.1316544520863942</v>
      </c>
      <c r="AA103" s="33">
        <f t="shared" ca="1" si="19"/>
        <v>7200.0000000000009</v>
      </c>
      <c r="AB103" s="7">
        <f t="shared" ca="1" si="20"/>
        <v>1</v>
      </c>
      <c r="AC103" s="7">
        <f t="shared" ca="1" si="21"/>
        <v>1.25</v>
      </c>
      <c r="AD103" s="40"/>
      <c r="AE103" s="40"/>
      <c r="AF103" s="34"/>
      <c r="AH103" s="34"/>
    </row>
    <row r="104" spans="1:34" x14ac:dyDescent="0.25">
      <c r="A104" s="1">
        <v>101</v>
      </c>
      <c r="B104" s="25">
        <v>43979</v>
      </c>
      <c r="C104" s="10" t="s">
        <v>1890</v>
      </c>
      <c r="D104" s="1">
        <v>20.95</v>
      </c>
      <c r="E104" s="30">
        <v>12000</v>
      </c>
      <c r="F104" s="1">
        <v>22</v>
      </c>
      <c r="G104" s="1">
        <v>1.05</v>
      </c>
      <c r="H104" s="1">
        <v>26</v>
      </c>
      <c r="I104" s="1">
        <v>0.35</v>
      </c>
      <c r="J104" s="1">
        <v>780000</v>
      </c>
      <c r="K104" s="1">
        <v>120000</v>
      </c>
      <c r="L104" s="1">
        <v>0.3</v>
      </c>
      <c r="M104" s="1">
        <v>0.4</v>
      </c>
      <c r="N104" s="1">
        <v>108000</v>
      </c>
      <c r="O104" s="9"/>
      <c r="P104" s="7">
        <f t="shared" ca="1" si="27"/>
        <v>-0.17500000000000002</v>
      </c>
      <c r="Q104" s="7">
        <f t="shared" ref="Q104:Q167" ca="1" si="28">P104/($B104-TODAY())</f>
        <v>-1.3461538461538462E-2</v>
      </c>
      <c r="R104" s="33">
        <f t="shared" ca="1" si="22"/>
        <v>8400</v>
      </c>
      <c r="S104" s="33">
        <f t="shared" ca="1" si="23"/>
        <v>-39600</v>
      </c>
      <c r="T104" s="33">
        <f t="shared" ref="T104:T167" ca="1" si="29">R104</f>
        <v>8400</v>
      </c>
      <c r="U104" s="7">
        <f t="shared" ca="1" si="24"/>
        <v>0.21212121212121213</v>
      </c>
      <c r="V104" s="7">
        <f t="shared" ca="1" si="25"/>
        <v>-0.72433614925236867</v>
      </c>
      <c r="W104" s="33">
        <f t="shared" ref="W104:W167" ca="1" si="30">-(MAX(($F104-MAX($D104*(1+V104),$H104)),0)*$E104-$R104)</f>
        <v>8400</v>
      </c>
      <c r="X104" s="7">
        <f t="shared" ref="X104:X167" ca="1" si="31">W104/$R104</f>
        <v>1</v>
      </c>
      <c r="Y104" s="7">
        <f t="shared" ref="Y104:Y167" ca="1" si="32">$U104+X104</f>
        <v>1.2121212121212122</v>
      </c>
      <c r="Z104" s="7">
        <f t="shared" ca="1" si="26"/>
        <v>-0.1316544520863942</v>
      </c>
      <c r="AA104" s="33">
        <f t="shared" ref="AA104:AA167" ca="1" si="33">-(MAX(($F104-MAX($D104*(1+Z104),$H104)),0)*$E104-$R104)</f>
        <v>8400</v>
      </c>
      <c r="AB104" s="7">
        <f t="shared" ref="AB104:AB167" ca="1" si="34">AA104/$R104</f>
        <v>1</v>
      </c>
      <c r="AC104" s="7">
        <f t="shared" ref="AC104:AC167" ca="1" si="35">$U104+AB104</f>
        <v>1.2121212121212122</v>
      </c>
      <c r="AD104" s="40"/>
      <c r="AE104" s="40"/>
      <c r="AF104" s="34"/>
      <c r="AH104" s="34"/>
    </row>
    <row r="105" spans="1:34" x14ac:dyDescent="0.25">
      <c r="A105" s="1">
        <v>102</v>
      </c>
      <c r="B105" s="25">
        <v>43979</v>
      </c>
      <c r="C105" s="10" t="s">
        <v>1890</v>
      </c>
      <c r="D105" s="1">
        <v>20.95</v>
      </c>
      <c r="E105" s="30">
        <v>12000</v>
      </c>
      <c r="F105" s="1">
        <v>22</v>
      </c>
      <c r="G105" s="1">
        <v>1.05</v>
      </c>
      <c r="H105" s="1">
        <v>27</v>
      </c>
      <c r="I105" s="1">
        <v>0.25</v>
      </c>
      <c r="J105" s="1">
        <v>636000</v>
      </c>
      <c r="K105" s="1">
        <v>84000</v>
      </c>
      <c r="L105" s="1">
        <v>0.25</v>
      </c>
      <c r="M105" s="1">
        <v>0.3</v>
      </c>
      <c r="N105" s="1">
        <v>144000</v>
      </c>
      <c r="O105" s="9"/>
      <c r="P105" s="7">
        <f t="shared" ca="1" si="27"/>
        <v>-0.16</v>
      </c>
      <c r="Q105" s="7">
        <f t="shared" ca="1" si="28"/>
        <v>-1.2307692307692308E-2</v>
      </c>
      <c r="R105" s="33">
        <f t="shared" ca="1" si="22"/>
        <v>9600</v>
      </c>
      <c r="S105" s="33">
        <f t="shared" ca="1" si="23"/>
        <v>-50400</v>
      </c>
      <c r="T105" s="33">
        <f t="shared" ca="1" si="29"/>
        <v>9600</v>
      </c>
      <c r="U105" s="7">
        <f t="shared" ca="1" si="24"/>
        <v>0.19047619047619047</v>
      </c>
      <c r="V105" s="7">
        <f t="shared" ca="1" si="25"/>
        <v>-0.72433614925236867</v>
      </c>
      <c r="W105" s="33">
        <f t="shared" ca="1" si="30"/>
        <v>9600</v>
      </c>
      <c r="X105" s="7">
        <f t="shared" ca="1" si="31"/>
        <v>1</v>
      </c>
      <c r="Y105" s="7">
        <f t="shared" ca="1" si="32"/>
        <v>1.1904761904761905</v>
      </c>
      <c r="Z105" s="7">
        <f t="shared" ca="1" si="26"/>
        <v>-0.1316544520863942</v>
      </c>
      <c r="AA105" s="33">
        <f t="shared" ca="1" si="33"/>
        <v>9600</v>
      </c>
      <c r="AB105" s="7">
        <f t="shared" ca="1" si="34"/>
        <v>1</v>
      </c>
      <c r="AC105" s="7">
        <f t="shared" ca="1" si="35"/>
        <v>1.1904761904761905</v>
      </c>
      <c r="AD105" s="40"/>
      <c r="AE105" s="40"/>
      <c r="AF105" s="34"/>
      <c r="AH105" s="34"/>
    </row>
    <row r="106" spans="1:34" x14ac:dyDescent="0.25">
      <c r="A106" s="1">
        <v>103</v>
      </c>
      <c r="B106" s="25">
        <v>43979</v>
      </c>
      <c r="C106" s="10" t="s">
        <v>1890</v>
      </c>
      <c r="D106" s="1">
        <v>20.95</v>
      </c>
      <c r="E106" s="30">
        <v>12000</v>
      </c>
      <c r="F106" s="1">
        <v>22</v>
      </c>
      <c r="G106" s="1">
        <v>1.05</v>
      </c>
      <c r="H106" s="1">
        <v>28</v>
      </c>
      <c r="I106" s="1">
        <v>0.25</v>
      </c>
      <c r="J106" s="1">
        <v>432000</v>
      </c>
      <c r="K106" s="1">
        <v>360000</v>
      </c>
      <c r="L106" s="1">
        <v>0.2</v>
      </c>
      <c r="M106" s="1">
        <v>0.25</v>
      </c>
      <c r="N106" s="1">
        <v>24000</v>
      </c>
      <c r="O106" s="9"/>
      <c r="P106" s="7">
        <f t="shared" ca="1" si="27"/>
        <v>-0.13333333333333333</v>
      </c>
      <c r="Q106" s="7">
        <f t="shared" ca="1" si="28"/>
        <v>-1.0256410256410256E-2</v>
      </c>
      <c r="R106" s="33">
        <f t="shared" ca="1" si="22"/>
        <v>9600</v>
      </c>
      <c r="S106" s="33">
        <f t="shared" ca="1" si="23"/>
        <v>-62400</v>
      </c>
      <c r="T106" s="33">
        <f t="shared" ca="1" si="29"/>
        <v>9600</v>
      </c>
      <c r="U106" s="7">
        <f t="shared" ca="1" si="24"/>
        <v>0.15384615384615385</v>
      </c>
      <c r="V106" s="7">
        <f t="shared" ca="1" si="25"/>
        <v>-0.72433614925236867</v>
      </c>
      <c r="W106" s="33">
        <f t="shared" ca="1" si="30"/>
        <v>9600</v>
      </c>
      <c r="X106" s="7">
        <f t="shared" ca="1" si="31"/>
        <v>1</v>
      </c>
      <c r="Y106" s="7">
        <f t="shared" ca="1" si="32"/>
        <v>1.1538461538461537</v>
      </c>
      <c r="Z106" s="7">
        <f t="shared" ca="1" si="26"/>
        <v>-0.1316544520863942</v>
      </c>
      <c r="AA106" s="33">
        <f t="shared" ca="1" si="33"/>
        <v>9600</v>
      </c>
      <c r="AB106" s="7">
        <f t="shared" ca="1" si="34"/>
        <v>1</v>
      </c>
      <c r="AC106" s="7">
        <f t="shared" ca="1" si="35"/>
        <v>1.1538461538461537</v>
      </c>
      <c r="AD106" s="40"/>
      <c r="AE106" s="40"/>
      <c r="AF106" s="34"/>
      <c r="AH106" s="34"/>
    </row>
    <row r="107" spans="1:34" x14ac:dyDescent="0.25">
      <c r="A107" s="1">
        <v>104</v>
      </c>
      <c r="B107" s="25">
        <v>43979</v>
      </c>
      <c r="C107" s="10" t="s">
        <v>1890</v>
      </c>
      <c r="D107" s="1">
        <v>20.95</v>
      </c>
      <c r="E107" s="30">
        <v>12000</v>
      </c>
      <c r="F107" s="1">
        <v>22</v>
      </c>
      <c r="G107" s="1">
        <v>1.05</v>
      </c>
      <c r="H107" s="1">
        <v>29</v>
      </c>
      <c r="I107" s="1">
        <v>0.25</v>
      </c>
      <c r="J107" s="1">
        <v>228000</v>
      </c>
      <c r="K107" s="1">
        <v>24000</v>
      </c>
      <c r="L107" s="1">
        <v>0.1</v>
      </c>
      <c r="M107" s="1">
        <v>0.25</v>
      </c>
      <c r="N107" s="1">
        <v>48000</v>
      </c>
      <c r="O107" s="9"/>
      <c r="P107" s="7">
        <f t="shared" ca="1" si="27"/>
        <v>-0.1142857142857143</v>
      </c>
      <c r="Q107" s="7">
        <f t="shared" ca="1" si="28"/>
        <v>-8.7912087912087912E-3</v>
      </c>
      <c r="R107" s="33">
        <f t="shared" ca="1" si="22"/>
        <v>9600</v>
      </c>
      <c r="S107" s="33">
        <f t="shared" ca="1" si="23"/>
        <v>-74400</v>
      </c>
      <c r="T107" s="33">
        <f t="shared" ca="1" si="29"/>
        <v>9600</v>
      </c>
      <c r="U107" s="7">
        <f t="shared" ca="1" si="24"/>
        <v>0.12903225806451613</v>
      </c>
      <c r="V107" s="7">
        <f t="shared" ca="1" si="25"/>
        <v>-0.72433614925236867</v>
      </c>
      <c r="W107" s="33">
        <f t="shared" ca="1" si="30"/>
        <v>9600</v>
      </c>
      <c r="X107" s="7">
        <f t="shared" ca="1" si="31"/>
        <v>1</v>
      </c>
      <c r="Y107" s="7">
        <f t="shared" ca="1" si="32"/>
        <v>1.129032258064516</v>
      </c>
      <c r="Z107" s="7">
        <f t="shared" ca="1" si="26"/>
        <v>-0.1316544520863942</v>
      </c>
      <c r="AA107" s="33">
        <f t="shared" ca="1" si="33"/>
        <v>9600</v>
      </c>
      <c r="AB107" s="7">
        <f t="shared" ca="1" si="34"/>
        <v>1</v>
      </c>
      <c r="AC107" s="7">
        <f t="shared" ca="1" si="35"/>
        <v>1.129032258064516</v>
      </c>
      <c r="AD107" s="40"/>
      <c r="AE107" s="40"/>
      <c r="AF107" s="34"/>
      <c r="AH107" s="34"/>
    </row>
    <row r="108" spans="1:34" x14ac:dyDescent="0.25">
      <c r="A108" s="1">
        <v>105</v>
      </c>
      <c r="B108" s="25">
        <v>43979</v>
      </c>
      <c r="C108" s="10" t="s">
        <v>1890</v>
      </c>
      <c r="D108" s="1">
        <v>20.95</v>
      </c>
      <c r="E108" s="30">
        <v>12000</v>
      </c>
      <c r="F108" s="1">
        <v>22</v>
      </c>
      <c r="G108" s="1">
        <v>1.05</v>
      </c>
      <c r="H108" s="1">
        <v>30</v>
      </c>
      <c r="I108" s="1">
        <v>0.1</v>
      </c>
      <c r="J108" s="1">
        <v>1920000</v>
      </c>
      <c r="K108" s="1">
        <v>72000</v>
      </c>
      <c r="L108" s="1">
        <v>0.1</v>
      </c>
      <c r="M108" s="1">
        <v>0.15</v>
      </c>
      <c r="N108" s="1">
        <v>348000</v>
      </c>
      <c r="O108" s="9"/>
      <c r="P108" s="7">
        <f t="shared" ca="1" si="27"/>
        <v>-0.11875000000000001</v>
      </c>
      <c r="Q108" s="7">
        <f t="shared" ca="1" si="28"/>
        <v>-9.1346153846153851E-3</v>
      </c>
      <c r="R108" s="33">
        <f t="shared" ca="1" si="22"/>
        <v>11400</v>
      </c>
      <c r="S108" s="33">
        <f t="shared" ca="1" si="23"/>
        <v>-84600</v>
      </c>
      <c r="T108" s="33">
        <f t="shared" ca="1" si="29"/>
        <v>11400</v>
      </c>
      <c r="U108" s="7">
        <f t="shared" ca="1" si="24"/>
        <v>0.13475177304964539</v>
      </c>
      <c r="V108" s="7">
        <f t="shared" ca="1" si="25"/>
        <v>-0.72433614925236867</v>
      </c>
      <c r="W108" s="33">
        <f t="shared" ca="1" si="30"/>
        <v>11400</v>
      </c>
      <c r="X108" s="7">
        <f t="shared" ca="1" si="31"/>
        <v>1</v>
      </c>
      <c r="Y108" s="7">
        <f t="shared" ca="1" si="32"/>
        <v>1.1347517730496455</v>
      </c>
      <c r="Z108" s="7">
        <f t="shared" ca="1" si="26"/>
        <v>-0.1316544520863942</v>
      </c>
      <c r="AA108" s="33">
        <f t="shared" ca="1" si="33"/>
        <v>11400</v>
      </c>
      <c r="AB108" s="7">
        <f t="shared" ca="1" si="34"/>
        <v>1</v>
      </c>
      <c r="AC108" s="7">
        <f t="shared" ca="1" si="35"/>
        <v>1.1347517730496455</v>
      </c>
      <c r="AD108" s="40"/>
      <c r="AE108" s="40"/>
      <c r="AF108" s="34"/>
      <c r="AH108" s="34"/>
    </row>
    <row r="109" spans="1:34" x14ac:dyDescent="0.25">
      <c r="A109" s="1">
        <v>106</v>
      </c>
      <c r="B109" s="25">
        <v>43979</v>
      </c>
      <c r="C109" s="10" t="s">
        <v>1890</v>
      </c>
      <c r="D109" s="1">
        <v>20.95</v>
      </c>
      <c r="E109" s="30">
        <v>12000</v>
      </c>
      <c r="F109" s="1">
        <v>22</v>
      </c>
      <c r="G109" s="1">
        <v>1.05</v>
      </c>
      <c r="H109" s="1">
        <v>31</v>
      </c>
      <c r="I109" s="1">
        <v>0.1</v>
      </c>
      <c r="J109" s="1">
        <v>12000</v>
      </c>
      <c r="K109" s="1">
        <v>60000</v>
      </c>
      <c r="L109" s="1">
        <v>0.05</v>
      </c>
      <c r="M109" s="1">
        <v>0.15</v>
      </c>
      <c r="N109" s="1">
        <v>12000</v>
      </c>
      <c r="O109" s="9"/>
      <c r="P109" s="7">
        <f t="shared" ca="1" si="27"/>
        <v>-0.10555555555555557</v>
      </c>
      <c r="Q109" s="7">
        <f t="shared" ca="1" si="28"/>
        <v>-8.1196581196581203E-3</v>
      </c>
      <c r="R109" s="33">
        <f t="shared" ca="1" si="22"/>
        <v>11400</v>
      </c>
      <c r="S109" s="33">
        <f t="shared" ca="1" si="23"/>
        <v>-96600</v>
      </c>
      <c r="T109" s="33">
        <f t="shared" ca="1" si="29"/>
        <v>11400</v>
      </c>
      <c r="U109" s="7">
        <f t="shared" ca="1" si="24"/>
        <v>0.11801242236024845</v>
      </c>
      <c r="V109" s="7">
        <f t="shared" ca="1" si="25"/>
        <v>-0.72433614925236867</v>
      </c>
      <c r="W109" s="33">
        <f t="shared" ca="1" si="30"/>
        <v>11400</v>
      </c>
      <c r="X109" s="7">
        <f t="shared" ca="1" si="31"/>
        <v>1</v>
      </c>
      <c r="Y109" s="7">
        <f t="shared" ca="1" si="32"/>
        <v>1.1180124223602483</v>
      </c>
      <c r="Z109" s="7">
        <f t="shared" ca="1" si="26"/>
        <v>-0.1316544520863942</v>
      </c>
      <c r="AA109" s="33">
        <f t="shared" ca="1" si="33"/>
        <v>11400</v>
      </c>
      <c r="AB109" s="7">
        <f t="shared" ca="1" si="34"/>
        <v>1</v>
      </c>
      <c r="AC109" s="7">
        <f t="shared" ca="1" si="35"/>
        <v>1.1180124223602483</v>
      </c>
      <c r="AD109" s="40"/>
      <c r="AE109" s="40"/>
      <c r="AF109" s="34"/>
      <c r="AH109" s="34"/>
    </row>
    <row r="110" spans="1:34" x14ac:dyDescent="0.25">
      <c r="A110" s="1">
        <v>107</v>
      </c>
      <c r="B110" s="25">
        <v>43979</v>
      </c>
      <c r="C110" s="10" t="s">
        <v>729</v>
      </c>
      <c r="D110" s="1">
        <v>436.15</v>
      </c>
      <c r="E110" s="30">
        <v>400</v>
      </c>
      <c r="F110" s="1">
        <v>460</v>
      </c>
      <c r="G110" s="1">
        <v>19.45</v>
      </c>
      <c r="H110" s="1">
        <v>480</v>
      </c>
      <c r="I110" s="1">
        <v>14.5</v>
      </c>
      <c r="J110" s="1">
        <v>566800</v>
      </c>
      <c r="K110" s="1">
        <v>400</v>
      </c>
      <c r="L110" s="1">
        <v>14.2</v>
      </c>
      <c r="M110" s="1">
        <v>14.5</v>
      </c>
      <c r="N110" s="1">
        <v>400</v>
      </c>
      <c r="O110" s="9"/>
      <c r="P110" s="7">
        <f t="shared" ca="1" si="27"/>
        <v>-0.24749999999999997</v>
      </c>
      <c r="Q110" s="7">
        <f t="shared" ca="1" si="28"/>
        <v>-1.9038461538461535E-2</v>
      </c>
      <c r="R110" s="33">
        <f t="shared" ca="1" si="22"/>
        <v>1979.9999999999998</v>
      </c>
      <c r="S110" s="33">
        <f t="shared" ca="1" si="23"/>
        <v>-6020</v>
      </c>
      <c r="T110" s="33">
        <f t="shared" ca="1" si="29"/>
        <v>1979.9999999999998</v>
      </c>
      <c r="U110" s="7">
        <f t="shared" ca="1" si="24"/>
        <v>0.32890365448504982</v>
      </c>
      <c r="V110" s="7">
        <f t="shared" ca="1" si="25"/>
        <v>-1.2662326387032776</v>
      </c>
      <c r="W110" s="33">
        <f t="shared" ca="1" si="30"/>
        <v>1979.9999999999998</v>
      </c>
      <c r="X110" s="7">
        <f t="shared" ca="1" si="31"/>
        <v>1</v>
      </c>
      <c r="Y110" s="7">
        <f t="shared" ca="1" si="32"/>
        <v>1.3289036544850499</v>
      </c>
      <c r="Z110" s="7">
        <f t="shared" ca="1" si="26"/>
        <v>-0.17211005181842581</v>
      </c>
      <c r="AA110" s="33">
        <f t="shared" ca="1" si="33"/>
        <v>1979.9999999999998</v>
      </c>
      <c r="AB110" s="7">
        <f t="shared" ca="1" si="34"/>
        <v>1</v>
      </c>
      <c r="AC110" s="7">
        <f t="shared" ca="1" si="35"/>
        <v>1.3289036544850499</v>
      </c>
      <c r="AD110" s="40"/>
      <c r="AE110" s="40"/>
      <c r="AF110" s="34"/>
      <c r="AH110" s="34"/>
    </row>
    <row r="111" spans="1:34" x14ac:dyDescent="0.25">
      <c r="A111" s="1">
        <v>108</v>
      </c>
      <c r="B111" s="25">
        <v>43979</v>
      </c>
      <c r="C111" s="10" t="s">
        <v>729</v>
      </c>
      <c r="D111" s="1">
        <v>436.15</v>
      </c>
      <c r="E111" s="30">
        <v>400</v>
      </c>
      <c r="F111" s="1">
        <v>460</v>
      </c>
      <c r="G111" s="1">
        <v>19.45</v>
      </c>
      <c r="H111" s="1">
        <v>500</v>
      </c>
      <c r="I111" s="1">
        <v>11.05</v>
      </c>
      <c r="J111" s="1">
        <v>896000</v>
      </c>
      <c r="K111" s="1">
        <v>400</v>
      </c>
      <c r="L111" s="1">
        <v>10.65</v>
      </c>
      <c r="M111" s="1">
        <v>11.05</v>
      </c>
      <c r="N111" s="1">
        <v>400</v>
      </c>
      <c r="O111" s="9"/>
      <c r="P111" s="7">
        <f t="shared" ca="1" si="27"/>
        <v>-0.20999999999999996</v>
      </c>
      <c r="Q111" s="7">
        <f t="shared" ca="1" si="28"/>
        <v>-1.6153846153846151E-2</v>
      </c>
      <c r="R111" s="33">
        <f t="shared" ca="1" si="22"/>
        <v>3359.9999999999995</v>
      </c>
      <c r="S111" s="33">
        <f t="shared" ca="1" si="23"/>
        <v>-12640</v>
      </c>
      <c r="T111" s="33">
        <f t="shared" ca="1" si="29"/>
        <v>3359.9999999999995</v>
      </c>
      <c r="U111" s="7">
        <f t="shared" ca="1" si="24"/>
        <v>0.26582278481012656</v>
      </c>
      <c r="V111" s="7">
        <f t="shared" ca="1" si="25"/>
        <v>-1.2662326387032776</v>
      </c>
      <c r="W111" s="33">
        <f t="shared" ca="1" si="30"/>
        <v>3359.9999999999995</v>
      </c>
      <c r="X111" s="7">
        <f t="shared" ca="1" si="31"/>
        <v>1</v>
      </c>
      <c r="Y111" s="7">
        <f t="shared" ca="1" si="32"/>
        <v>1.2658227848101267</v>
      </c>
      <c r="Z111" s="7">
        <f t="shared" ca="1" si="26"/>
        <v>-0.17211005181842581</v>
      </c>
      <c r="AA111" s="33">
        <f t="shared" ca="1" si="33"/>
        <v>3359.9999999999995</v>
      </c>
      <c r="AB111" s="7">
        <f t="shared" ca="1" si="34"/>
        <v>1</v>
      </c>
      <c r="AC111" s="7">
        <f t="shared" ca="1" si="35"/>
        <v>1.2658227848101267</v>
      </c>
      <c r="AD111" s="40"/>
      <c r="AE111" s="40"/>
      <c r="AF111" s="34"/>
      <c r="AH111" s="34"/>
    </row>
    <row r="112" spans="1:34" x14ac:dyDescent="0.25">
      <c r="A112" s="1">
        <v>109</v>
      </c>
      <c r="B112" s="25">
        <v>43979</v>
      </c>
      <c r="C112" s="10" t="s">
        <v>729</v>
      </c>
      <c r="D112" s="1">
        <v>436.15</v>
      </c>
      <c r="E112" s="30">
        <v>400</v>
      </c>
      <c r="F112" s="1">
        <v>460</v>
      </c>
      <c r="G112" s="1">
        <v>19.45</v>
      </c>
      <c r="H112" s="1">
        <v>520</v>
      </c>
      <c r="I112" s="1">
        <v>8.5</v>
      </c>
      <c r="J112" s="1">
        <v>130000</v>
      </c>
      <c r="K112" s="1">
        <v>400</v>
      </c>
      <c r="L112" s="1">
        <v>8.3000000000000007</v>
      </c>
      <c r="M112" s="1">
        <v>8.5</v>
      </c>
      <c r="N112" s="1">
        <v>400</v>
      </c>
      <c r="O112" s="9"/>
      <c r="P112" s="7">
        <f t="shared" ca="1" si="27"/>
        <v>-0.1825</v>
      </c>
      <c r="Q112" s="7">
        <f t="shared" ca="1" si="28"/>
        <v>-1.4038461538461538E-2</v>
      </c>
      <c r="R112" s="33">
        <f t="shared" ca="1" si="22"/>
        <v>4380</v>
      </c>
      <c r="S112" s="33">
        <f t="shared" ca="1" si="23"/>
        <v>-19620</v>
      </c>
      <c r="T112" s="33">
        <f t="shared" ca="1" si="29"/>
        <v>4380</v>
      </c>
      <c r="U112" s="7">
        <f t="shared" ca="1" si="24"/>
        <v>0.22324159021406728</v>
      </c>
      <c r="V112" s="7">
        <f t="shared" ca="1" si="25"/>
        <v>-1.2662326387032776</v>
      </c>
      <c r="W112" s="33">
        <f t="shared" ca="1" si="30"/>
        <v>4380</v>
      </c>
      <c r="X112" s="7">
        <f t="shared" ca="1" si="31"/>
        <v>1</v>
      </c>
      <c r="Y112" s="7">
        <f t="shared" ca="1" si="32"/>
        <v>1.2232415902140672</v>
      </c>
      <c r="Z112" s="7">
        <f t="shared" ca="1" si="26"/>
        <v>-0.17211005181842581</v>
      </c>
      <c r="AA112" s="33">
        <f t="shared" ca="1" si="33"/>
        <v>4380</v>
      </c>
      <c r="AB112" s="7">
        <f t="shared" ca="1" si="34"/>
        <v>1</v>
      </c>
      <c r="AC112" s="7">
        <f t="shared" ca="1" si="35"/>
        <v>1.2232415902140672</v>
      </c>
      <c r="AD112" s="40"/>
      <c r="AE112" s="40"/>
      <c r="AF112" s="34"/>
      <c r="AH112" s="34"/>
    </row>
    <row r="113" spans="1:34" x14ac:dyDescent="0.25">
      <c r="A113" s="1">
        <v>110</v>
      </c>
      <c r="B113" s="25">
        <v>43979</v>
      </c>
      <c r="C113" s="10" t="s">
        <v>729</v>
      </c>
      <c r="D113" s="1">
        <v>436.15</v>
      </c>
      <c r="E113" s="30">
        <v>400</v>
      </c>
      <c r="F113" s="1">
        <v>460</v>
      </c>
      <c r="G113" s="1">
        <v>19.45</v>
      </c>
      <c r="H113" s="1">
        <v>540</v>
      </c>
      <c r="I113" s="1">
        <v>6.4</v>
      </c>
      <c r="J113" s="1">
        <v>118400</v>
      </c>
      <c r="K113" s="1">
        <v>400</v>
      </c>
      <c r="L113" s="1">
        <v>5.85</v>
      </c>
      <c r="M113" s="1">
        <v>6.65</v>
      </c>
      <c r="N113" s="1">
        <v>400</v>
      </c>
      <c r="O113" s="9"/>
      <c r="P113" s="7">
        <f t="shared" ca="1" si="27"/>
        <v>-0.16312499999999999</v>
      </c>
      <c r="Q113" s="7">
        <f t="shared" ca="1" si="28"/>
        <v>-1.2548076923076922E-2</v>
      </c>
      <c r="R113" s="33">
        <f t="shared" ca="1" si="22"/>
        <v>5220</v>
      </c>
      <c r="S113" s="33">
        <f t="shared" ca="1" si="23"/>
        <v>-26780</v>
      </c>
      <c r="T113" s="33">
        <f t="shared" ca="1" si="29"/>
        <v>5220</v>
      </c>
      <c r="U113" s="7">
        <f t="shared" ca="1" si="24"/>
        <v>0.19492158327109785</v>
      </c>
      <c r="V113" s="7">
        <f t="shared" ca="1" si="25"/>
        <v>-1.2662326387032776</v>
      </c>
      <c r="W113" s="33">
        <f t="shared" ca="1" si="30"/>
        <v>5220</v>
      </c>
      <c r="X113" s="7">
        <f t="shared" ca="1" si="31"/>
        <v>1</v>
      </c>
      <c r="Y113" s="7">
        <f t="shared" ca="1" si="32"/>
        <v>1.1949215832710978</v>
      </c>
      <c r="Z113" s="7">
        <f t="shared" ca="1" si="26"/>
        <v>-0.17211005181842581</v>
      </c>
      <c r="AA113" s="33">
        <f t="shared" ca="1" si="33"/>
        <v>5220</v>
      </c>
      <c r="AB113" s="7">
        <f t="shared" ca="1" si="34"/>
        <v>1</v>
      </c>
      <c r="AC113" s="7">
        <f t="shared" ca="1" si="35"/>
        <v>1.1949215832710978</v>
      </c>
      <c r="AD113" s="40"/>
      <c r="AE113" s="40"/>
      <c r="AF113" s="34"/>
      <c r="AH113" s="34"/>
    </row>
    <row r="114" spans="1:34" x14ac:dyDescent="0.25">
      <c r="A114" s="1">
        <v>111</v>
      </c>
      <c r="B114" s="25">
        <v>43979</v>
      </c>
      <c r="C114" s="10" t="s">
        <v>729</v>
      </c>
      <c r="D114" s="1">
        <v>436.15</v>
      </c>
      <c r="E114" s="30">
        <v>400</v>
      </c>
      <c r="F114" s="1">
        <v>460</v>
      </c>
      <c r="G114" s="1">
        <v>19.45</v>
      </c>
      <c r="H114" s="1">
        <v>550</v>
      </c>
      <c r="I114" s="1">
        <v>5.9</v>
      </c>
      <c r="J114" s="1">
        <v>199200</v>
      </c>
      <c r="K114" s="1">
        <v>400</v>
      </c>
      <c r="L114" s="1">
        <v>5.9</v>
      </c>
      <c r="M114" s="1">
        <v>5.95</v>
      </c>
      <c r="N114" s="1">
        <v>800</v>
      </c>
      <c r="O114" s="9"/>
      <c r="P114" s="7">
        <f t="shared" ca="1" si="27"/>
        <v>-0.15055555555555555</v>
      </c>
      <c r="Q114" s="7">
        <f t="shared" ca="1" si="28"/>
        <v>-1.1581196581196581E-2</v>
      </c>
      <c r="R114" s="33">
        <f t="shared" ca="1" si="22"/>
        <v>5420</v>
      </c>
      <c r="S114" s="33">
        <f t="shared" ca="1" si="23"/>
        <v>-30580</v>
      </c>
      <c r="T114" s="33">
        <f t="shared" ca="1" si="29"/>
        <v>5420</v>
      </c>
      <c r="U114" s="7">
        <f t="shared" ca="1" si="24"/>
        <v>0.17724002616088946</v>
      </c>
      <c r="V114" s="7">
        <f t="shared" ca="1" si="25"/>
        <v>-1.2662326387032776</v>
      </c>
      <c r="W114" s="33">
        <f t="shared" ca="1" si="30"/>
        <v>5420</v>
      </c>
      <c r="X114" s="7">
        <f t="shared" ca="1" si="31"/>
        <v>1</v>
      </c>
      <c r="Y114" s="7">
        <f t="shared" ca="1" si="32"/>
        <v>1.1772400261608895</v>
      </c>
      <c r="Z114" s="7">
        <f t="shared" ca="1" si="26"/>
        <v>-0.17211005181842581</v>
      </c>
      <c r="AA114" s="33">
        <f t="shared" ca="1" si="33"/>
        <v>5420</v>
      </c>
      <c r="AB114" s="7">
        <f t="shared" ca="1" si="34"/>
        <v>1</v>
      </c>
      <c r="AC114" s="7">
        <f t="shared" ca="1" si="35"/>
        <v>1.1772400261608895</v>
      </c>
      <c r="AD114" s="40"/>
      <c r="AE114" s="40"/>
      <c r="AF114" s="34"/>
      <c r="AH114" s="34"/>
    </row>
    <row r="115" spans="1:34" x14ac:dyDescent="0.25">
      <c r="A115" s="1">
        <v>112</v>
      </c>
      <c r="B115" s="25">
        <v>43979</v>
      </c>
      <c r="C115" s="10" t="s">
        <v>729</v>
      </c>
      <c r="D115" s="1">
        <v>436.15</v>
      </c>
      <c r="E115" s="30">
        <v>400</v>
      </c>
      <c r="F115" s="1">
        <v>460</v>
      </c>
      <c r="G115" s="1">
        <v>19.45</v>
      </c>
      <c r="H115" s="1">
        <v>560</v>
      </c>
      <c r="I115" s="1">
        <v>5.05</v>
      </c>
      <c r="J115" s="1">
        <v>51600</v>
      </c>
      <c r="K115" s="1">
        <v>800</v>
      </c>
      <c r="L115" s="1">
        <v>5</v>
      </c>
      <c r="M115" s="1">
        <v>5.95</v>
      </c>
      <c r="N115" s="1">
        <v>400</v>
      </c>
      <c r="O115" s="9"/>
      <c r="P115" s="7">
        <f t="shared" ca="1" si="27"/>
        <v>-0.14399999999999999</v>
      </c>
      <c r="Q115" s="7">
        <f t="shared" ca="1" si="28"/>
        <v>-1.1076923076923076E-2</v>
      </c>
      <c r="R115" s="33">
        <f t="shared" ca="1" si="22"/>
        <v>5759.9999999999991</v>
      </c>
      <c r="S115" s="33">
        <f t="shared" ca="1" si="23"/>
        <v>-34240</v>
      </c>
      <c r="T115" s="33">
        <f t="shared" ca="1" si="29"/>
        <v>5759.9999999999991</v>
      </c>
      <c r="U115" s="7">
        <f t="shared" ca="1" si="24"/>
        <v>0.16822429906542052</v>
      </c>
      <c r="V115" s="7">
        <f t="shared" ca="1" si="25"/>
        <v>-1.2662326387032776</v>
      </c>
      <c r="W115" s="33">
        <f t="shared" ca="1" si="30"/>
        <v>5759.9999999999991</v>
      </c>
      <c r="X115" s="7">
        <f t="shared" ca="1" si="31"/>
        <v>1</v>
      </c>
      <c r="Y115" s="7">
        <f t="shared" ca="1" si="32"/>
        <v>1.1682242990654206</v>
      </c>
      <c r="Z115" s="7">
        <f t="shared" ca="1" si="26"/>
        <v>-0.17211005181842581</v>
      </c>
      <c r="AA115" s="33">
        <f t="shared" ca="1" si="33"/>
        <v>5759.9999999999991</v>
      </c>
      <c r="AB115" s="7">
        <f t="shared" ca="1" si="34"/>
        <v>1</v>
      </c>
      <c r="AC115" s="7">
        <f t="shared" ca="1" si="35"/>
        <v>1.1682242990654206</v>
      </c>
      <c r="AD115" s="40"/>
      <c r="AE115" s="40"/>
      <c r="AF115" s="34"/>
      <c r="AH115" s="34"/>
    </row>
    <row r="116" spans="1:34" x14ac:dyDescent="0.25">
      <c r="A116" s="1">
        <v>113</v>
      </c>
      <c r="B116" s="25">
        <v>43979</v>
      </c>
      <c r="C116" s="10" t="s">
        <v>729</v>
      </c>
      <c r="D116" s="1">
        <v>436.15</v>
      </c>
      <c r="E116" s="30">
        <v>400</v>
      </c>
      <c r="F116" s="1">
        <v>460</v>
      </c>
      <c r="G116" s="1">
        <v>19.45</v>
      </c>
      <c r="H116" s="1">
        <v>580</v>
      </c>
      <c r="I116" s="1">
        <v>4</v>
      </c>
      <c r="J116" s="1">
        <v>19600</v>
      </c>
      <c r="K116" s="1">
        <v>800</v>
      </c>
      <c r="L116" s="1">
        <v>3.8</v>
      </c>
      <c r="M116" s="1">
        <v>4.95</v>
      </c>
      <c r="N116" s="1">
        <v>400</v>
      </c>
      <c r="O116" s="9"/>
      <c r="P116" s="7">
        <f t="shared" ca="1" si="27"/>
        <v>-0.12875</v>
      </c>
      <c r="Q116" s="7">
        <f t="shared" ca="1" si="28"/>
        <v>-9.9038461538461537E-3</v>
      </c>
      <c r="R116" s="33">
        <f t="shared" ca="1" si="22"/>
        <v>6180</v>
      </c>
      <c r="S116" s="33">
        <f t="shared" ca="1" si="23"/>
        <v>-41820</v>
      </c>
      <c r="T116" s="33">
        <f t="shared" ca="1" si="29"/>
        <v>6180</v>
      </c>
      <c r="U116" s="7">
        <f t="shared" ca="1" si="24"/>
        <v>0.14777618364418937</v>
      </c>
      <c r="V116" s="7">
        <f t="shared" ca="1" si="25"/>
        <v>-1.2662326387032776</v>
      </c>
      <c r="W116" s="33">
        <f t="shared" ca="1" si="30"/>
        <v>6180</v>
      </c>
      <c r="X116" s="7">
        <f t="shared" ca="1" si="31"/>
        <v>1</v>
      </c>
      <c r="Y116" s="7">
        <f t="shared" ca="1" si="32"/>
        <v>1.1477761836441893</v>
      </c>
      <c r="Z116" s="7">
        <f t="shared" ca="1" si="26"/>
        <v>-0.17211005181842581</v>
      </c>
      <c r="AA116" s="33">
        <f t="shared" ca="1" si="33"/>
        <v>6180</v>
      </c>
      <c r="AB116" s="7">
        <f t="shared" ca="1" si="34"/>
        <v>1</v>
      </c>
      <c r="AC116" s="7">
        <f t="shared" ca="1" si="35"/>
        <v>1.1477761836441893</v>
      </c>
      <c r="AD116" s="40"/>
      <c r="AE116" s="40"/>
      <c r="AF116" s="34"/>
      <c r="AH116" s="34"/>
    </row>
    <row r="117" spans="1:34" x14ac:dyDescent="0.25">
      <c r="A117" s="1">
        <v>114</v>
      </c>
      <c r="B117" s="25">
        <v>43979</v>
      </c>
      <c r="C117" s="10" t="s">
        <v>729</v>
      </c>
      <c r="D117" s="1">
        <v>436.15</v>
      </c>
      <c r="E117" s="30">
        <v>400</v>
      </c>
      <c r="F117" s="1">
        <v>460</v>
      </c>
      <c r="G117" s="1">
        <v>19.45</v>
      </c>
      <c r="H117" s="1">
        <v>600</v>
      </c>
      <c r="I117" s="1">
        <v>3.15</v>
      </c>
      <c r="J117" s="1">
        <v>409200</v>
      </c>
      <c r="K117" s="1">
        <v>800</v>
      </c>
      <c r="L117" s="1">
        <v>3.05</v>
      </c>
      <c r="M117" s="1">
        <v>3.2</v>
      </c>
      <c r="N117" s="1">
        <v>2400</v>
      </c>
      <c r="O117" s="9"/>
      <c r="P117" s="7">
        <f t="shared" ca="1" si="27"/>
        <v>-0.11642857142857144</v>
      </c>
      <c r="Q117" s="7">
        <f t="shared" ca="1" si="28"/>
        <v>-8.9560439560439561E-3</v>
      </c>
      <c r="R117" s="33">
        <f t="shared" ca="1" si="22"/>
        <v>6520</v>
      </c>
      <c r="S117" s="33">
        <f t="shared" ca="1" si="23"/>
        <v>-49480</v>
      </c>
      <c r="T117" s="33">
        <f t="shared" ca="1" si="29"/>
        <v>6520</v>
      </c>
      <c r="U117" s="7">
        <f t="shared" ca="1" si="24"/>
        <v>0.13177041228779304</v>
      </c>
      <c r="V117" s="7">
        <f t="shared" ca="1" si="25"/>
        <v>-1.2662326387032776</v>
      </c>
      <c r="W117" s="33">
        <f t="shared" ca="1" si="30"/>
        <v>6520</v>
      </c>
      <c r="X117" s="7">
        <f t="shared" ca="1" si="31"/>
        <v>1</v>
      </c>
      <c r="Y117" s="7">
        <f t="shared" ca="1" si="32"/>
        <v>1.131770412287793</v>
      </c>
      <c r="Z117" s="7">
        <f t="shared" ca="1" si="26"/>
        <v>-0.17211005181842581</v>
      </c>
      <c r="AA117" s="33">
        <f t="shared" ca="1" si="33"/>
        <v>6520</v>
      </c>
      <c r="AB117" s="7">
        <f t="shared" ca="1" si="34"/>
        <v>1</v>
      </c>
      <c r="AC117" s="7">
        <f t="shared" ca="1" si="35"/>
        <v>1.131770412287793</v>
      </c>
      <c r="AD117" s="40"/>
      <c r="AE117" s="40"/>
      <c r="AF117" s="34"/>
      <c r="AH117" s="34"/>
    </row>
    <row r="118" spans="1:34" x14ac:dyDescent="0.25">
      <c r="A118" s="1">
        <v>115</v>
      </c>
      <c r="B118" s="25">
        <v>43979</v>
      </c>
      <c r="C118" s="10" t="s">
        <v>729</v>
      </c>
      <c r="D118" s="1">
        <v>436.15</v>
      </c>
      <c r="E118" s="30">
        <v>400</v>
      </c>
      <c r="F118" s="1">
        <v>460</v>
      </c>
      <c r="G118" s="1">
        <v>19.45</v>
      </c>
      <c r="H118" s="1">
        <v>620</v>
      </c>
      <c r="I118" s="1">
        <v>1.95</v>
      </c>
      <c r="J118" s="1">
        <v>2400</v>
      </c>
      <c r="K118" s="1">
        <v>400</v>
      </c>
      <c r="L118" s="1">
        <v>1.95</v>
      </c>
      <c r="M118" s="1">
        <v>2.4</v>
      </c>
      <c r="N118" s="1">
        <v>400</v>
      </c>
      <c r="O118" s="9"/>
      <c r="P118" s="7">
        <f t="shared" ca="1" si="27"/>
        <v>-0.109375</v>
      </c>
      <c r="Q118" s="7">
        <f t="shared" ca="1" si="28"/>
        <v>-8.4134615384615381E-3</v>
      </c>
      <c r="R118" s="33">
        <f t="shared" ca="1" si="22"/>
        <v>7000</v>
      </c>
      <c r="S118" s="33">
        <f t="shared" ca="1" si="23"/>
        <v>-57000</v>
      </c>
      <c r="T118" s="33">
        <f t="shared" ca="1" si="29"/>
        <v>7000</v>
      </c>
      <c r="U118" s="7">
        <f t="shared" ca="1" si="24"/>
        <v>0.12280701754385964</v>
      </c>
      <c r="V118" s="7">
        <f t="shared" ca="1" si="25"/>
        <v>-1.2662326387032776</v>
      </c>
      <c r="W118" s="33">
        <f t="shared" ca="1" si="30"/>
        <v>7000</v>
      </c>
      <c r="X118" s="7">
        <f t="shared" ca="1" si="31"/>
        <v>1</v>
      </c>
      <c r="Y118" s="7">
        <f t="shared" ca="1" si="32"/>
        <v>1.1228070175438596</v>
      </c>
      <c r="Z118" s="7">
        <f t="shared" ca="1" si="26"/>
        <v>-0.17211005181842581</v>
      </c>
      <c r="AA118" s="33">
        <f t="shared" ca="1" si="33"/>
        <v>7000</v>
      </c>
      <c r="AB118" s="7">
        <f t="shared" ca="1" si="34"/>
        <v>1</v>
      </c>
      <c r="AC118" s="7">
        <f t="shared" ca="1" si="35"/>
        <v>1.1228070175438596</v>
      </c>
      <c r="AD118" s="40"/>
      <c r="AE118" s="40"/>
      <c r="AF118" s="34"/>
      <c r="AH118" s="34"/>
    </row>
    <row r="119" spans="1:34" x14ac:dyDescent="0.25">
      <c r="A119" s="1">
        <v>116</v>
      </c>
      <c r="B119" s="25">
        <v>43979</v>
      </c>
      <c r="C119" s="10" t="s">
        <v>785</v>
      </c>
      <c r="D119" s="1">
        <v>93.75</v>
      </c>
      <c r="E119" s="30">
        <v>5000</v>
      </c>
      <c r="F119" s="1">
        <v>95</v>
      </c>
      <c r="G119" s="1">
        <v>6.5</v>
      </c>
      <c r="H119" s="1">
        <v>100</v>
      </c>
      <c r="I119" s="1">
        <v>4.9000000000000004</v>
      </c>
      <c r="J119" s="1">
        <v>2515000</v>
      </c>
      <c r="K119" s="1">
        <v>5000</v>
      </c>
      <c r="L119" s="1">
        <v>4.5999999999999996</v>
      </c>
      <c r="M119" s="1">
        <v>4.9000000000000004</v>
      </c>
      <c r="N119" s="1">
        <v>40000</v>
      </c>
      <c r="O119" s="9"/>
      <c r="P119" s="7">
        <f t="shared" ca="1" si="27"/>
        <v>-0.31999999999999995</v>
      </c>
      <c r="Q119" s="7">
        <f t="shared" ca="1" si="28"/>
        <v>-2.4615384615384612E-2</v>
      </c>
      <c r="R119" s="33">
        <f t="shared" ca="1" si="22"/>
        <v>7999.9999999999982</v>
      </c>
      <c r="S119" s="33">
        <f t="shared" ca="1" si="23"/>
        <v>-17000</v>
      </c>
      <c r="T119" s="33">
        <f t="shared" ca="1" si="29"/>
        <v>7999.9999999999982</v>
      </c>
      <c r="U119" s="7">
        <f t="shared" ca="1" si="24"/>
        <v>0.47058823529411753</v>
      </c>
      <c r="V119" s="7">
        <f t="shared" ca="1" si="25"/>
        <v>-0.65357802982889768</v>
      </c>
      <c r="W119" s="33">
        <f t="shared" ca="1" si="30"/>
        <v>7999.9999999999982</v>
      </c>
      <c r="X119" s="7">
        <f t="shared" ca="1" si="31"/>
        <v>1</v>
      </c>
      <c r="Y119" s="7">
        <f t="shared" ca="1" si="32"/>
        <v>1.4705882352941175</v>
      </c>
      <c r="Z119" s="7">
        <f t="shared" ca="1" si="26"/>
        <v>-0.17147986459829306</v>
      </c>
      <c r="AA119" s="33">
        <f t="shared" ca="1" si="33"/>
        <v>7999.9999999999982</v>
      </c>
      <c r="AB119" s="7">
        <f t="shared" ca="1" si="34"/>
        <v>1</v>
      </c>
      <c r="AC119" s="7">
        <f t="shared" ca="1" si="35"/>
        <v>1.4705882352941175</v>
      </c>
      <c r="AD119" s="40"/>
      <c r="AE119" s="40"/>
      <c r="AF119" s="34"/>
      <c r="AH119" s="34"/>
    </row>
    <row r="120" spans="1:34" x14ac:dyDescent="0.25">
      <c r="A120" s="1">
        <v>117</v>
      </c>
      <c r="B120" s="25">
        <v>43979</v>
      </c>
      <c r="C120" s="10" t="s">
        <v>785</v>
      </c>
      <c r="D120" s="1">
        <v>93.75</v>
      </c>
      <c r="E120" s="30">
        <v>5000</v>
      </c>
      <c r="F120" s="1">
        <v>95</v>
      </c>
      <c r="G120" s="1">
        <v>6.5</v>
      </c>
      <c r="H120" s="1">
        <v>105</v>
      </c>
      <c r="I120" s="1">
        <v>3.2</v>
      </c>
      <c r="J120" s="1">
        <v>555000</v>
      </c>
      <c r="K120" s="1">
        <v>25000</v>
      </c>
      <c r="L120" s="1">
        <v>3.2</v>
      </c>
      <c r="M120" s="1">
        <v>3.35</v>
      </c>
      <c r="N120" s="1">
        <v>10000</v>
      </c>
      <c r="O120" s="9"/>
      <c r="P120" s="7">
        <f t="shared" ca="1" si="27"/>
        <v>-0.32999999999999996</v>
      </c>
      <c r="Q120" s="7">
        <f t="shared" ca="1" si="28"/>
        <v>-2.538461538461538E-2</v>
      </c>
      <c r="R120" s="33">
        <f t="shared" ca="1" si="22"/>
        <v>16500</v>
      </c>
      <c r="S120" s="33">
        <f t="shared" ca="1" si="23"/>
        <v>-33500</v>
      </c>
      <c r="T120" s="33">
        <f t="shared" ca="1" si="29"/>
        <v>16500</v>
      </c>
      <c r="U120" s="7">
        <f t="shared" ca="1" si="24"/>
        <v>0.4925373134328358</v>
      </c>
      <c r="V120" s="7">
        <f t="shared" ca="1" si="25"/>
        <v>-0.65357802982889768</v>
      </c>
      <c r="W120" s="33">
        <f t="shared" ca="1" si="30"/>
        <v>16500</v>
      </c>
      <c r="X120" s="7">
        <f t="shared" ca="1" si="31"/>
        <v>1</v>
      </c>
      <c r="Y120" s="7">
        <f t="shared" ca="1" si="32"/>
        <v>1.4925373134328357</v>
      </c>
      <c r="Z120" s="7">
        <f t="shared" ca="1" si="26"/>
        <v>-0.17147986459829306</v>
      </c>
      <c r="AA120" s="33">
        <f t="shared" ca="1" si="33"/>
        <v>16500</v>
      </c>
      <c r="AB120" s="7">
        <f t="shared" ca="1" si="34"/>
        <v>1</v>
      </c>
      <c r="AC120" s="7">
        <f t="shared" ca="1" si="35"/>
        <v>1.4925373134328357</v>
      </c>
      <c r="AD120" s="40"/>
      <c r="AE120" s="40"/>
      <c r="AF120" s="34"/>
      <c r="AH120" s="34"/>
    </row>
    <row r="121" spans="1:34" x14ac:dyDescent="0.25">
      <c r="A121" s="1">
        <v>118</v>
      </c>
      <c r="B121" s="25">
        <v>43979</v>
      </c>
      <c r="C121" s="10" t="s">
        <v>785</v>
      </c>
      <c r="D121" s="1">
        <v>93.75</v>
      </c>
      <c r="E121" s="30">
        <v>5000</v>
      </c>
      <c r="F121" s="1">
        <v>95</v>
      </c>
      <c r="G121" s="1">
        <v>6.5</v>
      </c>
      <c r="H121" s="1">
        <v>110</v>
      </c>
      <c r="I121" s="1">
        <v>2.2999999999999998</v>
      </c>
      <c r="J121" s="1">
        <v>545000</v>
      </c>
      <c r="K121" s="1">
        <v>85000</v>
      </c>
      <c r="L121" s="1">
        <v>2.2000000000000002</v>
      </c>
      <c r="M121" s="1">
        <v>2.35</v>
      </c>
      <c r="N121" s="1">
        <v>5000</v>
      </c>
      <c r="O121" s="9"/>
      <c r="P121" s="7">
        <f t="shared" ca="1" si="27"/>
        <v>-0.28000000000000003</v>
      </c>
      <c r="Q121" s="7">
        <f t="shared" ca="1" si="28"/>
        <v>-2.1538461538461541E-2</v>
      </c>
      <c r="R121" s="33">
        <f t="shared" ca="1" si="22"/>
        <v>21000</v>
      </c>
      <c r="S121" s="33">
        <f t="shared" ca="1" si="23"/>
        <v>-54000</v>
      </c>
      <c r="T121" s="33">
        <f t="shared" ca="1" si="29"/>
        <v>21000</v>
      </c>
      <c r="U121" s="7">
        <f t="shared" ca="1" si="24"/>
        <v>0.3888888888888889</v>
      </c>
      <c r="V121" s="7">
        <f t="shared" ca="1" si="25"/>
        <v>-0.65357802982889768</v>
      </c>
      <c r="W121" s="33">
        <f t="shared" ca="1" si="30"/>
        <v>21000</v>
      </c>
      <c r="X121" s="7">
        <f t="shared" ca="1" si="31"/>
        <v>1</v>
      </c>
      <c r="Y121" s="7">
        <f t="shared" ca="1" si="32"/>
        <v>1.3888888888888888</v>
      </c>
      <c r="Z121" s="7">
        <f t="shared" ca="1" si="26"/>
        <v>-0.17147986459829306</v>
      </c>
      <c r="AA121" s="33">
        <f t="shared" ca="1" si="33"/>
        <v>21000</v>
      </c>
      <c r="AB121" s="7">
        <f t="shared" ca="1" si="34"/>
        <v>1</v>
      </c>
      <c r="AC121" s="7">
        <f t="shared" ca="1" si="35"/>
        <v>1.3888888888888888</v>
      </c>
      <c r="AD121" s="40"/>
      <c r="AE121" s="40"/>
      <c r="AF121" s="34"/>
      <c r="AH121" s="34"/>
    </row>
    <row r="122" spans="1:34" x14ac:dyDescent="0.25">
      <c r="A122" s="1">
        <v>119</v>
      </c>
      <c r="B122" s="25">
        <v>43979</v>
      </c>
      <c r="C122" s="10" t="s">
        <v>785</v>
      </c>
      <c r="D122" s="1">
        <v>93.75</v>
      </c>
      <c r="E122" s="30">
        <v>5000</v>
      </c>
      <c r="F122" s="1">
        <v>95</v>
      </c>
      <c r="G122" s="1">
        <v>6.5</v>
      </c>
      <c r="H122" s="1">
        <v>115</v>
      </c>
      <c r="I122" s="1">
        <v>1.6</v>
      </c>
      <c r="J122" s="1">
        <v>130000</v>
      </c>
      <c r="K122" s="1">
        <v>5000</v>
      </c>
      <c r="L122" s="1">
        <v>1.45</v>
      </c>
      <c r="M122" s="1">
        <v>1.7</v>
      </c>
      <c r="N122" s="1">
        <v>5000</v>
      </c>
      <c r="O122" s="9"/>
      <c r="P122" s="7">
        <f t="shared" ca="1" si="27"/>
        <v>-0.24500000000000002</v>
      </c>
      <c r="Q122" s="7">
        <f t="shared" ca="1" si="28"/>
        <v>-1.8846153846153849E-2</v>
      </c>
      <c r="R122" s="33">
        <f t="shared" ca="1" si="22"/>
        <v>24500</v>
      </c>
      <c r="S122" s="33">
        <f t="shared" ca="1" si="23"/>
        <v>-75500</v>
      </c>
      <c r="T122" s="33">
        <f t="shared" ca="1" si="29"/>
        <v>24500</v>
      </c>
      <c r="U122" s="7">
        <f t="shared" ca="1" si="24"/>
        <v>0.32450331125827814</v>
      </c>
      <c r="V122" s="7">
        <f t="shared" ca="1" si="25"/>
        <v>-0.65357802982889768</v>
      </c>
      <c r="W122" s="33">
        <f t="shared" ca="1" si="30"/>
        <v>24500</v>
      </c>
      <c r="X122" s="7">
        <f t="shared" ca="1" si="31"/>
        <v>1</v>
      </c>
      <c r="Y122" s="7">
        <f t="shared" ca="1" si="32"/>
        <v>1.3245033112582782</v>
      </c>
      <c r="Z122" s="7">
        <f t="shared" ca="1" si="26"/>
        <v>-0.17147986459829306</v>
      </c>
      <c r="AA122" s="33">
        <f t="shared" ca="1" si="33"/>
        <v>24500</v>
      </c>
      <c r="AB122" s="7">
        <f t="shared" ca="1" si="34"/>
        <v>1</v>
      </c>
      <c r="AC122" s="7">
        <f t="shared" ca="1" si="35"/>
        <v>1.3245033112582782</v>
      </c>
      <c r="AD122" s="40"/>
      <c r="AE122" s="40"/>
      <c r="AF122" s="34"/>
      <c r="AH122" s="34"/>
    </row>
    <row r="123" spans="1:34" x14ac:dyDescent="0.25">
      <c r="A123" s="1">
        <v>120</v>
      </c>
      <c r="B123" s="25">
        <v>43979</v>
      </c>
      <c r="C123" s="10" t="s">
        <v>785</v>
      </c>
      <c r="D123" s="1">
        <v>93.75</v>
      </c>
      <c r="E123" s="30">
        <v>5000</v>
      </c>
      <c r="F123" s="1">
        <v>95</v>
      </c>
      <c r="G123" s="1">
        <v>6.5</v>
      </c>
      <c r="H123" s="1">
        <v>120</v>
      </c>
      <c r="I123" s="1">
        <v>1.05</v>
      </c>
      <c r="J123" s="1">
        <v>500000</v>
      </c>
      <c r="K123" s="1">
        <v>5000</v>
      </c>
      <c r="L123" s="1">
        <v>1.05</v>
      </c>
      <c r="M123" s="1">
        <v>1.1000000000000001</v>
      </c>
      <c r="N123" s="1">
        <v>5000</v>
      </c>
      <c r="O123" s="9"/>
      <c r="P123" s="7">
        <f t="shared" ca="1" si="27"/>
        <v>-0.218</v>
      </c>
      <c r="Q123" s="7">
        <f t="shared" ca="1" si="28"/>
        <v>-1.6769230769230769E-2</v>
      </c>
      <c r="R123" s="33">
        <f t="shared" ca="1" si="22"/>
        <v>27250</v>
      </c>
      <c r="S123" s="33">
        <f t="shared" ca="1" si="23"/>
        <v>-97750</v>
      </c>
      <c r="T123" s="33">
        <f t="shared" ca="1" si="29"/>
        <v>27250</v>
      </c>
      <c r="U123" s="7">
        <f t="shared" ca="1" si="24"/>
        <v>0.27877237851662406</v>
      </c>
      <c r="V123" s="7">
        <f t="shared" ca="1" si="25"/>
        <v>-0.65357802982889768</v>
      </c>
      <c r="W123" s="33">
        <f t="shared" ca="1" si="30"/>
        <v>27250</v>
      </c>
      <c r="X123" s="7">
        <f t="shared" ca="1" si="31"/>
        <v>1</v>
      </c>
      <c r="Y123" s="7">
        <f t="shared" ca="1" si="32"/>
        <v>1.2787723785166241</v>
      </c>
      <c r="Z123" s="7">
        <f t="shared" ca="1" si="26"/>
        <v>-0.17147986459829306</v>
      </c>
      <c r="AA123" s="33">
        <f t="shared" ca="1" si="33"/>
        <v>27250</v>
      </c>
      <c r="AB123" s="7">
        <f t="shared" ca="1" si="34"/>
        <v>1</v>
      </c>
      <c r="AC123" s="7">
        <f t="shared" ca="1" si="35"/>
        <v>1.2787723785166241</v>
      </c>
      <c r="AD123" s="40"/>
      <c r="AE123" s="40"/>
      <c r="AF123" s="34"/>
      <c r="AH123" s="34"/>
    </row>
    <row r="124" spans="1:34" x14ac:dyDescent="0.25">
      <c r="A124" s="1">
        <v>121</v>
      </c>
      <c r="B124" s="25">
        <v>43979</v>
      </c>
      <c r="C124" s="10" t="s">
        <v>785</v>
      </c>
      <c r="D124" s="1">
        <v>93.75</v>
      </c>
      <c r="E124" s="30">
        <v>5000</v>
      </c>
      <c r="F124" s="1">
        <v>95</v>
      </c>
      <c r="G124" s="1">
        <v>6.5</v>
      </c>
      <c r="H124" s="1">
        <v>125</v>
      </c>
      <c r="I124" s="1">
        <v>0.8</v>
      </c>
      <c r="J124" s="1">
        <v>55000</v>
      </c>
      <c r="K124" s="1">
        <v>5000</v>
      </c>
      <c r="L124" s="1">
        <v>0.65</v>
      </c>
      <c r="M124" s="1">
        <v>0.85</v>
      </c>
      <c r="N124" s="1">
        <v>5000</v>
      </c>
      <c r="O124" s="9"/>
      <c r="P124" s="7">
        <f t="shared" ca="1" si="27"/>
        <v>-0.19</v>
      </c>
      <c r="Q124" s="7">
        <f t="shared" ca="1" si="28"/>
        <v>-1.4615384615384615E-2</v>
      </c>
      <c r="R124" s="33">
        <f t="shared" ca="1" si="22"/>
        <v>28500</v>
      </c>
      <c r="S124" s="33">
        <f t="shared" ca="1" si="23"/>
        <v>-121500</v>
      </c>
      <c r="T124" s="33">
        <f t="shared" ca="1" si="29"/>
        <v>28500</v>
      </c>
      <c r="U124" s="7">
        <f t="shared" ca="1" si="24"/>
        <v>0.23456790123456789</v>
      </c>
      <c r="V124" s="7">
        <f t="shared" ca="1" si="25"/>
        <v>-0.65357802982889768</v>
      </c>
      <c r="W124" s="33">
        <f t="shared" ca="1" si="30"/>
        <v>28500</v>
      </c>
      <c r="X124" s="7">
        <f t="shared" ca="1" si="31"/>
        <v>1</v>
      </c>
      <c r="Y124" s="7">
        <f t="shared" ca="1" si="32"/>
        <v>1.2345679012345678</v>
      </c>
      <c r="Z124" s="7">
        <f t="shared" ca="1" si="26"/>
        <v>-0.17147986459829306</v>
      </c>
      <c r="AA124" s="33">
        <f t="shared" ca="1" si="33"/>
        <v>28500</v>
      </c>
      <c r="AB124" s="7">
        <f t="shared" ca="1" si="34"/>
        <v>1</v>
      </c>
      <c r="AC124" s="7">
        <f t="shared" ca="1" si="35"/>
        <v>1.2345679012345678</v>
      </c>
      <c r="AD124" s="40"/>
      <c r="AE124" s="40"/>
      <c r="AF124" s="34"/>
      <c r="AH124" s="34"/>
    </row>
    <row r="125" spans="1:34" x14ac:dyDescent="0.25">
      <c r="A125" s="1">
        <v>122</v>
      </c>
      <c r="B125" s="25">
        <v>43979</v>
      </c>
      <c r="C125" s="10" t="s">
        <v>785</v>
      </c>
      <c r="D125" s="1">
        <v>93.75</v>
      </c>
      <c r="E125" s="30">
        <v>5000</v>
      </c>
      <c r="F125" s="1">
        <v>95</v>
      </c>
      <c r="G125" s="1">
        <v>6.5</v>
      </c>
      <c r="H125" s="1">
        <v>130</v>
      </c>
      <c r="I125" s="1">
        <v>0.5</v>
      </c>
      <c r="J125" s="1">
        <v>80000</v>
      </c>
      <c r="K125" s="1">
        <v>5000</v>
      </c>
      <c r="L125" s="1">
        <v>0.45</v>
      </c>
      <c r="M125" s="1">
        <v>0.55000000000000004</v>
      </c>
      <c r="N125" s="1">
        <v>5000</v>
      </c>
      <c r="O125" s="9"/>
      <c r="P125" s="7">
        <f t="shared" ca="1" si="27"/>
        <v>-0.17142857142857143</v>
      </c>
      <c r="Q125" s="7">
        <f t="shared" ca="1" si="28"/>
        <v>-1.3186813186813187E-2</v>
      </c>
      <c r="R125" s="33">
        <f t="shared" ca="1" si="22"/>
        <v>30000</v>
      </c>
      <c r="S125" s="33">
        <f t="shared" ca="1" si="23"/>
        <v>-145000</v>
      </c>
      <c r="T125" s="33">
        <f t="shared" ca="1" si="29"/>
        <v>30000</v>
      </c>
      <c r="U125" s="7">
        <f t="shared" ca="1" si="24"/>
        <v>0.20689655172413793</v>
      </c>
      <c r="V125" s="7">
        <f t="shared" ca="1" si="25"/>
        <v>-0.65357802982889768</v>
      </c>
      <c r="W125" s="33">
        <f t="shared" ca="1" si="30"/>
        <v>30000</v>
      </c>
      <c r="X125" s="7">
        <f t="shared" ca="1" si="31"/>
        <v>1</v>
      </c>
      <c r="Y125" s="7">
        <f t="shared" ca="1" si="32"/>
        <v>1.2068965517241379</v>
      </c>
      <c r="Z125" s="7">
        <f t="shared" ca="1" si="26"/>
        <v>-0.17147986459829306</v>
      </c>
      <c r="AA125" s="33">
        <f t="shared" ca="1" si="33"/>
        <v>30000</v>
      </c>
      <c r="AB125" s="7">
        <f t="shared" ca="1" si="34"/>
        <v>1</v>
      </c>
      <c r="AC125" s="7">
        <f t="shared" ca="1" si="35"/>
        <v>1.2068965517241379</v>
      </c>
      <c r="AD125" s="40"/>
      <c r="AE125" s="40"/>
      <c r="AF125" s="34"/>
      <c r="AH125" s="34"/>
    </row>
    <row r="126" spans="1:34" x14ac:dyDescent="0.25">
      <c r="A126" s="1">
        <v>123</v>
      </c>
      <c r="B126" s="25">
        <v>43979</v>
      </c>
      <c r="C126" s="10" t="s">
        <v>785</v>
      </c>
      <c r="D126" s="1">
        <v>93.75</v>
      </c>
      <c r="E126" s="30">
        <v>5000</v>
      </c>
      <c r="F126" s="1">
        <v>95</v>
      </c>
      <c r="G126" s="1">
        <v>6.5</v>
      </c>
      <c r="H126" s="1">
        <v>135</v>
      </c>
      <c r="I126" s="1">
        <v>0.7</v>
      </c>
      <c r="J126" s="1">
        <v>10000</v>
      </c>
      <c r="K126" s="1">
        <v>15000</v>
      </c>
      <c r="L126" s="1">
        <v>0.35</v>
      </c>
      <c r="M126" s="1">
        <v>0.6</v>
      </c>
      <c r="N126" s="1">
        <v>60000</v>
      </c>
      <c r="O126" s="9"/>
      <c r="P126" s="7">
        <f t="shared" ca="1" si="27"/>
        <v>-0.14499999999999999</v>
      </c>
      <c r="Q126" s="7">
        <f t="shared" ca="1" si="28"/>
        <v>-1.1153846153846153E-2</v>
      </c>
      <c r="R126" s="33">
        <f t="shared" ca="1" si="22"/>
        <v>29000</v>
      </c>
      <c r="S126" s="33">
        <f t="shared" ca="1" si="23"/>
        <v>-171000</v>
      </c>
      <c r="T126" s="33">
        <f t="shared" ca="1" si="29"/>
        <v>29000</v>
      </c>
      <c r="U126" s="7">
        <f t="shared" ca="1" si="24"/>
        <v>0.16959064327485379</v>
      </c>
      <c r="V126" s="7">
        <f t="shared" ca="1" si="25"/>
        <v>-0.65357802982889768</v>
      </c>
      <c r="W126" s="33">
        <f t="shared" ca="1" si="30"/>
        <v>29000</v>
      </c>
      <c r="X126" s="7">
        <f t="shared" ca="1" si="31"/>
        <v>1</v>
      </c>
      <c r="Y126" s="7">
        <f t="shared" ca="1" si="32"/>
        <v>1.1695906432748537</v>
      </c>
      <c r="Z126" s="7">
        <f t="shared" ca="1" si="26"/>
        <v>-0.17147986459829306</v>
      </c>
      <c r="AA126" s="33">
        <f t="shared" ca="1" si="33"/>
        <v>29000</v>
      </c>
      <c r="AB126" s="7">
        <f t="shared" ca="1" si="34"/>
        <v>1</v>
      </c>
      <c r="AC126" s="7">
        <f t="shared" ca="1" si="35"/>
        <v>1.1695906432748537</v>
      </c>
      <c r="AD126" s="40"/>
      <c r="AE126" s="40"/>
      <c r="AF126" s="34"/>
      <c r="AH126" s="34"/>
    </row>
    <row r="127" spans="1:34" x14ac:dyDescent="0.25">
      <c r="A127" s="1">
        <v>124</v>
      </c>
      <c r="B127" s="25">
        <v>43979</v>
      </c>
      <c r="C127" s="10" t="s">
        <v>785</v>
      </c>
      <c r="D127" s="1">
        <v>93.75</v>
      </c>
      <c r="E127" s="30">
        <v>5000</v>
      </c>
      <c r="F127" s="1">
        <v>95</v>
      </c>
      <c r="G127" s="1">
        <v>6.5</v>
      </c>
      <c r="H127" s="1">
        <v>140</v>
      </c>
      <c r="I127" s="1">
        <v>0.2</v>
      </c>
      <c r="J127" s="1">
        <v>90000</v>
      </c>
      <c r="K127" s="1">
        <v>35000</v>
      </c>
      <c r="L127" s="1">
        <v>0.15</v>
      </c>
      <c r="M127" s="1">
        <v>0.45</v>
      </c>
      <c r="N127" s="1">
        <v>10000</v>
      </c>
      <c r="O127" s="9"/>
      <c r="P127" s="7">
        <f t="shared" ca="1" si="27"/>
        <v>-0.13999999999999999</v>
      </c>
      <c r="Q127" s="7">
        <f t="shared" ca="1" si="28"/>
        <v>-1.0769230769230769E-2</v>
      </c>
      <c r="R127" s="33">
        <f t="shared" ca="1" si="22"/>
        <v>31500</v>
      </c>
      <c r="S127" s="33">
        <f t="shared" ca="1" si="23"/>
        <v>-193500</v>
      </c>
      <c r="T127" s="33">
        <f t="shared" ca="1" si="29"/>
        <v>31500</v>
      </c>
      <c r="U127" s="7">
        <f t="shared" ca="1" si="24"/>
        <v>0.16279069767441862</v>
      </c>
      <c r="V127" s="7">
        <f t="shared" ca="1" si="25"/>
        <v>-0.65357802982889768</v>
      </c>
      <c r="W127" s="33">
        <f t="shared" ca="1" si="30"/>
        <v>31500</v>
      </c>
      <c r="X127" s="7">
        <f t="shared" ca="1" si="31"/>
        <v>1</v>
      </c>
      <c r="Y127" s="7">
        <f t="shared" ca="1" si="32"/>
        <v>1.1627906976744187</v>
      </c>
      <c r="Z127" s="7">
        <f t="shared" ca="1" si="26"/>
        <v>-0.17147986459829306</v>
      </c>
      <c r="AA127" s="33">
        <f t="shared" ca="1" si="33"/>
        <v>31500</v>
      </c>
      <c r="AB127" s="7">
        <f t="shared" ca="1" si="34"/>
        <v>1</v>
      </c>
      <c r="AC127" s="7">
        <f t="shared" ca="1" si="35"/>
        <v>1.1627906976744187</v>
      </c>
      <c r="AD127" s="40"/>
      <c r="AE127" s="40"/>
      <c r="AF127" s="34"/>
      <c r="AH127" s="34"/>
    </row>
    <row r="128" spans="1:34" x14ac:dyDescent="0.25">
      <c r="A128" s="1">
        <v>125</v>
      </c>
      <c r="B128" s="25">
        <v>43979</v>
      </c>
      <c r="C128" s="10" t="s">
        <v>785</v>
      </c>
      <c r="D128" s="1">
        <v>93.75</v>
      </c>
      <c r="E128" s="30">
        <v>5000</v>
      </c>
      <c r="F128" s="1">
        <v>95</v>
      </c>
      <c r="G128" s="1">
        <v>6.5</v>
      </c>
      <c r="H128" s="1">
        <v>150</v>
      </c>
      <c r="I128" s="1">
        <v>0.1</v>
      </c>
      <c r="J128" s="1">
        <v>35000</v>
      </c>
      <c r="K128" s="1">
        <v>15000</v>
      </c>
      <c r="L128" s="1">
        <v>0.1</v>
      </c>
      <c r="M128" s="1">
        <v>0.15</v>
      </c>
      <c r="N128" s="1">
        <v>5000</v>
      </c>
      <c r="O128" s="9"/>
      <c r="P128" s="7">
        <f t="shared" ca="1" si="27"/>
        <v>-0.11636363636363636</v>
      </c>
      <c r="Q128" s="7">
        <f t="shared" ca="1" si="28"/>
        <v>-8.951048951048951E-3</v>
      </c>
      <c r="R128" s="33">
        <f t="shared" ca="1" si="22"/>
        <v>32000</v>
      </c>
      <c r="S128" s="33">
        <f t="shared" ca="1" si="23"/>
        <v>-243000</v>
      </c>
      <c r="T128" s="33">
        <f t="shared" ca="1" si="29"/>
        <v>32000</v>
      </c>
      <c r="U128" s="7">
        <f t="shared" ca="1" si="24"/>
        <v>0.13168724279835392</v>
      </c>
      <c r="V128" s="7">
        <f t="shared" ca="1" si="25"/>
        <v>-0.65357802982889768</v>
      </c>
      <c r="W128" s="33">
        <f t="shared" ca="1" si="30"/>
        <v>32000</v>
      </c>
      <c r="X128" s="7">
        <f t="shared" ca="1" si="31"/>
        <v>1</v>
      </c>
      <c r="Y128" s="7">
        <f t="shared" ca="1" si="32"/>
        <v>1.131687242798354</v>
      </c>
      <c r="Z128" s="7">
        <f t="shared" ca="1" si="26"/>
        <v>-0.17147986459829306</v>
      </c>
      <c r="AA128" s="33">
        <f t="shared" ca="1" si="33"/>
        <v>32000</v>
      </c>
      <c r="AB128" s="7">
        <f t="shared" ca="1" si="34"/>
        <v>1</v>
      </c>
      <c r="AC128" s="7">
        <f t="shared" ca="1" si="35"/>
        <v>1.131687242798354</v>
      </c>
      <c r="AD128" s="40"/>
      <c r="AE128" s="40"/>
      <c r="AF128" s="34"/>
      <c r="AH128" s="34"/>
    </row>
    <row r="129" spans="1:34" x14ac:dyDescent="0.25">
      <c r="A129" s="1">
        <v>126</v>
      </c>
      <c r="B129" s="25">
        <v>43979</v>
      </c>
      <c r="C129" s="10" t="s">
        <v>809</v>
      </c>
      <c r="D129" s="1">
        <v>172.45</v>
      </c>
      <c r="E129" s="30">
        <v>2300</v>
      </c>
      <c r="F129" s="1">
        <v>190</v>
      </c>
      <c r="G129" s="1">
        <v>3.95</v>
      </c>
      <c r="H129" s="1">
        <v>195</v>
      </c>
      <c r="I129" s="1">
        <v>2.95</v>
      </c>
      <c r="J129" s="1">
        <v>92000</v>
      </c>
      <c r="K129" s="1">
        <v>2300</v>
      </c>
      <c r="L129" s="1">
        <v>2.85</v>
      </c>
      <c r="M129" s="1">
        <v>3.25</v>
      </c>
      <c r="N129" s="1">
        <v>2300</v>
      </c>
      <c r="O129" s="9"/>
      <c r="P129" s="7">
        <f t="shared" ca="1" si="27"/>
        <v>-0.2</v>
      </c>
      <c r="Q129" s="7">
        <f t="shared" ca="1" si="28"/>
        <v>-1.5384615384615385E-2</v>
      </c>
      <c r="R129" s="33">
        <f t="shared" ca="1" si="22"/>
        <v>2300</v>
      </c>
      <c r="S129" s="33">
        <f t="shared" ca="1" si="23"/>
        <v>-9200</v>
      </c>
      <c r="T129" s="33">
        <f t="shared" ca="1" si="29"/>
        <v>2300</v>
      </c>
      <c r="U129" s="7">
        <f t="shared" ca="1" si="24"/>
        <v>0.25</v>
      </c>
      <c r="V129" s="7">
        <f t="shared" ca="1" si="25"/>
        <v>-0.51604650554399489</v>
      </c>
      <c r="W129" s="33">
        <f t="shared" ca="1" si="30"/>
        <v>2300</v>
      </c>
      <c r="X129" s="7">
        <f t="shared" ca="1" si="31"/>
        <v>1</v>
      </c>
      <c r="Y129" s="7">
        <f t="shared" ca="1" si="32"/>
        <v>1.25</v>
      </c>
      <c r="Z129" s="7">
        <f t="shared" ca="1" si="26"/>
        <v>-0.11946513080902044</v>
      </c>
      <c r="AA129" s="33">
        <f t="shared" ca="1" si="33"/>
        <v>2300</v>
      </c>
      <c r="AB129" s="7">
        <f t="shared" ca="1" si="34"/>
        <v>1</v>
      </c>
      <c r="AC129" s="7">
        <f t="shared" ca="1" si="35"/>
        <v>1.25</v>
      </c>
      <c r="AD129" s="40"/>
      <c r="AE129" s="40"/>
      <c r="AF129" s="34"/>
      <c r="AH129" s="34"/>
    </row>
    <row r="130" spans="1:34" x14ac:dyDescent="0.25">
      <c r="A130" s="1">
        <v>127</v>
      </c>
      <c r="B130" s="25">
        <v>43979</v>
      </c>
      <c r="C130" s="10" t="s">
        <v>809</v>
      </c>
      <c r="D130" s="1">
        <v>172.45</v>
      </c>
      <c r="E130" s="30">
        <v>2300</v>
      </c>
      <c r="F130" s="1">
        <v>190</v>
      </c>
      <c r="G130" s="1">
        <v>3.95</v>
      </c>
      <c r="H130" s="1">
        <v>200</v>
      </c>
      <c r="I130" s="1">
        <v>2.35</v>
      </c>
      <c r="J130" s="1">
        <v>595700</v>
      </c>
      <c r="K130" s="1">
        <v>6900</v>
      </c>
      <c r="L130" s="1">
        <v>2.2999999999999998</v>
      </c>
      <c r="M130" s="1">
        <v>2.4</v>
      </c>
      <c r="N130" s="1">
        <v>4600</v>
      </c>
      <c r="O130" s="9"/>
      <c r="P130" s="7">
        <f t="shared" ca="1" si="27"/>
        <v>-0.16</v>
      </c>
      <c r="Q130" s="7">
        <f t="shared" ca="1" si="28"/>
        <v>-1.2307692307692308E-2</v>
      </c>
      <c r="R130" s="33">
        <f t="shared" ca="1" si="22"/>
        <v>3680</v>
      </c>
      <c r="S130" s="33">
        <f t="shared" ca="1" si="23"/>
        <v>-19320</v>
      </c>
      <c r="T130" s="33">
        <f t="shared" ca="1" si="29"/>
        <v>3680</v>
      </c>
      <c r="U130" s="7">
        <f t="shared" ca="1" si="24"/>
        <v>0.19047619047619047</v>
      </c>
      <c r="V130" s="7">
        <f t="shared" ca="1" si="25"/>
        <v>-0.51604650554399489</v>
      </c>
      <c r="W130" s="33">
        <f t="shared" ca="1" si="30"/>
        <v>3680</v>
      </c>
      <c r="X130" s="7">
        <f t="shared" ca="1" si="31"/>
        <v>1</v>
      </c>
      <c r="Y130" s="7">
        <f t="shared" ca="1" si="32"/>
        <v>1.1904761904761905</v>
      </c>
      <c r="Z130" s="7">
        <f t="shared" ca="1" si="26"/>
        <v>-0.11946513080902044</v>
      </c>
      <c r="AA130" s="33">
        <f t="shared" ca="1" si="33"/>
        <v>3680</v>
      </c>
      <c r="AB130" s="7">
        <f t="shared" ca="1" si="34"/>
        <v>1</v>
      </c>
      <c r="AC130" s="7">
        <f t="shared" ca="1" si="35"/>
        <v>1.1904761904761905</v>
      </c>
      <c r="AD130" s="40"/>
      <c r="AE130" s="40"/>
      <c r="AF130" s="34"/>
      <c r="AH130" s="34"/>
    </row>
    <row r="131" spans="1:34" x14ac:dyDescent="0.25">
      <c r="A131" s="1">
        <v>128</v>
      </c>
      <c r="B131" s="25">
        <v>43979</v>
      </c>
      <c r="C131" s="10" t="s">
        <v>809</v>
      </c>
      <c r="D131" s="1">
        <v>172.45</v>
      </c>
      <c r="E131" s="30">
        <v>2300</v>
      </c>
      <c r="F131" s="1">
        <v>190</v>
      </c>
      <c r="G131" s="1">
        <v>3.95</v>
      </c>
      <c r="H131" s="1">
        <v>205</v>
      </c>
      <c r="I131" s="1">
        <v>1.8</v>
      </c>
      <c r="J131" s="1">
        <v>32200</v>
      </c>
      <c r="K131" s="1">
        <v>2300</v>
      </c>
      <c r="L131" s="1">
        <v>1.3</v>
      </c>
      <c r="M131" s="1">
        <v>1.8</v>
      </c>
      <c r="N131" s="1">
        <v>2300</v>
      </c>
      <c r="O131" s="9"/>
      <c r="P131" s="7">
        <f t="shared" ca="1" si="27"/>
        <v>-0.14333333333333337</v>
      </c>
      <c r="Q131" s="7">
        <f t="shared" ca="1" si="28"/>
        <v>-1.1025641025641028E-2</v>
      </c>
      <c r="R131" s="33">
        <f t="shared" ca="1" si="22"/>
        <v>4945.0000000000009</v>
      </c>
      <c r="S131" s="33">
        <f t="shared" ca="1" si="23"/>
        <v>-29555</v>
      </c>
      <c r="T131" s="33">
        <f t="shared" ca="1" si="29"/>
        <v>4945.0000000000009</v>
      </c>
      <c r="U131" s="7">
        <f t="shared" ca="1" si="24"/>
        <v>0.16731517509727631</v>
      </c>
      <c r="V131" s="7">
        <f t="shared" ca="1" si="25"/>
        <v>-0.51604650554399489</v>
      </c>
      <c r="W131" s="33">
        <f t="shared" ca="1" si="30"/>
        <v>4945.0000000000009</v>
      </c>
      <c r="X131" s="7">
        <f t="shared" ca="1" si="31"/>
        <v>1</v>
      </c>
      <c r="Y131" s="7">
        <f t="shared" ca="1" si="32"/>
        <v>1.1673151750972763</v>
      </c>
      <c r="Z131" s="7">
        <f t="shared" ca="1" si="26"/>
        <v>-0.11946513080902044</v>
      </c>
      <c r="AA131" s="33">
        <f t="shared" ca="1" si="33"/>
        <v>4945.0000000000009</v>
      </c>
      <c r="AB131" s="7">
        <f t="shared" ca="1" si="34"/>
        <v>1</v>
      </c>
      <c r="AC131" s="7">
        <f t="shared" ca="1" si="35"/>
        <v>1.1673151750972763</v>
      </c>
      <c r="AD131" s="40"/>
      <c r="AE131" s="40"/>
      <c r="AF131" s="34"/>
      <c r="AH131" s="34"/>
    </row>
    <row r="132" spans="1:34" x14ac:dyDescent="0.25">
      <c r="A132" s="1">
        <v>129</v>
      </c>
      <c r="B132" s="25">
        <v>43979</v>
      </c>
      <c r="C132" s="10" t="s">
        <v>809</v>
      </c>
      <c r="D132" s="1">
        <v>172.45</v>
      </c>
      <c r="E132" s="30">
        <v>2300</v>
      </c>
      <c r="F132" s="1">
        <v>190</v>
      </c>
      <c r="G132" s="1">
        <v>3.95</v>
      </c>
      <c r="H132" s="1">
        <v>210</v>
      </c>
      <c r="I132" s="1">
        <v>1.5</v>
      </c>
      <c r="J132" s="1">
        <v>62100</v>
      </c>
      <c r="K132" s="1">
        <v>2300</v>
      </c>
      <c r="L132" s="1">
        <v>1.1000000000000001</v>
      </c>
      <c r="M132" s="1">
        <v>2</v>
      </c>
      <c r="N132" s="1">
        <v>13800</v>
      </c>
      <c r="O132" s="9"/>
      <c r="P132" s="7">
        <f t="shared" ca="1" si="27"/>
        <v>-0.12250000000000001</v>
      </c>
      <c r="Q132" s="7">
        <f t="shared" ca="1" si="28"/>
        <v>-9.4230769230769246E-3</v>
      </c>
      <c r="R132" s="33">
        <f t="shared" ref="R132:R195" ca="1" si="36">$E132*($G132-$I132)</f>
        <v>5635</v>
      </c>
      <c r="S132" s="33">
        <f t="shared" ref="S132:S195" ca="1" si="37">-(($H132-$F132)*$E132-$R132)</f>
        <v>-40365</v>
      </c>
      <c r="T132" s="33">
        <f t="shared" ca="1" si="29"/>
        <v>5635</v>
      </c>
      <c r="U132" s="7">
        <f t="shared" ref="U132:U195" ca="1" si="38">ABS($T132/$S132)</f>
        <v>0.1396011396011396</v>
      </c>
      <c r="V132" s="7">
        <f t="shared" ref="V132:V195" ca="1" si="39">mrigxl_max_drawdown($C132,INT($B132-TODAY()))</f>
        <v>-0.51604650554399489</v>
      </c>
      <c r="W132" s="33">
        <f t="shared" ca="1" si="30"/>
        <v>5635</v>
      </c>
      <c r="X132" s="7">
        <f t="shared" ca="1" si="31"/>
        <v>1</v>
      </c>
      <c r="Y132" s="7">
        <f t="shared" ca="1" si="32"/>
        <v>1.1396011396011396</v>
      </c>
      <c r="Z132" s="7">
        <f t="shared" ref="Z132:Z195" ca="1" si="40">mrigxl_avg_drawdown($C132,INT($B132-TODAY()))</f>
        <v>-0.11946513080902044</v>
      </c>
      <c r="AA132" s="33">
        <f t="shared" ca="1" si="33"/>
        <v>5635</v>
      </c>
      <c r="AB132" s="7">
        <f t="shared" ca="1" si="34"/>
        <v>1</v>
      </c>
      <c r="AC132" s="7">
        <f t="shared" ca="1" si="35"/>
        <v>1.1396011396011396</v>
      </c>
      <c r="AD132" s="40"/>
      <c r="AE132" s="40"/>
      <c r="AF132" s="34"/>
      <c r="AH132" s="34"/>
    </row>
    <row r="133" spans="1:34" x14ac:dyDescent="0.25">
      <c r="A133" s="1">
        <v>130</v>
      </c>
      <c r="B133" s="25">
        <v>43979</v>
      </c>
      <c r="C133" s="10" t="s">
        <v>809</v>
      </c>
      <c r="D133" s="1">
        <v>172.45</v>
      </c>
      <c r="E133" s="30">
        <v>2300</v>
      </c>
      <c r="F133" s="1">
        <v>190</v>
      </c>
      <c r="G133" s="1">
        <v>3.95</v>
      </c>
      <c r="H133" s="1">
        <v>220</v>
      </c>
      <c r="I133" s="1">
        <v>0.8</v>
      </c>
      <c r="J133" s="1">
        <v>78200</v>
      </c>
      <c r="K133" s="1">
        <v>2300</v>
      </c>
      <c r="L133" s="1">
        <v>0.7</v>
      </c>
      <c r="M133" s="1">
        <v>0.8</v>
      </c>
      <c r="N133" s="1">
        <v>2300</v>
      </c>
      <c r="O133" s="9"/>
      <c r="P133" s="7">
        <f t="shared" ref="P133:P196" ca="1" si="41">($G133-$I133)/($F133-$H133)</f>
        <v>-0.10500000000000001</v>
      </c>
      <c r="Q133" s="7">
        <f t="shared" ca="1" si="28"/>
        <v>-8.076923076923077E-3</v>
      </c>
      <c r="R133" s="33">
        <f t="shared" ca="1" si="36"/>
        <v>7245.0000000000009</v>
      </c>
      <c r="S133" s="33">
        <f t="shared" ca="1" si="37"/>
        <v>-61755</v>
      </c>
      <c r="T133" s="33">
        <f t="shared" ca="1" si="29"/>
        <v>7245.0000000000009</v>
      </c>
      <c r="U133" s="7">
        <f t="shared" ca="1" si="38"/>
        <v>0.11731843575418996</v>
      </c>
      <c r="V133" s="7">
        <f t="shared" ca="1" si="39"/>
        <v>-0.51604650554399489</v>
      </c>
      <c r="W133" s="33">
        <f t="shared" ca="1" si="30"/>
        <v>7245.0000000000009</v>
      </c>
      <c r="X133" s="7">
        <f t="shared" ca="1" si="31"/>
        <v>1</v>
      </c>
      <c r="Y133" s="7">
        <f t="shared" ca="1" si="32"/>
        <v>1.1173184357541899</v>
      </c>
      <c r="Z133" s="7">
        <f t="shared" ca="1" si="40"/>
        <v>-0.11946513080902044</v>
      </c>
      <c r="AA133" s="33">
        <f t="shared" ca="1" si="33"/>
        <v>7245.0000000000009</v>
      </c>
      <c r="AB133" s="7">
        <f t="shared" ca="1" si="34"/>
        <v>1</v>
      </c>
      <c r="AC133" s="7">
        <f t="shared" ca="1" si="35"/>
        <v>1.1173184357541899</v>
      </c>
      <c r="AD133" s="40"/>
      <c r="AE133" s="40"/>
      <c r="AF133" s="34"/>
      <c r="AH133" s="34"/>
    </row>
    <row r="134" spans="1:34" x14ac:dyDescent="0.25">
      <c r="A134" s="1">
        <v>131</v>
      </c>
      <c r="B134" s="25">
        <v>43979</v>
      </c>
      <c r="C134" s="10" t="s">
        <v>869</v>
      </c>
      <c r="D134" s="1">
        <v>1247.95</v>
      </c>
      <c r="E134" s="30">
        <v>400</v>
      </c>
      <c r="F134" s="1">
        <v>1350</v>
      </c>
      <c r="G134" s="1">
        <v>8.4499999999999993</v>
      </c>
      <c r="H134" s="1">
        <v>1360</v>
      </c>
      <c r="I134" s="1">
        <v>7.25</v>
      </c>
      <c r="J134" s="1">
        <v>76800</v>
      </c>
      <c r="K134" s="1">
        <v>10000</v>
      </c>
      <c r="L134" s="1">
        <v>6.25</v>
      </c>
      <c r="M134" s="1">
        <v>7.05</v>
      </c>
      <c r="N134" s="1">
        <v>400</v>
      </c>
      <c r="O134" s="9"/>
      <c r="P134" s="7">
        <f t="shared" ca="1" si="41"/>
        <v>-0.11999999999999993</v>
      </c>
      <c r="Q134" s="7">
        <f t="shared" ca="1" si="28"/>
        <v>-9.2307692307692247E-3</v>
      </c>
      <c r="R134" s="33">
        <f t="shared" ca="1" si="36"/>
        <v>479.99999999999972</v>
      </c>
      <c r="S134" s="33">
        <f t="shared" ca="1" si="37"/>
        <v>-3520.0000000000005</v>
      </c>
      <c r="T134" s="33">
        <f t="shared" ca="1" si="29"/>
        <v>479.99999999999972</v>
      </c>
      <c r="U134" s="7">
        <f t="shared" ca="1" si="38"/>
        <v>0.13636363636363627</v>
      </c>
      <c r="V134" s="7">
        <f t="shared" ca="1" si="39"/>
        <v>-0.37566042997806526</v>
      </c>
      <c r="W134" s="33">
        <f t="shared" ca="1" si="30"/>
        <v>479.99999999999972</v>
      </c>
      <c r="X134" s="7">
        <f t="shared" ca="1" si="31"/>
        <v>1</v>
      </c>
      <c r="Y134" s="7">
        <f t="shared" ca="1" si="32"/>
        <v>1.1363636363636362</v>
      </c>
      <c r="Z134" s="7">
        <f t="shared" ca="1" si="40"/>
        <v>-5.7656943329768333E-2</v>
      </c>
      <c r="AA134" s="33">
        <f t="shared" ca="1" si="33"/>
        <v>479.99999999999972</v>
      </c>
      <c r="AB134" s="7">
        <f t="shared" ca="1" si="34"/>
        <v>1</v>
      </c>
      <c r="AC134" s="7">
        <f t="shared" ca="1" si="35"/>
        <v>1.1363636363636362</v>
      </c>
      <c r="AD134" s="40"/>
      <c r="AE134" s="40"/>
      <c r="AF134" s="34"/>
      <c r="AH134" s="34"/>
    </row>
    <row r="135" spans="1:34" x14ac:dyDescent="0.25">
      <c r="A135" s="1">
        <v>132</v>
      </c>
      <c r="B135" s="25">
        <v>43979</v>
      </c>
      <c r="C135" s="10" t="s">
        <v>995</v>
      </c>
      <c r="D135" s="1">
        <v>554.5</v>
      </c>
      <c r="E135" s="30">
        <v>1250</v>
      </c>
      <c r="F135" s="1">
        <v>610</v>
      </c>
      <c r="G135" s="1">
        <v>6.5</v>
      </c>
      <c r="H135" s="1">
        <v>620</v>
      </c>
      <c r="I135" s="1">
        <v>5.2</v>
      </c>
      <c r="J135" s="1">
        <v>86250</v>
      </c>
      <c r="K135" s="1">
        <v>1250</v>
      </c>
      <c r="L135" s="1">
        <v>5.05</v>
      </c>
      <c r="M135" s="1">
        <v>5.25</v>
      </c>
      <c r="N135" s="1">
        <v>1250</v>
      </c>
      <c r="O135" s="9"/>
      <c r="P135" s="7">
        <f t="shared" ca="1" si="41"/>
        <v>-0.12999999999999998</v>
      </c>
      <c r="Q135" s="7">
        <f t="shared" ca="1" si="28"/>
        <v>-9.9999999999999985E-3</v>
      </c>
      <c r="R135" s="33">
        <f t="shared" ca="1" si="36"/>
        <v>1624.9999999999998</v>
      </c>
      <c r="S135" s="33">
        <f t="shared" ca="1" si="37"/>
        <v>-10875</v>
      </c>
      <c r="T135" s="33">
        <f t="shared" ca="1" si="29"/>
        <v>1624.9999999999998</v>
      </c>
      <c r="U135" s="7">
        <f t="shared" ca="1" si="38"/>
        <v>0.14942528735632182</v>
      </c>
      <c r="V135" s="7">
        <f t="shared" ca="1" si="39"/>
        <v>-0.39044623844118298</v>
      </c>
      <c r="W135" s="33">
        <f t="shared" ca="1" si="30"/>
        <v>1624.9999999999998</v>
      </c>
      <c r="X135" s="7">
        <f t="shared" ca="1" si="31"/>
        <v>1</v>
      </c>
      <c r="Y135" s="7">
        <f t="shared" ca="1" si="32"/>
        <v>1.1494252873563218</v>
      </c>
      <c r="Z135" s="7">
        <f t="shared" ca="1" si="40"/>
        <v>-7.4533724833670392E-2</v>
      </c>
      <c r="AA135" s="33">
        <f t="shared" ca="1" si="33"/>
        <v>1624.9999999999998</v>
      </c>
      <c r="AB135" s="7">
        <f t="shared" ca="1" si="34"/>
        <v>1</v>
      </c>
      <c r="AC135" s="7">
        <f t="shared" ca="1" si="35"/>
        <v>1.1494252873563218</v>
      </c>
      <c r="AD135" s="40"/>
      <c r="AE135" s="40"/>
      <c r="AF135" s="34"/>
      <c r="AH135" s="34"/>
    </row>
    <row r="136" spans="1:34" x14ac:dyDescent="0.25">
      <c r="A136" s="1">
        <v>133</v>
      </c>
      <c r="B136" s="25">
        <v>43979</v>
      </c>
      <c r="C136" s="10" t="s">
        <v>995</v>
      </c>
      <c r="D136" s="1">
        <v>554.5</v>
      </c>
      <c r="E136" s="30">
        <v>1250</v>
      </c>
      <c r="F136" s="1">
        <v>610</v>
      </c>
      <c r="G136" s="1">
        <v>6.5</v>
      </c>
      <c r="H136" s="1">
        <v>630</v>
      </c>
      <c r="I136" s="1">
        <v>4.4000000000000004</v>
      </c>
      <c r="J136" s="1">
        <v>3750</v>
      </c>
      <c r="K136" s="1">
        <v>7500</v>
      </c>
      <c r="L136" s="1">
        <v>3.1</v>
      </c>
      <c r="M136" s="1">
        <v>5.4</v>
      </c>
      <c r="N136" s="1">
        <v>5000</v>
      </c>
      <c r="O136" s="9"/>
      <c r="P136" s="7">
        <f t="shared" ca="1" si="41"/>
        <v>-0.10499999999999998</v>
      </c>
      <c r="Q136" s="7">
        <f t="shared" ca="1" si="28"/>
        <v>-8.0769230769230753E-3</v>
      </c>
      <c r="R136" s="33">
        <f t="shared" ca="1" si="36"/>
        <v>2624.9999999999995</v>
      </c>
      <c r="S136" s="33">
        <f t="shared" ca="1" si="37"/>
        <v>-22375</v>
      </c>
      <c r="T136" s="33">
        <f t="shared" ca="1" si="29"/>
        <v>2624.9999999999995</v>
      </c>
      <c r="U136" s="7">
        <f t="shared" ca="1" si="38"/>
        <v>0.11731843575418992</v>
      </c>
      <c r="V136" s="7">
        <f t="shared" ca="1" si="39"/>
        <v>-0.39044623844118298</v>
      </c>
      <c r="W136" s="33">
        <f t="shared" ca="1" si="30"/>
        <v>2624.9999999999995</v>
      </c>
      <c r="X136" s="7">
        <f t="shared" ca="1" si="31"/>
        <v>1</v>
      </c>
      <c r="Y136" s="7">
        <f t="shared" ca="1" si="32"/>
        <v>1.1173184357541899</v>
      </c>
      <c r="Z136" s="7">
        <f t="shared" ca="1" si="40"/>
        <v>-7.4533724833670392E-2</v>
      </c>
      <c r="AA136" s="33">
        <f t="shared" ca="1" si="33"/>
        <v>2624.9999999999995</v>
      </c>
      <c r="AB136" s="7">
        <f t="shared" ca="1" si="34"/>
        <v>1</v>
      </c>
      <c r="AC136" s="7">
        <f t="shared" ca="1" si="35"/>
        <v>1.1173184357541899</v>
      </c>
      <c r="AD136" s="40"/>
      <c r="AE136" s="40"/>
      <c r="AF136" s="34"/>
      <c r="AH136" s="34"/>
    </row>
    <row r="137" spans="1:34" x14ac:dyDescent="0.25">
      <c r="A137" s="1">
        <v>134</v>
      </c>
      <c r="B137" s="25">
        <v>43979</v>
      </c>
      <c r="C137" s="10" t="s">
        <v>995</v>
      </c>
      <c r="D137" s="1">
        <v>554.5</v>
      </c>
      <c r="E137" s="30">
        <v>1250</v>
      </c>
      <c r="F137" s="1">
        <v>610</v>
      </c>
      <c r="G137" s="1">
        <v>6.5</v>
      </c>
      <c r="H137" s="1">
        <v>640</v>
      </c>
      <c r="I137" s="1">
        <v>3.3</v>
      </c>
      <c r="J137" s="1">
        <v>58750</v>
      </c>
      <c r="K137" s="1">
        <v>3750</v>
      </c>
      <c r="L137" s="1">
        <v>3.3</v>
      </c>
      <c r="M137" s="1">
        <v>3.5</v>
      </c>
      <c r="N137" s="1">
        <v>1250</v>
      </c>
      <c r="O137" s="9"/>
      <c r="P137" s="7">
        <f t="shared" ca="1" si="41"/>
        <v>-0.10666666666666667</v>
      </c>
      <c r="Q137" s="7">
        <f t="shared" ca="1" si="28"/>
        <v>-8.2051282051282051E-3</v>
      </c>
      <c r="R137" s="33">
        <f t="shared" ca="1" si="36"/>
        <v>4000</v>
      </c>
      <c r="S137" s="33">
        <f t="shared" ca="1" si="37"/>
        <v>-33500</v>
      </c>
      <c r="T137" s="33">
        <f t="shared" ca="1" si="29"/>
        <v>4000</v>
      </c>
      <c r="U137" s="7">
        <f t="shared" ca="1" si="38"/>
        <v>0.11940298507462686</v>
      </c>
      <c r="V137" s="7">
        <f t="shared" ca="1" si="39"/>
        <v>-0.39044623844118298</v>
      </c>
      <c r="W137" s="33">
        <f t="shared" ca="1" si="30"/>
        <v>4000</v>
      </c>
      <c r="X137" s="7">
        <f t="shared" ca="1" si="31"/>
        <v>1</v>
      </c>
      <c r="Y137" s="7">
        <f t="shared" ca="1" si="32"/>
        <v>1.1194029850746268</v>
      </c>
      <c r="Z137" s="7">
        <f t="shared" ca="1" si="40"/>
        <v>-7.4533724833670392E-2</v>
      </c>
      <c r="AA137" s="33">
        <f t="shared" ca="1" si="33"/>
        <v>4000</v>
      </c>
      <c r="AB137" s="7">
        <f t="shared" ca="1" si="34"/>
        <v>1</v>
      </c>
      <c r="AC137" s="7">
        <f t="shared" ca="1" si="35"/>
        <v>1.1194029850746268</v>
      </c>
      <c r="AD137" s="40"/>
      <c r="AE137" s="40"/>
      <c r="AF137" s="34"/>
      <c r="AH137" s="34"/>
    </row>
    <row r="138" spans="1:34" x14ac:dyDescent="0.25">
      <c r="A138" s="1">
        <v>135</v>
      </c>
      <c r="B138" s="25">
        <v>43979</v>
      </c>
      <c r="C138" s="10" t="s">
        <v>1071</v>
      </c>
      <c r="D138" s="1">
        <v>30.95</v>
      </c>
      <c r="E138" s="30">
        <v>11700</v>
      </c>
      <c r="F138" s="1">
        <v>33</v>
      </c>
      <c r="G138" s="1">
        <v>0.4</v>
      </c>
      <c r="H138" s="1">
        <v>34</v>
      </c>
      <c r="I138" s="1">
        <v>0.3</v>
      </c>
      <c r="J138" s="1">
        <v>468000</v>
      </c>
      <c r="K138" s="1">
        <v>128700</v>
      </c>
      <c r="L138" s="1">
        <v>0.25</v>
      </c>
      <c r="M138" s="1">
        <v>0.35</v>
      </c>
      <c r="N138" s="1">
        <v>105300</v>
      </c>
      <c r="O138" s="9"/>
      <c r="P138" s="7">
        <f t="shared" ca="1" si="41"/>
        <v>-0.10000000000000003</v>
      </c>
      <c r="Q138" s="7">
        <f t="shared" ca="1" si="28"/>
        <v>-7.6923076923076945E-3</v>
      </c>
      <c r="R138" s="33">
        <f t="shared" ca="1" si="36"/>
        <v>1170.0000000000005</v>
      </c>
      <c r="S138" s="33">
        <f t="shared" ca="1" si="37"/>
        <v>-10530</v>
      </c>
      <c r="T138" s="33">
        <f t="shared" ca="1" si="29"/>
        <v>1170.0000000000005</v>
      </c>
      <c r="U138" s="7">
        <f t="shared" ca="1" si="38"/>
        <v>0.11111111111111116</v>
      </c>
      <c r="V138" s="7">
        <f t="shared" ca="1" si="39"/>
        <v>-0.3728398807920878</v>
      </c>
      <c r="W138" s="33">
        <f t="shared" ca="1" si="30"/>
        <v>1170.0000000000005</v>
      </c>
      <c r="X138" s="7">
        <f t="shared" ca="1" si="31"/>
        <v>1</v>
      </c>
      <c r="Y138" s="7">
        <f t="shared" ca="1" si="32"/>
        <v>1.1111111111111112</v>
      </c>
      <c r="Z138" s="7">
        <f t="shared" ca="1" si="40"/>
        <v>-8.2863744257414579E-2</v>
      </c>
      <c r="AA138" s="33">
        <f t="shared" ca="1" si="33"/>
        <v>1170.0000000000005</v>
      </c>
      <c r="AB138" s="7">
        <f t="shared" ca="1" si="34"/>
        <v>1</v>
      </c>
      <c r="AC138" s="7">
        <f t="shared" ca="1" si="35"/>
        <v>1.1111111111111112</v>
      </c>
      <c r="AD138" s="40"/>
      <c r="AE138" s="40"/>
      <c r="AF138" s="34"/>
      <c r="AH138" s="34"/>
    </row>
    <row r="139" spans="1:34" x14ac:dyDescent="0.25">
      <c r="A139" s="1">
        <v>136</v>
      </c>
      <c r="B139" s="25">
        <v>43979</v>
      </c>
      <c r="C139" s="10" t="s">
        <v>21</v>
      </c>
      <c r="D139" s="1">
        <v>90.25</v>
      </c>
      <c r="E139" s="30">
        <v>6200</v>
      </c>
      <c r="F139" s="1">
        <v>98</v>
      </c>
      <c r="G139" s="1">
        <v>3.5</v>
      </c>
      <c r="H139" s="1">
        <v>90</v>
      </c>
      <c r="I139" s="1">
        <v>2.2999999999999998</v>
      </c>
      <c r="J139" s="1">
        <v>979600</v>
      </c>
      <c r="K139" s="1">
        <v>6200</v>
      </c>
      <c r="L139" s="1">
        <v>2.15</v>
      </c>
      <c r="M139" s="1">
        <v>2.25</v>
      </c>
      <c r="N139" s="1">
        <v>6200</v>
      </c>
      <c r="O139" s="9"/>
      <c r="P139" s="7">
        <f t="shared" ca="1" si="41"/>
        <v>0.15000000000000002</v>
      </c>
      <c r="Q139" s="7">
        <f t="shared" ca="1" si="28"/>
        <v>1.1538461538461541E-2</v>
      </c>
      <c r="R139" s="33">
        <f t="shared" ca="1" si="36"/>
        <v>7440.0000000000009</v>
      </c>
      <c r="S139" s="33">
        <f t="shared" ca="1" si="37"/>
        <v>57040</v>
      </c>
      <c r="T139" s="33">
        <f t="shared" ca="1" si="29"/>
        <v>7440.0000000000009</v>
      </c>
      <c r="U139" s="7">
        <f t="shared" ca="1" si="38"/>
        <v>0.13043478260869568</v>
      </c>
      <c r="V139" s="7">
        <f t="shared" ca="1" si="39"/>
        <v>-0.36020851652004354</v>
      </c>
      <c r="W139" s="33">
        <f t="shared" ca="1" si="30"/>
        <v>-42160</v>
      </c>
      <c r="X139" s="7">
        <f t="shared" ca="1" si="31"/>
        <v>-5.6666666666666661</v>
      </c>
      <c r="Y139" s="7">
        <f t="shared" ca="1" si="32"/>
        <v>-5.5362318840579707</v>
      </c>
      <c r="Z139" s="7">
        <f t="shared" ca="1" si="40"/>
        <v>-9.4599905307380425E-2</v>
      </c>
      <c r="AA139" s="33">
        <f t="shared" ca="1" si="33"/>
        <v>-42160</v>
      </c>
      <c r="AB139" s="7">
        <f t="shared" ca="1" si="34"/>
        <v>-5.6666666666666661</v>
      </c>
      <c r="AC139" s="7">
        <f t="shared" ca="1" si="35"/>
        <v>-5.5362318840579707</v>
      </c>
      <c r="AD139" s="40"/>
      <c r="AE139" s="40"/>
      <c r="AF139" s="34"/>
      <c r="AH139" s="34"/>
    </row>
    <row r="140" spans="1:34" x14ac:dyDescent="0.25">
      <c r="A140" s="1">
        <v>137</v>
      </c>
      <c r="B140" s="25">
        <v>43979</v>
      </c>
      <c r="C140" s="10" t="s">
        <v>21</v>
      </c>
      <c r="D140" s="1">
        <v>90.25</v>
      </c>
      <c r="E140" s="30">
        <v>6200</v>
      </c>
      <c r="F140" s="1">
        <v>98</v>
      </c>
      <c r="G140" s="1">
        <v>3.5</v>
      </c>
      <c r="H140" s="1">
        <v>90.5</v>
      </c>
      <c r="I140" s="1">
        <v>2.35</v>
      </c>
      <c r="J140" s="1">
        <v>86800</v>
      </c>
      <c r="K140" s="1">
        <v>6200</v>
      </c>
      <c r="L140" s="1">
        <v>2.1</v>
      </c>
      <c r="M140" s="1">
        <v>2.2000000000000002</v>
      </c>
      <c r="N140" s="1">
        <v>6200</v>
      </c>
      <c r="O140" s="9"/>
      <c r="P140" s="7">
        <f t="shared" ca="1" si="41"/>
        <v>0.15333333333333332</v>
      </c>
      <c r="Q140" s="7">
        <f t="shared" ca="1" si="28"/>
        <v>1.1794871794871794E-2</v>
      </c>
      <c r="R140" s="33">
        <f t="shared" ca="1" si="36"/>
        <v>7129.9999999999991</v>
      </c>
      <c r="S140" s="33">
        <f t="shared" ca="1" si="37"/>
        <v>53630</v>
      </c>
      <c r="T140" s="33">
        <f t="shared" ca="1" si="29"/>
        <v>7129.9999999999991</v>
      </c>
      <c r="U140" s="7">
        <f t="shared" ca="1" si="38"/>
        <v>0.13294797687861271</v>
      </c>
      <c r="V140" s="7">
        <f t="shared" ca="1" si="39"/>
        <v>-0.36020851652004354</v>
      </c>
      <c r="W140" s="33">
        <f t="shared" ca="1" si="30"/>
        <v>-39370</v>
      </c>
      <c r="X140" s="7">
        <f t="shared" ca="1" si="31"/>
        <v>-5.5217391304347831</v>
      </c>
      <c r="Y140" s="7">
        <f t="shared" ca="1" si="32"/>
        <v>-5.3887911535561708</v>
      </c>
      <c r="Z140" s="7">
        <f t="shared" ca="1" si="40"/>
        <v>-9.4599905307380425E-2</v>
      </c>
      <c r="AA140" s="33">
        <f t="shared" ca="1" si="33"/>
        <v>-39370</v>
      </c>
      <c r="AB140" s="7">
        <f t="shared" ca="1" si="34"/>
        <v>-5.5217391304347831</v>
      </c>
      <c r="AC140" s="7">
        <f t="shared" ca="1" si="35"/>
        <v>-5.3887911535561708</v>
      </c>
      <c r="AD140" s="40"/>
      <c r="AE140" s="40"/>
      <c r="AF140" s="34"/>
      <c r="AH140" s="34"/>
    </row>
    <row r="141" spans="1:34" x14ac:dyDescent="0.25">
      <c r="A141" s="1">
        <v>138</v>
      </c>
      <c r="B141" s="25">
        <v>43979</v>
      </c>
      <c r="C141" s="10" t="s">
        <v>21</v>
      </c>
      <c r="D141" s="1">
        <v>90.25</v>
      </c>
      <c r="E141" s="30">
        <v>6200</v>
      </c>
      <c r="F141" s="1">
        <v>98</v>
      </c>
      <c r="G141" s="1">
        <v>3.5</v>
      </c>
      <c r="H141" s="1">
        <v>92.5</v>
      </c>
      <c r="I141" s="1">
        <v>1.7</v>
      </c>
      <c r="J141" s="1">
        <v>291400</v>
      </c>
      <c r="K141" s="1">
        <v>6200</v>
      </c>
      <c r="L141" s="1">
        <v>1.65</v>
      </c>
      <c r="M141" s="1">
        <v>1.75</v>
      </c>
      <c r="N141" s="1">
        <v>12400</v>
      </c>
      <c r="O141" s="9"/>
      <c r="P141" s="7">
        <f t="shared" ca="1" si="41"/>
        <v>0.32727272727272727</v>
      </c>
      <c r="Q141" s="7">
        <f t="shared" ca="1" si="28"/>
        <v>2.5174825174825173E-2</v>
      </c>
      <c r="R141" s="33">
        <f t="shared" ca="1" si="36"/>
        <v>11160</v>
      </c>
      <c r="S141" s="33">
        <f t="shared" ca="1" si="37"/>
        <v>45260</v>
      </c>
      <c r="T141" s="33">
        <f t="shared" ca="1" si="29"/>
        <v>11160</v>
      </c>
      <c r="U141" s="7">
        <f t="shared" ca="1" si="38"/>
        <v>0.24657534246575341</v>
      </c>
      <c r="V141" s="7">
        <f t="shared" ca="1" si="39"/>
        <v>-0.36020851652004354</v>
      </c>
      <c r="W141" s="33">
        <f t="shared" ca="1" si="30"/>
        <v>-22940</v>
      </c>
      <c r="X141" s="7">
        <f t="shared" ca="1" si="31"/>
        <v>-2.0555555555555554</v>
      </c>
      <c r="Y141" s="7">
        <f t="shared" ca="1" si="32"/>
        <v>-1.8089802130898018</v>
      </c>
      <c r="Z141" s="7">
        <f t="shared" ca="1" si="40"/>
        <v>-9.4599905307380425E-2</v>
      </c>
      <c r="AA141" s="33">
        <f t="shared" ca="1" si="33"/>
        <v>-22940</v>
      </c>
      <c r="AB141" s="7">
        <f t="shared" ca="1" si="34"/>
        <v>-2.0555555555555554</v>
      </c>
      <c r="AC141" s="7">
        <f t="shared" ca="1" si="35"/>
        <v>-1.8089802130898018</v>
      </c>
      <c r="AD141" s="40"/>
      <c r="AE141" s="40"/>
      <c r="AF141" s="34"/>
      <c r="AH141" s="34"/>
    </row>
    <row r="142" spans="1:34" x14ac:dyDescent="0.25">
      <c r="A142" s="1">
        <v>139</v>
      </c>
      <c r="B142" s="25">
        <v>43979</v>
      </c>
      <c r="C142" s="10" t="s">
        <v>21</v>
      </c>
      <c r="D142" s="1">
        <v>90.25</v>
      </c>
      <c r="E142" s="30">
        <v>6200</v>
      </c>
      <c r="F142" s="1">
        <v>98</v>
      </c>
      <c r="G142" s="1">
        <v>3.5</v>
      </c>
      <c r="H142" s="1">
        <v>93</v>
      </c>
      <c r="I142" s="1">
        <v>1.65</v>
      </c>
      <c r="J142" s="1">
        <v>68200</v>
      </c>
      <c r="K142" s="1">
        <v>6200</v>
      </c>
      <c r="L142" s="1">
        <v>1.6</v>
      </c>
      <c r="M142" s="1">
        <v>1.7</v>
      </c>
      <c r="N142" s="1">
        <v>6200</v>
      </c>
      <c r="O142" s="9"/>
      <c r="P142" s="7">
        <f t="shared" ca="1" si="41"/>
        <v>0.37</v>
      </c>
      <c r="Q142" s="7">
        <f t="shared" ca="1" si="28"/>
        <v>2.8461538461538462E-2</v>
      </c>
      <c r="R142" s="33">
        <f t="shared" ca="1" si="36"/>
        <v>11470</v>
      </c>
      <c r="S142" s="33">
        <f t="shared" ca="1" si="37"/>
        <v>42470</v>
      </c>
      <c r="T142" s="33">
        <f t="shared" ca="1" si="29"/>
        <v>11470</v>
      </c>
      <c r="U142" s="7">
        <f t="shared" ca="1" si="38"/>
        <v>0.27007299270072993</v>
      </c>
      <c r="V142" s="7">
        <f t="shared" ca="1" si="39"/>
        <v>-0.36020851652004354</v>
      </c>
      <c r="W142" s="33">
        <f t="shared" ca="1" si="30"/>
        <v>-19530</v>
      </c>
      <c r="X142" s="7">
        <f t="shared" ca="1" si="31"/>
        <v>-1.7027027027027026</v>
      </c>
      <c r="Y142" s="7">
        <f t="shared" ca="1" si="32"/>
        <v>-1.4326297100019727</v>
      </c>
      <c r="Z142" s="7">
        <f t="shared" ca="1" si="40"/>
        <v>-9.4599905307380425E-2</v>
      </c>
      <c r="AA142" s="33">
        <f t="shared" ca="1" si="33"/>
        <v>-19530</v>
      </c>
      <c r="AB142" s="7">
        <f t="shared" ca="1" si="34"/>
        <v>-1.7027027027027026</v>
      </c>
      <c r="AC142" s="7">
        <f t="shared" ca="1" si="35"/>
        <v>-1.4326297100019727</v>
      </c>
      <c r="AD142" s="40"/>
      <c r="AE142" s="40"/>
      <c r="AF142" s="34"/>
      <c r="AH142" s="34"/>
    </row>
    <row r="143" spans="1:34" x14ac:dyDescent="0.25">
      <c r="A143" s="1">
        <v>140</v>
      </c>
      <c r="B143" s="25">
        <v>43979</v>
      </c>
      <c r="C143" s="10" t="s">
        <v>21</v>
      </c>
      <c r="D143" s="1">
        <v>90.25</v>
      </c>
      <c r="E143" s="30">
        <v>6200</v>
      </c>
      <c r="F143" s="1">
        <v>98</v>
      </c>
      <c r="G143" s="1">
        <v>3.5</v>
      </c>
      <c r="H143" s="1">
        <v>95</v>
      </c>
      <c r="I143" s="1">
        <v>1.35</v>
      </c>
      <c r="J143" s="1">
        <v>1023000</v>
      </c>
      <c r="K143" s="1">
        <v>12400</v>
      </c>
      <c r="L143" s="1">
        <v>1.25</v>
      </c>
      <c r="M143" s="1">
        <v>1.4</v>
      </c>
      <c r="N143" s="1">
        <v>6200</v>
      </c>
      <c r="O143" s="9"/>
      <c r="P143" s="7">
        <f t="shared" ca="1" si="41"/>
        <v>0.71666666666666667</v>
      </c>
      <c r="Q143" s="7">
        <f t="shared" ca="1" si="28"/>
        <v>5.5128205128205127E-2</v>
      </c>
      <c r="R143" s="33">
        <f t="shared" ca="1" si="36"/>
        <v>13330</v>
      </c>
      <c r="S143" s="33">
        <f t="shared" ca="1" si="37"/>
        <v>31930</v>
      </c>
      <c r="T143" s="33">
        <f t="shared" ca="1" si="29"/>
        <v>13330</v>
      </c>
      <c r="U143" s="7">
        <f t="shared" ca="1" si="38"/>
        <v>0.41747572815533979</v>
      </c>
      <c r="V143" s="7">
        <f t="shared" ca="1" si="39"/>
        <v>-0.36020851652004354</v>
      </c>
      <c r="W143" s="33">
        <f t="shared" ca="1" si="30"/>
        <v>-5270</v>
      </c>
      <c r="X143" s="7">
        <f t="shared" ca="1" si="31"/>
        <v>-0.39534883720930231</v>
      </c>
      <c r="Y143" s="7">
        <f t="shared" ca="1" si="32"/>
        <v>2.2126890946037481E-2</v>
      </c>
      <c r="Z143" s="7">
        <f t="shared" ca="1" si="40"/>
        <v>-9.4599905307380425E-2</v>
      </c>
      <c r="AA143" s="33">
        <f t="shared" ca="1" si="33"/>
        <v>-5270</v>
      </c>
      <c r="AB143" s="7">
        <f t="shared" ca="1" si="34"/>
        <v>-0.39534883720930231</v>
      </c>
      <c r="AC143" s="7">
        <f t="shared" ca="1" si="35"/>
        <v>2.2126890946037481E-2</v>
      </c>
      <c r="AD143" s="40"/>
      <c r="AE143" s="40"/>
      <c r="AF143" s="34"/>
      <c r="AH143" s="34"/>
    </row>
    <row r="144" spans="1:34" x14ac:dyDescent="0.25">
      <c r="A144" s="1">
        <v>141</v>
      </c>
      <c r="B144" s="25">
        <v>43979</v>
      </c>
      <c r="C144" s="10" t="s">
        <v>21</v>
      </c>
      <c r="D144" s="1">
        <v>90.25</v>
      </c>
      <c r="E144" s="30">
        <v>6200</v>
      </c>
      <c r="F144" s="1">
        <v>98</v>
      </c>
      <c r="G144" s="1">
        <v>3.5</v>
      </c>
      <c r="H144" s="1">
        <v>95.5</v>
      </c>
      <c r="I144" s="1">
        <v>2.25</v>
      </c>
      <c r="J144" s="1">
        <v>37200</v>
      </c>
      <c r="K144" s="1">
        <v>6200</v>
      </c>
      <c r="L144" s="1">
        <v>1.1499999999999999</v>
      </c>
      <c r="M144" s="1">
        <v>1.95</v>
      </c>
      <c r="N144" s="1">
        <v>99200</v>
      </c>
      <c r="O144" s="9"/>
      <c r="P144" s="7">
        <f t="shared" ca="1" si="41"/>
        <v>0.5</v>
      </c>
      <c r="Q144" s="7">
        <f t="shared" ca="1" si="28"/>
        <v>3.8461538461538464E-2</v>
      </c>
      <c r="R144" s="33">
        <f t="shared" ca="1" si="36"/>
        <v>7750</v>
      </c>
      <c r="S144" s="33">
        <f t="shared" ca="1" si="37"/>
        <v>23250</v>
      </c>
      <c r="T144" s="33">
        <f t="shared" ca="1" si="29"/>
        <v>7750</v>
      </c>
      <c r="U144" s="7">
        <f t="shared" ca="1" si="38"/>
        <v>0.33333333333333331</v>
      </c>
      <c r="V144" s="7">
        <f t="shared" ca="1" si="39"/>
        <v>-0.36020851652004354</v>
      </c>
      <c r="W144" s="33">
        <f t="shared" ca="1" si="30"/>
        <v>-7750</v>
      </c>
      <c r="X144" s="7">
        <f t="shared" ca="1" si="31"/>
        <v>-1</v>
      </c>
      <c r="Y144" s="7">
        <f t="shared" ca="1" si="32"/>
        <v>-0.66666666666666674</v>
      </c>
      <c r="Z144" s="7">
        <f t="shared" ca="1" si="40"/>
        <v>-9.4599905307380425E-2</v>
      </c>
      <c r="AA144" s="33">
        <f t="shared" ca="1" si="33"/>
        <v>-7750</v>
      </c>
      <c r="AB144" s="7">
        <f t="shared" ca="1" si="34"/>
        <v>-1</v>
      </c>
      <c r="AC144" s="7">
        <f t="shared" ca="1" si="35"/>
        <v>-0.66666666666666674</v>
      </c>
      <c r="AD144" s="40"/>
      <c r="AE144" s="40"/>
      <c r="AF144" s="34"/>
      <c r="AH144" s="34"/>
    </row>
    <row r="145" spans="1:34" x14ac:dyDescent="0.25">
      <c r="A145" s="1">
        <v>142</v>
      </c>
      <c r="B145" s="25">
        <v>43979</v>
      </c>
      <c r="C145" s="10" t="s">
        <v>21</v>
      </c>
      <c r="D145" s="1">
        <v>90.25</v>
      </c>
      <c r="E145" s="30">
        <v>6200</v>
      </c>
      <c r="F145" s="1">
        <v>98</v>
      </c>
      <c r="G145" s="1">
        <v>3.5</v>
      </c>
      <c r="H145" s="1">
        <v>97.5</v>
      </c>
      <c r="I145" s="1">
        <v>1.05</v>
      </c>
      <c r="J145" s="1">
        <v>24800</v>
      </c>
      <c r="K145" s="1">
        <v>12400</v>
      </c>
      <c r="L145" s="1">
        <v>0.8</v>
      </c>
      <c r="M145" s="1">
        <v>1.25</v>
      </c>
      <c r="N145" s="1">
        <v>24800</v>
      </c>
      <c r="O145" s="9"/>
      <c r="P145" s="7">
        <f t="shared" ca="1" si="41"/>
        <v>4.9000000000000004</v>
      </c>
      <c r="Q145" s="7">
        <f t="shared" ca="1" si="28"/>
        <v>0.37692307692307697</v>
      </c>
      <c r="R145" s="33">
        <f t="shared" ca="1" si="36"/>
        <v>15190.000000000002</v>
      </c>
      <c r="S145" s="33">
        <f t="shared" ca="1" si="37"/>
        <v>18290</v>
      </c>
      <c r="T145" s="33">
        <f t="shared" ca="1" si="29"/>
        <v>15190.000000000002</v>
      </c>
      <c r="U145" s="7">
        <f t="shared" ca="1" si="38"/>
        <v>0.8305084745762713</v>
      </c>
      <c r="V145" s="7">
        <f t="shared" ca="1" si="39"/>
        <v>-0.36020851652004354</v>
      </c>
      <c r="W145" s="33">
        <f t="shared" ca="1" si="30"/>
        <v>12090.000000000002</v>
      </c>
      <c r="X145" s="7">
        <f t="shared" ca="1" si="31"/>
        <v>0.79591836734693877</v>
      </c>
      <c r="Y145" s="7">
        <f t="shared" ca="1" si="32"/>
        <v>1.6264268419232102</v>
      </c>
      <c r="Z145" s="7">
        <f t="shared" ca="1" si="40"/>
        <v>-9.4599905307380425E-2</v>
      </c>
      <c r="AA145" s="33">
        <f t="shared" ca="1" si="33"/>
        <v>12090.000000000002</v>
      </c>
      <c r="AB145" s="7">
        <f t="shared" ca="1" si="34"/>
        <v>0.79591836734693877</v>
      </c>
      <c r="AC145" s="7">
        <f t="shared" ca="1" si="35"/>
        <v>1.6264268419232102</v>
      </c>
      <c r="AD145" s="40"/>
      <c r="AE145" s="40"/>
      <c r="AF145" s="34"/>
      <c r="AH145" s="34"/>
    </row>
    <row r="146" spans="1:34" x14ac:dyDescent="0.25">
      <c r="A146" s="1">
        <v>143</v>
      </c>
      <c r="B146" s="25">
        <v>43979</v>
      </c>
      <c r="C146" s="10" t="s">
        <v>21</v>
      </c>
      <c r="D146" s="1">
        <v>90.25</v>
      </c>
      <c r="E146" s="30">
        <v>6200</v>
      </c>
      <c r="F146" s="1">
        <v>98</v>
      </c>
      <c r="G146" s="1">
        <v>3.5</v>
      </c>
      <c r="H146" s="1">
        <v>100</v>
      </c>
      <c r="I146" s="1">
        <v>0.9</v>
      </c>
      <c r="J146" s="1">
        <v>1624400</v>
      </c>
      <c r="K146" s="1">
        <v>12400</v>
      </c>
      <c r="L146" s="1">
        <v>0.8</v>
      </c>
      <c r="M146" s="1">
        <v>0.95</v>
      </c>
      <c r="N146" s="1">
        <v>18600</v>
      </c>
      <c r="O146" s="9"/>
      <c r="P146" s="7">
        <f t="shared" ca="1" si="41"/>
        <v>-1.3</v>
      </c>
      <c r="Q146" s="7">
        <f t="shared" ca="1" si="28"/>
        <v>-0.1</v>
      </c>
      <c r="R146" s="33">
        <f t="shared" ca="1" si="36"/>
        <v>16120</v>
      </c>
      <c r="S146" s="33">
        <f t="shared" ca="1" si="37"/>
        <v>3720</v>
      </c>
      <c r="T146" s="33">
        <f t="shared" ca="1" si="29"/>
        <v>16120</v>
      </c>
      <c r="U146" s="7">
        <f t="shared" ca="1" si="38"/>
        <v>4.333333333333333</v>
      </c>
      <c r="V146" s="7">
        <f t="shared" ca="1" si="39"/>
        <v>-0.36020851652004354</v>
      </c>
      <c r="W146" s="33">
        <f t="shared" ca="1" si="30"/>
        <v>16120</v>
      </c>
      <c r="X146" s="7">
        <f t="shared" ca="1" si="31"/>
        <v>1</v>
      </c>
      <c r="Y146" s="7">
        <f t="shared" ca="1" si="32"/>
        <v>5.333333333333333</v>
      </c>
      <c r="Z146" s="7">
        <f t="shared" ca="1" si="40"/>
        <v>-9.4599905307380425E-2</v>
      </c>
      <c r="AA146" s="33">
        <f t="shared" ca="1" si="33"/>
        <v>16120</v>
      </c>
      <c r="AB146" s="7">
        <f t="shared" ca="1" si="34"/>
        <v>1</v>
      </c>
      <c r="AC146" s="7">
        <f t="shared" ca="1" si="35"/>
        <v>5.333333333333333</v>
      </c>
      <c r="AD146" s="40"/>
      <c r="AE146" s="40"/>
      <c r="AF146" s="34"/>
      <c r="AH146" s="34"/>
    </row>
    <row r="147" spans="1:34" x14ac:dyDescent="0.25">
      <c r="A147" s="1">
        <v>144</v>
      </c>
      <c r="B147" s="25">
        <v>43979</v>
      </c>
      <c r="C147" s="10" t="s">
        <v>21</v>
      </c>
      <c r="D147" s="1">
        <v>90.25</v>
      </c>
      <c r="E147" s="30">
        <v>6200</v>
      </c>
      <c r="F147" s="1">
        <v>98</v>
      </c>
      <c r="G147" s="1">
        <v>3.5</v>
      </c>
      <c r="H147" s="1">
        <v>102.5</v>
      </c>
      <c r="I147" s="1">
        <v>0.85</v>
      </c>
      <c r="J147" s="1">
        <v>18600</v>
      </c>
      <c r="K147" s="1">
        <v>6200</v>
      </c>
      <c r="L147" s="1">
        <v>0.5</v>
      </c>
      <c r="M147" s="1">
        <v>1.1000000000000001</v>
      </c>
      <c r="N147" s="1">
        <v>86800</v>
      </c>
      <c r="O147" s="9"/>
      <c r="P147" s="7">
        <f t="shared" ca="1" si="41"/>
        <v>-0.58888888888888891</v>
      </c>
      <c r="Q147" s="7">
        <f t="shared" ca="1" si="28"/>
        <v>-4.5299145299145298E-2</v>
      </c>
      <c r="R147" s="33">
        <f t="shared" ca="1" si="36"/>
        <v>16430</v>
      </c>
      <c r="S147" s="33">
        <f t="shared" ca="1" si="37"/>
        <v>-11470</v>
      </c>
      <c r="T147" s="33">
        <f t="shared" ca="1" si="29"/>
        <v>16430</v>
      </c>
      <c r="U147" s="7">
        <f t="shared" ca="1" si="38"/>
        <v>1.4324324324324325</v>
      </c>
      <c r="V147" s="7">
        <f t="shared" ca="1" si="39"/>
        <v>-0.36020851652004354</v>
      </c>
      <c r="W147" s="33">
        <f t="shared" ca="1" si="30"/>
        <v>16430</v>
      </c>
      <c r="X147" s="7">
        <f t="shared" ca="1" si="31"/>
        <v>1</v>
      </c>
      <c r="Y147" s="7">
        <f t="shared" ca="1" si="32"/>
        <v>2.4324324324324325</v>
      </c>
      <c r="Z147" s="7">
        <f t="shared" ca="1" si="40"/>
        <v>-9.4599905307380425E-2</v>
      </c>
      <c r="AA147" s="33">
        <f t="shared" ca="1" si="33"/>
        <v>16430</v>
      </c>
      <c r="AB147" s="7">
        <f t="shared" ca="1" si="34"/>
        <v>1</v>
      </c>
      <c r="AC147" s="7">
        <f t="shared" ca="1" si="35"/>
        <v>2.4324324324324325</v>
      </c>
      <c r="AD147" s="40"/>
      <c r="AE147" s="40"/>
      <c r="AF147" s="34"/>
      <c r="AH147" s="34"/>
    </row>
    <row r="148" spans="1:34" x14ac:dyDescent="0.25">
      <c r="A148" s="1">
        <v>145</v>
      </c>
      <c r="B148" s="25">
        <v>43979</v>
      </c>
      <c r="C148" s="10" t="s">
        <v>21</v>
      </c>
      <c r="D148" s="1">
        <v>90.25</v>
      </c>
      <c r="E148" s="30">
        <v>6200</v>
      </c>
      <c r="F148" s="1">
        <v>98</v>
      </c>
      <c r="G148" s="1">
        <v>3.5</v>
      </c>
      <c r="H148" s="1">
        <v>105</v>
      </c>
      <c r="I148" s="1">
        <v>0.55000000000000004</v>
      </c>
      <c r="J148" s="1">
        <v>310000</v>
      </c>
      <c r="K148" s="1">
        <v>6200</v>
      </c>
      <c r="L148" s="1">
        <v>0.55000000000000004</v>
      </c>
      <c r="M148" s="1">
        <v>0.75</v>
      </c>
      <c r="N148" s="1">
        <v>93000</v>
      </c>
      <c r="O148" s="9"/>
      <c r="P148" s="7">
        <f t="shared" ca="1" si="41"/>
        <v>-0.42142857142857143</v>
      </c>
      <c r="Q148" s="7">
        <f t="shared" ca="1" si="28"/>
        <v>-3.241758241758242E-2</v>
      </c>
      <c r="R148" s="33">
        <f t="shared" ca="1" si="36"/>
        <v>18290</v>
      </c>
      <c r="S148" s="33">
        <f t="shared" ca="1" si="37"/>
        <v>-25110</v>
      </c>
      <c r="T148" s="33">
        <f t="shared" ca="1" si="29"/>
        <v>18290</v>
      </c>
      <c r="U148" s="7">
        <f t="shared" ca="1" si="38"/>
        <v>0.72839506172839508</v>
      </c>
      <c r="V148" s="7">
        <f t="shared" ca="1" si="39"/>
        <v>-0.36020851652004354</v>
      </c>
      <c r="W148" s="33">
        <f t="shared" ca="1" si="30"/>
        <v>18290</v>
      </c>
      <c r="X148" s="7">
        <f t="shared" ca="1" si="31"/>
        <v>1</v>
      </c>
      <c r="Y148" s="7">
        <f t="shared" ca="1" si="32"/>
        <v>1.7283950617283952</v>
      </c>
      <c r="Z148" s="7">
        <f t="shared" ca="1" si="40"/>
        <v>-9.4599905307380425E-2</v>
      </c>
      <c r="AA148" s="33">
        <f t="shared" ca="1" si="33"/>
        <v>18290</v>
      </c>
      <c r="AB148" s="7">
        <f t="shared" ca="1" si="34"/>
        <v>1</v>
      </c>
      <c r="AC148" s="7">
        <f t="shared" ca="1" si="35"/>
        <v>1.7283950617283952</v>
      </c>
      <c r="AD148" s="40"/>
      <c r="AE148" s="40"/>
      <c r="AF148" s="34"/>
      <c r="AH148" s="34"/>
    </row>
    <row r="149" spans="1:34" x14ac:dyDescent="0.25">
      <c r="A149" s="1">
        <v>146</v>
      </c>
      <c r="B149" s="25">
        <v>43979</v>
      </c>
      <c r="C149" s="10" t="s">
        <v>21</v>
      </c>
      <c r="D149" s="1">
        <v>90.25</v>
      </c>
      <c r="E149" s="30">
        <v>6200</v>
      </c>
      <c r="F149" s="1">
        <v>98</v>
      </c>
      <c r="G149" s="1">
        <v>3.5</v>
      </c>
      <c r="H149" s="1">
        <v>110</v>
      </c>
      <c r="I149" s="1">
        <v>0.4</v>
      </c>
      <c r="J149" s="1">
        <v>421600</v>
      </c>
      <c r="K149" s="1">
        <v>6200</v>
      </c>
      <c r="L149" s="1">
        <v>0.3</v>
      </c>
      <c r="M149" s="1">
        <v>0.4</v>
      </c>
      <c r="N149" s="1">
        <v>31000</v>
      </c>
      <c r="O149" s="9"/>
      <c r="P149" s="7">
        <f t="shared" ca="1" si="41"/>
        <v>-0.25833333333333336</v>
      </c>
      <c r="Q149" s="7">
        <f t="shared" ca="1" si="28"/>
        <v>-1.9871794871794874E-2</v>
      </c>
      <c r="R149" s="33">
        <f t="shared" ca="1" si="36"/>
        <v>19220</v>
      </c>
      <c r="S149" s="33">
        <f t="shared" ca="1" si="37"/>
        <v>-55180</v>
      </c>
      <c r="T149" s="33">
        <f t="shared" ca="1" si="29"/>
        <v>19220</v>
      </c>
      <c r="U149" s="7">
        <f t="shared" ca="1" si="38"/>
        <v>0.34831460674157305</v>
      </c>
      <c r="V149" s="7">
        <f t="shared" ca="1" si="39"/>
        <v>-0.36020851652004354</v>
      </c>
      <c r="W149" s="33">
        <f t="shared" ca="1" si="30"/>
        <v>19220</v>
      </c>
      <c r="X149" s="7">
        <f t="shared" ca="1" si="31"/>
        <v>1</v>
      </c>
      <c r="Y149" s="7">
        <f t="shared" ca="1" si="32"/>
        <v>1.348314606741573</v>
      </c>
      <c r="Z149" s="7">
        <f t="shared" ca="1" si="40"/>
        <v>-9.4599905307380425E-2</v>
      </c>
      <c r="AA149" s="33">
        <f t="shared" ca="1" si="33"/>
        <v>19220</v>
      </c>
      <c r="AB149" s="7">
        <f t="shared" ca="1" si="34"/>
        <v>1</v>
      </c>
      <c r="AC149" s="7">
        <f t="shared" ca="1" si="35"/>
        <v>1.348314606741573</v>
      </c>
      <c r="AD149" s="40"/>
      <c r="AE149" s="40"/>
      <c r="AF149" s="34"/>
      <c r="AH149" s="34"/>
    </row>
    <row r="150" spans="1:34" x14ac:dyDescent="0.25">
      <c r="A150" s="1">
        <v>147</v>
      </c>
      <c r="B150" s="25">
        <v>43979</v>
      </c>
      <c r="C150" s="10" t="s">
        <v>21</v>
      </c>
      <c r="D150" s="1">
        <v>90.25</v>
      </c>
      <c r="E150" s="30">
        <v>6200</v>
      </c>
      <c r="F150" s="1">
        <v>98</v>
      </c>
      <c r="G150" s="1">
        <v>3.5</v>
      </c>
      <c r="H150" s="1">
        <v>110.5</v>
      </c>
      <c r="I150" s="1">
        <v>0.6</v>
      </c>
      <c r="J150" s="1">
        <v>12400</v>
      </c>
      <c r="K150" s="1">
        <v>93000</v>
      </c>
      <c r="L150" s="1">
        <v>0.1</v>
      </c>
      <c r="M150" s="1">
        <v>0.6</v>
      </c>
      <c r="N150" s="1">
        <v>55800</v>
      </c>
      <c r="O150" s="9"/>
      <c r="P150" s="7">
        <f t="shared" ca="1" si="41"/>
        <v>-0.23199999999999998</v>
      </c>
      <c r="Q150" s="7">
        <f t="shared" ca="1" si="28"/>
        <v>-1.7846153846153845E-2</v>
      </c>
      <c r="R150" s="33">
        <f t="shared" ca="1" si="36"/>
        <v>17980</v>
      </c>
      <c r="S150" s="33">
        <f t="shared" ca="1" si="37"/>
        <v>-59520</v>
      </c>
      <c r="T150" s="33">
        <f t="shared" ca="1" si="29"/>
        <v>17980</v>
      </c>
      <c r="U150" s="7">
        <f t="shared" ca="1" si="38"/>
        <v>0.30208333333333331</v>
      </c>
      <c r="V150" s="7">
        <f t="shared" ca="1" si="39"/>
        <v>-0.36020851652004354</v>
      </c>
      <c r="W150" s="33">
        <f t="shared" ca="1" si="30"/>
        <v>17980</v>
      </c>
      <c r="X150" s="7">
        <f t="shared" ca="1" si="31"/>
        <v>1</v>
      </c>
      <c r="Y150" s="7">
        <f t="shared" ca="1" si="32"/>
        <v>1.3020833333333333</v>
      </c>
      <c r="Z150" s="7">
        <f t="shared" ca="1" si="40"/>
        <v>-9.4599905307380425E-2</v>
      </c>
      <c r="AA150" s="33">
        <f t="shared" ca="1" si="33"/>
        <v>17980</v>
      </c>
      <c r="AB150" s="7">
        <f t="shared" ca="1" si="34"/>
        <v>1</v>
      </c>
      <c r="AC150" s="7">
        <f t="shared" ca="1" si="35"/>
        <v>1.3020833333333333</v>
      </c>
      <c r="AD150" s="40"/>
      <c r="AE150" s="40"/>
      <c r="AF150" s="34"/>
      <c r="AH150" s="34"/>
    </row>
    <row r="151" spans="1:34" x14ac:dyDescent="0.25">
      <c r="A151" s="1">
        <v>148</v>
      </c>
      <c r="B151" s="25">
        <v>43979</v>
      </c>
      <c r="C151" s="10" t="s">
        <v>21</v>
      </c>
      <c r="D151" s="1">
        <v>90.25</v>
      </c>
      <c r="E151" s="30">
        <v>6200</v>
      </c>
      <c r="F151" s="1">
        <v>98</v>
      </c>
      <c r="G151" s="1">
        <v>3.5</v>
      </c>
      <c r="H151" s="1">
        <v>115</v>
      </c>
      <c r="I151" s="1">
        <v>0.3</v>
      </c>
      <c r="J151" s="1">
        <v>62000</v>
      </c>
      <c r="K151" s="1">
        <v>167400</v>
      </c>
      <c r="L151" s="1">
        <v>0.1</v>
      </c>
      <c r="M151" s="1">
        <v>0.3</v>
      </c>
      <c r="N151" s="1">
        <v>6200</v>
      </c>
      <c r="O151" s="9"/>
      <c r="P151" s="7">
        <f t="shared" ca="1" si="41"/>
        <v>-0.18823529411764706</v>
      </c>
      <c r="Q151" s="7">
        <f t="shared" ca="1" si="28"/>
        <v>-1.4479638009049774E-2</v>
      </c>
      <c r="R151" s="33">
        <f t="shared" ca="1" si="36"/>
        <v>19840</v>
      </c>
      <c r="S151" s="33">
        <f t="shared" ca="1" si="37"/>
        <v>-85560</v>
      </c>
      <c r="T151" s="33">
        <f t="shared" ca="1" si="29"/>
        <v>19840</v>
      </c>
      <c r="U151" s="7">
        <f t="shared" ca="1" si="38"/>
        <v>0.2318840579710145</v>
      </c>
      <c r="V151" s="7">
        <f t="shared" ca="1" si="39"/>
        <v>-0.36020851652004354</v>
      </c>
      <c r="W151" s="33">
        <f t="shared" ca="1" si="30"/>
        <v>19840</v>
      </c>
      <c r="X151" s="7">
        <f t="shared" ca="1" si="31"/>
        <v>1</v>
      </c>
      <c r="Y151" s="7">
        <f t="shared" ca="1" si="32"/>
        <v>1.2318840579710144</v>
      </c>
      <c r="Z151" s="7">
        <f t="shared" ca="1" si="40"/>
        <v>-9.4599905307380425E-2</v>
      </c>
      <c r="AA151" s="33">
        <f t="shared" ca="1" si="33"/>
        <v>19840</v>
      </c>
      <c r="AB151" s="7">
        <f t="shared" ca="1" si="34"/>
        <v>1</v>
      </c>
      <c r="AC151" s="7">
        <f t="shared" ca="1" si="35"/>
        <v>1.2318840579710144</v>
      </c>
      <c r="AD151" s="40"/>
      <c r="AE151" s="40"/>
      <c r="AF151" s="34"/>
      <c r="AH151" s="34"/>
    </row>
    <row r="152" spans="1:34" x14ac:dyDescent="0.25">
      <c r="A152" s="1">
        <v>149</v>
      </c>
      <c r="B152" s="25">
        <v>43979</v>
      </c>
      <c r="C152" s="10" t="s">
        <v>21</v>
      </c>
      <c r="D152" s="1">
        <v>90.25</v>
      </c>
      <c r="E152" s="30">
        <v>6200</v>
      </c>
      <c r="F152" s="1">
        <v>98</v>
      </c>
      <c r="G152" s="1">
        <v>3.5</v>
      </c>
      <c r="H152" s="1">
        <v>115.5</v>
      </c>
      <c r="I152" s="1">
        <v>0.35</v>
      </c>
      <c r="J152" s="1">
        <v>6200</v>
      </c>
      <c r="K152" s="1">
        <v>6200</v>
      </c>
      <c r="L152" s="1">
        <v>0.05</v>
      </c>
      <c r="M152" s="1">
        <v>0.7</v>
      </c>
      <c r="N152" s="1">
        <v>68200</v>
      </c>
      <c r="O152" s="9"/>
      <c r="P152" s="7">
        <f t="shared" ca="1" si="41"/>
        <v>-0.18</v>
      </c>
      <c r="Q152" s="7">
        <f t="shared" ca="1" si="28"/>
        <v>-1.3846153846153845E-2</v>
      </c>
      <c r="R152" s="33">
        <f t="shared" ca="1" si="36"/>
        <v>19530</v>
      </c>
      <c r="S152" s="33">
        <f t="shared" ca="1" si="37"/>
        <v>-88970</v>
      </c>
      <c r="T152" s="33">
        <f t="shared" ca="1" si="29"/>
        <v>19530</v>
      </c>
      <c r="U152" s="7">
        <f t="shared" ca="1" si="38"/>
        <v>0.21951219512195122</v>
      </c>
      <c r="V152" s="7">
        <f t="shared" ca="1" si="39"/>
        <v>-0.36020851652004354</v>
      </c>
      <c r="W152" s="33">
        <f t="shared" ca="1" si="30"/>
        <v>19530</v>
      </c>
      <c r="X152" s="7">
        <f t="shared" ca="1" si="31"/>
        <v>1</v>
      </c>
      <c r="Y152" s="7">
        <f t="shared" ca="1" si="32"/>
        <v>1.2195121951219512</v>
      </c>
      <c r="Z152" s="7">
        <f t="shared" ca="1" si="40"/>
        <v>-9.4599905307380425E-2</v>
      </c>
      <c r="AA152" s="33">
        <f t="shared" ca="1" si="33"/>
        <v>19530</v>
      </c>
      <c r="AB152" s="7">
        <f t="shared" ca="1" si="34"/>
        <v>1</v>
      </c>
      <c r="AC152" s="7">
        <f t="shared" ca="1" si="35"/>
        <v>1.2195121951219512</v>
      </c>
      <c r="AD152" s="40"/>
      <c r="AE152" s="40"/>
      <c r="AF152" s="34"/>
      <c r="AH152" s="34"/>
    </row>
    <row r="153" spans="1:34" x14ac:dyDescent="0.25">
      <c r="A153" s="1">
        <v>150</v>
      </c>
      <c r="B153" s="25">
        <v>43979</v>
      </c>
      <c r="C153" s="10" t="s">
        <v>21</v>
      </c>
      <c r="D153" s="1">
        <v>90.25</v>
      </c>
      <c r="E153" s="30">
        <v>6200</v>
      </c>
      <c r="F153" s="1">
        <v>98</v>
      </c>
      <c r="G153" s="1">
        <v>3.5</v>
      </c>
      <c r="H153" s="1">
        <v>120</v>
      </c>
      <c r="I153" s="1">
        <v>0.15</v>
      </c>
      <c r="J153" s="1">
        <v>322400</v>
      </c>
      <c r="K153" s="1">
        <v>6200</v>
      </c>
      <c r="L153" s="1">
        <v>0.15</v>
      </c>
      <c r="M153" s="1">
        <v>0.25</v>
      </c>
      <c r="N153" s="1">
        <v>12400</v>
      </c>
      <c r="O153" s="9"/>
      <c r="P153" s="7">
        <f t="shared" ca="1" si="41"/>
        <v>-0.15227272727272728</v>
      </c>
      <c r="Q153" s="7">
        <f t="shared" ca="1" si="28"/>
        <v>-1.1713286713286714E-2</v>
      </c>
      <c r="R153" s="33">
        <f t="shared" ca="1" si="36"/>
        <v>20770</v>
      </c>
      <c r="S153" s="33">
        <f t="shared" ca="1" si="37"/>
        <v>-115630</v>
      </c>
      <c r="T153" s="33">
        <f t="shared" ca="1" si="29"/>
        <v>20770</v>
      </c>
      <c r="U153" s="7">
        <f t="shared" ca="1" si="38"/>
        <v>0.17962466487935658</v>
      </c>
      <c r="V153" s="7">
        <f t="shared" ca="1" si="39"/>
        <v>-0.36020851652004354</v>
      </c>
      <c r="W153" s="33">
        <f t="shared" ca="1" si="30"/>
        <v>20770</v>
      </c>
      <c r="X153" s="7">
        <f t="shared" ca="1" si="31"/>
        <v>1</v>
      </c>
      <c r="Y153" s="7">
        <f t="shared" ca="1" si="32"/>
        <v>1.1796246648793565</v>
      </c>
      <c r="Z153" s="7">
        <f t="shared" ca="1" si="40"/>
        <v>-9.4599905307380425E-2</v>
      </c>
      <c r="AA153" s="33">
        <f t="shared" ca="1" si="33"/>
        <v>20770</v>
      </c>
      <c r="AB153" s="7">
        <f t="shared" ca="1" si="34"/>
        <v>1</v>
      </c>
      <c r="AC153" s="7">
        <f t="shared" ca="1" si="35"/>
        <v>1.1796246648793565</v>
      </c>
      <c r="AD153" s="40"/>
      <c r="AE153" s="40"/>
      <c r="AF153" s="34"/>
      <c r="AH153" s="34"/>
    </row>
    <row r="154" spans="1:34" x14ac:dyDescent="0.25">
      <c r="A154" s="1">
        <v>151</v>
      </c>
      <c r="B154" s="25">
        <v>43979</v>
      </c>
      <c r="C154" s="10" t="s">
        <v>1274</v>
      </c>
      <c r="D154" s="1">
        <v>525.04999999999995</v>
      </c>
      <c r="E154" s="30">
        <v>800</v>
      </c>
      <c r="F154" s="1">
        <v>580</v>
      </c>
      <c r="G154" s="1">
        <v>20</v>
      </c>
      <c r="H154" s="1">
        <v>590</v>
      </c>
      <c r="I154" s="1">
        <v>7</v>
      </c>
      <c r="J154" s="1">
        <v>800</v>
      </c>
      <c r="K154" s="1">
        <v>8000</v>
      </c>
      <c r="L154" s="1">
        <v>14.1</v>
      </c>
      <c r="M154" s="1">
        <v>19.5</v>
      </c>
      <c r="N154" s="1">
        <v>11200</v>
      </c>
      <c r="O154" s="9"/>
      <c r="P154" s="7">
        <f t="shared" ca="1" si="41"/>
        <v>-1.3</v>
      </c>
      <c r="Q154" s="7">
        <f t="shared" ca="1" si="28"/>
        <v>-0.1</v>
      </c>
      <c r="R154" s="33">
        <f t="shared" ca="1" si="36"/>
        <v>10400</v>
      </c>
      <c r="S154" s="33">
        <f t="shared" ca="1" si="37"/>
        <v>2400</v>
      </c>
      <c r="T154" s="33">
        <f t="shared" ca="1" si="29"/>
        <v>10400</v>
      </c>
      <c r="U154" s="7">
        <f t="shared" ca="1" si="38"/>
        <v>4.333333333333333</v>
      </c>
      <c r="V154" s="7">
        <f t="shared" ca="1" si="39"/>
        <v>-0.46381388545277497</v>
      </c>
      <c r="W154" s="33">
        <f t="shared" ca="1" si="30"/>
        <v>10400</v>
      </c>
      <c r="X154" s="7">
        <f t="shared" ca="1" si="31"/>
        <v>1</v>
      </c>
      <c r="Y154" s="7">
        <f t="shared" ca="1" si="32"/>
        <v>5.333333333333333</v>
      </c>
      <c r="Z154" s="7">
        <f t="shared" ca="1" si="40"/>
        <v>-9.4362894471490932E-2</v>
      </c>
      <c r="AA154" s="33">
        <f t="shared" ca="1" si="33"/>
        <v>10400</v>
      </c>
      <c r="AB154" s="7">
        <f t="shared" ca="1" si="34"/>
        <v>1</v>
      </c>
      <c r="AC154" s="7">
        <f t="shared" ca="1" si="35"/>
        <v>5.333333333333333</v>
      </c>
      <c r="AD154" s="40"/>
      <c r="AE154" s="40"/>
      <c r="AF154" s="34"/>
      <c r="AH154" s="34"/>
    </row>
    <row r="155" spans="1:34" x14ac:dyDescent="0.25">
      <c r="A155" s="1">
        <v>152</v>
      </c>
      <c r="B155" s="25">
        <v>43979</v>
      </c>
      <c r="C155" s="10" t="s">
        <v>1274</v>
      </c>
      <c r="D155" s="1">
        <v>525.04999999999995</v>
      </c>
      <c r="E155" s="30">
        <v>800</v>
      </c>
      <c r="F155" s="1">
        <v>580</v>
      </c>
      <c r="G155" s="1">
        <v>20</v>
      </c>
      <c r="H155" s="1">
        <v>600</v>
      </c>
      <c r="I155" s="1">
        <v>14.95</v>
      </c>
      <c r="J155" s="1">
        <v>8800</v>
      </c>
      <c r="K155" s="1">
        <v>800</v>
      </c>
      <c r="L155" s="1">
        <v>14.5</v>
      </c>
      <c r="M155" s="1">
        <v>14.9</v>
      </c>
      <c r="N155" s="1">
        <v>800</v>
      </c>
      <c r="O155" s="9"/>
      <c r="P155" s="7">
        <f t="shared" ca="1" si="41"/>
        <v>-0.25250000000000006</v>
      </c>
      <c r="Q155" s="7">
        <f t="shared" ca="1" si="28"/>
        <v>-1.9423076923076928E-2</v>
      </c>
      <c r="R155" s="33">
        <f t="shared" ca="1" si="36"/>
        <v>4040.0000000000005</v>
      </c>
      <c r="S155" s="33">
        <f t="shared" ca="1" si="37"/>
        <v>-11960</v>
      </c>
      <c r="T155" s="33">
        <f t="shared" ca="1" si="29"/>
        <v>4040.0000000000005</v>
      </c>
      <c r="U155" s="7">
        <f t="shared" ca="1" si="38"/>
        <v>0.33779264214046828</v>
      </c>
      <c r="V155" s="7">
        <f t="shared" ca="1" si="39"/>
        <v>-0.46381388545277497</v>
      </c>
      <c r="W155" s="33">
        <f t="shared" ca="1" si="30"/>
        <v>4040.0000000000005</v>
      </c>
      <c r="X155" s="7">
        <f t="shared" ca="1" si="31"/>
        <v>1</v>
      </c>
      <c r="Y155" s="7">
        <f t="shared" ca="1" si="32"/>
        <v>1.3377926421404682</v>
      </c>
      <c r="Z155" s="7">
        <f t="shared" ca="1" si="40"/>
        <v>-9.4362894471490932E-2</v>
      </c>
      <c r="AA155" s="33">
        <f t="shared" ca="1" si="33"/>
        <v>4040.0000000000005</v>
      </c>
      <c r="AB155" s="7">
        <f t="shared" ca="1" si="34"/>
        <v>1</v>
      </c>
      <c r="AC155" s="7">
        <f t="shared" ca="1" si="35"/>
        <v>1.3377926421404682</v>
      </c>
      <c r="AD155" s="40"/>
      <c r="AE155" s="40"/>
      <c r="AF155" s="34"/>
      <c r="AH155" s="34"/>
    </row>
    <row r="156" spans="1:34" x14ac:dyDescent="0.25">
      <c r="A156" s="1">
        <v>153</v>
      </c>
      <c r="B156" s="25">
        <v>43979</v>
      </c>
      <c r="C156" s="10" t="s">
        <v>1274</v>
      </c>
      <c r="D156" s="1">
        <v>525.04999999999995</v>
      </c>
      <c r="E156" s="30">
        <v>800</v>
      </c>
      <c r="F156" s="1">
        <v>580</v>
      </c>
      <c r="G156" s="1">
        <v>20</v>
      </c>
      <c r="H156" s="1">
        <v>620</v>
      </c>
      <c r="I156" s="1">
        <v>3.05</v>
      </c>
      <c r="J156" s="1">
        <v>800</v>
      </c>
      <c r="K156" s="1">
        <v>3200</v>
      </c>
      <c r="L156" s="1">
        <v>6.55</v>
      </c>
      <c r="M156" s="1">
        <v>11.15</v>
      </c>
      <c r="N156" s="1">
        <v>12800</v>
      </c>
      <c r="O156" s="9"/>
      <c r="P156" s="7">
        <f t="shared" ca="1" si="41"/>
        <v>-0.42374999999999996</v>
      </c>
      <c r="Q156" s="7">
        <f t="shared" ca="1" si="28"/>
        <v>-3.2596153846153844E-2</v>
      </c>
      <c r="R156" s="33">
        <f t="shared" ca="1" si="36"/>
        <v>13560</v>
      </c>
      <c r="S156" s="33">
        <f t="shared" ca="1" si="37"/>
        <v>-18440</v>
      </c>
      <c r="T156" s="33">
        <f t="shared" ca="1" si="29"/>
        <v>13560</v>
      </c>
      <c r="U156" s="7">
        <f t="shared" ca="1" si="38"/>
        <v>0.73535791757049895</v>
      </c>
      <c r="V156" s="7">
        <f t="shared" ca="1" si="39"/>
        <v>-0.46381388545277497</v>
      </c>
      <c r="W156" s="33">
        <f t="shared" ca="1" si="30"/>
        <v>13560</v>
      </c>
      <c r="X156" s="7">
        <f t="shared" ca="1" si="31"/>
        <v>1</v>
      </c>
      <c r="Y156" s="7">
        <f t="shared" ca="1" si="32"/>
        <v>1.735357917570499</v>
      </c>
      <c r="Z156" s="7">
        <f t="shared" ca="1" si="40"/>
        <v>-9.4362894471490932E-2</v>
      </c>
      <c r="AA156" s="33">
        <f t="shared" ca="1" si="33"/>
        <v>13560</v>
      </c>
      <c r="AB156" s="7">
        <f t="shared" ca="1" si="34"/>
        <v>1</v>
      </c>
      <c r="AC156" s="7">
        <f t="shared" ca="1" si="35"/>
        <v>1.735357917570499</v>
      </c>
      <c r="AD156" s="40"/>
      <c r="AE156" s="40"/>
      <c r="AF156" s="34"/>
      <c r="AH156" s="34"/>
    </row>
    <row r="157" spans="1:34" x14ac:dyDescent="0.25">
      <c r="A157" s="1">
        <v>154</v>
      </c>
      <c r="B157" s="25">
        <v>43979</v>
      </c>
      <c r="C157" s="10" t="s">
        <v>1274</v>
      </c>
      <c r="D157" s="1">
        <v>525.04999999999995</v>
      </c>
      <c r="E157" s="30">
        <v>800</v>
      </c>
      <c r="F157" s="1">
        <v>580</v>
      </c>
      <c r="G157" s="1">
        <v>20</v>
      </c>
      <c r="H157" s="1">
        <v>650</v>
      </c>
      <c r="I157" s="1">
        <v>5</v>
      </c>
      <c r="J157" s="1">
        <v>2400</v>
      </c>
      <c r="K157" s="1">
        <v>800</v>
      </c>
      <c r="L157" s="1">
        <v>3</v>
      </c>
      <c r="M157" s="1">
        <v>7.45</v>
      </c>
      <c r="N157" s="1">
        <v>12800</v>
      </c>
      <c r="O157" s="9"/>
      <c r="P157" s="7">
        <f t="shared" ca="1" si="41"/>
        <v>-0.21428571428571427</v>
      </c>
      <c r="Q157" s="7">
        <f t="shared" ca="1" si="28"/>
        <v>-1.6483516483516484E-2</v>
      </c>
      <c r="R157" s="33">
        <f t="shared" ca="1" si="36"/>
        <v>12000</v>
      </c>
      <c r="S157" s="33">
        <f t="shared" ca="1" si="37"/>
        <v>-44000</v>
      </c>
      <c r="T157" s="33">
        <f t="shared" ca="1" si="29"/>
        <v>12000</v>
      </c>
      <c r="U157" s="7">
        <f t="shared" ca="1" si="38"/>
        <v>0.27272727272727271</v>
      </c>
      <c r="V157" s="7">
        <f t="shared" ca="1" si="39"/>
        <v>-0.46381388545277497</v>
      </c>
      <c r="W157" s="33">
        <f t="shared" ca="1" si="30"/>
        <v>12000</v>
      </c>
      <c r="X157" s="7">
        <f t="shared" ca="1" si="31"/>
        <v>1</v>
      </c>
      <c r="Y157" s="7">
        <f t="shared" ca="1" si="32"/>
        <v>1.2727272727272727</v>
      </c>
      <c r="Z157" s="7">
        <f t="shared" ca="1" si="40"/>
        <v>-9.4362894471490932E-2</v>
      </c>
      <c r="AA157" s="33">
        <f t="shared" ca="1" si="33"/>
        <v>12000</v>
      </c>
      <c r="AB157" s="7">
        <f t="shared" ca="1" si="34"/>
        <v>1</v>
      </c>
      <c r="AC157" s="7">
        <f t="shared" ca="1" si="35"/>
        <v>1.2727272727272727</v>
      </c>
      <c r="AD157" s="40"/>
      <c r="AE157" s="40"/>
      <c r="AF157" s="34"/>
      <c r="AH157" s="34"/>
    </row>
    <row r="158" spans="1:34" x14ac:dyDescent="0.25">
      <c r="A158" s="1">
        <v>155</v>
      </c>
      <c r="B158" s="25">
        <v>43979</v>
      </c>
      <c r="C158" s="10" t="s">
        <v>1285</v>
      </c>
      <c r="D158" s="1">
        <v>126.25</v>
      </c>
      <c r="E158" s="30">
        <v>1500</v>
      </c>
      <c r="F158" s="1">
        <v>140</v>
      </c>
      <c r="G158" s="1">
        <v>4.25</v>
      </c>
      <c r="H158" s="1">
        <v>150</v>
      </c>
      <c r="I158" s="1">
        <v>2.8</v>
      </c>
      <c r="J158" s="1">
        <v>918000</v>
      </c>
      <c r="K158" s="1">
        <v>1500</v>
      </c>
      <c r="L158" s="1">
        <v>2.8</v>
      </c>
      <c r="M158" s="1">
        <v>2.85</v>
      </c>
      <c r="N158" s="1">
        <v>1500</v>
      </c>
      <c r="O158" s="9"/>
      <c r="P158" s="7">
        <f t="shared" ca="1" si="41"/>
        <v>-0.14500000000000002</v>
      </c>
      <c r="Q158" s="7">
        <f t="shared" ca="1" si="28"/>
        <v>-1.1153846153846155E-2</v>
      </c>
      <c r="R158" s="33">
        <f t="shared" ca="1" si="36"/>
        <v>2175.0000000000005</v>
      </c>
      <c r="S158" s="33">
        <f t="shared" ca="1" si="37"/>
        <v>-12825</v>
      </c>
      <c r="T158" s="33">
        <f t="shared" ca="1" si="29"/>
        <v>2175.0000000000005</v>
      </c>
      <c r="U158" s="7">
        <f t="shared" ca="1" si="38"/>
        <v>0.16959064327485385</v>
      </c>
      <c r="V158" s="7">
        <f t="shared" ca="1" si="39"/>
        <v>-0.69668450296079631</v>
      </c>
      <c r="W158" s="33">
        <f t="shared" ca="1" si="30"/>
        <v>2175.0000000000005</v>
      </c>
      <c r="X158" s="7">
        <f t="shared" ca="1" si="31"/>
        <v>1</v>
      </c>
      <c r="Y158" s="7">
        <f t="shared" ca="1" si="32"/>
        <v>1.1695906432748537</v>
      </c>
      <c r="Z158" s="7">
        <f t="shared" ca="1" si="40"/>
        <v>-0.2565126364800514</v>
      </c>
      <c r="AA158" s="33">
        <f t="shared" ca="1" si="33"/>
        <v>2175.0000000000005</v>
      </c>
      <c r="AB158" s="7">
        <f t="shared" ca="1" si="34"/>
        <v>1</v>
      </c>
      <c r="AC158" s="7">
        <f t="shared" ca="1" si="35"/>
        <v>1.1695906432748537</v>
      </c>
      <c r="AD158" s="40"/>
      <c r="AE158" s="40"/>
      <c r="AF158" s="34"/>
      <c r="AH158" s="34"/>
    </row>
    <row r="159" spans="1:34" x14ac:dyDescent="0.25">
      <c r="A159" s="1">
        <v>156</v>
      </c>
      <c r="B159" s="25">
        <v>43979</v>
      </c>
      <c r="C159" s="10" t="s">
        <v>1285</v>
      </c>
      <c r="D159" s="1">
        <v>126.25</v>
      </c>
      <c r="E159" s="30">
        <v>1500</v>
      </c>
      <c r="F159" s="1">
        <v>140</v>
      </c>
      <c r="G159" s="1">
        <v>4.25</v>
      </c>
      <c r="H159" s="1">
        <v>160</v>
      </c>
      <c r="I159" s="1">
        <v>1.85</v>
      </c>
      <c r="J159" s="1">
        <v>649500</v>
      </c>
      <c r="K159" s="1">
        <v>1500</v>
      </c>
      <c r="L159" s="1">
        <v>1.8</v>
      </c>
      <c r="M159" s="1">
        <v>1.9</v>
      </c>
      <c r="N159" s="1">
        <v>6000</v>
      </c>
      <c r="O159" s="9"/>
      <c r="P159" s="7">
        <f t="shared" ca="1" si="41"/>
        <v>-0.12</v>
      </c>
      <c r="Q159" s="7">
        <f t="shared" ca="1" si="28"/>
        <v>-9.2307692307692299E-3</v>
      </c>
      <c r="R159" s="33">
        <f t="shared" ca="1" si="36"/>
        <v>3600</v>
      </c>
      <c r="S159" s="33">
        <f t="shared" ca="1" si="37"/>
        <v>-26400</v>
      </c>
      <c r="T159" s="33">
        <f t="shared" ca="1" si="29"/>
        <v>3600</v>
      </c>
      <c r="U159" s="7">
        <f t="shared" ca="1" si="38"/>
        <v>0.13636363636363635</v>
      </c>
      <c r="V159" s="7">
        <f t="shared" ca="1" si="39"/>
        <v>-0.69668450296079631</v>
      </c>
      <c r="W159" s="33">
        <f t="shared" ca="1" si="30"/>
        <v>3600</v>
      </c>
      <c r="X159" s="7">
        <f t="shared" ca="1" si="31"/>
        <v>1</v>
      </c>
      <c r="Y159" s="7">
        <f t="shared" ca="1" si="32"/>
        <v>1.1363636363636362</v>
      </c>
      <c r="Z159" s="7">
        <f t="shared" ca="1" si="40"/>
        <v>-0.2565126364800514</v>
      </c>
      <c r="AA159" s="33">
        <f t="shared" ca="1" si="33"/>
        <v>3600</v>
      </c>
      <c r="AB159" s="7">
        <f t="shared" ca="1" si="34"/>
        <v>1</v>
      </c>
      <c r="AC159" s="7">
        <f t="shared" ca="1" si="35"/>
        <v>1.1363636363636362</v>
      </c>
      <c r="AD159" s="40"/>
      <c r="AE159" s="40"/>
      <c r="AF159" s="34"/>
      <c r="AH159" s="34"/>
    </row>
    <row r="160" spans="1:34" x14ac:dyDescent="0.25">
      <c r="A160" s="1">
        <v>157</v>
      </c>
      <c r="B160" s="25">
        <v>43979</v>
      </c>
      <c r="C160" s="10" t="s">
        <v>1285</v>
      </c>
      <c r="D160" s="1">
        <v>126.25</v>
      </c>
      <c r="E160" s="30">
        <v>1500</v>
      </c>
      <c r="F160" s="1">
        <v>140</v>
      </c>
      <c r="G160" s="1">
        <v>4.25</v>
      </c>
      <c r="H160" s="1">
        <v>170</v>
      </c>
      <c r="I160" s="1">
        <v>1.25</v>
      </c>
      <c r="J160" s="1">
        <v>301500</v>
      </c>
      <c r="K160" s="1">
        <v>3000</v>
      </c>
      <c r="L160" s="1">
        <v>1.2</v>
      </c>
      <c r="M160" s="1">
        <v>1.25</v>
      </c>
      <c r="N160" s="1">
        <v>3000</v>
      </c>
      <c r="O160" s="9"/>
      <c r="P160" s="7">
        <f t="shared" ca="1" si="41"/>
        <v>-0.1</v>
      </c>
      <c r="Q160" s="7">
        <f t="shared" ca="1" si="28"/>
        <v>-7.6923076923076927E-3</v>
      </c>
      <c r="R160" s="33">
        <f t="shared" ca="1" si="36"/>
        <v>4500</v>
      </c>
      <c r="S160" s="33">
        <f t="shared" ca="1" si="37"/>
        <v>-40500</v>
      </c>
      <c r="T160" s="33">
        <f t="shared" ca="1" si="29"/>
        <v>4500</v>
      </c>
      <c r="U160" s="7">
        <f t="shared" ca="1" si="38"/>
        <v>0.1111111111111111</v>
      </c>
      <c r="V160" s="7">
        <f t="shared" ca="1" si="39"/>
        <v>-0.69668450296079631</v>
      </c>
      <c r="W160" s="33">
        <f t="shared" ca="1" si="30"/>
        <v>4500</v>
      </c>
      <c r="X160" s="7">
        <f t="shared" ca="1" si="31"/>
        <v>1</v>
      </c>
      <c r="Y160" s="7">
        <f t="shared" ca="1" si="32"/>
        <v>1.1111111111111112</v>
      </c>
      <c r="Z160" s="7">
        <f t="shared" ca="1" si="40"/>
        <v>-0.2565126364800514</v>
      </c>
      <c r="AA160" s="33">
        <f t="shared" ca="1" si="33"/>
        <v>4500</v>
      </c>
      <c r="AB160" s="7">
        <f t="shared" ca="1" si="34"/>
        <v>1</v>
      </c>
      <c r="AC160" s="7">
        <f t="shared" ca="1" si="35"/>
        <v>1.1111111111111112</v>
      </c>
      <c r="AD160" s="40"/>
      <c r="AE160" s="40"/>
      <c r="AF160" s="34"/>
      <c r="AH160" s="34"/>
    </row>
    <row r="161" spans="1:34" x14ac:dyDescent="0.25">
      <c r="A161" s="1">
        <v>158</v>
      </c>
      <c r="B161" s="25">
        <v>43979</v>
      </c>
      <c r="C161" s="10" t="s">
        <v>1288</v>
      </c>
      <c r="D161" s="1">
        <v>92.2</v>
      </c>
      <c r="E161" s="30">
        <v>6000</v>
      </c>
      <c r="F161" s="1">
        <v>97.5</v>
      </c>
      <c r="G161" s="1">
        <v>5.0999999999999996</v>
      </c>
      <c r="H161" s="1">
        <v>100</v>
      </c>
      <c r="I161" s="1">
        <v>4.2</v>
      </c>
      <c r="J161" s="1">
        <v>984000</v>
      </c>
      <c r="K161" s="1">
        <v>12000</v>
      </c>
      <c r="L161" s="1">
        <v>4.1500000000000004</v>
      </c>
      <c r="M161" s="1">
        <v>4.3</v>
      </c>
      <c r="N161" s="1">
        <v>12000</v>
      </c>
      <c r="O161" s="9"/>
      <c r="P161" s="7">
        <f t="shared" ca="1" si="41"/>
        <v>-0.35999999999999976</v>
      </c>
      <c r="Q161" s="7">
        <f t="shared" ca="1" si="28"/>
        <v>-2.7692307692307676E-2</v>
      </c>
      <c r="R161" s="33">
        <f t="shared" ca="1" si="36"/>
        <v>5399.9999999999964</v>
      </c>
      <c r="S161" s="33">
        <f t="shared" ca="1" si="37"/>
        <v>-9600.0000000000036</v>
      </c>
      <c r="T161" s="33">
        <f t="shared" ca="1" si="29"/>
        <v>5399.9999999999964</v>
      </c>
      <c r="U161" s="7">
        <f t="shared" ca="1" si="38"/>
        <v>0.56249999999999944</v>
      </c>
      <c r="V161" s="7">
        <f t="shared" ca="1" si="39"/>
        <v>-0.38776553100876343</v>
      </c>
      <c r="W161" s="33">
        <f t="shared" ca="1" si="30"/>
        <v>5399.9999999999964</v>
      </c>
      <c r="X161" s="7">
        <f t="shared" ca="1" si="31"/>
        <v>1</v>
      </c>
      <c r="Y161" s="7">
        <f t="shared" ca="1" si="32"/>
        <v>1.5624999999999996</v>
      </c>
      <c r="Z161" s="7">
        <f t="shared" ca="1" si="40"/>
        <v>-0.10937322487312934</v>
      </c>
      <c r="AA161" s="33">
        <f t="shared" ca="1" si="33"/>
        <v>5399.9999999999964</v>
      </c>
      <c r="AB161" s="7">
        <f t="shared" ca="1" si="34"/>
        <v>1</v>
      </c>
      <c r="AC161" s="7">
        <f t="shared" ca="1" si="35"/>
        <v>1.5624999999999996</v>
      </c>
      <c r="AD161" s="40"/>
      <c r="AE161" s="40"/>
      <c r="AF161" s="34"/>
      <c r="AH161" s="34"/>
    </row>
    <row r="162" spans="1:34" x14ac:dyDescent="0.25">
      <c r="A162" s="1">
        <v>159</v>
      </c>
      <c r="B162" s="25">
        <v>43979</v>
      </c>
      <c r="C162" s="10" t="s">
        <v>1288</v>
      </c>
      <c r="D162" s="1">
        <v>92.2</v>
      </c>
      <c r="E162" s="30">
        <v>6000</v>
      </c>
      <c r="F162" s="1">
        <v>97.5</v>
      </c>
      <c r="G162" s="1">
        <v>5.0999999999999996</v>
      </c>
      <c r="H162" s="1">
        <v>102.5</v>
      </c>
      <c r="I162" s="1">
        <v>3.35</v>
      </c>
      <c r="J162" s="1">
        <v>336000</v>
      </c>
      <c r="K162" s="1">
        <v>18000</v>
      </c>
      <c r="L162" s="1">
        <v>3.3</v>
      </c>
      <c r="M162" s="1">
        <v>3.4</v>
      </c>
      <c r="N162" s="1">
        <v>12000</v>
      </c>
      <c r="O162" s="9"/>
      <c r="P162" s="7">
        <f t="shared" ca="1" si="41"/>
        <v>-0.34999999999999992</v>
      </c>
      <c r="Q162" s="7">
        <f t="shared" ca="1" si="28"/>
        <v>-2.6923076923076918E-2</v>
      </c>
      <c r="R162" s="33">
        <f t="shared" ca="1" si="36"/>
        <v>10499.999999999998</v>
      </c>
      <c r="S162" s="33">
        <f t="shared" ca="1" si="37"/>
        <v>-19500</v>
      </c>
      <c r="T162" s="33">
        <f t="shared" ca="1" si="29"/>
        <v>10499.999999999998</v>
      </c>
      <c r="U162" s="7">
        <f t="shared" ca="1" si="38"/>
        <v>0.53846153846153832</v>
      </c>
      <c r="V162" s="7">
        <f t="shared" ca="1" si="39"/>
        <v>-0.38776553100876343</v>
      </c>
      <c r="W162" s="33">
        <f t="shared" ca="1" si="30"/>
        <v>10499.999999999998</v>
      </c>
      <c r="X162" s="7">
        <f t="shared" ca="1" si="31"/>
        <v>1</v>
      </c>
      <c r="Y162" s="7">
        <f t="shared" ca="1" si="32"/>
        <v>1.5384615384615383</v>
      </c>
      <c r="Z162" s="7">
        <f t="shared" ca="1" si="40"/>
        <v>-0.10937322487312934</v>
      </c>
      <c r="AA162" s="33">
        <f t="shared" ca="1" si="33"/>
        <v>10499.999999999998</v>
      </c>
      <c r="AB162" s="7">
        <f t="shared" ca="1" si="34"/>
        <v>1</v>
      </c>
      <c r="AC162" s="7">
        <f t="shared" ca="1" si="35"/>
        <v>1.5384615384615383</v>
      </c>
      <c r="AD162" s="40"/>
      <c r="AE162" s="40"/>
      <c r="AF162" s="34"/>
      <c r="AH162" s="34"/>
    </row>
    <row r="163" spans="1:34" x14ac:dyDescent="0.25">
      <c r="A163" s="1">
        <v>160</v>
      </c>
      <c r="B163" s="25">
        <v>43979</v>
      </c>
      <c r="C163" s="10" t="s">
        <v>1288</v>
      </c>
      <c r="D163" s="1">
        <v>92.2</v>
      </c>
      <c r="E163" s="30">
        <v>6000</v>
      </c>
      <c r="F163" s="1">
        <v>97.5</v>
      </c>
      <c r="G163" s="1">
        <v>5.0999999999999996</v>
      </c>
      <c r="H163" s="1">
        <v>105</v>
      </c>
      <c r="I163" s="1">
        <v>2.9</v>
      </c>
      <c r="J163" s="1">
        <v>636000</v>
      </c>
      <c r="K163" s="1">
        <v>24000</v>
      </c>
      <c r="L163" s="1">
        <v>2.6</v>
      </c>
      <c r="M163" s="1">
        <v>2.65</v>
      </c>
      <c r="N163" s="1">
        <v>6000</v>
      </c>
      <c r="O163" s="9"/>
      <c r="P163" s="7">
        <f t="shared" ca="1" si="41"/>
        <v>-0.29333333333333328</v>
      </c>
      <c r="Q163" s="7">
        <f t="shared" ca="1" si="28"/>
        <v>-2.2564102564102559E-2</v>
      </c>
      <c r="R163" s="33">
        <f t="shared" ca="1" si="36"/>
        <v>13199.999999999998</v>
      </c>
      <c r="S163" s="33">
        <f t="shared" ca="1" si="37"/>
        <v>-31800</v>
      </c>
      <c r="T163" s="33">
        <f t="shared" ca="1" si="29"/>
        <v>13199.999999999998</v>
      </c>
      <c r="U163" s="7">
        <f t="shared" ca="1" si="38"/>
        <v>0.41509433962264147</v>
      </c>
      <c r="V163" s="7">
        <f t="shared" ca="1" si="39"/>
        <v>-0.38776553100876343</v>
      </c>
      <c r="W163" s="33">
        <f t="shared" ca="1" si="30"/>
        <v>13199.999999999998</v>
      </c>
      <c r="X163" s="7">
        <f t="shared" ca="1" si="31"/>
        <v>1</v>
      </c>
      <c r="Y163" s="7">
        <f t="shared" ca="1" si="32"/>
        <v>1.4150943396226414</v>
      </c>
      <c r="Z163" s="7">
        <f t="shared" ca="1" si="40"/>
        <v>-0.10937322487312934</v>
      </c>
      <c r="AA163" s="33">
        <f t="shared" ca="1" si="33"/>
        <v>13199.999999999998</v>
      </c>
      <c r="AB163" s="7">
        <f t="shared" ca="1" si="34"/>
        <v>1</v>
      </c>
      <c r="AC163" s="7">
        <f t="shared" ca="1" si="35"/>
        <v>1.4150943396226414</v>
      </c>
      <c r="AD163" s="40"/>
      <c r="AE163" s="40"/>
      <c r="AF163" s="34"/>
      <c r="AH163" s="34"/>
    </row>
    <row r="164" spans="1:34" x14ac:dyDescent="0.25">
      <c r="A164" s="1">
        <v>161</v>
      </c>
      <c r="B164" s="25">
        <v>43979</v>
      </c>
      <c r="C164" s="10" t="s">
        <v>1288</v>
      </c>
      <c r="D164" s="1">
        <v>92.2</v>
      </c>
      <c r="E164" s="30">
        <v>6000</v>
      </c>
      <c r="F164" s="1">
        <v>97.5</v>
      </c>
      <c r="G164" s="1">
        <v>5.0999999999999996</v>
      </c>
      <c r="H164" s="1">
        <v>107.5</v>
      </c>
      <c r="I164" s="1">
        <v>2</v>
      </c>
      <c r="J164" s="1">
        <v>120000</v>
      </c>
      <c r="K164" s="1">
        <v>30000</v>
      </c>
      <c r="L164" s="1">
        <v>2</v>
      </c>
      <c r="M164" s="1">
        <v>2.1</v>
      </c>
      <c r="N164" s="1">
        <v>6000</v>
      </c>
      <c r="O164" s="9"/>
      <c r="P164" s="7">
        <f t="shared" ca="1" si="41"/>
        <v>-0.30999999999999994</v>
      </c>
      <c r="Q164" s="7">
        <f t="shared" ca="1" si="28"/>
        <v>-2.3846153846153843E-2</v>
      </c>
      <c r="R164" s="33">
        <f t="shared" ca="1" si="36"/>
        <v>18599.999999999996</v>
      </c>
      <c r="S164" s="33">
        <f t="shared" ca="1" si="37"/>
        <v>-41400</v>
      </c>
      <c r="T164" s="33">
        <f t="shared" ca="1" si="29"/>
        <v>18599.999999999996</v>
      </c>
      <c r="U164" s="7">
        <f t="shared" ca="1" si="38"/>
        <v>0.44927536231884047</v>
      </c>
      <c r="V164" s="7">
        <f t="shared" ca="1" si="39"/>
        <v>-0.38776553100876343</v>
      </c>
      <c r="W164" s="33">
        <f t="shared" ca="1" si="30"/>
        <v>18599.999999999996</v>
      </c>
      <c r="X164" s="7">
        <f t="shared" ca="1" si="31"/>
        <v>1</v>
      </c>
      <c r="Y164" s="7">
        <f t="shared" ca="1" si="32"/>
        <v>1.4492753623188404</v>
      </c>
      <c r="Z164" s="7">
        <f t="shared" ca="1" si="40"/>
        <v>-0.10937322487312934</v>
      </c>
      <c r="AA164" s="33">
        <f t="shared" ca="1" si="33"/>
        <v>18599.999999999996</v>
      </c>
      <c r="AB164" s="7">
        <f t="shared" ca="1" si="34"/>
        <v>1</v>
      </c>
      <c r="AC164" s="7">
        <f t="shared" ca="1" si="35"/>
        <v>1.4492753623188404</v>
      </c>
      <c r="AD164" s="40"/>
      <c r="AE164" s="40"/>
      <c r="AF164" s="34"/>
      <c r="AH164" s="34"/>
    </row>
    <row r="165" spans="1:34" x14ac:dyDescent="0.25">
      <c r="A165" s="1">
        <v>162</v>
      </c>
      <c r="B165" s="25">
        <v>43979</v>
      </c>
      <c r="C165" s="10" t="s">
        <v>1288</v>
      </c>
      <c r="D165" s="1">
        <v>92.2</v>
      </c>
      <c r="E165" s="30">
        <v>6000</v>
      </c>
      <c r="F165" s="1">
        <v>97.5</v>
      </c>
      <c r="G165" s="1">
        <v>5.0999999999999996</v>
      </c>
      <c r="H165" s="1">
        <v>110</v>
      </c>
      <c r="I165" s="1">
        <v>1.65</v>
      </c>
      <c r="J165" s="1">
        <v>996000</v>
      </c>
      <c r="K165" s="1">
        <v>18000</v>
      </c>
      <c r="L165" s="1">
        <v>1.6</v>
      </c>
      <c r="M165" s="1">
        <v>1.65</v>
      </c>
      <c r="N165" s="1">
        <v>18000</v>
      </c>
      <c r="O165" s="9"/>
      <c r="P165" s="7">
        <f t="shared" ca="1" si="41"/>
        <v>-0.27599999999999997</v>
      </c>
      <c r="Q165" s="7">
        <f t="shared" ca="1" si="28"/>
        <v>-2.1230769230769227E-2</v>
      </c>
      <c r="R165" s="33">
        <f t="shared" ca="1" si="36"/>
        <v>20700</v>
      </c>
      <c r="S165" s="33">
        <f t="shared" ca="1" si="37"/>
        <v>-54300</v>
      </c>
      <c r="T165" s="33">
        <f t="shared" ca="1" si="29"/>
        <v>20700</v>
      </c>
      <c r="U165" s="7">
        <f t="shared" ca="1" si="38"/>
        <v>0.38121546961325969</v>
      </c>
      <c r="V165" s="7">
        <f t="shared" ca="1" si="39"/>
        <v>-0.38776553100876343</v>
      </c>
      <c r="W165" s="33">
        <f t="shared" ca="1" si="30"/>
        <v>20700</v>
      </c>
      <c r="X165" s="7">
        <f t="shared" ca="1" si="31"/>
        <v>1</v>
      </c>
      <c r="Y165" s="7">
        <f t="shared" ca="1" si="32"/>
        <v>1.3812154696132597</v>
      </c>
      <c r="Z165" s="7">
        <f t="shared" ca="1" si="40"/>
        <v>-0.10937322487312934</v>
      </c>
      <c r="AA165" s="33">
        <f t="shared" ca="1" si="33"/>
        <v>20700</v>
      </c>
      <c r="AB165" s="7">
        <f t="shared" ca="1" si="34"/>
        <v>1</v>
      </c>
      <c r="AC165" s="7">
        <f t="shared" ca="1" si="35"/>
        <v>1.3812154696132597</v>
      </c>
      <c r="AD165" s="40"/>
      <c r="AE165" s="40"/>
      <c r="AF165" s="34"/>
      <c r="AH165" s="34"/>
    </row>
    <row r="166" spans="1:34" x14ac:dyDescent="0.25">
      <c r="A166" s="1">
        <v>163</v>
      </c>
      <c r="B166" s="25">
        <v>43979</v>
      </c>
      <c r="C166" s="10" t="s">
        <v>1288</v>
      </c>
      <c r="D166" s="1">
        <v>92.2</v>
      </c>
      <c r="E166" s="30">
        <v>6000</v>
      </c>
      <c r="F166" s="1">
        <v>97.5</v>
      </c>
      <c r="G166" s="1">
        <v>5.0999999999999996</v>
      </c>
      <c r="H166" s="1">
        <v>112.5</v>
      </c>
      <c r="I166" s="1">
        <v>1.25</v>
      </c>
      <c r="J166" s="1">
        <v>12000</v>
      </c>
      <c r="K166" s="1">
        <v>12000</v>
      </c>
      <c r="L166" s="1">
        <v>1.1000000000000001</v>
      </c>
      <c r="M166" s="1">
        <v>1.45</v>
      </c>
      <c r="N166" s="1">
        <v>6000</v>
      </c>
      <c r="O166" s="9"/>
      <c r="P166" s="7">
        <f t="shared" ca="1" si="41"/>
        <v>-0.25666666666666665</v>
      </c>
      <c r="Q166" s="7">
        <f t="shared" ca="1" si="28"/>
        <v>-1.9743589743589744E-2</v>
      </c>
      <c r="R166" s="33">
        <f t="shared" ca="1" si="36"/>
        <v>23099.999999999996</v>
      </c>
      <c r="S166" s="33">
        <f t="shared" ca="1" si="37"/>
        <v>-66900</v>
      </c>
      <c r="T166" s="33">
        <f t="shared" ca="1" si="29"/>
        <v>23099.999999999996</v>
      </c>
      <c r="U166" s="7">
        <f t="shared" ca="1" si="38"/>
        <v>0.34529147982062774</v>
      </c>
      <c r="V166" s="7">
        <f t="shared" ca="1" si="39"/>
        <v>-0.38776553100876343</v>
      </c>
      <c r="W166" s="33">
        <f t="shared" ca="1" si="30"/>
        <v>23099.999999999996</v>
      </c>
      <c r="X166" s="7">
        <f t="shared" ca="1" si="31"/>
        <v>1</v>
      </c>
      <c r="Y166" s="7">
        <f t="shared" ca="1" si="32"/>
        <v>1.3452914798206277</v>
      </c>
      <c r="Z166" s="7">
        <f t="shared" ca="1" si="40"/>
        <v>-0.10937322487312934</v>
      </c>
      <c r="AA166" s="33">
        <f t="shared" ca="1" si="33"/>
        <v>23099.999999999996</v>
      </c>
      <c r="AB166" s="7">
        <f t="shared" ca="1" si="34"/>
        <v>1</v>
      </c>
      <c r="AC166" s="7">
        <f t="shared" ca="1" si="35"/>
        <v>1.3452914798206277</v>
      </c>
      <c r="AD166" s="40"/>
      <c r="AE166" s="40"/>
      <c r="AF166" s="34"/>
      <c r="AH166" s="34"/>
    </row>
    <row r="167" spans="1:34" x14ac:dyDescent="0.25">
      <c r="A167" s="1">
        <v>164</v>
      </c>
      <c r="B167" s="25">
        <v>43979</v>
      </c>
      <c r="C167" s="10" t="s">
        <v>1288</v>
      </c>
      <c r="D167" s="1">
        <v>92.2</v>
      </c>
      <c r="E167" s="30">
        <v>6000</v>
      </c>
      <c r="F167" s="1">
        <v>97.5</v>
      </c>
      <c r="G167" s="1">
        <v>5.0999999999999996</v>
      </c>
      <c r="H167" s="1">
        <v>115</v>
      </c>
      <c r="I167" s="1">
        <v>0.9</v>
      </c>
      <c r="J167" s="1">
        <v>396000</v>
      </c>
      <c r="K167" s="1">
        <v>24000</v>
      </c>
      <c r="L167" s="1">
        <v>0.9</v>
      </c>
      <c r="M167" s="1">
        <v>1</v>
      </c>
      <c r="N167" s="1">
        <v>18000</v>
      </c>
      <c r="O167" s="9"/>
      <c r="P167" s="7">
        <f t="shared" ca="1" si="41"/>
        <v>-0.23999999999999996</v>
      </c>
      <c r="Q167" s="7">
        <f t="shared" ca="1" si="28"/>
        <v>-1.846153846153846E-2</v>
      </c>
      <c r="R167" s="33">
        <f t="shared" ca="1" si="36"/>
        <v>25199.999999999996</v>
      </c>
      <c r="S167" s="33">
        <f t="shared" ca="1" si="37"/>
        <v>-79800</v>
      </c>
      <c r="T167" s="33">
        <f t="shared" ca="1" si="29"/>
        <v>25199.999999999996</v>
      </c>
      <c r="U167" s="7">
        <f t="shared" ca="1" si="38"/>
        <v>0.31578947368421045</v>
      </c>
      <c r="V167" s="7">
        <f t="shared" ca="1" si="39"/>
        <v>-0.38776553100876343</v>
      </c>
      <c r="W167" s="33">
        <f t="shared" ca="1" si="30"/>
        <v>25199.999999999996</v>
      </c>
      <c r="X167" s="7">
        <f t="shared" ca="1" si="31"/>
        <v>1</v>
      </c>
      <c r="Y167" s="7">
        <f t="shared" ca="1" si="32"/>
        <v>1.3157894736842104</v>
      </c>
      <c r="Z167" s="7">
        <f t="shared" ca="1" si="40"/>
        <v>-0.10937322487312934</v>
      </c>
      <c r="AA167" s="33">
        <f t="shared" ca="1" si="33"/>
        <v>25199.999999999996</v>
      </c>
      <c r="AB167" s="7">
        <f t="shared" ca="1" si="34"/>
        <v>1</v>
      </c>
      <c r="AC167" s="7">
        <f t="shared" ca="1" si="35"/>
        <v>1.3157894736842104</v>
      </c>
      <c r="AD167" s="40"/>
      <c r="AE167" s="40"/>
      <c r="AF167" s="34"/>
      <c r="AH167" s="34"/>
    </row>
    <row r="168" spans="1:34" x14ac:dyDescent="0.25">
      <c r="A168" s="1">
        <v>165</v>
      </c>
      <c r="B168" s="25">
        <v>43979</v>
      </c>
      <c r="C168" s="10" t="s">
        <v>1288</v>
      </c>
      <c r="D168" s="1">
        <v>92.2</v>
      </c>
      <c r="E168" s="30">
        <v>6000</v>
      </c>
      <c r="F168" s="1">
        <v>97.5</v>
      </c>
      <c r="G168" s="1">
        <v>5.0999999999999996</v>
      </c>
      <c r="H168" s="1">
        <v>117.5</v>
      </c>
      <c r="I168" s="1">
        <v>0.9</v>
      </c>
      <c r="J168" s="1">
        <v>6000</v>
      </c>
      <c r="K168" s="1">
        <v>6000</v>
      </c>
      <c r="L168" s="1">
        <v>0.6</v>
      </c>
      <c r="M168" s="1">
        <v>0.9</v>
      </c>
      <c r="N168" s="1">
        <v>6000</v>
      </c>
      <c r="O168" s="9"/>
      <c r="P168" s="7">
        <f t="shared" ca="1" si="41"/>
        <v>-0.20999999999999996</v>
      </c>
      <c r="Q168" s="7">
        <f t="shared" ref="Q168:Q231" ca="1" si="42">P168/($B168-TODAY())</f>
        <v>-1.6153846153846151E-2</v>
      </c>
      <c r="R168" s="33">
        <f t="shared" ca="1" si="36"/>
        <v>25199.999999999996</v>
      </c>
      <c r="S168" s="33">
        <f t="shared" ca="1" si="37"/>
        <v>-94800</v>
      </c>
      <c r="T168" s="33">
        <f t="shared" ref="T168:T231" ca="1" si="43">R168</f>
        <v>25199.999999999996</v>
      </c>
      <c r="U168" s="7">
        <f t="shared" ca="1" si="38"/>
        <v>0.26582278481012656</v>
      </c>
      <c r="V168" s="7">
        <f t="shared" ca="1" si="39"/>
        <v>-0.38776553100876343</v>
      </c>
      <c r="W168" s="33">
        <f t="shared" ref="W168:W231" ca="1" si="44">-(MAX(($F168-MAX($D168*(1+V168),$H168)),0)*$E168-$R168)</f>
        <v>25199.999999999996</v>
      </c>
      <c r="X168" s="7">
        <f t="shared" ref="X168:X231" ca="1" si="45">W168/$R168</f>
        <v>1</v>
      </c>
      <c r="Y168" s="7">
        <f t="shared" ref="Y168:Y231" ca="1" si="46">$U168+X168</f>
        <v>1.2658227848101267</v>
      </c>
      <c r="Z168" s="7">
        <f t="shared" ca="1" si="40"/>
        <v>-0.10937322487312934</v>
      </c>
      <c r="AA168" s="33">
        <f t="shared" ref="AA168:AA231" ca="1" si="47">-(MAX(($F168-MAX($D168*(1+Z168),$H168)),0)*$E168-$R168)</f>
        <v>25199.999999999996</v>
      </c>
      <c r="AB168" s="7">
        <f t="shared" ref="AB168:AB231" ca="1" si="48">AA168/$R168</f>
        <v>1</v>
      </c>
      <c r="AC168" s="7">
        <f t="shared" ref="AC168:AC231" ca="1" si="49">$U168+AB168</f>
        <v>1.2658227848101267</v>
      </c>
      <c r="AD168" s="40"/>
      <c r="AE168" s="40"/>
      <c r="AF168" s="34"/>
      <c r="AH168" s="34"/>
    </row>
    <row r="169" spans="1:34" x14ac:dyDescent="0.25">
      <c r="A169" s="1">
        <v>166</v>
      </c>
      <c r="B169" s="25">
        <v>43979</v>
      </c>
      <c r="C169" s="10" t="s">
        <v>1288</v>
      </c>
      <c r="D169" s="1">
        <v>92.2</v>
      </c>
      <c r="E169" s="30">
        <v>6000</v>
      </c>
      <c r="F169" s="1">
        <v>97.5</v>
      </c>
      <c r="G169" s="1">
        <v>5.0999999999999996</v>
      </c>
      <c r="H169" s="1">
        <v>120</v>
      </c>
      <c r="I169" s="1">
        <v>0.55000000000000004</v>
      </c>
      <c r="J169" s="1">
        <v>990000</v>
      </c>
      <c r="K169" s="1">
        <v>36000</v>
      </c>
      <c r="L169" s="1">
        <v>0.55000000000000004</v>
      </c>
      <c r="M169" s="1">
        <v>0.6</v>
      </c>
      <c r="N169" s="1">
        <v>24000</v>
      </c>
      <c r="O169" s="9"/>
      <c r="P169" s="7">
        <f t="shared" ca="1" si="41"/>
        <v>-0.20222222222222222</v>
      </c>
      <c r="Q169" s="7">
        <f t="shared" ca="1" si="42"/>
        <v>-1.5555555555555555E-2</v>
      </c>
      <c r="R169" s="33">
        <f t="shared" ca="1" si="36"/>
        <v>27300</v>
      </c>
      <c r="S169" s="33">
        <f t="shared" ca="1" si="37"/>
        <v>-107700</v>
      </c>
      <c r="T169" s="33">
        <f t="shared" ca="1" si="43"/>
        <v>27300</v>
      </c>
      <c r="U169" s="7">
        <f t="shared" ca="1" si="38"/>
        <v>0.25348189415041783</v>
      </c>
      <c r="V169" s="7">
        <f t="shared" ca="1" si="39"/>
        <v>-0.38776553100876343</v>
      </c>
      <c r="W169" s="33">
        <f t="shared" ca="1" si="44"/>
        <v>27300</v>
      </c>
      <c r="X169" s="7">
        <f t="shared" ca="1" si="45"/>
        <v>1</v>
      </c>
      <c r="Y169" s="7">
        <f t="shared" ca="1" si="46"/>
        <v>1.2534818941504178</v>
      </c>
      <c r="Z169" s="7">
        <f t="shared" ca="1" si="40"/>
        <v>-0.10937322487312934</v>
      </c>
      <c r="AA169" s="33">
        <f t="shared" ca="1" si="47"/>
        <v>27300</v>
      </c>
      <c r="AB169" s="7">
        <f t="shared" ca="1" si="48"/>
        <v>1</v>
      </c>
      <c r="AC169" s="7">
        <f t="shared" ca="1" si="49"/>
        <v>1.2534818941504178</v>
      </c>
      <c r="AD169" s="40"/>
      <c r="AE169" s="40"/>
      <c r="AF169" s="34"/>
      <c r="AH169" s="34"/>
    </row>
    <row r="170" spans="1:34" x14ac:dyDescent="0.25">
      <c r="A170" s="1">
        <v>167</v>
      </c>
      <c r="B170" s="25">
        <v>43979</v>
      </c>
      <c r="C170" s="10" t="s">
        <v>1288</v>
      </c>
      <c r="D170" s="1">
        <v>92.2</v>
      </c>
      <c r="E170" s="30">
        <v>6000</v>
      </c>
      <c r="F170" s="1">
        <v>97.5</v>
      </c>
      <c r="G170" s="1">
        <v>5.0999999999999996</v>
      </c>
      <c r="H170" s="1">
        <v>125</v>
      </c>
      <c r="I170" s="1">
        <v>0.35</v>
      </c>
      <c r="J170" s="1">
        <v>306000</v>
      </c>
      <c r="K170" s="1">
        <v>6000</v>
      </c>
      <c r="L170" s="1">
        <v>0.3</v>
      </c>
      <c r="M170" s="1">
        <v>0.4</v>
      </c>
      <c r="N170" s="1">
        <v>6000</v>
      </c>
      <c r="O170" s="9"/>
      <c r="P170" s="7">
        <f t="shared" ca="1" si="41"/>
        <v>-0.17272727272727273</v>
      </c>
      <c r="Q170" s="7">
        <f t="shared" ca="1" si="42"/>
        <v>-1.3286713286713287E-2</v>
      </c>
      <c r="R170" s="33">
        <f t="shared" ca="1" si="36"/>
        <v>28500</v>
      </c>
      <c r="S170" s="33">
        <f t="shared" ca="1" si="37"/>
        <v>-136500</v>
      </c>
      <c r="T170" s="33">
        <f t="shared" ca="1" si="43"/>
        <v>28500</v>
      </c>
      <c r="U170" s="7">
        <f t="shared" ca="1" si="38"/>
        <v>0.2087912087912088</v>
      </c>
      <c r="V170" s="7">
        <f t="shared" ca="1" si="39"/>
        <v>-0.38776553100876343</v>
      </c>
      <c r="W170" s="33">
        <f t="shared" ca="1" si="44"/>
        <v>28500</v>
      </c>
      <c r="X170" s="7">
        <f t="shared" ca="1" si="45"/>
        <v>1</v>
      </c>
      <c r="Y170" s="7">
        <f t="shared" ca="1" si="46"/>
        <v>1.2087912087912087</v>
      </c>
      <c r="Z170" s="7">
        <f t="shared" ca="1" si="40"/>
        <v>-0.10937322487312934</v>
      </c>
      <c r="AA170" s="33">
        <f t="shared" ca="1" si="47"/>
        <v>28500</v>
      </c>
      <c r="AB170" s="7">
        <f t="shared" ca="1" si="48"/>
        <v>1</v>
      </c>
      <c r="AC170" s="7">
        <f t="shared" ca="1" si="49"/>
        <v>1.2087912087912087</v>
      </c>
      <c r="AD170" s="40"/>
      <c r="AE170" s="40"/>
      <c r="AF170" s="34"/>
      <c r="AH170" s="34"/>
    </row>
    <row r="171" spans="1:34" x14ac:dyDescent="0.25">
      <c r="A171" s="1">
        <v>168</v>
      </c>
      <c r="B171" s="25">
        <v>43979</v>
      </c>
      <c r="C171" s="10" t="s">
        <v>1288</v>
      </c>
      <c r="D171" s="1">
        <v>92.2</v>
      </c>
      <c r="E171" s="30">
        <v>6000</v>
      </c>
      <c r="F171" s="1">
        <v>97.5</v>
      </c>
      <c r="G171" s="1">
        <v>5.0999999999999996</v>
      </c>
      <c r="H171" s="1">
        <v>130</v>
      </c>
      <c r="I171" s="1">
        <v>0.25</v>
      </c>
      <c r="J171" s="1">
        <v>210000</v>
      </c>
      <c r="K171" s="1">
        <v>6000</v>
      </c>
      <c r="L171" s="1">
        <v>0.25</v>
      </c>
      <c r="M171" s="1">
        <v>0.3</v>
      </c>
      <c r="N171" s="1">
        <v>18000</v>
      </c>
      <c r="O171" s="9"/>
      <c r="P171" s="7">
        <f t="shared" ca="1" si="41"/>
        <v>-0.14923076923076922</v>
      </c>
      <c r="Q171" s="7">
        <f t="shared" ca="1" si="42"/>
        <v>-1.1479289940828401E-2</v>
      </c>
      <c r="R171" s="33">
        <f t="shared" ca="1" si="36"/>
        <v>29099.999999999996</v>
      </c>
      <c r="S171" s="33">
        <f t="shared" ca="1" si="37"/>
        <v>-165900</v>
      </c>
      <c r="T171" s="33">
        <f t="shared" ca="1" si="43"/>
        <v>29099.999999999996</v>
      </c>
      <c r="U171" s="7">
        <f t="shared" ca="1" si="38"/>
        <v>0.17540687160940324</v>
      </c>
      <c r="V171" s="7">
        <f t="shared" ca="1" si="39"/>
        <v>-0.38776553100876343</v>
      </c>
      <c r="W171" s="33">
        <f t="shared" ca="1" si="44"/>
        <v>29099.999999999996</v>
      </c>
      <c r="X171" s="7">
        <f t="shared" ca="1" si="45"/>
        <v>1</v>
      </c>
      <c r="Y171" s="7">
        <f t="shared" ca="1" si="46"/>
        <v>1.1754068716094033</v>
      </c>
      <c r="Z171" s="7">
        <f t="shared" ca="1" si="40"/>
        <v>-0.10937322487312934</v>
      </c>
      <c r="AA171" s="33">
        <f t="shared" ca="1" si="47"/>
        <v>29099.999999999996</v>
      </c>
      <c r="AB171" s="7">
        <f t="shared" ca="1" si="48"/>
        <v>1</v>
      </c>
      <c r="AC171" s="7">
        <f t="shared" ca="1" si="49"/>
        <v>1.1754068716094033</v>
      </c>
      <c r="AD171" s="40"/>
      <c r="AE171" s="40"/>
      <c r="AF171" s="34"/>
      <c r="AH171" s="34"/>
    </row>
    <row r="172" spans="1:34" x14ac:dyDescent="0.25">
      <c r="A172" s="1">
        <v>169</v>
      </c>
      <c r="B172" s="25">
        <v>43979</v>
      </c>
      <c r="C172" s="10" t="s">
        <v>1288</v>
      </c>
      <c r="D172" s="1">
        <v>92.2</v>
      </c>
      <c r="E172" s="30">
        <v>6000</v>
      </c>
      <c r="F172" s="1">
        <v>97.5</v>
      </c>
      <c r="G172" s="1">
        <v>5.0999999999999996</v>
      </c>
      <c r="H172" s="1">
        <v>140</v>
      </c>
      <c r="I172" s="1">
        <v>0.2</v>
      </c>
      <c r="J172" s="1">
        <v>6000</v>
      </c>
      <c r="K172" s="1">
        <v>12000</v>
      </c>
      <c r="L172" s="1">
        <v>0.05</v>
      </c>
      <c r="M172" s="1">
        <v>0.2</v>
      </c>
      <c r="N172" s="1">
        <v>6000</v>
      </c>
      <c r="O172" s="9"/>
      <c r="P172" s="7">
        <f t="shared" ca="1" si="41"/>
        <v>-0.11529411764705881</v>
      </c>
      <c r="Q172" s="7">
        <f t="shared" ca="1" si="42"/>
        <v>-8.8687782805429854E-3</v>
      </c>
      <c r="R172" s="33">
        <f t="shared" ca="1" si="36"/>
        <v>29399.999999999996</v>
      </c>
      <c r="S172" s="33">
        <f t="shared" ca="1" si="37"/>
        <v>-225600</v>
      </c>
      <c r="T172" s="33">
        <f t="shared" ca="1" si="43"/>
        <v>29399.999999999996</v>
      </c>
      <c r="U172" s="7">
        <f t="shared" ca="1" si="38"/>
        <v>0.13031914893617019</v>
      </c>
      <c r="V172" s="7">
        <f t="shared" ca="1" si="39"/>
        <v>-0.38776553100876343</v>
      </c>
      <c r="W172" s="33">
        <f t="shared" ca="1" si="44"/>
        <v>29399.999999999996</v>
      </c>
      <c r="X172" s="7">
        <f t="shared" ca="1" si="45"/>
        <v>1</v>
      </c>
      <c r="Y172" s="7">
        <f t="shared" ca="1" si="46"/>
        <v>1.1303191489361701</v>
      </c>
      <c r="Z172" s="7">
        <f t="shared" ca="1" si="40"/>
        <v>-0.10937322487312934</v>
      </c>
      <c r="AA172" s="33">
        <f t="shared" ca="1" si="47"/>
        <v>29399.999999999996</v>
      </c>
      <c r="AB172" s="7">
        <f t="shared" ca="1" si="48"/>
        <v>1</v>
      </c>
      <c r="AC172" s="7">
        <f t="shared" ca="1" si="49"/>
        <v>1.1303191489361701</v>
      </c>
      <c r="AD172" s="40"/>
      <c r="AE172" s="40"/>
      <c r="AF172" s="34"/>
      <c r="AH172" s="34"/>
    </row>
    <row r="173" spans="1:34" x14ac:dyDescent="0.25">
      <c r="A173" s="1">
        <v>170</v>
      </c>
      <c r="B173" s="25">
        <v>43979</v>
      </c>
      <c r="C173" s="10" t="s">
        <v>1288</v>
      </c>
      <c r="D173" s="1">
        <v>92.2</v>
      </c>
      <c r="E173" s="30">
        <v>6000</v>
      </c>
      <c r="F173" s="1">
        <v>97.5</v>
      </c>
      <c r="G173" s="1">
        <v>5.0999999999999996</v>
      </c>
      <c r="H173" s="1">
        <v>145</v>
      </c>
      <c r="I173" s="1">
        <v>0.2</v>
      </c>
      <c r="J173" s="1">
        <v>18000</v>
      </c>
      <c r="K173" s="1">
        <v>6000</v>
      </c>
      <c r="L173" s="1">
        <v>0.1</v>
      </c>
      <c r="M173" s="1">
        <v>0.3</v>
      </c>
      <c r="N173" s="1">
        <v>18000</v>
      </c>
      <c r="O173" s="9"/>
      <c r="P173" s="7">
        <f t="shared" ca="1" si="41"/>
        <v>-0.10315789473684209</v>
      </c>
      <c r="Q173" s="7">
        <f t="shared" ca="1" si="42"/>
        <v>-7.9352226720647758E-3</v>
      </c>
      <c r="R173" s="33">
        <f t="shared" ca="1" si="36"/>
        <v>29399.999999999996</v>
      </c>
      <c r="S173" s="33">
        <f t="shared" ca="1" si="37"/>
        <v>-255600</v>
      </c>
      <c r="T173" s="33">
        <f t="shared" ca="1" si="43"/>
        <v>29399.999999999996</v>
      </c>
      <c r="U173" s="7">
        <f t="shared" ca="1" si="38"/>
        <v>0.11502347417840374</v>
      </c>
      <c r="V173" s="7">
        <f t="shared" ca="1" si="39"/>
        <v>-0.38776553100876343</v>
      </c>
      <c r="W173" s="33">
        <f t="shared" ca="1" si="44"/>
        <v>29399.999999999996</v>
      </c>
      <c r="X173" s="7">
        <f t="shared" ca="1" si="45"/>
        <v>1</v>
      </c>
      <c r="Y173" s="7">
        <f t="shared" ca="1" si="46"/>
        <v>1.1150234741784038</v>
      </c>
      <c r="Z173" s="7">
        <f t="shared" ca="1" si="40"/>
        <v>-0.10937322487312934</v>
      </c>
      <c r="AA173" s="33">
        <f t="shared" ca="1" si="47"/>
        <v>29399.999999999996</v>
      </c>
      <c r="AB173" s="7">
        <f t="shared" ca="1" si="48"/>
        <v>1</v>
      </c>
      <c r="AC173" s="7">
        <f t="shared" ca="1" si="49"/>
        <v>1.1150234741784038</v>
      </c>
      <c r="AD173" s="40"/>
      <c r="AE173" s="40"/>
      <c r="AF173" s="34"/>
      <c r="AH173" s="34"/>
    </row>
    <row r="174" spans="1:34" x14ac:dyDescent="0.25">
      <c r="A174" s="1">
        <v>171</v>
      </c>
      <c r="B174" s="25">
        <v>43979</v>
      </c>
      <c r="C174" s="10" t="s">
        <v>1578</v>
      </c>
      <c r="D174" s="1">
        <v>37</v>
      </c>
      <c r="E174" s="30">
        <v>9000</v>
      </c>
      <c r="F174" s="1">
        <v>40</v>
      </c>
      <c r="G174" s="1">
        <v>0.35</v>
      </c>
      <c r="H174" s="1">
        <v>41</v>
      </c>
      <c r="I174" s="1">
        <v>0.2</v>
      </c>
      <c r="J174" s="1">
        <v>144000</v>
      </c>
      <c r="K174" s="1">
        <v>18000</v>
      </c>
      <c r="L174" s="1">
        <v>0.2</v>
      </c>
      <c r="M174" s="1">
        <v>0.35</v>
      </c>
      <c r="N174" s="1">
        <v>18000</v>
      </c>
      <c r="O174" s="9"/>
      <c r="P174" s="7">
        <f t="shared" ca="1" si="41"/>
        <v>-0.14999999999999997</v>
      </c>
      <c r="Q174" s="7">
        <f t="shared" ca="1" si="42"/>
        <v>-1.1538461538461536E-2</v>
      </c>
      <c r="R174" s="33">
        <f t="shared" ca="1" si="36"/>
        <v>1349.9999999999998</v>
      </c>
      <c r="S174" s="33">
        <f t="shared" ca="1" si="37"/>
        <v>-7650</v>
      </c>
      <c r="T174" s="33">
        <f t="shared" ca="1" si="43"/>
        <v>1349.9999999999998</v>
      </c>
      <c r="U174" s="7">
        <f t="shared" ca="1" si="38"/>
        <v>0.1764705882352941</v>
      </c>
      <c r="V174" s="7">
        <f t="shared" ca="1" si="39"/>
        <v>-0.36569843698008497</v>
      </c>
      <c r="W174" s="33">
        <f t="shared" ca="1" si="44"/>
        <v>1349.9999999999998</v>
      </c>
      <c r="X174" s="7">
        <f t="shared" ca="1" si="45"/>
        <v>1</v>
      </c>
      <c r="Y174" s="7">
        <f t="shared" ca="1" si="46"/>
        <v>1.1764705882352942</v>
      </c>
      <c r="Z174" s="7">
        <f t="shared" ca="1" si="40"/>
        <v>-0.10406184490848032</v>
      </c>
      <c r="AA174" s="33">
        <f t="shared" ca="1" si="47"/>
        <v>1349.9999999999998</v>
      </c>
      <c r="AB174" s="7">
        <f t="shared" ca="1" si="48"/>
        <v>1</v>
      </c>
      <c r="AC174" s="7">
        <f t="shared" ca="1" si="49"/>
        <v>1.1764705882352942</v>
      </c>
      <c r="AD174" s="40"/>
      <c r="AE174" s="40"/>
      <c r="AF174" s="34"/>
      <c r="AH174" s="34"/>
    </row>
    <row r="175" spans="1:34" x14ac:dyDescent="0.25">
      <c r="A175" s="1">
        <v>172</v>
      </c>
      <c r="B175" s="25">
        <v>43979</v>
      </c>
      <c r="C175" s="10" t="s">
        <v>1580</v>
      </c>
      <c r="D175" s="1">
        <v>292.85000000000002</v>
      </c>
      <c r="E175" s="30">
        <v>1500</v>
      </c>
      <c r="F175" s="1">
        <v>320</v>
      </c>
      <c r="G175" s="1">
        <v>3.1</v>
      </c>
      <c r="H175" s="1">
        <v>330</v>
      </c>
      <c r="I175" s="1">
        <v>2.1</v>
      </c>
      <c r="J175" s="1">
        <v>657000</v>
      </c>
      <c r="K175" s="1">
        <v>10500</v>
      </c>
      <c r="L175" s="1">
        <v>2.15</v>
      </c>
      <c r="M175" s="1">
        <v>2.2000000000000002</v>
      </c>
      <c r="N175" s="1">
        <v>12000</v>
      </c>
      <c r="O175" s="9"/>
      <c r="P175" s="7">
        <f t="shared" ca="1" si="41"/>
        <v>-0.1</v>
      </c>
      <c r="Q175" s="7">
        <f t="shared" ca="1" si="42"/>
        <v>-7.6923076923076927E-3</v>
      </c>
      <c r="R175" s="33">
        <f t="shared" ca="1" si="36"/>
        <v>1500</v>
      </c>
      <c r="S175" s="33">
        <f t="shared" ca="1" si="37"/>
        <v>-13500</v>
      </c>
      <c r="T175" s="33">
        <f t="shared" ca="1" si="43"/>
        <v>1500</v>
      </c>
      <c r="U175" s="7">
        <f t="shared" ca="1" si="38"/>
        <v>0.1111111111111111</v>
      </c>
      <c r="V175" s="7">
        <f t="shared" ca="1" si="39"/>
        <v>-0.41771277057542328</v>
      </c>
      <c r="W175" s="33">
        <f t="shared" ca="1" si="44"/>
        <v>1500</v>
      </c>
      <c r="X175" s="7">
        <f t="shared" ca="1" si="45"/>
        <v>1</v>
      </c>
      <c r="Y175" s="7">
        <f t="shared" ca="1" si="46"/>
        <v>1.1111111111111112</v>
      </c>
      <c r="Z175" s="7">
        <f t="shared" ca="1" si="40"/>
        <v>-0.11807707242836439</v>
      </c>
      <c r="AA175" s="33">
        <f t="shared" ca="1" si="47"/>
        <v>1500</v>
      </c>
      <c r="AB175" s="7">
        <f t="shared" ca="1" si="48"/>
        <v>1</v>
      </c>
      <c r="AC175" s="7">
        <f t="shared" ca="1" si="49"/>
        <v>1.1111111111111112</v>
      </c>
      <c r="AD175" s="40"/>
      <c r="AE175" s="40"/>
      <c r="AF175" s="34"/>
      <c r="AH175" s="34"/>
    </row>
    <row r="176" spans="1:34" x14ac:dyDescent="0.25">
      <c r="A176" s="1">
        <v>173</v>
      </c>
      <c r="B176" s="25">
        <v>43979</v>
      </c>
      <c r="C176" s="10" t="s">
        <v>1649</v>
      </c>
      <c r="D176" s="1">
        <v>289.64999999999998</v>
      </c>
      <c r="E176" s="30">
        <v>1350</v>
      </c>
      <c r="F176" s="1">
        <v>310</v>
      </c>
      <c r="G176" s="1">
        <v>39.700000000000003</v>
      </c>
      <c r="H176" s="1">
        <v>320</v>
      </c>
      <c r="I176" s="1">
        <v>28.2</v>
      </c>
      <c r="J176" s="1">
        <v>120150</v>
      </c>
      <c r="K176" s="1">
        <v>6750</v>
      </c>
      <c r="L176" s="1">
        <v>15.05</v>
      </c>
      <c r="M176" s="1">
        <v>26.15</v>
      </c>
      <c r="N176" s="1">
        <v>4050</v>
      </c>
      <c r="O176" s="9"/>
      <c r="P176" s="7">
        <f t="shared" ca="1" si="41"/>
        <v>-1.1500000000000004</v>
      </c>
      <c r="Q176" s="7">
        <f t="shared" ca="1" si="42"/>
        <v>-8.8461538461538494E-2</v>
      </c>
      <c r="R176" s="33">
        <f t="shared" ca="1" si="36"/>
        <v>15525.000000000005</v>
      </c>
      <c r="S176" s="33">
        <f t="shared" ca="1" si="37"/>
        <v>2025.0000000000055</v>
      </c>
      <c r="T176" s="33">
        <f t="shared" ca="1" si="43"/>
        <v>15525.000000000005</v>
      </c>
      <c r="U176" s="7">
        <f t="shared" ca="1" si="38"/>
        <v>7.6666666666666483</v>
      </c>
      <c r="V176" s="7">
        <f t="shared" ca="1" si="39"/>
        <v>-0.46599282938517494</v>
      </c>
      <c r="W176" s="33">
        <f t="shared" ca="1" si="44"/>
        <v>15525.000000000005</v>
      </c>
      <c r="X176" s="7">
        <f t="shared" ca="1" si="45"/>
        <v>1</v>
      </c>
      <c r="Y176" s="7">
        <f t="shared" ca="1" si="46"/>
        <v>8.6666666666666483</v>
      </c>
      <c r="Z176" s="7">
        <f t="shared" ca="1" si="40"/>
        <v>-8.7473046879387562E-2</v>
      </c>
      <c r="AA176" s="33">
        <f t="shared" ca="1" si="47"/>
        <v>15525.000000000005</v>
      </c>
      <c r="AB176" s="7">
        <f t="shared" ca="1" si="48"/>
        <v>1</v>
      </c>
      <c r="AC176" s="7">
        <f t="shared" ca="1" si="49"/>
        <v>8.6666666666666483</v>
      </c>
      <c r="AD176" s="40"/>
      <c r="AE176" s="40"/>
      <c r="AF176" s="34"/>
      <c r="AH176" s="34"/>
    </row>
    <row r="177" spans="1:34" x14ac:dyDescent="0.25">
      <c r="A177" s="1">
        <v>174</v>
      </c>
      <c r="B177" s="25">
        <v>43979</v>
      </c>
      <c r="C177" s="10" t="s">
        <v>1649</v>
      </c>
      <c r="D177" s="1">
        <v>289.64999999999998</v>
      </c>
      <c r="E177" s="30">
        <v>1350</v>
      </c>
      <c r="F177" s="1">
        <v>310</v>
      </c>
      <c r="G177" s="1">
        <v>39.700000000000003</v>
      </c>
      <c r="H177" s="1">
        <v>330</v>
      </c>
      <c r="I177" s="1">
        <v>20</v>
      </c>
      <c r="J177" s="1">
        <v>64800</v>
      </c>
      <c r="K177" s="1">
        <v>1350</v>
      </c>
      <c r="L177" s="1">
        <v>18.95</v>
      </c>
      <c r="M177" s="1">
        <v>20.05</v>
      </c>
      <c r="N177" s="1">
        <v>2700</v>
      </c>
      <c r="O177" s="9"/>
      <c r="P177" s="7">
        <f t="shared" ca="1" si="41"/>
        <v>-0.9850000000000001</v>
      </c>
      <c r="Q177" s="7">
        <f t="shared" ca="1" si="42"/>
        <v>-7.5769230769230783E-2</v>
      </c>
      <c r="R177" s="33">
        <f t="shared" ca="1" si="36"/>
        <v>26595.000000000004</v>
      </c>
      <c r="S177" s="33">
        <f t="shared" ca="1" si="37"/>
        <v>-404.99999999999636</v>
      </c>
      <c r="T177" s="33">
        <f t="shared" ca="1" si="43"/>
        <v>26595.000000000004</v>
      </c>
      <c r="U177" s="7">
        <f t="shared" ca="1" si="38"/>
        <v>65.666666666667268</v>
      </c>
      <c r="V177" s="7">
        <f t="shared" ca="1" si="39"/>
        <v>-0.46599282938517494</v>
      </c>
      <c r="W177" s="33">
        <f t="shared" ca="1" si="44"/>
        <v>26595.000000000004</v>
      </c>
      <c r="X177" s="7">
        <f t="shared" ca="1" si="45"/>
        <v>1</v>
      </c>
      <c r="Y177" s="7">
        <f t="shared" ca="1" si="46"/>
        <v>66.666666666667268</v>
      </c>
      <c r="Z177" s="7">
        <f t="shared" ca="1" si="40"/>
        <v>-8.7473046879387562E-2</v>
      </c>
      <c r="AA177" s="33">
        <f t="shared" ca="1" si="47"/>
        <v>26595.000000000004</v>
      </c>
      <c r="AB177" s="7">
        <f t="shared" ca="1" si="48"/>
        <v>1</v>
      </c>
      <c r="AC177" s="7">
        <f t="shared" ca="1" si="49"/>
        <v>66.666666666667268</v>
      </c>
      <c r="AD177" s="40"/>
      <c r="AE177" s="40"/>
      <c r="AF177" s="34"/>
      <c r="AH177" s="34"/>
    </row>
    <row r="178" spans="1:34" x14ac:dyDescent="0.25">
      <c r="A178" s="1">
        <v>175</v>
      </c>
      <c r="B178" s="25">
        <v>43979</v>
      </c>
      <c r="C178" s="10" t="s">
        <v>1649</v>
      </c>
      <c r="D178" s="1">
        <v>289.64999999999998</v>
      </c>
      <c r="E178" s="30">
        <v>1350</v>
      </c>
      <c r="F178" s="1">
        <v>310</v>
      </c>
      <c r="G178" s="1">
        <v>39.700000000000003</v>
      </c>
      <c r="H178" s="1">
        <v>340</v>
      </c>
      <c r="I178" s="1">
        <v>15</v>
      </c>
      <c r="J178" s="1">
        <v>106650</v>
      </c>
      <c r="K178" s="1">
        <v>1350</v>
      </c>
      <c r="L178" s="1">
        <v>14.95</v>
      </c>
      <c r="M178" s="1">
        <v>15.25</v>
      </c>
      <c r="N178" s="1">
        <v>1350</v>
      </c>
      <c r="O178" s="9"/>
      <c r="P178" s="7">
        <f t="shared" ca="1" si="41"/>
        <v>-0.82333333333333347</v>
      </c>
      <c r="Q178" s="7">
        <f t="shared" ca="1" si="42"/>
        <v>-6.3333333333333339E-2</v>
      </c>
      <c r="R178" s="33">
        <f t="shared" ca="1" si="36"/>
        <v>33345.000000000007</v>
      </c>
      <c r="S178" s="33">
        <f t="shared" ca="1" si="37"/>
        <v>-7154.9999999999927</v>
      </c>
      <c r="T178" s="33">
        <f t="shared" ca="1" si="43"/>
        <v>33345.000000000007</v>
      </c>
      <c r="U178" s="7">
        <f t="shared" ca="1" si="38"/>
        <v>4.6603773584905719</v>
      </c>
      <c r="V178" s="7">
        <f t="shared" ca="1" si="39"/>
        <v>-0.46599282938517494</v>
      </c>
      <c r="W178" s="33">
        <f t="shared" ca="1" si="44"/>
        <v>33345.000000000007</v>
      </c>
      <c r="X178" s="7">
        <f t="shared" ca="1" si="45"/>
        <v>1</v>
      </c>
      <c r="Y178" s="7">
        <f t="shared" ca="1" si="46"/>
        <v>5.6603773584905719</v>
      </c>
      <c r="Z178" s="7">
        <f t="shared" ca="1" si="40"/>
        <v>-8.7473046879387562E-2</v>
      </c>
      <c r="AA178" s="33">
        <f t="shared" ca="1" si="47"/>
        <v>33345.000000000007</v>
      </c>
      <c r="AB178" s="7">
        <f t="shared" ca="1" si="48"/>
        <v>1</v>
      </c>
      <c r="AC178" s="7">
        <f t="shared" ca="1" si="49"/>
        <v>5.6603773584905719</v>
      </c>
      <c r="AD178" s="40"/>
      <c r="AE178" s="40"/>
      <c r="AF178" s="34"/>
      <c r="AH178" s="34"/>
    </row>
    <row r="179" spans="1:34" x14ac:dyDescent="0.25">
      <c r="A179" s="1">
        <v>176</v>
      </c>
      <c r="B179" s="25">
        <v>43979</v>
      </c>
      <c r="C179" s="10" t="s">
        <v>1649</v>
      </c>
      <c r="D179" s="1">
        <v>289.64999999999998</v>
      </c>
      <c r="E179" s="30">
        <v>1350</v>
      </c>
      <c r="F179" s="1">
        <v>310</v>
      </c>
      <c r="G179" s="1">
        <v>39.700000000000003</v>
      </c>
      <c r="H179" s="1">
        <v>350</v>
      </c>
      <c r="I179" s="1">
        <v>11.9</v>
      </c>
      <c r="J179" s="1">
        <v>153900</v>
      </c>
      <c r="K179" s="1">
        <v>1350</v>
      </c>
      <c r="L179" s="1">
        <v>11.5</v>
      </c>
      <c r="M179" s="1">
        <v>11.85</v>
      </c>
      <c r="N179" s="1">
        <v>2700</v>
      </c>
      <c r="O179" s="9"/>
      <c r="P179" s="7">
        <f t="shared" ca="1" si="41"/>
        <v>-0.69500000000000006</v>
      </c>
      <c r="Q179" s="7">
        <f t="shared" ca="1" si="42"/>
        <v>-5.3461538461538463E-2</v>
      </c>
      <c r="R179" s="33">
        <f t="shared" ca="1" si="36"/>
        <v>37530.000000000007</v>
      </c>
      <c r="S179" s="33">
        <f t="shared" ca="1" si="37"/>
        <v>-16469.999999999993</v>
      </c>
      <c r="T179" s="33">
        <f t="shared" ca="1" si="43"/>
        <v>37530.000000000007</v>
      </c>
      <c r="U179" s="7">
        <f t="shared" ca="1" si="38"/>
        <v>2.2786885245901654</v>
      </c>
      <c r="V179" s="7">
        <f t="shared" ca="1" si="39"/>
        <v>-0.46599282938517494</v>
      </c>
      <c r="W179" s="33">
        <f t="shared" ca="1" si="44"/>
        <v>37530.000000000007</v>
      </c>
      <c r="X179" s="7">
        <f t="shared" ca="1" si="45"/>
        <v>1</v>
      </c>
      <c r="Y179" s="7">
        <f t="shared" ca="1" si="46"/>
        <v>3.2786885245901654</v>
      </c>
      <c r="Z179" s="7">
        <f t="shared" ca="1" si="40"/>
        <v>-8.7473046879387562E-2</v>
      </c>
      <c r="AA179" s="33">
        <f t="shared" ca="1" si="47"/>
        <v>37530.000000000007</v>
      </c>
      <c r="AB179" s="7">
        <f t="shared" ca="1" si="48"/>
        <v>1</v>
      </c>
      <c r="AC179" s="7">
        <f t="shared" ca="1" si="49"/>
        <v>3.2786885245901654</v>
      </c>
      <c r="AD179" s="40"/>
      <c r="AE179" s="40"/>
      <c r="AF179" s="34"/>
      <c r="AH179" s="34"/>
    </row>
    <row r="180" spans="1:34" x14ac:dyDescent="0.25">
      <c r="A180" s="1">
        <v>177</v>
      </c>
      <c r="B180" s="25">
        <v>43979</v>
      </c>
      <c r="C180" s="10" t="s">
        <v>1649</v>
      </c>
      <c r="D180" s="1">
        <v>289.64999999999998</v>
      </c>
      <c r="E180" s="30">
        <v>1350</v>
      </c>
      <c r="F180" s="1">
        <v>310</v>
      </c>
      <c r="G180" s="1">
        <v>39.700000000000003</v>
      </c>
      <c r="H180" s="1">
        <v>360</v>
      </c>
      <c r="I180" s="1">
        <v>9</v>
      </c>
      <c r="J180" s="1">
        <v>117450</v>
      </c>
      <c r="K180" s="1">
        <v>1350</v>
      </c>
      <c r="L180" s="1">
        <v>8.6</v>
      </c>
      <c r="M180" s="1">
        <v>9.0500000000000007</v>
      </c>
      <c r="N180" s="1">
        <v>1350</v>
      </c>
      <c r="O180" s="9"/>
      <c r="P180" s="7">
        <f t="shared" ca="1" si="41"/>
        <v>-0.6140000000000001</v>
      </c>
      <c r="Q180" s="7">
        <f t="shared" ca="1" si="42"/>
        <v>-4.7230769230769236E-2</v>
      </c>
      <c r="R180" s="33">
        <f t="shared" ca="1" si="36"/>
        <v>41445.000000000007</v>
      </c>
      <c r="S180" s="33">
        <f t="shared" ca="1" si="37"/>
        <v>-26054.999999999993</v>
      </c>
      <c r="T180" s="33">
        <f t="shared" ca="1" si="43"/>
        <v>41445.000000000007</v>
      </c>
      <c r="U180" s="7">
        <f t="shared" ca="1" si="38"/>
        <v>1.5906735751295344</v>
      </c>
      <c r="V180" s="7">
        <f t="shared" ca="1" si="39"/>
        <v>-0.46599282938517494</v>
      </c>
      <c r="W180" s="33">
        <f t="shared" ca="1" si="44"/>
        <v>41445.000000000007</v>
      </c>
      <c r="X180" s="7">
        <f t="shared" ca="1" si="45"/>
        <v>1</v>
      </c>
      <c r="Y180" s="7">
        <f t="shared" ca="1" si="46"/>
        <v>2.5906735751295344</v>
      </c>
      <c r="Z180" s="7">
        <f t="shared" ca="1" si="40"/>
        <v>-8.7473046879387562E-2</v>
      </c>
      <c r="AA180" s="33">
        <f t="shared" ca="1" si="47"/>
        <v>41445.000000000007</v>
      </c>
      <c r="AB180" s="7">
        <f t="shared" ca="1" si="48"/>
        <v>1</v>
      </c>
      <c r="AC180" s="7">
        <f t="shared" ca="1" si="49"/>
        <v>2.5906735751295344</v>
      </c>
      <c r="AD180" s="40"/>
      <c r="AE180" s="40"/>
      <c r="AF180" s="34"/>
      <c r="AH180" s="34"/>
    </row>
    <row r="181" spans="1:34" x14ac:dyDescent="0.25">
      <c r="A181" s="1">
        <v>178</v>
      </c>
      <c r="B181" s="25">
        <v>43979</v>
      </c>
      <c r="C181" s="10" t="s">
        <v>1649</v>
      </c>
      <c r="D181" s="1">
        <v>289.64999999999998</v>
      </c>
      <c r="E181" s="30">
        <v>1350</v>
      </c>
      <c r="F181" s="1">
        <v>310</v>
      </c>
      <c r="G181" s="1">
        <v>39.700000000000003</v>
      </c>
      <c r="H181" s="1">
        <v>370</v>
      </c>
      <c r="I181" s="1">
        <v>6.6</v>
      </c>
      <c r="J181" s="1">
        <v>40500</v>
      </c>
      <c r="K181" s="1">
        <v>2700</v>
      </c>
      <c r="L181" s="1">
        <v>6.5</v>
      </c>
      <c r="M181" s="1">
        <v>6.75</v>
      </c>
      <c r="N181" s="1">
        <v>1350</v>
      </c>
      <c r="O181" s="9"/>
      <c r="P181" s="7">
        <f t="shared" ca="1" si="41"/>
        <v>-0.55166666666666664</v>
      </c>
      <c r="Q181" s="7">
        <f t="shared" ca="1" si="42"/>
        <v>-4.2435897435897436E-2</v>
      </c>
      <c r="R181" s="33">
        <f t="shared" ca="1" si="36"/>
        <v>44685</v>
      </c>
      <c r="S181" s="33">
        <f t="shared" ca="1" si="37"/>
        <v>-36315</v>
      </c>
      <c r="T181" s="33">
        <f t="shared" ca="1" si="43"/>
        <v>44685</v>
      </c>
      <c r="U181" s="7">
        <f t="shared" ca="1" si="38"/>
        <v>1.2304832713754648</v>
      </c>
      <c r="V181" s="7">
        <f t="shared" ca="1" si="39"/>
        <v>-0.46599282938517494</v>
      </c>
      <c r="W181" s="33">
        <f t="shared" ca="1" si="44"/>
        <v>44685</v>
      </c>
      <c r="X181" s="7">
        <f t="shared" ca="1" si="45"/>
        <v>1</v>
      </c>
      <c r="Y181" s="7">
        <f t="shared" ca="1" si="46"/>
        <v>2.2304832713754648</v>
      </c>
      <c r="Z181" s="7">
        <f t="shared" ca="1" si="40"/>
        <v>-8.7473046879387562E-2</v>
      </c>
      <c r="AA181" s="33">
        <f t="shared" ca="1" si="47"/>
        <v>44685</v>
      </c>
      <c r="AB181" s="7">
        <f t="shared" ca="1" si="48"/>
        <v>1</v>
      </c>
      <c r="AC181" s="7">
        <f t="shared" ca="1" si="49"/>
        <v>2.2304832713754648</v>
      </c>
      <c r="AD181" s="40"/>
      <c r="AE181" s="40"/>
      <c r="AF181" s="34"/>
      <c r="AH181" s="34"/>
    </row>
    <row r="182" spans="1:34" x14ac:dyDescent="0.25">
      <c r="A182" s="1">
        <v>179</v>
      </c>
      <c r="B182" s="25">
        <v>43979</v>
      </c>
      <c r="C182" s="10" t="s">
        <v>1649</v>
      </c>
      <c r="D182" s="1">
        <v>289.64999999999998</v>
      </c>
      <c r="E182" s="30">
        <v>1350</v>
      </c>
      <c r="F182" s="1">
        <v>310</v>
      </c>
      <c r="G182" s="1">
        <v>39.700000000000003</v>
      </c>
      <c r="H182" s="1">
        <v>380</v>
      </c>
      <c r="I182" s="1">
        <v>5</v>
      </c>
      <c r="J182" s="1">
        <v>45900</v>
      </c>
      <c r="K182" s="1">
        <v>1350</v>
      </c>
      <c r="L182" s="1">
        <v>4.75</v>
      </c>
      <c r="M182" s="1">
        <v>5</v>
      </c>
      <c r="N182" s="1">
        <v>1350</v>
      </c>
      <c r="O182" s="9"/>
      <c r="P182" s="7">
        <f t="shared" ca="1" si="41"/>
        <v>-0.49571428571428577</v>
      </c>
      <c r="Q182" s="7">
        <f t="shared" ca="1" si="42"/>
        <v>-3.8131868131868134E-2</v>
      </c>
      <c r="R182" s="33">
        <f t="shared" ca="1" si="36"/>
        <v>46845.000000000007</v>
      </c>
      <c r="S182" s="33">
        <f t="shared" ca="1" si="37"/>
        <v>-47654.999999999993</v>
      </c>
      <c r="T182" s="33">
        <f t="shared" ca="1" si="43"/>
        <v>46845.000000000007</v>
      </c>
      <c r="U182" s="7">
        <f t="shared" ca="1" si="38"/>
        <v>0.98300283286119006</v>
      </c>
      <c r="V182" s="7">
        <f t="shared" ca="1" si="39"/>
        <v>-0.46599282938517494</v>
      </c>
      <c r="W182" s="33">
        <f t="shared" ca="1" si="44"/>
        <v>46845.000000000007</v>
      </c>
      <c r="X182" s="7">
        <f t="shared" ca="1" si="45"/>
        <v>1</v>
      </c>
      <c r="Y182" s="7">
        <f t="shared" ca="1" si="46"/>
        <v>1.9830028328611902</v>
      </c>
      <c r="Z182" s="7">
        <f t="shared" ca="1" si="40"/>
        <v>-8.7473046879387562E-2</v>
      </c>
      <c r="AA182" s="33">
        <f t="shared" ca="1" si="47"/>
        <v>46845.000000000007</v>
      </c>
      <c r="AB182" s="7">
        <f t="shared" ca="1" si="48"/>
        <v>1</v>
      </c>
      <c r="AC182" s="7">
        <f t="shared" ca="1" si="49"/>
        <v>1.9830028328611902</v>
      </c>
      <c r="AD182" s="40"/>
      <c r="AE182" s="40"/>
      <c r="AF182" s="34"/>
      <c r="AH182" s="34"/>
    </row>
    <row r="183" spans="1:34" x14ac:dyDescent="0.25">
      <c r="A183" s="1">
        <v>180</v>
      </c>
      <c r="B183" s="25">
        <v>43979</v>
      </c>
      <c r="C183" s="10" t="s">
        <v>1649</v>
      </c>
      <c r="D183" s="1">
        <v>289.64999999999998</v>
      </c>
      <c r="E183" s="30">
        <v>1350</v>
      </c>
      <c r="F183" s="1">
        <v>310</v>
      </c>
      <c r="G183" s="1">
        <v>39.700000000000003</v>
      </c>
      <c r="H183" s="1">
        <v>390</v>
      </c>
      <c r="I183" s="1">
        <v>4.4000000000000004</v>
      </c>
      <c r="J183" s="1">
        <v>13500</v>
      </c>
      <c r="K183" s="1">
        <v>1350</v>
      </c>
      <c r="L183" s="1">
        <v>3.15</v>
      </c>
      <c r="M183" s="1">
        <v>4.2</v>
      </c>
      <c r="N183" s="1">
        <v>1350</v>
      </c>
      <c r="O183" s="9"/>
      <c r="P183" s="7">
        <f t="shared" ca="1" si="41"/>
        <v>-0.44125000000000003</v>
      </c>
      <c r="Q183" s="7">
        <f t="shared" ca="1" si="42"/>
        <v>-3.3942307692307695E-2</v>
      </c>
      <c r="R183" s="33">
        <f t="shared" ca="1" si="36"/>
        <v>47655.000000000007</v>
      </c>
      <c r="S183" s="33">
        <f t="shared" ca="1" si="37"/>
        <v>-60344.999999999993</v>
      </c>
      <c r="T183" s="33">
        <f t="shared" ca="1" si="43"/>
        <v>47655.000000000007</v>
      </c>
      <c r="U183" s="7">
        <f t="shared" ca="1" si="38"/>
        <v>0.7897091722595081</v>
      </c>
      <c r="V183" s="7">
        <f t="shared" ca="1" si="39"/>
        <v>-0.46599282938517494</v>
      </c>
      <c r="W183" s="33">
        <f t="shared" ca="1" si="44"/>
        <v>47655.000000000007</v>
      </c>
      <c r="X183" s="7">
        <f t="shared" ca="1" si="45"/>
        <v>1</v>
      </c>
      <c r="Y183" s="7">
        <f t="shared" ca="1" si="46"/>
        <v>1.7897091722595082</v>
      </c>
      <c r="Z183" s="7">
        <f t="shared" ca="1" si="40"/>
        <v>-8.7473046879387562E-2</v>
      </c>
      <c r="AA183" s="33">
        <f t="shared" ca="1" si="47"/>
        <v>47655.000000000007</v>
      </c>
      <c r="AB183" s="7">
        <f t="shared" ca="1" si="48"/>
        <v>1</v>
      </c>
      <c r="AC183" s="7">
        <f t="shared" ca="1" si="49"/>
        <v>1.7897091722595082</v>
      </c>
      <c r="AD183" s="40"/>
      <c r="AE183" s="40"/>
      <c r="AF183" s="34"/>
      <c r="AH183" s="34"/>
    </row>
    <row r="184" spans="1:34" x14ac:dyDescent="0.25">
      <c r="A184" s="1">
        <v>181</v>
      </c>
      <c r="B184" s="25">
        <v>43979</v>
      </c>
      <c r="C184" s="10" t="s">
        <v>1649</v>
      </c>
      <c r="D184" s="1">
        <v>289.64999999999998</v>
      </c>
      <c r="E184" s="30">
        <v>1350</v>
      </c>
      <c r="F184" s="1">
        <v>310</v>
      </c>
      <c r="G184" s="1">
        <v>39.700000000000003</v>
      </c>
      <c r="H184" s="1">
        <v>400</v>
      </c>
      <c r="I184" s="1">
        <v>2.75</v>
      </c>
      <c r="J184" s="1">
        <v>129600</v>
      </c>
      <c r="K184" s="1">
        <v>1350</v>
      </c>
      <c r="L184" s="1">
        <v>2.5499999999999998</v>
      </c>
      <c r="M184" s="1">
        <v>2.85</v>
      </c>
      <c r="N184" s="1">
        <v>2700</v>
      </c>
      <c r="O184" s="9"/>
      <c r="P184" s="7">
        <f t="shared" ca="1" si="41"/>
        <v>-0.41055555555555556</v>
      </c>
      <c r="Q184" s="7">
        <f t="shared" ca="1" si="42"/>
        <v>-3.1581196581196583E-2</v>
      </c>
      <c r="R184" s="33">
        <f t="shared" ca="1" si="36"/>
        <v>49882.500000000007</v>
      </c>
      <c r="S184" s="33">
        <f t="shared" ca="1" si="37"/>
        <v>-71617.5</v>
      </c>
      <c r="T184" s="33">
        <f t="shared" ca="1" si="43"/>
        <v>49882.500000000007</v>
      </c>
      <c r="U184" s="7">
        <f t="shared" ca="1" si="38"/>
        <v>0.69651272384542895</v>
      </c>
      <c r="V184" s="7">
        <f t="shared" ca="1" si="39"/>
        <v>-0.46599282938517494</v>
      </c>
      <c r="W184" s="33">
        <f t="shared" ca="1" si="44"/>
        <v>49882.500000000007</v>
      </c>
      <c r="X184" s="7">
        <f t="shared" ca="1" si="45"/>
        <v>1</v>
      </c>
      <c r="Y184" s="7">
        <f t="shared" ca="1" si="46"/>
        <v>1.6965127238454289</v>
      </c>
      <c r="Z184" s="7">
        <f t="shared" ca="1" si="40"/>
        <v>-8.7473046879387562E-2</v>
      </c>
      <c r="AA184" s="33">
        <f t="shared" ca="1" si="47"/>
        <v>49882.500000000007</v>
      </c>
      <c r="AB184" s="7">
        <f t="shared" ca="1" si="48"/>
        <v>1</v>
      </c>
      <c r="AC184" s="7">
        <f t="shared" ca="1" si="49"/>
        <v>1.6965127238454289</v>
      </c>
      <c r="AD184" s="40"/>
      <c r="AE184" s="40"/>
      <c r="AF184" s="34"/>
      <c r="AH184" s="34"/>
    </row>
    <row r="185" spans="1:34" x14ac:dyDescent="0.25">
      <c r="A185" s="1">
        <v>182</v>
      </c>
      <c r="B185" s="25">
        <v>43979</v>
      </c>
      <c r="C185" s="10" t="s">
        <v>1649</v>
      </c>
      <c r="D185" s="1">
        <v>289.64999999999998</v>
      </c>
      <c r="E185" s="30">
        <v>1350</v>
      </c>
      <c r="F185" s="1">
        <v>310</v>
      </c>
      <c r="G185" s="1">
        <v>39.700000000000003</v>
      </c>
      <c r="H185" s="1">
        <v>410</v>
      </c>
      <c r="I185" s="1">
        <v>3</v>
      </c>
      <c r="J185" s="1">
        <v>33750</v>
      </c>
      <c r="K185" s="1">
        <v>1350</v>
      </c>
      <c r="L185" s="1">
        <v>1.65</v>
      </c>
      <c r="M185" s="1">
        <v>3.4</v>
      </c>
      <c r="N185" s="1">
        <v>21600</v>
      </c>
      <c r="O185" s="9"/>
      <c r="P185" s="7">
        <f t="shared" ca="1" si="41"/>
        <v>-0.36700000000000005</v>
      </c>
      <c r="Q185" s="7">
        <f t="shared" ca="1" si="42"/>
        <v>-2.8230769230769233E-2</v>
      </c>
      <c r="R185" s="33">
        <f t="shared" ca="1" si="36"/>
        <v>49545.000000000007</v>
      </c>
      <c r="S185" s="33">
        <f t="shared" ca="1" si="37"/>
        <v>-85455</v>
      </c>
      <c r="T185" s="33">
        <f t="shared" ca="1" si="43"/>
        <v>49545.000000000007</v>
      </c>
      <c r="U185" s="7">
        <f t="shared" ca="1" si="38"/>
        <v>0.57977883096366523</v>
      </c>
      <c r="V185" s="7">
        <f t="shared" ca="1" si="39"/>
        <v>-0.46599282938517494</v>
      </c>
      <c r="W185" s="33">
        <f t="shared" ca="1" si="44"/>
        <v>49545.000000000007</v>
      </c>
      <c r="X185" s="7">
        <f t="shared" ca="1" si="45"/>
        <v>1</v>
      </c>
      <c r="Y185" s="7">
        <f t="shared" ca="1" si="46"/>
        <v>1.5797788309636651</v>
      </c>
      <c r="Z185" s="7">
        <f t="shared" ca="1" si="40"/>
        <v>-8.7473046879387562E-2</v>
      </c>
      <c r="AA185" s="33">
        <f t="shared" ca="1" si="47"/>
        <v>49545.000000000007</v>
      </c>
      <c r="AB185" s="7">
        <f t="shared" ca="1" si="48"/>
        <v>1</v>
      </c>
      <c r="AC185" s="7">
        <f t="shared" ca="1" si="49"/>
        <v>1.5797788309636651</v>
      </c>
      <c r="AD185" s="40"/>
      <c r="AE185" s="40"/>
      <c r="AF185" s="34"/>
      <c r="AH185" s="34"/>
    </row>
    <row r="186" spans="1:34" x14ac:dyDescent="0.25">
      <c r="A186" s="1">
        <v>183</v>
      </c>
      <c r="B186" s="25">
        <v>43979</v>
      </c>
      <c r="C186" s="10" t="s">
        <v>1649</v>
      </c>
      <c r="D186" s="1">
        <v>289.64999999999998</v>
      </c>
      <c r="E186" s="30">
        <v>1350</v>
      </c>
      <c r="F186" s="1">
        <v>310</v>
      </c>
      <c r="G186" s="1">
        <v>39.700000000000003</v>
      </c>
      <c r="H186" s="1">
        <v>420</v>
      </c>
      <c r="I186" s="1">
        <v>3.5</v>
      </c>
      <c r="J186" s="1">
        <v>10800</v>
      </c>
      <c r="K186" s="1">
        <v>1350</v>
      </c>
      <c r="L186" s="1">
        <v>1.25</v>
      </c>
      <c r="M186" s="1">
        <v>2.5</v>
      </c>
      <c r="N186" s="1">
        <v>13500</v>
      </c>
      <c r="O186" s="9"/>
      <c r="P186" s="7">
        <f t="shared" ca="1" si="41"/>
        <v>-0.3290909090909091</v>
      </c>
      <c r="Q186" s="7">
        <f t="shared" ca="1" si="42"/>
        <v>-2.5314685314685316E-2</v>
      </c>
      <c r="R186" s="33">
        <f t="shared" ca="1" si="36"/>
        <v>48870.000000000007</v>
      </c>
      <c r="S186" s="33">
        <f t="shared" ca="1" si="37"/>
        <v>-99630</v>
      </c>
      <c r="T186" s="33">
        <f t="shared" ca="1" si="43"/>
        <v>48870.000000000007</v>
      </c>
      <c r="U186" s="7">
        <f t="shared" ca="1" si="38"/>
        <v>0.49051490514905155</v>
      </c>
      <c r="V186" s="7">
        <f t="shared" ca="1" si="39"/>
        <v>-0.46599282938517494</v>
      </c>
      <c r="W186" s="33">
        <f t="shared" ca="1" si="44"/>
        <v>48870.000000000007</v>
      </c>
      <c r="X186" s="7">
        <f t="shared" ca="1" si="45"/>
        <v>1</v>
      </c>
      <c r="Y186" s="7">
        <f t="shared" ca="1" si="46"/>
        <v>1.4905149051490516</v>
      </c>
      <c r="Z186" s="7">
        <f t="shared" ca="1" si="40"/>
        <v>-8.7473046879387562E-2</v>
      </c>
      <c r="AA186" s="33">
        <f t="shared" ca="1" si="47"/>
        <v>48870.000000000007</v>
      </c>
      <c r="AB186" s="7">
        <f t="shared" ca="1" si="48"/>
        <v>1</v>
      </c>
      <c r="AC186" s="7">
        <f t="shared" ca="1" si="49"/>
        <v>1.4905149051490516</v>
      </c>
      <c r="AD186" s="40"/>
      <c r="AE186" s="40"/>
      <c r="AF186" s="34"/>
      <c r="AH186" s="34"/>
    </row>
    <row r="187" spans="1:34" x14ac:dyDescent="0.25">
      <c r="A187" s="1">
        <v>184</v>
      </c>
      <c r="B187" s="25">
        <v>43979</v>
      </c>
      <c r="C187" s="10" t="s">
        <v>1654</v>
      </c>
      <c r="D187" s="1">
        <v>937.45</v>
      </c>
      <c r="E187" s="30">
        <v>700</v>
      </c>
      <c r="F187" s="1">
        <v>1020</v>
      </c>
      <c r="G187" s="1">
        <v>17.5</v>
      </c>
      <c r="H187" s="1">
        <v>1000</v>
      </c>
      <c r="I187" s="1">
        <v>14.45</v>
      </c>
      <c r="J187" s="1">
        <v>86800</v>
      </c>
      <c r="K187" s="1">
        <v>700</v>
      </c>
      <c r="L187" s="1">
        <v>13.85</v>
      </c>
      <c r="M187" s="1">
        <v>14.5</v>
      </c>
      <c r="N187" s="1">
        <v>700</v>
      </c>
      <c r="O187" s="9"/>
      <c r="P187" s="7">
        <f t="shared" ca="1" si="41"/>
        <v>0.15250000000000002</v>
      </c>
      <c r="Q187" s="7">
        <f t="shared" ca="1" si="42"/>
        <v>1.1730769230769232E-2</v>
      </c>
      <c r="R187" s="33">
        <f t="shared" ca="1" si="36"/>
        <v>2135.0000000000005</v>
      </c>
      <c r="S187" s="33">
        <f t="shared" ca="1" si="37"/>
        <v>16135</v>
      </c>
      <c r="T187" s="33">
        <f t="shared" ca="1" si="43"/>
        <v>2135.0000000000005</v>
      </c>
      <c r="U187" s="7">
        <f t="shared" ca="1" si="38"/>
        <v>0.13232104121475058</v>
      </c>
      <c r="V187" s="7">
        <f t="shared" ca="1" si="39"/>
        <v>-0.41645332177375255</v>
      </c>
      <c r="W187" s="33">
        <f t="shared" ca="1" si="44"/>
        <v>-11865</v>
      </c>
      <c r="X187" s="7">
        <f t="shared" ca="1" si="45"/>
        <v>-5.5573770491803263</v>
      </c>
      <c r="Y187" s="7">
        <f t="shared" ca="1" si="46"/>
        <v>-5.4250560079655754</v>
      </c>
      <c r="Z187" s="7">
        <f t="shared" ca="1" si="40"/>
        <v>-6.268610064155114E-2</v>
      </c>
      <c r="AA187" s="33">
        <f t="shared" ca="1" si="47"/>
        <v>-11865</v>
      </c>
      <c r="AB187" s="7">
        <f t="shared" ca="1" si="48"/>
        <v>-5.5573770491803263</v>
      </c>
      <c r="AC187" s="7">
        <f t="shared" ca="1" si="49"/>
        <v>-5.4250560079655754</v>
      </c>
      <c r="AD187" s="40"/>
      <c r="AE187" s="40"/>
      <c r="AF187" s="34"/>
      <c r="AH187" s="34"/>
    </row>
    <row r="188" spans="1:34" x14ac:dyDescent="0.25">
      <c r="A188" s="1">
        <v>185</v>
      </c>
      <c r="B188" s="25">
        <v>43979</v>
      </c>
      <c r="C188" s="10" t="s">
        <v>1654</v>
      </c>
      <c r="D188" s="1">
        <v>937.45</v>
      </c>
      <c r="E188" s="30">
        <v>700</v>
      </c>
      <c r="F188" s="1">
        <v>1020</v>
      </c>
      <c r="G188" s="1">
        <v>17.5</v>
      </c>
      <c r="H188" s="1">
        <v>1040</v>
      </c>
      <c r="I188" s="1">
        <v>8.4499999999999993</v>
      </c>
      <c r="J188" s="1">
        <v>20300</v>
      </c>
      <c r="K188" s="1">
        <v>700</v>
      </c>
      <c r="L188" s="1">
        <v>8.0500000000000007</v>
      </c>
      <c r="M188" s="1">
        <v>10.199999999999999</v>
      </c>
      <c r="N188" s="1">
        <v>2800</v>
      </c>
      <c r="O188" s="9"/>
      <c r="P188" s="7">
        <f t="shared" ca="1" si="41"/>
        <v>-0.45250000000000001</v>
      </c>
      <c r="Q188" s="7">
        <f t="shared" ca="1" si="42"/>
        <v>-3.480769230769231E-2</v>
      </c>
      <c r="R188" s="33">
        <f t="shared" ca="1" si="36"/>
        <v>6335.0000000000009</v>
      </c>
      <c r="S188" s="33">
        <f t="shared" ca="1" si="37"/>
        <v>-7664.9999999999991</v>
      </c>
      <c r="T188" s="33">
        <f t="shared" ca="1" si="43"/>
        <v>6335.0000000000009</v>
      </c>
      <c r="U188" s="7">
        <f t="shared" ca="1" si="38"/>
        <v>0.82648401826484041</v>
      </c>
      <c r="V188" s="7">
        <f t="shared" ca="1" si="39"/>
        <v>-0.41645332177375255</v>
      </c>
      <c r="W188" s="33">
        <f t="shared" ca="1" si="44"/>
        <v>6335.0000000000009</v>
      </c>
      <c r="X188" s="7">
        <f t="shared" ca="1" si="45"/>
        <v>1</v>
      </c>
      <c r="Y188" s="7">
        <f t="shared" ca="1" si="46"/>
        <v>1.8264840182648405</v>
      </c>
      <c r="Z188" s="7">
        <f t="shared" ca="1" si="40"/>
        <v>-6.268610064155114E-2</v>
      </c>
      <c r="AA188" s="33">
        <f t="shared" ca="1" si="47"/>
        <v>6335.0000000000009</v>
      </c>
      <c r="AB188" s="7">
        <f t="shared" ca="1" si="48"/>
        <v>1</v>
      </c>
      <c r="AC188" s="7">
        <f t="shared" ca="1" si="49"/>
        <v>1.8264840182648405</v>
      </c>
      <c r="AD188" s="40"/>
      <c r="AE188" s="40"/>
      <c r="AF188" s="34"/>
      <c r="AH188" s="34"/>
    </row>
    <row r="189" spans="1:34" x14ac:dyDescent="0.25">
      <c r="A189" s="1">
        <v>186</v>
      </c>
      <c r="B189" s="25">
        <v>43979</v>
      </c>
      <c r="C189" s="10" t="s">
        <v>1654</v>
      </c>
      <c r="D189" s="1">
        <v>937.45</v>
      </c>
      <c r="E189" s="30">
        <v>700</v>
      </c>
      <c r="F189" s="1">
        <v>1020</v>
      </c>
      <c r="G189" s="1">
        <v>17.5</v>
      </c>
      <c r="H189" s="1">
        <v>1060</v>
      </c>
      <c r="I189" s="1">
        <v>5</v>
      </c>
      <c r="J189" s="1">
        <v>6300</v>
      </c>
      <c r="K189" s="1">
        <v>3500</v>
      </c>
      <c r="L189" s="1">
        <v>4.05</v>
      </c>
      <c r="M189" s="1">
        <v>9.4</v>
      </c>
      <c r="N189" s="1">
        <v>9800</v>
      </c>
      <c r="O189" s="9"/>
      <c r="P189" s="7">
        <f t="shared" ca="1" si="41"/>
        <v>-0.3125</v>
      </c>
      <c r="Q189" s="7">
        <f t="shared" ca="1" si="42"/>
        <v>-2.403846153846154E-2</v>
      </c>
      <c r="R189" s="33">
        <f t="shared" ca="1" si="36"/>
        <v>8750</v>
      </c>
      <c r="S189" s="33">
        <f t="shared" ca="1" si="37"/>
        <v>-19250</v>
      </c>
      <c r="T189" s="33">
        <f t="shared" ca="1" si="43"/>
        <v>8750</v>
      </c>
      <c r="U189" s="7">
        <f t="shared" ca="1" si="38"/>
        <v>0.45454545454545453</v>
      </c>
      <c r="V189" s="7">
        <f t="shared" ca="1" si="39"/>
        <v>-0.41645332177375255</v>
      </c>
      <c r="W189" s="33">
        <f t="shared" ca="1" si="44"/>
        <v>8750</v>
      </c>
      <c r="X189" s="7">
        <f t="shared" ca="1" si="45"/>
        <v>1</v>
      </c>
      <c r="Y189" s="7">
        <f t="shared" ca="1" si="46"/>
        <v>1.4545454545454546</v>
      </c>
      <c r="Z189" s="7">
        <f t="shared" ca="1" si="40"/>
        <v>-6.268610064155114E-2</v>
      </c>
      <c r="AA189" s="33">
        <f t="shared" ca="1" si="47"/>
        <v>8750</v>
      </c>
      <c r="AB189" s="7">
        <f t="shared" ca="1" si="48"/>
        <v>1</v>
      </c>
      <c r="AC189" s="7">
        <f t="shared" ca="1" si="49"/>
        <v>1.4545454545454546</v>
      </c>
      <c r="AD189" s="40"/>
      <c r="AE189" s="40"/>
      <c r="AF189" s="34"/>
      <c r="AH189" s="34"/>
    </row>
    <row r="190" spans="1:34" x14ac:dyDescent="0.25">
      <c r="A190" s="1">
        <v>187</v>
      </c>
      <c r="B190" s="25">
        <v>43979</v>
      </c>
      <c r="C190" s="10" t="s">
        <v>1654</v>
      </c>
      <c r="D190" s="1">
        <v>937.45</v>
      </c>
      <c r="E190" s="30">
        <v>700</v>
      </c>
      <c r="F190" s="1">
        <v>1020</v>
      </c>
      <c r="G190" s="1">
        <v>17.5</v>
      </c>
      <c r="H190" s="1">
        <v>1100</v>
      </c>
      <c r="I190" s="1">
        <v>3.7</v>
      </c>
      <c r="J190" s="1">
        <v>74900</v>
      </c>
      <c r="K190" s="1">
        <v>1400</v>
      </c>
      <c r="L190" s="1">
        <v>4</v>
      </c>
      <c r="M190" s="1">
        <v>4.25</v>
      </c>
      <c r="N190" s="1">
        <v>700</v>
      </c>
      <c r="O190" s="9"/>
      <c r="P190" s="7">
        <f t="shared" ca="1" si="41"/>
        <v>-0.17250000000000001</v>
      </c>
      <c r="Q190" s="7">
        <f t="shared" ca="1" si="42"/>
        <v>-1.3269230769230771E-2</v>
      </c>
      <c r="R190" s="33">
        <f t="shared" ca="1" si="36"/>
        <v>9660</v>
      </c>
      <c r="S190" s="33">
        <f t="shared" ca="1" si="37"/>
        <v>-46340</v>
      </c>
      <c r="T190" s="33">
        <f t="shared" ca="1" si="43"/>
        <v>9660</v>
      </c>
      <c r="U190" s="7">
        <f t="shared" ca="1" si="38"/>
        <v>0.20845921450151059</v>
      </c>
      <c r="V190" s="7">
        <f t="shared" ca="1" si="39"/>
        <v>-0.41645332177375255</v>
      </c>
      <c r="W190" s="33">
        <f t="shared" ca="1" si="44"/>
        <v>9660</v>
      </c>
      <c r="X190" s="7">
        <f t="shared" ca="1" si="45"/>
        <v>1</v>
      </c>
      <c r="Y190" s="7">
        <f t="shared" ca="1" si="46"/>
        <v>1.2084592145015105</v>
      </c>
      <c r="Z190" s="7">
        <f t="shared" ca="1" si="40"/>
        <v>-6.268610064155114E-2</v>
      </c>
      <c r="AA190" s="33">
        <f t="shared" ca="1" si="47"/>
        <v>9660</v>
      </c>
      <c r="AB190" s="7">
        <f t="shared" ca="1" si="48"/>
        <v>1</v>
      </c>
      <c r="AC190" s="7">
        <f t="shared" ca="1" si="49"/>
        <v>1.2084592145015105</v>
      </c>
      <c r="AD190" s="40"/>
      <c r="AE190" s="40"/>
      <c r="AF190" s="34"/>
      <c r="AH190" s="34"/>
    </row>
    <row r="191" spans="1:34" x14ac:dyDescent="0.25">
      <c r="A191" s="1">
        <v>188</v>
      </c>
      <c r="B191" s="25">
        <v>43979</v>
      </c>
      <c r="C191" s="10" t="s">
        <v>1661</v>
      </c>
      <c r="D191" s="1">
        <v>162.80000000000001</v>
      </c>
      <c r="E191" s="30">
        <v>1700</v>
      </c>
      <c r="F191" s="1">
        <v>170</v>
      </c>
      <c r="G191" s="1">
        <v>10.8</v>
      </c>
      <c r="H191" s="1">
        <v>180</v>
      </c>
      <c r="I191" s="1">
        <v>7.35</v>
      </c>
      <c r="J191" s="1">
        <v>210800</v>
      </c>
      <c r="K191" s="1">
        <v>3400</v>
      </c>
      <c r="L191" s="1">
        <v>7.2</v>
      </c>
      <c r="M191" s="1">
        <v>7.45</v>
      </c>
      <c r="N191" s="1">
        <v>1700</v>
      </c>
      <c r="O191" s="9"/>
      <c r="P191" s="7">
        <f t="shared" ca="1" si="41"/>
        <v>-0.34500000000000008</v>
      </c>
      <c r="Q191" s="7">
        <f t="shared" ca="1" si="42"/>
        <v>-2.6538461538461545E-2</v>
      </c>
      <c r="R191" s="33">
        <f t="shared" ca="1" si="36"/>
        <v>5865.0000000000018</v>
      </c>
      <c r="S191" s="33">
        <f t="shared" ca="1" si="37"/>
        <v>-11134.999999999998</v>
      </c>
      <c r="T191" s="33">
        <f t="shared" ca="1" si="43"/>
        <v>5865.0000000000018</v>
      </c>
      <c r="U191" s="7">
        <f t="shared" ca="1" si="38"/>
        <v>0.52671755725190861</v>
      </c>
      <c r="V191" s="7">
        <f t="shared" ca="1" si="39"/>
        <v>-0.87623082080960646</v>
      </c>
      <c r="W191" s="33">
        <f t="shared" ca="1" si="44"/>
        <v>5865.0000000000018</v>
      </c>
      <c r="X191" s="7">
        <f t="shared" ca="1" si="45"/>
        <v>1</v>
      </c>
      <c r="Y191" s="7">
        <f t="shared" ca="1" si="46"/>
        <v>1.5267175572519087</v>
      </c>
      <c r="Z191" s="7">
        <f t="shared" ca="1" si="40"/>
        <v>-0.19453829012515947</v>
      </c>
      <c r="AA191" s="33">
        <f t="shared" ca="1" si="47"/>
        <v>5865.0000000000018</v>
      </c>
      <c r="AB191" s="7">
        <f t="shared" ca="1" si="48"/>
        <v>1</v>
      </c>
      <c r="AC191" s="7">
        <f t="shared" ca="1" si="49"/>
        <v>1.5267175572519087</v>
      </c>
      <c r="AD191" s="40"/>
      <c r="AE191" s="40"/>
      <c r="AF191" s="34"/>
      <c r="AH191" s="34"/>
    </row>
    <row r="192" spans="1:34" x14ac:dyDescent="0.25">
      <c r="A192" s="1">
        <v>189</v>
      </c>
      <c r="B192" s="25">
        <v>43979</v>
      </c>
      <c r="C192" s="10" t="s">
        <v>1661</v>
      </c>
      <c r="D192" s="1">
        <v>162.80000000000001</v>
      </c>
      <c r="E192" s="30">
        <v>1700</v>
      </c>
      <c r="F192" s="1">
        <v>170</v>
      </c>
      <c r="G192" s="1">
        <v>10.8</v>
      </c>
      <c r="H192" s="1">
        <v>190</v>
      </c>
      <c r="I192" s="1">
        <v>4.9000000000000004</v>
      </c>
      <c r="J192" s="1">
        <v>108800</v>
      </c>
      <c r="K192" s="1">
        <v>1700</v>
      </c>
      <c r="L192" s="1">
        <v>4.75</v>
      </c>
      <c r="M192" s="1">
        <v>5.55</v>
      </c>
      <c r="N192" s="1">
        <v>5100</v>
      </c>
      <c r="O192" s="9"/>
      <c r="P192" s="7">
        <f t="shared" ca="1" si="41"/>
        <v>-0.29500000000000004</v>
      </c>
      <c r="Q192" s="7">
        <f t="shared" ca="1" si="42"/>
        <v>-2.2692307692307696E-2</v>
      </c>
      <c r="R192" s="33">
        <f t="shared" ca="1" si="36"/>
        <v>10030</v>
      </c>
      <c r="S192" s="33">
        <f t="shared" ca="1" si="37"/>
        <v>-23970</v>
      </c>
      <c r="T192" s="33">
        <f t="shared" ca="1" si="43"/>
        <v>10030</v>
      </c>
      <c r="U192" s="7">
        <f t="shared" ca="1" si="38"/>
        <v>0.41843971631205673</v>
      </c>
      <c r="V192" s="7">
        <f t="shared" ca="1" si="39"/>
        <v>-0.87623082080960646</v>
      </c>
      <c r="W192" s="33">
        <f t="shared" ca="1" si="44"/>
        <v>10030</v>
      </c>
      <c r="X192" s="7">
        <f t="shared" ca="1" si="45"/>
        <v>1</v>
      </c>
      <c r="Y192" s="7">
        <f t="shared" ca="1" si="46"/>
        <v>1.4184397163120568</v>
      </c>
      <c r="Z192" s="7">
        <f t="shared" ca="1" si="40"/>
        <v>-0.19453829012515947</v>
      </c>
      <c r="AA192" s="33">
        <f t="shared" ca="1" si="47"/>
        <v>10030</v>
      </c>
      <c r="AB192" s="7">
        <f t="shared" ca="1" si="48"/>
        <v>1</v>
      </c>
      <c r="AC192" s="7">
        <f t="shared" ca="1" si="49"/>
        <v>1.4184397163120568</v>
      </c>
      <c r="AD192" s="40"/>
      <c r="AE192" s="40"/>
      <c r="AF192" s="34"/>
      <c r="AH192" s="34"/>
    </row>
    <row r="193" spans="1:34" x14ac:dyDescent="0.25">
      <c r="A193" s="1">
        <v>190</v>
      </c>
      <c r="B193" s="25">
        <v>43979</v>
      </c>
      <c r="C193" s="10" t="s">
        <v>1661</v>
      </c>
      <c r="D193" s="1">
        <v>162.80000000000001</v>
      </c>
      <c r="E193" s="30">
        <v>1700</v>
      </c>
      <c r="F193" s="1">
        <v>170</v>
      </c>
      <c r="G193" s="1">
        <v>10.8</v>
      </c>
      <c r="H193" s="1">
        <v>200</v>
      </c>
      <c r="I193" s="1">
        <v>3.2</v>
      </c>
      <c r="J193" s="1">
        <v>266900</v>
      </c>
      <c r="K193" s="1">
        <v>1700</v>
      </c>
      <c r="L193" s="1">
        <v>3.25</v>
      </c>
      <c r="M193" s="1">
        <v>3.75</v>
      </c>
      <c r="N193" s="1">
        <v>1700</v>
      </c>
      <c r="O193" s="9"/>
      <c r="P193" s="7">
        <f t="shared" ca="1" si="41"/>
        <v>-0.25333333333333335</v>
      </c>
      <c r="Q193" s="7">
        <f t="shared" ca="1" si="42"/>
        <v>-1.9487179487179488E-2</v>
      </c>
      <c r="R193" s="33">
        <f t="shared" ca="1" si="36"/>
        <v>12920</v>
      </c>
      <c r="S193" s="33">
        <f t="shared" ca="1" si="37"/>
        <v>-38080</v>
      </c>
      <c r="T193" s="33">
        <f t="shared" ca="1" si="43"/>
        <v>12920</v>
      </c>
      <c r="U193" s="7">
        <f t="shared" ca="1" si="38"/>
        <v>0.3392857142857143</v>
      </c>
      <c r="V193" s="7">
        <f t="shared" ca="1" si="39"/>
        <v>-0.87623082080960646</v>
      </c>
      <c r="W193" s="33">
        <f t="shared" ca="1" si="44"/>
        <v>12920</v>
      </c>
      <c r="X193" s="7">
        <f t="shared" ca="1" si="45"/>
        <v>1</v>
      </c>
      <c r="Y193" s="7">
        <f t="shared" ca="1" si="46"/>
        <v>1.3392857142857144</v>
      </c>
      <c r="Z193" s="7">
        <f t="shared" ca="1" si="40"/>
        <v>-0.19453829012515947</v>
      </c>
      <c r="AA193" s="33">
        <f t="shared" ca="1" si="47"/>
        <v>12920</v>
      </c>
      <c r="AB193" s="7">
        <f t="shared" ca="1" si="48"/>
        <v>1</v>
      </c>
      <c r="AC193" s="7">
        <f t="shared" ca="1" si="49"/>
        <v>1.3392857142857144</v>
      </c>
      <c r="AD193" s="40"/>
      <c r="AE193" s="40"/>
      <c r="AF193" s="34"/>
      <c r="AH193" s="34"/>
    </row>
    <row r="194" spans="1:34" x14ac:dyDescent="0.25">
      <c r="A194" s="1">
        <v>191</v>
      </c>
      <c r="B194" s="25">
        <v>43979</v>
      </c>
      <c r="C194" s="10" t="s">
        <v>1661</v>
      </c>
      <c r="D194" s="1">
        <v>162.80000000000001</v>
      </c>
      <c r="E194" s="30">
        <v>1700</v>
      </c>
      <c r="F194" s="1">
        <v>170</v>
      </c>
      <c r="G194" s="1">
        <v>10.8</v>
      </c>
      <c r="H194" s="1">
        <v>210</v>
      </c>
      <c r="I194" s="1">
        <v>2</v>
      </c>
      <c r="J194" s="1">
        <v>86700</v>
      </c>
      <c r="K194" s="1">
        <v>1700</v>
      </c>
      <c r="L194" s="1">
        <v>1.85</v>
      </c>
      <c r="M194" s="1">
        <v>2.2000000000000002</v>
      </c>
      <c r="N194" s="1">
        <v>1700</v>
      </c>
      <c r="O194" s="9"/>
      <c r="P194" s="7">
        <f t="shared" ca="1" si="41"/>
        <v>-0.22000000000000003</v>
      </c>
      <c r="Q194" s="7">
        <f t="shared" ca="1" si="42"/>
        <v>-1.6923076923076926E-2</v>
      </c>
      <c r="R194" s="33">
        <f t="shared" ca="1" si="36"/>
        <v>14960.000000000002</v>
      </c>
      <c r="S194" s="33">
        <f t="shared" ca="1" si="37"/>
        <v>-53040</v>
      </c>
      <c r="T194" s="33">
        <f t="shared" ca="1" si="43"/>
        <v>14960.000000000002</v>
      </c>
      <c r="U194" s="7">
        <f t="shared" ca="1" si="38"/>
        <v>0.2820512820512821</v>
      </c>
      <c r="V194" s="7">
        <f t="shared" ca="1" si="39"/>
        <v>-0.87623082080960646</v>
      </c>
      <c r="W194" s="33">
        <f t="shared" ca="1" si="44"/>
        <v>14960.000000000002</v>
      </c>
      <c r="X194" s="7">
        <f t="shared" ca="1" si="45"/>
        <v>1</v>
      </c>
      <c r="Y194" s="7">
        <f t="shared" ca="1" si="46"/>
        <v>1.2820512820512822</v>
      </c>
      <c r="Z194" s="7">
        <f t="shared" ca="1" si="40"/>
        <v>-0.19453829012515947</v>
      </c>
      <c r="AA194" s="33">
        <f t="shared" ca="1" si="47"/>
        <v>14960.000000000002</v>
      </c>
      <c r="AB194" s="7">
        <f t="shared" ca="1" si="48"/>
        <v>1</v>
      </c>
      <c r="AC194" s="7">
        <f t="shared" ca="1" si="49"/>
        <v>1.2820512820512822</v>
      </c>
      <c r="AD194" s="40"/>
      <c r="AE194" s="40"/>
      <c r="AF194" s="34"/>
      <c r="AH194" s="34"/>
    </row>
    <row r="195" spans="1:34" x14ac:dyDescent="0.25">
      <c r="A195" s="1">
        <v>192</v>
      </c>
      <c r="B195" s="25">
        <v>43979</v>
      </c>
      <c r="C195" s="10" t="s">
        <v>1661</v>
      </c>
      <c r="D195" s="1">
        <v>162.80000000000001</v>
      </c>
      <c r="E195" s="30">
        <v>1700</v>
      </c>
      <c r="F195" s="1">
        <v>170</v>
      </c>
      <c r="G195" s="1">
        <v>10.8</v>
      </c>
      <c r="H195" s="1">
        <v>220</v>
      </c>
      <c r="I195" s="1">
        <v>1.25</v>
      </c>
      <c r="J195" s="1">
        <v>153000</v>
      </c>
      <c r="K195" s="1">
        <v>1700</v>
      </c>
      <c r="L195" s="1">
        <v>1.1000000000000001</v>
      </c>
      <c r="M195" s="1">
        <v>1.25</v>
      </c>
      <c r="N195" s="1">
        <v>1700</v>
      </c>
      <c r="O195" s="9"/>
      <c r="P195" s="7">
        <f t="shared" ca="1" si="41"/>
        <v>-0.191</v>
      </c>
      <c r="Q195" s="7">
        <f t="shared" ca="1" si="42"/>
        <v>-1.4692307692307692E-2</v>
      </c>
      <c r="R195" s="33">
        <f t="shared" ca="1" si="36"/>
        <v>16235.000000000002</v>
      </c>
      <c r="S195" s="33">
        <f t="shared" ca="1" si="37"/>
        <v>-68765</v>
      </c>
      <c r="T195" s="33">
        <f t="shared" ca="1" si="43"/>
        <v>16235.000000000002</v>
      </c>
      <c r="U195" s="7">
        <f t="shared" ca="1" si="38"/>
        <v>0.23609394313967863</v>
      </c>
      <c r="V195" s="7">
        <f t="shared" ca="1" si="39"/>
        <v>-0.87623082080960646</v>
      </c>
      <c r="W195" s="33">
        <f t="shared" ca="1" si="44"/>
        <v>16235.000000000002</v>
      </c>
      <c r="X195" s="7">
        <f t="shared" ca="1" si="45"/>
        <v>1</v>
      </c>
      <c r="Y195" s="7">
        <f t="shared" ca="1" si="46"/>
        <v>1.2360939431396787</v>
      </c>
      <c r="Z195" s="7">
        <f t="shared" ca="1" si="40"/>
        <v>-0.19453829012515947</v>
      </c>
      <c r="AA195" s="33">
        <f t="shared" ca="1" si="47"/>
        <v>16235.000000000002</v>
      </c>
      <c r="AB195" s="7">
        <f t="shared" ca="1" si="48"/>
        <v>1</v>
      </c>
      <c r="AC195" s="7">
        <f t="shared" ca="1" si="49"/>
        <v>1.2360939431396787</v>
      </c>
      <c r="AD195" s="40"/>
      <c r="AE195" s="40"/>
      <c r="AF195" s="34"/>
      <c r="AH195" s="34"/>
    </row>
    <row r="196" spans="1:34" x14ac:dyDescent="0.25">
      <c r="A196" s="1">
        <v>193</v>
      </c>
      <c r="B196" s="25">
        <v>43979</v>
      </c>
      <c r="C196" s="10" t="s">
        <v>1661</v>
      </c>
      <c r="D196" s="1">
        <v>162.80000000000001</v>
      </c>
      <c r="E196" s="30">
        <v>1700</v>
      </c>
      <c r="F196" s="1">
        <v>170</v>
      </c>
      <c r="G196" s="1">
        <v>10.8</v>
      </c>
      <c r="H196" s="1">
        <v>230</v>
      </c>
      <c r="I196" s="1">
        <v>0.75</v>
      </c>
      <c r="J196" s="1">
        <v>17000</v>
      </c>
      <c r="K196" s="1">
        <v>3400</v>
      </c>
      <c r="L196" s="1">
        <v>0.7</v>
      </c>
      <c r="M196" s="1">
        <v>0.8</v>
      </c>
      <c r="N196" s="1">
        <v>1700</v>
      </c>
      <c r="O196" s="9"/>
      <c r="P196" s="7">
        <f t="shared" ca="1" si="41"/>
        <v>-0.16750000000000001</v>
      </c>
      <c r="Q196" s="7">
        <f t="shared" ca="1" si="42"/>
        <v>-1.2884615384615385E-2</v>
      </c>
      <c r="R196" s="33">
        <f t="shared" ref="R196:R236" ca="1" si="50">$E196*($G196-$I196)</f>
        <v>17085</v>
      </c>
      <c r="S196" s="33">
        <f t="shared" ref="S196:S236" ca="1" si="51">-(($H196-$F196)*$E196-$R196)</f>
        <v>-84915</v>
      </c>
      <c r="T196" s="33">
        <f t="shared" ca="1" si="43"/>
        <v>17085</v>
      </c>
      <c r="U196" s="7">
        <f t="shared" ref="U196:U236" ca="1" si="52">ABS($T196/$S196)</f>
        <v>0.20120120120120119</v>
      </c>
      <c r="V196" s="7">
        <f t="shared" ref="V196:V236" ca="1" si="53">mrigxl_max_drawdown($C196,INT($B196-TODAY()))</f>
        <v>-0.87623082080960646</v>
      </c>
      <c r="W196" s="33">
        <f t="shared" ca="1" si="44"/>
        <v>17085</v>
      </c>
      <c r="X196" s="7">
        <f t="shared" ca="1" si="45"/>
        <v>1</v>
      </c>
      <c r="Y196" s="7">
        <f t="shared" ca="1" si="46"/>
        <v>1.2012012012012012</v>
      </c>
      <c r="Z196" s="7">
        <f t="shared" ref="Z196:Z236" ca="1" si="54">mrigxl_avg_drawdown($C196,INT($B196-TODAY()))</f>
        <v>-0.19453829012515947</v>
      </c>
      <c r="AA196" s="33">
        <f t="shared" ca="1" si="47"/>
        <v>17085</v>
      </c>
      <c r="AB196" s="7">
        <f t="shared" ca="1" si="48"/>
        <v>1</v>
      </c>
      <c r="AC196" s="7">
        <f t="shared" ca="1" si="49"/>
        <v>1.2012012012012012</v>
      </c>
      <c r="AD196" s="40"/>
      <c r="AE196" s="40"/>
      <c r="AF196" s="34"/>
      <c r="AH196" s="34"/>
    </row>
    <row r="197" spans="1:34" x14ac:dyDescent="0.25">
      <c r="A197" s="1">
        <v>194</v>
      </c>
      <c r="B197" s="25">
        <v>43979</v>
      </c>
      <c r="C197" s="10" t="s">
        <v>1661</v>
      </c>
      <c r="D197" s="1">
        <v>162.80000000000001</v>
      </c>
      <c r="E197" s="30">
        <v>1700</v>
      </c>
      <c r="F197" s="1">
        <v>170</v>
      </c>
      <c r="G197" s="1">
        <v>10.8</v>
      </c>
      <c r="H197" s="1">
        <v>240</v>
      </c>
      <c r="I197" s="1">
        <v>0.5</v>
      </c>
      <c r="J197" s="1">
        <v>17000</v>
      </c>
      <c r="K197" s="1">
        <v>1700</v>
      </c>
      <c r="L197" s="1">
        <v>0.45</v>
      </c>
      <c r="M197" s="1">
        <v>0.75</v>
      </c>
      <c r="N197" s="1">
        <v>1700</v>
      </c>
      <c r="O197" s="9"/>
      <c r="P197" s="7">
        <f t="shared" ref="P197:P236" ca="1" si="55">($G197-$I197)/($F197-$H197)</f>
        <v>-0.14714285714285716</v>
      </c>
      <c r="Q197" s="7">
        <f t="shared" ca="1" si="42"/>
        <v>-1.131868131868132E-2</v>
      </c>
      <c r="R197" s="33">
        <f t="shared" ca="1" si="50"/>
        <v>17510</v>
      </c>
      <c r="S197" s="33">
        <f t="shared" ca="1" si="51"/>
        <v>-101490</v>
      </c>
      <c r="T197" s="33">
        <f t="shared" ca="1" si="43"/>
        <v>17510</v>
      </c>
      <c r="U197" s="7">
        <f t="shared" ca="1" si="52"/>
        <v>0.17252931323283083</v>
      </c>
      <c r="V197" s="7">
        <f t="shared" ca="1" si="53"/>
        <v>-0.87623082080960646</v>
      </c>
      <c r="W197" s="33">
        <f t="shared" ca="1" si="44"/>
        <v>17510</v>
      </c>
      <c r="X197" s="7">
        <f t="shared" ca="1" si="45"/>
        <v>1</v>
      </c>
      <c r="Y197" s="7">
        <f t="shared" ca="1" si="46"/>
        <v>1.1725293132328307</v>
      </c>
      <c r="Z197" s="7">
        <f t="shared" ca="1" si="54"/>
        <v>-0.19453829012515947</v>
      </c>
      <c r="AA197" s="33">
        <f t="shared" ca="1" si="47"/>
        <v>17510</v>
      </c>
      <c r="AB197" s="7">
        <f t="shared" ca="1" si="48"/>
        <v>1</v>
      </c>
      <c r="AC197" s="7">
        <f t="shared" ca="1" si="49"/>
        <v>1.1725293132328307</v>
      </c>
      <c r="AD197" s="40"/>
      <c r="AE197" s="40"/>
      <c r="AF197" s="34"/>
      <c r="AH197" s="34"/>
    </row>
    <row r="198" spans="1:34" x14ac:dyDescent="0.25">
      <c r="A198" s="1">
        <v>195</v>
      </c>
      <c r="B198" s="25">
        <v>43979</v>
      </c>
      <c r="C198" s="10" t="s">
        <v>1661</v>
      </c>
      <c r="D198" s="1">
        <v>162.80000000000001</v>
      </c>
      <c r="E198" s="30">
        <v>1700</v>
      </c>
      <c r="F198" s="1">
        <v>170</v>
      </c>
      <c r="G198" s="1">
        <v>10.8</v>
      </c>
      <c r="H198" s="1">
        <v>250</v>
      </c>
      <c r="I198" s="1">
        <v>0.3</v>
      </c>
      <c r="J198" s="1">
        <v>88400</v>
      </c>
      <c r="K198" s="1">
        <v>1700</v>
      </c>
      <c r="L198" s="1">
        <v>0.25</v>
      </c>
      <c r="M198" s="1">
        <v>0.4</v>
      </c>
      <c r="N198" s="1">
        <v>3400</v>
      </c>
      <c r="O198" s="9"/>
      <c r="P198" s="7">
        <f t="shared" ca="1" si="55"/>
        <v>-0.13125000000000001</v>
      </c>
      <c r="Q198" s="7">
        <f t="shared" ca="1" si="42"/>
        <v>-1.0096153846153847E-2</v>
      </c>
      <c r="R198" s="33">
        <f t="shared" ca="1" si="50"/>
        <v>17850</v>
      </c>
      <c r="S198" s="33">
        <f t="shared" ca="1" si="51"/>
        <v>-118150</v>
      </c>
      <c r="T198" s="33">
        <f t="shared" ca="1" si="43"/>
        <v>17850</v>
      </c>
      <c r="U198" s="7">
        <f t="shared" ca="1" si="52"/>
        <v>0.15107913669064749</v>
      </c>
      <c r="V198" s="7">
        <f t="shared" ca="1" si="53"/>
        <v>-0.87623082080960646</v>
      </c>
      <c r="W198" s="33">
        <f t="shared" ca="1" si="44"/>
        <v>17850</v>
      </c>
      <c r="X198" s="7">
        <f t="shared" ca="1" si="45"/>
        <v>1</v>
      </c>
      <c r="Y198" s="7">
        <f t="shared" ca="1" si="46"/>
        <v>1.1510791366906474</v>
      </c>
      <c r="Z198" s="7">
        <f t="shared" ca="1" si="54"/>
        <v>-0.19453829012515947</v>
      </c>
      <c r="AA198" s="33">
        <f t="shared" ca="1" si="47"/>
        <v>17850</v>
      </c>
      <c r="AB198" s="7">
        <f t="shared" ca="1" si="48"/>
        <v>1</v>
      </c>
      <c r="AC198" s="7">
        <f t="shared" ca="1" si="49"/>
        <v>1.1510791366906474</v>
      </c>
      <c r="AD198" s="40"/>
      <c r="AE198" s="40"/>
      <c r="AF198" s="34"/>
      <c r="AH198" s="34"/>
    </row>
    <row r="199" spans="1:34" x14ac:dyDescent="0.25">
      <c r="A199" s="1">
        <v>196</v>
      </c>
      <c r="B199" s="25">
        <v>43979</v>
      </c>
      <c r="C199" s="10" t="s">
        <v>1662</v>
      </c>
      <c r="D199" s="1">
        <v>3656.5</v>
      </c>
      <c r="E199" s="30">
        <v>200</v>
      </c>
      <c r="F199" s="1">
        <v>3900</v>
      </c>
      <c r="G199" s="1">
        <v>50</v>
      </c>
      <c r="H199" s="1">
        <v>4000</v>
      </c>
      <c r="I199" s="1">
        <v>31.4</v>
      </c>
      <c r="J199" s="1">
        <v>46800</v>
      </c>
      <c r="K199" s="1">
        <v>200</v>
      </c>
      <c r="L199" s="1">
        <v>29.2</v>
      </c>
      <c r="M199" s="1">
        <v>31.4</v>
      </c>
      <c r="N199" s="1">
        <v>200</v>
      </c>
      <c r="O199" s="9"/>
      <c r="P199" s="7">
        <f t="shared" ca="1" si="55"/>
        <v>-0.18600000000000003</v>
      </c>
      <c r="Q199" s="7">
        <f t="shared" ca="1" si="42"/>
        <v>-1.4307692307692309E-2</v>
      </c>
      <c r="R199" s="33">
        <f t="shared" ca="1" si="50"/>
        <v>3720.0000000000005</v>
      </c>
      <c r="S199" s="33">
        <f t="shared" ca="1" si="51"/>
        <v>-16280</v>
      </c>
      <c r="T199" s="33">
        <f t="shared" ca="1" si="43"/>
        <v>3720.0000000000005</v>
      </c>
      <c r="U199" s="7">
        <f t="shared" ca="1" si="52"/>
        <v>0.22850122850122853</v>
      </c>
      <c r="V199" s="7">
        <f t="shared" ca="1" si="53"/>
        <v>-0.35396427229224553</v>
      </c>
      <c r="W199" s="33">
        <f t="shared" ca="1" si="44"/>
        <v>3720.0000000000005</v>
      </c>
      <c r="X199" s="7">
        <f t="shared" ca="1" si="45"/>
        <v>1</v>
      </c>
      <c r="Y199" s="7">
        <f t="shared" ca="1" si="46"/>
        <v>1.2285012285012284</v>
      </c>
      <c r="Z199" s="7">
        <f t="shared" ca="1" si="54"/>
        <v>-6.2761615554836711E-2</v>
      </c>
      <c r="AA199" s="33">
        <f t="shared" ca="1" si="47"/>
        <v>3720.0000000000005</v>
      </c>
      <c r="AB199" s="7">
        <f t="shared" ca="1" si="48"/>
        <v>1</v>
      </c>
      <c r="AC199" s="7">
        <f t="shared" ca="1" si="49"/>
        <v>1.2285012285012284</v>
      </c>
      <c r="AD199" s="40"/>
      <c r="AE199" s="40"/>
      <c r="AF199" s="34"/>
      <c r="AH199" s="34"/>
    </row>
    <row r="200" spans="1:34" x14ac:dyDescent="0.25">
      <c r="A200" s="1">
        <v>197</v>
      </c>
      <c r="B200" s="25">
        <v>43979</v>
      </c>
      <c r="C200" s="10" t="s">
        <v>1662</v>
      </c>
      <c r="D200" s="1">
        <v>3656.5</v>
      </c>
      <c r="E200" s="30">
        <v>200</v>
      </c>
      <c r="F200" s="1">
        <v>3900</v>
      </c>
      <c r="G200" s="1">
        <v>50</v>
      </c>
      <c r="H200" s="1">
        <v>4100</v>
      </c>
      <c r="I200" s="1">
        <v>24</v>
      </c>
      <c r="J200" s="1">
        <v>1000</v>
      </c>
      <c r="K200" s="1">
        <v>200</v>
      </c>
      <c r="L200" s="1">
        <v>16.55</v>
      </c>
      <c r="M200" s="1">
        <v>23.95</v>
      </c>
      <c r="N200" s="1">
        <v>200</v>
      </c>
      <c r="O200" s="9"/>
      <c r="P200" s="7">
        <f t="shared" ca="1" si="55"/>
        <v>-0.13</v>
      </c>
      <c r="Q200" s="7">
        <f t="shared" ca="1" si="42"/>
        <v>-0.01</v>
      </c>
      <c r="R200" s="33">
        <f t="shared" ca="1" si="50"/>
        <v>5200</v>
      </c>
      <c r="S200" s="33">
        <f t="shared" ca="1" si="51"/>
        <v>-34800</v>
      </c>
      <c r="T200" s="33">
        <f t="shared" ca="1" si="43"/>
        <v>5200</v>
      </c>
      <c r="U200" s="7">
        <f t="shared" ca="1" si="52"/>
        <v>0.14942528735632185</v>
      </c>
      <c r="V200" s="7">
        <f t="shared" ca="1" si="53"/>
        <v>-0.35396427229224553</v>
      </c>
      <c r="W200" s="33">
        <f t="shared" ca="1" si="44"/>
        <v>5200</v>
      </c>
      <c r="X200" s="7">
        <f t="shared" ca="1" si="45"/>
        <v>1</v>
      </c>
      <c r="Y200" s="7">
        <f t="shared" ca="1" si="46"/>
        <v>1.1494252873563218</v>
      </c>
      <c r="Z200" s="7">
        <f t="shared" ca="1" si="54"/>
        <v>-6.2761615554836711E-2</v>
      </c>
      <c r="AA200" s="33">
        <f t="shared" ca="1" si="47"/>
        <v>5200</v>
      </c>
      <c r="AB200" s="7">
        <f t="shared" ca="1" si="48"/>
        <v>1</v>
      </c>
      <c r="AC200" s="7">
        <f t="shared" ca="1" si="49"/>
        <v>1.1494252873563218</v>
      </c>
      <c r="AD200" s="40"/>
      <c r="AE200" s="40"/>
      <c r="AF200" s="34"/>
      <c r="AH200" s="34"/>
    </row>
    <row r="201" spans="1:34" x14ac:dyDescent="0.25">
      <c r="A201" s="1">
        <v>198</v>
      </c>
      <c r="B201" s="25">
        <v>43979</v>
      </c>
      <c r="C201" s="10" t="s">
        <v>1662</v>
      </c>
      <c r="D201" s="1">
        <v>3656.5</v>
      </c>
      <c r="E201" s="30">
        <v>200</v>
      </c>
      <c r="F201" s="1">
        <v>3900</v>
      </c>
      <c r="G201" s="1">
        <v>50</v>
      </c>
      <c r="H201" s="1">
        <v>4200</v>
      </c>
      <c r="I201" s="1">
        <v>14.6</v>
      </c>
      <c r="J201" s="1">
        <v>6000</v>
      </c>
      <c r="K201" s="1">
        <v>200</v>
      </c>
      <c r="L201" s="1">
        <v>15</v>
      </c>
      <c r="M201" s="1">
        <v>21.45</v>
      </c>
      <c r="N201" s="1">
        <v>600</v>
      </c>
      <c r="O201" s="9"/>
      <c r="P201" s="7">
        <f t="shared" ca="1" si="55"/>
        <v>-0.11799999999999999</v>
      </c>
      <c r="Q201" s="7">
        <f t="shared" ca="1" si="42"/>
        <v>-9.0769230769230762E-3</v>
      </c>
      <c r="R201" s="33">
        <f t="shared" ca="1" si="50"/>
        <v>7080</v>
      </c>
      <c r="S201" s="33">
        <f t="shared" ca="1" si="51"/>
        <v>-52920</v>
      </c>
      <c r="T201" s="33">
        <f t="shared" ca="1" si="43"/>
        <v>7080</v>
      </c>
      <c r="U201" s="7">
        <f t="shared" ca="1" si="52"/>
        <v>0.13378684807256236</v>
      </c>
      <c r="V201" s="7">
        <f t="shared" ca="1" si="53"/>
        <v>-0.35396427229224553</v>
      </c>
      <c r="W201" s="33">
        <f t="shared" ca="1" si="44"/>
        <v>7080</v>
      </c>
      <c r="X201" s="7">
        <f t="shared" ca="1" si="45"/>
        <v>1</v>
      </c>
      <c r="Y201" s="7">
        <f t="shared" ca="1" si="46"/>
        <v>1.1337868480725624</v>
      </c>
      <c r="Z201" s="7">
        <f t="shared" ca="1" si="54"/>
        <v>-6.2761615554836711E-2</v>
      </c>
      <c r="AA201" s="33">
        <f t="shared" ca="1" si="47"/>
        <v>7080</v>
      </c>
      <c r="AB201" s="7">
        <f t="shared" ca="1" si="48"/>
        <v>1</v>
      </c>
      <c r="AC201" s="7">
        <f t="shared" ca="1" si="49"/>
        <v>1.1337868480725624</v>
      </c>
      <c r="AD201" s="40"/>
      <c r="AE201" s="40"/>
      <c r="AF201" s="34"/>
      <c r="AH201" s="34"/>
    </row>
    <row r="202" spans="1:34" x14ac:dyDescent="0.25">
      <c r="A202" s="1">
        <v>199</v>
      </c>
      <c r="B202" s="25">
        <v>43979</v>
      </c>
      <c r="C202" s="10" t="s">
        <v>1757</v>
      </c>
      <c r="D202" s="1">
        <v>25.05</v>
      </c>
      <c r="E202" s="30">
        <v>8800</v>
      </c>
      <c r="F202" s="1">
        <v>30</v>
      </c>
      <c r="G202" s="1">
        <v>1.8</v>
      </c>
      <c r="H202" s="1">
        <v>35</v>
      </c>
      <c r="I202" s="1">
        <v>0.9</v>
      </c>
      <c r="J202" s="1">
        <v>2332000</v>
      </c>
      <c r="K202" s="1">
        <v>61600</v>
      </c>
      <c r="L202" s="1">
        <v>0.9</v>
      </c>
      <c r="M202" s="1">
        <v>1</v>
      </c>
      <c r="N202" s="1">
        <v>8800</v>
      </c>
      <c r="O202" s="9"/>
      <c r="P202" s="7">
        <f t="shared" ca="1" si="55"/>
        <v>-0.18</v>
      </c>
      <c r="Q202" s="7">
        <f t="shared" ca="1" si="42"/>
        <v>-1.3846153846153845E-2</v>
      </c>
      <c r="R202" s="33">
        <f t="shared" ca="1" si="50"/>
        <v>7920</v>
      </c>
      <c r="S202" s="33">
        <f t="shared" ca="1" si="51"/>
        <v>-36080</v>
      </c>
      <c r="T202" s="33">
        <f t="shared" ca="1" si="43"/>
        <v>7920</v>
      </c>
      <c r="U202" s="7">
        <f t="shared" ca="1" si="52"/>
        <v>0.21951219512195122</v>
      </c>
      <c r="V202" s="7">
        <f t="shared" ca="1" si="53"/>
        <v>-0.88694877359013968</v>
      </c>
      <c r="W202" s="33">
        <f t="shared" ca="1" si="44"/>
        <v>7920</v>
      </c>
      <c r="X202" s="7">
        <f t="shared" ca="1" si="45"/>
        <v>1</v>
      </c>
      <c r="Y202" s="7">
        <f t="shared" ca="1" si="46"/>
        <v>1.2195121951219512</v>
      </c>
      <c r="Z202" s="7">
        <f t="shared" ca="1" si="54"/>
        <v>-0.20452780057779846</v>
      </c>
      <c r="AA202" s="33">
        <f t="shared" ca="1" si="47"/>
        <v>7920</v>
      </c>
      <c r="AB202" s="7">
        <f t="shared" ca="1" si="48"/>
        <v>1</v>
      </c>
      <c r="AC202" s="7">
        <f t="shared" ca="1" si="49"/>
        <v>1.2195121951219512</v>
      </c>
      <c r="AD202" s="40"/>
      <c r="AE202" s="40"/>
      <c r="AF202" s="34"/>
      <c r="AH202" s="34"/>
    </row>
    <row r="203" spans="1:34" x14ac:dyDescent="0.25">
      <c r="A203" s="1">
        <v>200</v>
      </c>
      <c r="B203" s="25">
        <v>43979</v>
      </c>
      <c r="C203" s="10" t="s">
        <v>1757</v>
      </c>
      <c r="D203" s="1">
        <v>25.05</v>
      </c>
      <c r="E203" s="30">
        <v>8800</v>
      </c>
      <c r="F203" s="1">
        <v>30</v>
      </c>
      <c r="G203" s="1">
        <v>1.8</v>
      </c>
      <c r="H203" s="1">
        <v>40</v>
      </c>
      <c r="I203" s="1">
        <v>0.55000000000000004</v>
      </c>
      <c r="J203" s="1">
        <v>3696000</v>
      </c>
      <c r="K203" s="1">
        <v>35200</v>
      </c>
      <c r="L203" s="1">
        <v>0.55000000000000004</v>
      </c>
      <c r="M203" s="1">
        <v>0.6</v>
      </c>
      <c r="N203" s="1">
        <v>26400</v>
      </c>
      <c r="O203" s="9"/>
      <c r="P203" s="7">
        <f t="shared" ca="1" si="55"/>
        <v>-0.125</v>
      </c>
      <c r="Q203" s="7">
        <f t="shared" ca="1" si="42"/>
        <v>-9.6153846153846159E-3</v>
      </c>
      <c r="R203" s="33">
        <f t="shared" ca="1" si="50"/>
        <v>11000</v>
      </c>
      <c r="S203" s="33">
        <f t="shared" ca="1" si="51"/>
        <v>-77000</v>
      </c>
      <c r="T203" s="33">
        <f t="shared" ca="1" si="43"/>
        <v>11000</v>
      </c>
      <c r="U203" s="7">
        <f t="shared" ca="1" si="52"/>
        <v>0.14285714285714285</v>
      </c>
      <c r="V203" s="7">
        <f t="shared" ca="1" si="53"/>
        <v>-0.88694877359013968</v>
      </c>
      <c r="W203" s="33">
        <f t="shared" ca="1" si="44"/>
        <v>11000</v>
      </c>
      <c r="X203" s="7">
        <f t="shared" ca="1" si="45"/>
        <v>1</v>
      </c>
      <c r="Y203" s="7">
        <f t="shared" ca="1" si="46"/>
        <v>1.1428571428571428</v>
      </c>
      <c r="Z203" s="7">
        <f t="shared" ca="1" si="54"/>
        <v>-0.20452780057779846</v>
      </c>
      <c r="AA203" s="33">
        <f t="shared" ca="1" si="47"/>
        <v>11000</v>
      </c>
      <c r="AB203" s="7">
        <f t="shared" ca="1" si="48"/>
        <v>1</v>
      </c>
      <c r="AC203" s="7">
        <f t="shared" ca="1" si="49"/>
        <v>1.1428571428571428</v>
      </c>
      <c r="AD203" s="40"/>
      <c r="AE203" s="40"/>
      <c r="AF203" s="34"/>
      <c r="AH203" s="34"/>
    </row>
    <row r="204" spans="1:34" x14ac:dyDescent="0.25">
      <c r="A204" s="1"/>
      <c r="B204" s="25"/>
      <c r="C204" s="10"/>
      <c r="D204" s="1"/>
      <c r="E204" s="30"/>
      <c r="F204" s="1"/>
      <c r="G204" s="1"/>
      <c r="H204" s="1"/>
      <c r="I204" s="1"/>
      <c r="J204" s="1"/>
      <c r="K204" s="1"/>
      <c r="L204" s="1"/>
      <c r="M204" s="1"/>
      <c r="N204" s="1"/>
      <c r="O204" s="9"/>
      <c r="P204" s="7" t="e">
        <f t="shared" ca="1" si="55"/>
        <v>#DIV/0!</v>
      </c>
      <c r="Q204" s="7" t="e">
        <f t="shared" ca="1" si="42"/>
        <v>#DIV/0!</v>
      </c>
      <c r="R204" s="33">
        <f t="shared" ca="1" si="50"/>
        <v>0</v>
      </c>
      <c r="S204" s="33">
        <f t="shared" ca="1" si="51"/>
        <v>0</v>
      </c>
      <c r="T204" s="33">
        <f t="shared" ca="1" si="43"/>
        <v>0</v>
      </c>
      <c r="U204" s="7" t="e">
        <f t="shared" ca="1" si="52"/>
        <v>#DIV/0!</v>
      </c>
      <c r="V204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4" s="33" t="e">
        <f t="shared" ca="1" si="44"/>
        <v>#VALUE!</v>
      </c>
      <c r="X204" s="7" t="e">
        <f t="shared" ca="1" si="45"/>
        <v>#VALUE!</v>
      </c>
      <c r="Y204" s="7" t="e">
        <f t="shared" ca="1" si="46"/>
        <v>#DIV/0!</v>
      </c>
      <c r="Z204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4" s="33" t="e">
        <f t="shared" ca="1" si="47"/>
        <v>#VALUE!</v>
      </c>
      <c r="AB204" s="7" t="e">
        <f t="shared" ca="1" si="48"/>
        <v>#VALUE!</v>
      </c>
      <c r="AC204" s="7" t="e">
        <f t="shared" ca="1" si="49"/>
        <v>#DIV/0!</v>
      </c>
      <c r="AD204" s="40"/>
      <c r="AE204" s="40"/>
      <c r="AF204" s="34"/>
      <c r="AH204" s="34"/>
    </row>
    <row r="205" spans="1:34" x14ac:dyDescent="0.25">
      <c r="A205" s="1"/>
      <c r="B205" s="25"/>
      <c r="C205" s="10"/>
      <c r="D205" s="1"/>
      <c r="E205" s="30"/>
      <c r="F205" s="1"/>
      <c r="G205" s="1"/>
      <c r="H205" s="1"/>
      <c r="I205" s="1"/>
      <c r="J205" s="1"/>
      <c r="K205" s="1"/>
      <c r="L205" s="1"/>
      <c r="M205" s="1"/>
      <c r="N205" s="1"/>
      <c r="O205" s="9"/>
      <c r="P205" s="7" t="e">
        <f t="shared" ca="1" si="55"/>
        <v>#DIV/0!</v>
      </c>
      <c r="Q205" s="7" t="e">
        <f t="shared" ca="1" si="42"/>
        <v>#DIV/0!</v>
      </c>
      <c r="R205" s="33">
        <f t="shared" ca="1" si="50"/>
        <v>0</v>
      </c>
      <c r="S205" s="33">
        <f t="shared" ca="1" si="51"/>
        <v>0</v>
      </c>
      <c r="T205" s="33">
        <f t="shared" ca="1" si="43"/>
        <v>0</v>
      </c>
      <c r="U205" s="7" t="e">
        <f t="shared" ca="1" si="52"/>
        <v>#DIV/0!</v>
      </c>
      <c r="V205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5" s="33" t="e">
        <f t="shared" ca="1" si="44"/>
        <v>#VALUE!</v>
      </c>
      <c r="X205" s="7" t="e">
        <f t="shared" ca="1" si="45"/>
        <v>#VALUE!</v>
      </c>
      <c r="Y205" s="7" t="e">
        <f t="shared" ca="1" si="46"/>
        <v>#DIV/0!</v>
      </c>
      <c r="Z205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5" s="33" t="e">
        <f t="shared" ca="1" si="47"/>
        <v>#VALUE!</v>
      </c>
      <c r="AB205" s="7" t="e">
        <f t="shared" ca="1" si="48"/>
        <v>#VALUE!</v>
      </c>
      <c r="AC205" s="7" t="e">
        <f t="shared" ca="1" si="49"/>
        <v>#DIV/0!</v>
      </c>
      <c r="AD205" s="40"/>
      <c r="AE205" s="40"/>
      <c r="AF205" s="34"/>
      <c r="AH205" s="34"/>
    </row>
    <row r="206" spans="1:34" x14ac:dyDescent="0.25">
      <c r="A206" s="1"/>
      <c r="B206" s="25"/>
      <c r="C206" s="10"/>
      <c r="D206" s="1"/>
      <c r="E206" s="30"/>
      <c r="F206" s="1"/>
      <c r="G206" s="1"/>
      <c r="H206" s="1"/>
      <c r="I206" s="1"/>
      <c r="J206" s="1"/>
      <c r="K206" s="1"/>
      <c r="L206" s="1"/>
      <c r="M206" s="1"/>
      <c r="N206" s="1"/>
      <c r="O206" s="9"/>
      <c r="P206" s="7" t="e">
        <f t="shared" ca="1" si="55"/>
        <v>#DIV/0!</v>
      </c>
      <c r="Q206" s="7" t="e">
        <f t="shared" ca="1" si="42"/>
        <v>#DIV/0!</v>
      </c>
      <c r="R206" s="33">
        <f t="shared" ca="1" si="50"/>
        <v>0</v>
      </c>
      <c r="S206" s="33">
        <f t="shared" ca="1" si="51"/>
        <v>0</v>
      </c>
      <c r="T206" s="33">
        <f t="shared" ca="1" si="43"/>
        <v>0</v>
      </c>
      <c r="U206" s="7" t="e">
        <f t="shared" ca="1" si="52"/>
        <v>#DIV/0!</v>
      </c>
      <c r="V206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6" s="33" t="e">
        <f t="shared" ca="1" si="44"/>
        <v>#VALUE!</v>
      </c>
      <c r="X206" s="7" t="e">
        <f t="shared" ca="1" si="45"/>
        <v>#VALUE!</v>
      </c>
      <c r="Y206" s="7" t="e">
        <f t="shared" ca="1" si="46"/>
        <v>#DIV/0!</v>
      </c>
      <c r="Z206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6" s="33" t="e">
        <f t="shared" ca="1" si="47"/>
        <v>#VALUE!</v>
      </c>
      <c r="AB206" s="7" t="e">
        <f t="shared" ca="1" si="48"/>
        <v>#VALUE!</v>
      </c>
      <c r="AC206" s="7" t="e">
        <f t="shared" ca="1" si="49"/>
        <v>#DIV/0!</v>
      </c>
      <c r="AD206" s="40"/>
      <c r="AE206" s="40"/>
      <c r="AF206" s="34"/>
      <c r="AH206" s="34"/>
    </row>
    <row r="207" spans="1:34" x14ac:dyDescent="0.25">
      <c r="A207" s="1"/>
      <c r="B207" s="25"/>
      <c r="C207" s="10"/>
      <c r="D207" s="1"/>
      <c r="E207" s="30"/>
      <c r="F207" s="1"/>
      <c r="G207" s="1"/>
      <c r="H207" s="1"/>
      <c r="I207" s="1"/>
      <c r="J207" s="1"/>
      <c r="K207" s="1"/>
      <c r="L207" s="1"/>
      <c r="M207" s="1"/>
      <c r="N207" s="1"/>
      <c r="O207" s="9"/>
      <c r="P207" s="7" t="e">
        <f t="shared" ca="1" si="55"/>
        <v>#DIV/0!</v>
      </c>
      <c r="Q207" s="7" t="e">
        <f t="shared" ca="1" si="42"/>
        <v>#DIV/0!</v>
      </c>
      <c r="R207" s="33">
        <f t="shared" ca="1" si="50"/>
        <v>0</v>
      </c>
      <c r="S207" s="33">
        <f t="shared" ca="1" si="51"/>
        <v>0</v>
      </c>
      <c r="T207" s="33">
        <f t="shared" ca="1" si="43"/>
        <v>0</v>
      </c>
      <c r="U207" s="7" t="e">
        <f t="shared" ca="1" si="52"/>
        <v>#DIV/0!</v>
      </c>
      <c r="V207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7" s="33" t="e">
        <f t="shared" ca="1" si="44"/>
        <v>#VALUE!</v>
      </c>
      <c r="X207" s="7" t="e">
        <f t="shared" ca="1" si="45"/>
        <v>#VALUE!</v>
      </c>
      <c r="Y207" s="7" t="e">
        <f t="shared" ca="1" si="46"/>
        <v>#DIV/0!</v>
      </c>
      <c r="Z207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7" s="33" t="e">
        <f t="shared" ca="1" si="47"/>
        <v>#VALUE!</v>
      </c>
      <c r="AB207" s="7" t="e">
        <f t="shared" ca="1" si="48"/>
        <v>#VALUE!</v>
      </c>
      <c r="AC207" s="7" t="e">
        <f t="shared" ca="1" si="49"/>
        <v>#DIV/0!</v>
      </c>
      <c r="AD207" s="40"/>
      <c r="AE207" s="40"/>
      <c r="AF207" s="34"/>
      <c r="AH207" s="34"/>
    </row>
    <row r="208" spans="1:34" x14ac:dyDescent="0.25">
      <c r="A208" s="1"/>
      <c r="B208" s="25"/>
      <c r="C208" s="10"/>
      <c r="D208" s="1"/>
      <c r="E208" s="30"/>
      <c r="F208" s="1"/>
      <c r="G208" s="1"/>
      <c r="H208" s="1"/>
      <c r="I208" s="1"/>
      <c r="J208" s="1"/>
      <c r="K208" s="1"/>
      <c r="L208" s="1"/>
      <c r="M208" s="1"/>
      <c r="N208" s="1"/>
      <c r="O208" s="9"/>
      <c r="P208" s="7" t="e">
        <f t="shared" ca="1" si="55"/>
        <v>#DIV/0!</v>
      </c>
      <c r="Q208" s="7" t="e">
        <f t="shared" ca="1" si="42"/>
        <v>#DIV/0!</v>
      </c>
      <c r="R208" s="33">
        <f t="shared" ca="1" si="50"/>
        <v>0</v>
      </c>
      <c r="S208" s="33">
        <f t="shared" ca="1" si="51"/>
        <v>0</v>
      </c>
      <c r="T208" s="33">
        <f t="shared" ca="1" si="43"/>
        <v>0</v>
      </c>
      <c r="U208" s="7" t="e">
        <f t="shared" ca="1" si="52"/>
        <v>#DIV/0!</v>
      </c>
      <c r="V208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8" s="33" t="e">
        <f t="shared" ca="1" si="44"/>
        <v>#VALUE!</v>
      </c>
      <c r="X208" s="7" t="e">
        <f t="shared" ca="1" si="45"/>
        <v>#VALUE!</v>
      </c>
      <c r="Y208" s="7" t="e">
        <f t="shared" ca="1" si="46"/>
        <v>#DIV/0!</v>
      </c>
      <c r="Z208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8" s="33" t="e">
        <f t="shared" ca="1" si="47"/>
        <v>#VALUE!</v>
      </c>
      <c r="AB208" s="7" t="e">
        <f t="shared" ca="1" si="48"/>
        <v>#VALUE!</v>
      </c>
      <c r="AC208" s="7" t="e">
        <f t="shared" ca="1" si="49"/>
        <v>#DIV/0!</v>
      </c>
      <c r="AD208" s="40"/>
      <c r="AE208" s="40"/>
      <c r="AF208" s="34"/>
      <c r="AH208" s="34"/>
    </row>
    <row r="209" spans="1:34" x14ac:dyDescent="0.25">
      <c r="A209" s="1"/>
      <c r="B209" s="25"/>
      <c r="C209" s="10"/>
      <c r="D209" s="1"/>
      <c r="E209" s="30"/>
      <c r="F209" s="1"/>
      <c r="G209" s="1"/>
      <c r="H209" s="1"/>
      <c r="I209" s="1"/>
      <c r="J209" s="1"/>
      <c r="K209" s="1"/>
      <c r="L209" s="1"/>
      <c r="M209" s="1"/>
      <c r="N209" s="1"/>
      <c r="O209" s="9"/>
      <c r="P209" s="7" t="e">
        <f t="shared" ca="1" si="55"/>
        <v>#DIV/0!</v>
      </c>
      <c r="Q209" s="7" t="e">
        <f t="shared" ca="1" si="42"/>
        <v>#DIV/0!</v>
      </c>
      <c r="R209" s="33">
        <f t="shared" ca="1" si="50"/>
        <v>0</v>
      </c>
      <c r="S209" s="33">
        <f t="shared" ca="1" si="51"/>
        <v>0</v>
      </c>
      <c r="T209" s="33">
        <f t="shared" ca="1" si="43"/>
        <v>0</v>
      </c>
      <c r="U209" s="7" t="e">
        <f t="shared" ca="1" si="52"/>
        <v>#DIV/0!</v>
      </c>
      <c r="V209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9" s="33" t="e">
        <f t="shared" ca="1" si="44"/>
        <v>#VALUE!</v>
      </c>
      <c r="X209" s="7" t="e">
        <f t="shared" ca="1" si="45"/>
        <v>#VALUE!</v>
      </c>
      <c r="Y209" s="7" t="e">
        <f t="shared" ca="1" si="46"/>
        <v>#DIV/0!</v>
      </c>
      <c r="Z209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9" s="33" t="e">
        <f t="shared" ca="1" si="47"/>
        <v>#VALUE!</v>
      </c>
      <c r="AB209" s="7" t="e">
        <f t="shared" ca="1" si="48"/>
        <v>#VALUE!</v>
      </c>
      <c r="AC209" s="7" t="e">
        <f t="shared" ca="1" si="49"/>
        <v>#DIV/0!</v>
      </c>
      <c r="AD209" s="40"/>
      <c r="AE209" s="40"/>
      <c r="AF209" s="34"/>
      <c r="AH209" s="34"/>
    </row>
    <row r="210" spans="1:34" x14ac:dyDescent="0.25">
      <c r="A210" s="1"/>
      <c r="B210" s="25"/>
      <c r="C210" s="10"/>
      <c r="D210" s="1"/>
      <c r="E210" s="30"/>
      <c r="F210" s="1"/>
      <c r="G210" s="1"/>
      <c r="H210" s="1"/>
      <c r="I210" s="1"/>
      <c r="J210" s="1"/>
      <c r="K210" s="1"/>
      <c r="L210" s="1"/>
      <c r="M210" s="1"/>
      <c r="N210" s="1"/>
      <c r="O210" s="9"/>
      <c r="P210" s="7" t="e">
        <f t="shared" ca="1" si="55"/>
        <v>#DIV/0!</v>
      </c>
      <c r="Q210" s="7" t="e">
        <f t="shared" ca="1" si="42"/>
        <v>#DIV/0!</v>
      </c>
      <c r="R210" s="33">
        <f t="shared" ca="1" si="50"/>
        <v>0</v>
      </c>
      <c r="S210" s="33">
        <f t="shared" ca="1" si="51"/>
        <v>0</v>
      </c>
      <c r="T210" s="33">
        <f t="shared" ca="1" si="43"/>
        <v>0</v>
      </c>
      <c r="U210" s="7" t="e">
        <f t="shared" ca="1" si="52"/>
        <v>#DIV/0!</v>
      </c>
      <c r="V210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0" s="33" t="e">
        <f t="shared" ca="1" si="44"/>
        <v>#VALUE!</v>
      </c>
      <c r="X210" s="7" t="e">
        <f t="shared" ca="1" si="45"/>
        <v>#VALUE!</v>
      </c>
      <c r="Y210" s="7" t="e">
        <f t="shared" ca="1" si="46"/>
        <v>#DIV/0!</v>
      </c>
      <c r="Z210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0" s="33" t="e">
        <f t="shared" ca="1" si="47"/>
        <v>#VALUE!</v>
      </c>
      <c r="AB210" s="7" t="e">
        <f t="shared" ca="1" si="48"/>
        <v>#VALUE!</v>
      </c>
      <c r="AC210" s="7" t="e">
        <f t="shared" ca="1" si="49"/>
        <v>#DIV/0!</v>
      </c>
      <c r="AD210" s="40"/>
      <c r="AE210" s="40"/>
      <c r="AF210" s="34"/>
      <c r="AH210" s="34"/>
    </row>
    <row r="211" spans="1:34" x14ac:dyDescent="0.25">
      <c r="A211" s="1"/>
      <c r="B211" s="25"/>
      <c r="C211" s="10"/>
      <c r="D211" s="1"/>
      <c r="E211" s="30"/>
      <c r="F211" s="1"/>
      <c r="G211" s="1"/>
      <c r="H211" s="1"/>
      <c r="I211" s="1"/>
      <c r="J211" s="1"/>
      <c r="K211" s="1"/>
      <c r="L211" s="1"/>
      <c r="M211" s="1"/>
      <c r="N211" s="1"/>
      <c r="O211" s="9"/>
      <c r="P211" s="7" t="e">
        <f t="shared" ca="1" si="55"/>
        <v>#DIV/0!</v>
      </c>
      <c r="Q211" s="7" t="e">
        <f t="shared" ca="1" si="42"/>
        <v>#DIV/0!</v>
      </c>
      <c r="R211" s="33">
        <f t="shared" ca="1" si="50"/>
        <v>0</v>
      </c>
      <c r="S211" s="33">
        <f t="shared" ca="1" si="51"/>
        <v>0</v>
      </c>
      <c r="T211" s="33">
        <f t="shared" ca="1" si="43"/>
        <v>0</v>
      </c>
      <c r="U211" s="7" t="e">
        <f t="shared" ca="1" si="52"/>
        <v>#DIV/0!</v>
      </c>
      <c r="V211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1" s="33" t="e">
        <f t="shared" ca="1" si="44"/>
        <v>#VALUE!</v>
      </c>
      <c r="X211" s="7" t="e">
        <f t="shared" ca="1" si="45"/>
        <v>#VALUE!</v>
      </c>
      <c r="Y211" s="7" t="e">
        <f t="shared" ca="1" si="46"/>
        <v>#DIV/0!</v>
      </c>
      <c r="Z211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1" s="33" t="e">
        <f t="shared" ca="1" si="47"/>
        <v>#VALUE!</v>
      </c>
      <c r="AB211" s="7" t="e">
        <f t="shared" ca="1" si="48"/>
        <v>#VALUE!</v>
      </c>
      <c r="AC211" s="7" t="e">
        <f t="shared" ca="1" si="49"/>
        <v>#DIV/0!</v>
      </c>
      <c r="AD211" s="40"/>
      <c r="AE211" s="40"/>
      <c r="AF211" s="34"/>
      <c r="AH211" s="34"/>
    </row>
    <row r="212" spans="1:34" x14ac:dyDescent="0.25">
      <c r="A212" s="1"/>
      <c r="B212" s="25"/>
      <c r="C212" s="10"/>
      <c r="D212" s="1"/>
      <c r="E212" s="30"/>
      <c r="F212" s="1"/>
      <c r="G212" s="1"/>
      <c r="H212" s="1"/>
      <c r="I212" s="1"/>
      <c r="J212" s="1"/>
      <c r="K212" s="1"/>
      <c r="L212" s="1"/>
      <c r="M212" s="1"/>
      <c r="N212" s="1"/>
      <c r="O212" s="9"/>
      <c r="P212" s="7" t="e">
        <f t="shared" ca="1" si="55"/>
        <v>#DIV/0!</v>
      </c>
      <c r="Q212" s="7" t="e">
        <f t="shared" ca="1" si="42"/>
        <v>#DIV/0!</v>
      </c>
      <c r="R212" s="33">
        <f t="shared" ca="1" si="50"/>
        <v>0</v>
      </c>
      <c r="S212" s="33">
        <f t="shared" ca="1" si="51"/>
        <v>0</v>
      </c>
      <c r="T212" s="33">
        <f t="shared" ca="1" si="43"/>
        <v>0</v>
      </c>
      <c r="U212" s="7" t="e">
        <f t="shared" ca="1" si="52"/>
        <v>#DIV/0!</v>
      </c>
      <c r="V212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2" s="33" t="e">
        <f t="shared" ca="1" si="44"/>
        <v>#VALUE!</v>
      </c>
      <c r="X212" s="7" t="e">
        <f t="shared" ca="1" si="45"/>
        <v>#VALUE!</v>
      </c>
      <c r="Y212" s="7" t="e">
        <f t="shared" ca="1" si="46"/>
        <v>#DIV/0!</v>
      </c>
      <c r="Z212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2" s="33" t="e">
        <f t="shared" ca="1" si="47"/>
        <v>#VALUE!</v>
      </c>
      <c r="AB212" s="7" t="e">
        <f t="shared" ca="1" si="48"/>
        <v>#VALUE!</v>
      </c>
      <c r="AC212" s="7" t="e">
        <f t="shared" ca="1" si="49"/>
        <v>#DIV/0!</v>
      </c>
      <c r="AD212" s="40"/>
      <c r="AE212" s="40"/>
      <c r="AF212" s="34"/>
      <c r="AH212" s="34"/>
    </row>
    <row r="213" spans="1:34" x14ac:dyDescent="0.25">
      <c r="A213" s="1"/>
      <c r="B213" s="25"/>
      <c r="C213" s="10"/>
      <c r="D213" s="1"/>
      <c r="E213" s="30"/>
      <c r="F213" s="1"/>
      <c r="G213" s="1"/>
      <c r="H213" s="1"/>
      <c r="I213" s="1"/>
      <c r="J213" s="1"/>
      <c r="K213" s="1"/>
      <c r="L213" s="1"/>
      <c r="M213" s="1"/>
      <c r="N213" s="1"/>
      <c r="O213" s="9"/>
      <c r="P213" s="7" t="e">
        <f t="shared" ca="1" si="55"/>
        <v>#DIV/0!</v>
      </c>
      <c r="Q213" s="7" t="e">
        <f t="shared" ca="1" si="42"/>
        <v>#DIV/0!</v>
      </c>
      <c r="R213" s="33">
        <f t="shared" ca="1" si="50"/>
        <v>0</v>
      </c>
      <c r="S213" s="33">
        <f t="shared" ca="1" si="51"/>
        <v>0</v>
      </c>
      <c r="T213" s="33">
        <f t="shared" ca="1" si="43"/>
        <v>0</v>
      </c>
      <c r="U213" s="7" t="e">
        <f t="shared" ca="1" si="52"/>
        <v>#DIV/0!</v>
      </c>
      <c r="V213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3" s="33" t="e">
        <f t="shared" ca="1" si="44"/>
        <v>#VALUE!</v>
      </c>
      <c r="X213" s="7" t="e">
        <f t="shared" ca="1" si="45"/>
        <v>#VALUE!</v>
      </c>
      <c r="Y213" s="7" t="e">
        <f t="shared" ca="1" si="46"/>
        <v>#DIV/0!</v>
      </c>
      <c r="Z213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3" s="33" t="e">
        <f t="shared" ca="1" si="47"/>
        <v>#VALUE!</v>
      </c>
      <c r="AB213" s="7" t="e">
        <f t="shared" ca="1" si="48"/>
        <v>#VALUE!</v>
      </c>
      <c r="AC213" s="7" t="e">
        <f t="shared" ca="1" si="49"/>
        <v>#DIV/0!</v>
      </c>
      <c r="AD213" s="40"/>
      <c r="AE213" s="40"/>
      <c r="AF213" s="34"/>
      <c r="AH213" s="34"/>
    </row>
    <row r="214" spans="1:34" x14ac:dyDescent="0.25">
      <c r="A214" s="1"/>
      <c r="B214" s="25"/>
      <c r="C214" s="10"/>
      <c r="D214" s="1"/>
      <c r="E214" s="30"/>
      <c r="F214" s="1"/>
      <c r="G214" s="1"/>
      <c r="H214" s="1"/>
      <c r="I214" s="1"/>
      <c r="J214" s="1"/>
      <c r="K214" s="1"/>
      <c r="L214" s="1"/>
      <c r="M214" s="1"/>
      <c r="N214" s="1"/>
      <c r="O214" s="9"/>
      <c r="P214" s="7" t="e">
        <f t="shared" ca="1" si="55"/>
        <v>#DIV/0!</v>
      </c>
      <c r="Q214" s="7" t="e">
        <f t="shared" ca="1" si="42"/>
        <v>#DIV/0!</v>
      </c>
      <c r="R214" s="33">
        <f t="shared" ca="1" si="50"/>
        <v>0</v>
      </c>
      <c r="S214" s="33">
        <f t="shared" ca="1" si="51"/>
        <v>0</v>
      </c>
      <c r="T214" s="33">
        <f t="shared" ca="1" si="43"/>
        <v>0</v>
      </c>
      <c r="U214" s="7" t="e">
        <f t="shared" ca="1" si="52"/>
        <v>#DIV/0!</v>
      </c>
      <c r="V214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4" s="33" t="e">
        <f t="shared" ca="1" si="44"/>
        <v>#VALUE!</v>
      </c>
      <c r="X214" s="7" t="e">
        <f t="shared" ca="1" si="45"/>
        <v>#VALUE!</v>
      </c>
      <c r="Y214" s="7" t="e">
        <f t="shared" ca="1" si="46"/>
        <v>#DIV/0!</v>
      </c>
      <c r="Z214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4" s="33" t="e">
        <f t="shared" ca="1" si="47"/>
        <v>#VALUE!</v>
      </c>
      <c r="AB214" s="7" t="e">
        <f t="shared" ca="1" si="48"/>
        <v>#VALUE!</v>
      </c>
      <c r="AC214" s="7" t="e">
        <f t="shared" ca="1" si="49"/>
        <v>#DIV/0!</v>
      </c>
      <c r="AD214" s="40"/>
      <c r="AE214" s="40"/>
      <c r="AF214" s="34"/>
      <c r="AH214" s="34"/>
    </row>
    <row r="215" spans="1:34" x14ac:dyDescent="0.25">
      <c r="A215" s="1"/>
      <c r="B215" s="25"/>
      <c r="C215" s="10"/>
      <c r="D215" s="1"/>
      <c r="E215" s="30"/>
      <c r="F215" s="1"/>
      <c r="G215" s="1"/>
      <c r="H215" s="1"/>
      <c r="I215" s="1"/>
      <c r="J215" s="1"/>
      <c r="K215" s="1"/>
      <c r="L215" s="1"/>
      <c r="M215" s="1"/>
      <c r="N215" s="1"/>
      <c r="O215" s="9"/>
      <c r="P215" s="7" t="e">
        <f t="shared" ca="1" si="55"/>
        <v>#DIV/0!</v>
      </c>
      <c r="Q215" s="7" t="e">
        <f t="shared" ca="1" si="42"/>
        <v>#DIV/0!</v>
      </c>
      <c r="R215" s="33">
        <f t="shared" ca="1" si="50"/>
        <v>0</v>
      </c>
      <c r="S215" s="33">
        <f t="shared" ca="1" si="51"/>
        <v>0</v>
      </c>
      <c r="T215" s="33">
        <f t="shared" ca="1" si="43"/>
        <v>0</v>
      </c>
      <c r="U215" s="7" t="e">
        <f t="shared" ca="1" si="52"/>
        <v>#DIV/0!</v>
      </c>
      <c r="V215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5" s="33" t="e">
        <f t="shared" ca="1" si="44"/>
        <v>#VALUE!</v>
      </c>
      <c r="X215" s="7" t="e">
        <f t="shared" ca="1" si="45"/>
        <v>#VALUE!</v>
      </c>
      <c r="Y215" s="7" t="e">
        <f t="shared" ca="1" si="46"/>
        <v>#DIV/0!</v>
      </c>
      <c r="Z215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5" s="33" t="e">
        <f t="shared" ca="1" si="47"/>
        <v>#VALUE!</v>
      </c>
      <c r="AB215" s="7" t="e">
        <f t="shared" ca="1" si="48"/>
        <v>#VALUE!</v>
      </c>
      <c r="AC215" s="7" t="e">
        <f t="shared" ca="1" si="49"/>
        <v>#DIV/0!</v>
      </c>
      <c r="AD215" s="40"/>
      <c r="AE215" s="40"/>
      <c r="AF215" s="34"/>
      <c r="AH215" s="34"/>
    </row>
    <row r="216" spans="1:34" x14ac:dyDescent="0.25">
      <c r="A216" s="1"/>
      <c r="B216" s="25"/>
      <c r="C216" s="10"/>
      <c r="D216" s="1"/>
      <c r="E216" s="30"/>
      <c r="F216" s="1"/>
      <c r="G216" s="1"/>
      <c r="H216" s="1"/>
      <c r="I216" s="1"/>
      <c r="J216" s="1"/>
      <c r="K216" s="1"/>
      <c r="L216" s="1"/>
      <c r="M216" s="1"/>
      <c r="N216" s="1"/>
      <c r="O216" s="9"/>
      <c r="P216" s="7" t="e">
        <f t="shared" ca="1" si="55"/>
        <v>#DIV/0!</v>
      </c>
      <c r="Q216" s="7" t="e">
        <f t="shared" ca="1" si="42"/>
        <v>#DIV/0!</v>
      </c>
      <c r="R216" s="33">
        <f t="shared" ca="1" si="50"/>
        <v>0</v>
      </c>
      <c r="S216" s="33">
        <f t="shared" ca="1" si="51"/>
        <v>0</v>
      </c>
      <c r="T216" s="33">
        <f t="shared" ca="1" si="43"/>
        <v>0</v>
      </c>
      <c r="U216" s="7" t="e">
        <f t="shared" ca="1" si="52"/>
        <v>#DIV/0!</v>
      </c>
      <c r="V216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6" s="33" t="e">
        <f t="shared" ca="1" si="44"/>
        <v>#VALUE!</v>
      </c>
      <c r="X216" s="7" t="e">
        <f t="shared" ca="1" si="45"/>
        <v>#VALUE!</v>
      </c>
      <c r="Y216" s="7" t="e">
        <f t="shared" ca="1" si="46"/>
        <v>#DIV/0!</v>
      </c>
      <c r="Z216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6" s="33" t="e">
        <f t="shared" ca="1" si="47"/>
        <v>#VALUE!</v>
      </c>
      <c r="AB216" s="7" t="e">
        <f t="shared" ca="1" si="48"/>
        <v>#VALUE!</v>
      </c>
      <c r="AC216" s="7" t="e">
        <f t="shared" ca="1" si="49"/>
        <v>#DIV/0!</v>
      </c>
      <c r="AD216" s="40"/>
      <c r="AE216" s="40"/>
      <c r="AF216" s="34"/>
      <c r="AH216" s="34"/>
    </row>
    <row r="217" spans="1:34" x14ac:dyDescent="0.25">
      <c r="A217" s="1"/>
      <c r="B217" s="25"/>
      <c r="C217" s="10"/>
      <c r="D217" s="1"/>
      <c r="E217" s="30"/>
      <c r="F217" s="1"/>
      <c r="G217" s="1"/>
      <c r="H217" s="1"/>
      <c r="I217" s="1"/>
      <c r="J217" s="1"/>
      <c r="K217" s="1"/>
      <c r="L217" s="1"/>
      <c r="M217" s="1"/>
      <c r="N217" s="1"/>
      <c r="O217" s="9"/>
      <c r="P217" s="7" t="e">
        <f t="shared" ca="1" si="55"/>
        <v>#DIV/0!</v>
      </c>
      <c r="Q217" s="7" t="e">
        <f t="shared" ca="1" si="42"/>
        <v>#DIV/0!</v>
      </c>
      <c r="R217" s="33">
        <f t="shared" ca="1" si="50"/>
        <v>0</v>
      </c>
      <c r="S217" s="33">
        <f t="shared" ca="1" si="51"/>
        <v>0</v>
      </c>
      <c r="T217" s="33">
        <f t="shared" ca="1" si="43"/>
        <v>0</v>
      </c>
      <c r="U217" s="7" t="e">
        <f t="shared" ca="1" si="52"/>
        <v>#DIV/0!</v>
      </c>
      <c r="V217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7" s="33" t="e">
        <f t="shared" ca="1" si="44"/>
        <v>#VALUE!</v>
      </c>
      <c r="X217" s="7" t="e">
        <f t="shared" ca="1" si="45"/>
        <v>#VALUE!</v>
      </c>
      <c r="Y217" s="7" t="e">
        <f t="shared" ca="1" si="46"/>
        <v>#DIV/0!</v>
      </c>
      <c r="Z217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7" s="33" t="e">
        <f t="shared" ca="1" si="47"/>
        <v>#VALUE!</v>
      </c>
      <c r="AB217" s="7" t="e">
        <f t="shared" ca="1" si="48"/>
        <v>#VALUE!</v>
      </c>
      <c r="AC217" s="7" t="e">
        <f t="shared" ca="1" si="49"/>
        <v>#DIV/0!</v>
      </c>
      <c r="AD217" s="40"/>
      <c r="AE217" s="40"/>
      <c r="AF217" s="34"/>
      <c r="AH217" s="34"/>
    </row>
    <row r="218" spans="1:34" x14ac:dyDescent="0.25">
      <c r="A218" s="1"/>
      <c r="B218" s="25"/>
      <c r="C218" s="10"/>
      <c r="D218" s="1"/>
      <c r="E218" s="30"/>
      <c r="F218" s="1"/>
      <c r="G218" s="1"/>
      <c r="H218" s="1"/>
      <c r="I218" s="1"/>
      <c r="J218" s="1"/>
      <c r="K218" s="1"/>
      <c r="L218" s="1"/>
      <c r="M218" s="1"/>
      <c r="N218" s="1"/>
      <c r="O218" s="9"/>
      <c r="P218" s="7" t="e">
        <f t="shared" ca="1" si="55"/>
        <v>#DIV/0!</v>
      </c>
      <c r="Q218" s="7" t="e">
        <f t="shared" ca="1" si="42"/>
        <v>#DIV/0!</v>
      </c>
      <c r="R218" s="33">
        <f t="shared" ca="1" si="50"/>
        <v>0</v>
      </c>
      <c r="S218" s="33">
        <f t="shared" ca="1" si="51"/>
        <v>0</v>
      </c>
      <c r="T218" s="33">
        <f t="shared" ca="1" si="43"/>
        <v>0</v>
      </c>
      <c r="U218" s="7" t="e">
        <f t="shared" ca="1" si="52"/>
        <v>#DIV/0!</v>
      </c>
      <c r="V218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8" s="33" t="e">
        <f t="shared" ca="1" si="44"/>
        <v>#VALUE!</v>
      </c>
      <c r="X218" s="7" t="e">
        <f t="shared" ca="1" si="45"/>
        <v>#VALUE!</v>
      </c>
      <c r="Y218" s="7" t="e">
        <f t="shared" ca="1" si="46"/>
        <v>#DIV/0!</v>
      </c>
      <c r="Z218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8" s="33" t="e">
        <f t="shared" ca="1" si="47"/>
        <v>#VALUE!</v>
      </c>
      <c r="AB218" s="7" t="e">
        <f t="shared" ca="1" si="48"/>
        <v>#VALUE!</v>
      </c>
      <c r="AC218" s="7" t="e">
        <f t="shared" ca="1" si="49"/>
        <v>#DIV/0!</v>
      </c>
      <c r="AD218" s="40"/>
      <c r="AE218" s="40"/>
      <c r="AF218" s="34"/>
      <c r="AH218" s="34"/>
    </row>
    <row r="219" spans="1:34" x14ac:dyDescent="0.25">
      <c r="A219" s="1"/>
      <c r="B219" s="25"/>
      <c r="C219" s="10"/>
      <c r="D219" s="1"/>
      <c r="E219" s="30"/>
      <c r="F219" s="1"/>
      <c r="G219" s="1"/>
      <c r="H219" s="1"/>
      <c r="I219" s="1"/>
      <c r="J219" s="1"/>
      <c r="K219" s="1"/>
      <c r="L219" s="1"/>
      <c r="M219" s="1"/>
      <c r="N219" s="1"/>
      <c r="O219" s="9"/>
      <c r="P219" s="7" t="e">
        <f t="shared" ca="1" si="55"/>
        <v>#DIV/0!</v>
      </c>
      <c r="Q219" s="7" t="e">
        <f t="shared" ca="1" si="42"/>
        <v>#DIV/0!</v>
      </c>
      <c r="R219" s="33">
        <f t="shared" ca="1" si="50"/>
        <v>0</v>
      </c>
      <c r="S219" s="33">
        <f t="shared" ca="1" si="51"/>
        <v>0</v>
      </c>
      <c r="T219" s="33">
        <f t="shared" ca="1" si="43"/>
        <v>0</v>
      </c>
      <c r="U219" s="7" t="e">
        <f t="shared" ca="1" si="52"/>
        <v>#DIV/0!</v>
      </c>
      <c r="V219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9" s="33" t="e">
        <f t="shared" ca="1" si="44"/>
        <v>#VALUE!</v>
      </c>
      <c r="X219" s="7" t="e">
        <f t="shared" ca="1" si="45"/>
        <v>#VALUE!</v>
      </c>
      <c r="Y219" s="7" t="e">
        <f t="shared" ca="1" si="46"/>
        <v>#DIV/0!</v>
      </c>
      <c r="Z219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9" s="33" t="e">
        <f t="shared" ca="1" si="47"/>
        <v>#VALUE!</v>
      </c>
      <c r="AB219" s="7" t="e">
        <f t="shared" ca="1" si="48"/>
        <v>#VALUE!</v>
      </c>
      <c r="AC219" s="7" t="e">
        <f t="shared" ca="1" si="49"/>
        <v>#DIV/0!</v>
      </c>
      <c r="AD219" s="40"/>
      <c r="AE219" s="40"/>
      <c r="AF219" s="34"/>
      <c r="AH219" s="34"/>
    </row>
    <row r="220" spans="1:34" x14ac:dyDescent="0.25">
      <c r="A220" s="1"/>
      <c r="B220" s="25"/>
      <c r="C220" s="10"/>
      <c r="D220" s="1"/>
      <c r="E220" s="30"/>
      <c r="F220" s="1"/>
      <c r="G220" s="1"/>
      <c r="H220" s="1"/>
      <c r="I220" s="1"/>
      <c r="J220" s="1"/>
      <c r="K220" s="1"/>
      <c r="L220" s="1"/>
      <c r="M220" s="1"/>
      <c r="N220" s="1"/>
      <c r="O220" s="9"/>
      <c r="P220" s="7" t="e">
        <f t="shared" ca="1" si="55"/>
        <v>#DIV/0!</v>
      </c>
      <c r="Q220" s="7" t="e">
        <f t="shared" ca="1" si="42"/>
        <v>#DIV/0!</v>
      </c>
      <c r="R220" s="33">
        <f t="shared" ca="1" si="50"/>
        <v>0</v>
      </c>
      <c r="S220" s="33">
        <f t="shared" ca="1" si="51"/>
        <v>0</v>
      </c>
      <c r="T220" s="33">
        <f t="shared" ca="1" si="43"/>
        <v>0</v>
      </c>
      <c r="U220" s="7" t="e">
        <f t="shared" ca="1" si="52"/>
        <v>#DIV/0!</v>
      </c>
      <c r="V220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0" s="33" t="e">
        <f t="shared" ca="1" si="44"/>
        <v>#VALUE!</v>
      </c>
      <c r="X220" s="7" t="e">
        <f t="shared" ca="1" si="45"/>
        <v>#VALUE!</v>
      </c>
      <c r="Y220" s="7" t="e">
        <f t="shared" ca="1" si="46"/>
        <v>#DIV/0!</v>
      </c>
      <c r="Z220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0" s="33" t="e">
        <f t="shared" ca="1" si="47"/>
        <v>#VALUE!</v>
      </c>
      <c r="AB220" s="7" t="e">
        <f t="shared" ca="1" si="48"/>
        <v>#VALUE!</v>
      </c>
      <c r="AC220" s="7" t="e">
        <f t="shared" ca="1" si="49"/>
        <v>#DIV/0!</v>
      </c>
      <c r="AD220" s="40"/>
      <c r="AE220" s="40"/>
      <c r="AF220" s="34"/>
      <c r="AH220" s="34"/>
    </row>
    <row r="221" spans="1:34" x14ac:dyDescent="0.25">
      <c r="A221" s="1"/>
      <c r="B221" s="25"/>
      <c r="C221" s="10"/>
      <c r="D221" s="1"/>
      <c r="E221" s="30"/>
      <c r="F221" s="1"/>
      <c r="G221" s="1"/>
      <c r="H221" s="1"/>
      <c r="I221" s="1"/>
      <c r="J221" s="1"/>
      <c r="K221" s="1"/>
      <c r="L221" s="1"/>
      <c r="M221" s="1"/>
      <c r="N221" s="1"/>
      <c r="O221" s="9"/>
      <c r="P221" s="7" t="e">
        <f t="shared" ca="1" si="55"/>
        <v>#DIV/0!</v>
      </c>
      <c r="Q221" s="7" t="e">
        <f t="shared" ca="1" si="42"/>
        <v>#DIV/0!</v>
      </c>
      <c r="R221" s="33">
        <f t="shared" ca="1" si="50"/>
        <v>0</v>
      </c>
      <c r="S221" s="33">
        <f t="shared" ca="1" si="51"/>
        <v>0</v>
      </c>
      <c r="T221" s="33">
        <f t="shared" ca="1" si="43"/>
        <v>0</v>
      </c>
      <c r="U221" s="7" t="e">
        <f t="shared" ca="1" si="52"/>
        <v>#DIV/0!</v>
      </c>
      <c r="V221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1" s="33" t="e">
        <f t="shared" ca="1" si="44"/>
        <v>#VALUE!</v>
      </c>
      <c r="X221" s="7" t="e">
        <f t="shared" ca="1" si="45"/>
        <v>#VALUE!</v>
      </c>
      <c r="Y221" s="7" t="e">
        <f t="shared" ca="1" si="46"/>
        <v>#DIV/0!</v>
      </c>
      <c r="Z221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1" s="33" t="e">
        <f t="shared" ca="1" si="47"/>
        <v>#VALUE!</v>
      </c>
      <c r="AB221" s="7" t="e">
        <f t="shared" ca="1" si="48"/>
        <v>#VALUE!</v>
      </c>
      <c r="AC221" s="7" t="e">
        <f t="shared" ca="1" si="49"/>
        <v>#DIV/0!</v>
      </c>
      <c r="AD221" s="40"/>
      <c r="AE221" s="40"/>
      <c r="AF221" s="34"/>
      <c r="AH221" s="34"/>
    </row>
    <row r="222" spans="1:34" x14ac:dyDescent="0.25">
      <c r="A222" s="1"/>
      <c r="B222" s="25"/>
      <c r="C222" s="10"/>
      <c r="D222" s="1"/>
      <c r="E222" s="30"/>
      <c r="F222" s="1"/>
      <c r="G222" s="1"/>
      <c r="H222" s="1"/>
      <c r="I222" s="1"/>
      <c r="J222" s="1"/>
      <c r="K222" s="1"/>
      <c r="L222" s="1"/>
      <c r="M222" s="1"/>
      <c r="N222" s="1"/>
      <c r="O222" s="9"/>
      <c r="P222" s="7" t="e">
        <f t="shared" ca="1" si="55"/>
        <v>#DIV/0!</v>
      </c>
      <c r="Q222" s="7" t="e">
        <f t="shared" ca="1" si="42"/>
        <v>#DIV/0!</v>
      </c>
      <c r="R222" s="33">
        <f t="shared" ca="1" si="50"/>
        <v>0</v>
      </c>
      <c r="S222" s="33">
        <f t="shared" ca="1" si="51"/>
        <v>0</v>
      </c>
      <c r="T222" s="33">
        <f t="shared" ca="1" si="43"/>
        <v>0</v>
      </c>
      <c r="U222" s="7" t="e">
        <f t="shared" ca="1" si="52"/>
        <v>#DIV/0!</v>
      </c>
      <c r="V222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2" s="33" t="e">
        <f t="shared" ca="1" si="44"/>
        <v>#VALUE!</v>
      </c>
      <c r="X222" s="7" t="e">
        <f t="shared" ca="1" si="45"/>
        <v>#VALUE!</v>
      </c>
      <c r="Y222" s="7" t="e">
        <f t="shared" ca="1" si="46"/>
        <v>#DIV/0!</v>
      </c>
      <c r="Z222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2" s="33" t="e">
        <f t="shared" ca="1" si="47"/>
        <v>#VALUE!</v>
      </c>
      <c r="AB222" s="7" t="e">
        <f t="shared" ca="1" si="48"/>
        <v>#VALUE!</v>
      </c>
      <c r="AC222" s="7" t="e">
        <f t="shared" ca="1" si="49"/>
        <v>#DIV/0!</v>
      </c>
      <c r="AD222" s="40"/>
      <c r="AE222" s="40"/>
      <c r="AF222" s="34"/>
      <c r="AH222" s="34"/>
    </row>
    <row r="223" spans="1:34" x14ac:dyDescent="0.25">
      <c r="A223" s="1"/>
      <c r="B223" s="25"/>
      <c r="C223" s="10"/>
      <c r="D223" s="1"/>
      <c r="E223" s="30"/>
      <c r="F223" s="1"/>
      <c r="G223" s="1"/>
      <c r="H223" s="1"/>
      <c r="I223" s="1"/>
      <c r="J223" s="1"/>
      <c r="K223" s="1"/>
      <c r="L223" s="1"/>
      <c r="M223" s="1"/>
      <c r="N223" s="1"/>
      <c r="O223" s="9"/>
      <c r="P223" s="7" t="e">
        <f t="shared" ca="1" si="55"/>
        <v>#DIV/0!</v>
      </c>
      <c r="Q223" s="7" t="e">
        <f t="shared" ca="1" si="42"/>
        <v>#DIV/0!</v>
      </c>
      <c r="R223" s="33">
        <f t="shared" ca="1" si="50"/>
        <v>0</v>
      </c>
      <c r="S223" s="33">
        <f t="shared" ca="1" si="51"/>
        <v>0</v>
      </c>
      <c r="T223" s="33">
        <f t="shared" ca="1" si="43"/>
        <v>0</v>
      </c>
      <c r="U223" s="7" t="e">
        <f t="shared" ca="1" si="52"/>
        <v>#DIV/0!</v>
      </c>
      <c r="V223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3" s="33" t="e">
        <f t="shared" ca="1" si="44"/>
        <v>#VALUE!</v>
      </c>
      <c r="X223" s="7" t="e">
        <f t="shared" ca="1" si="45"/>
        <v>#VALUE!</v>
      </c>
      <c r="Y223" s="7" t="e">
        <f t="shared" ca="1" si="46"/>
        <v>#DIV/0!</v>
      </c>
      <c r="Z223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3" s="33" t="e">
        <f t="shared" ca="1" si="47"/>
        <v>#VALUE!</v>
      </c>
      <c r="AB223" s="7" t="e">
        <f t="shared" ca="1" si="48"/>
        <v>#VALUE!</v>
      </c>
      <c r="AC223" s="7" t="e">
        <f t="shared" ca="1" si="49"/>
        <v>#DIV/0!</v>
      </c>
      <c r="AD223" s="40"/>
      <c r="AE223" s="40"/>
      <c r="AF223" s="34"/>
      <c r="AH223" s="34"/>
    </row>
    <row r="224" spans="1:34" x14ac:dyDescent="0.25">
      <c r="A224" s="1"/>
      <c r="B224" s="25"/>
      <c r="C224" s="10"/>
      <c r="D224" s="1"/>
      <c r="E224" s="30"/>
      <c r="F224" s="1"/>
      <c r="G224" s="1"/>
      <c r="H224" s="1"/>
      <c r="I224" s="1"/>
      <c r="J224" s="1"/>
      <c r="K224" s="1"/>
      <c r="L224" s="1"/>
      <c r="M224" s="1"/>
      <c r="N224" s="1"/>
      <c r="O224" s="9"/>
      <c r="P224" s="7" t="e">
        <f t="shared" ca="1" si="55"/>
        <v>#DIV/0!</v>
      </c>
      <c r="Q224" s="7" t="e">
        <f t="shared" ca="1" si="42"/>
        <v>#DIV/0!</v>
      </c>
      <c r="R224" s="33">
        <f t="shared" ca="1" si="50"/>
        <v>0</v>
      </c>
      <c r="S224" s="33">
        <f t="shared" ca="1" si="51"/>
        <v>0</v>
      </c>
      <c r="T224" s="33">
        <f t="shared" ca="1" si="43"/>
        <v>0</v>
      </c>
      <c r="U224" s="7" t="e">
        <f t="shared" ca="1" si="52"/>
        <v>#DIV/0!</v>
      </c>
      <c r="V224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4" s="33" t="e">
        <f t="shared" ca="1" si="44"/>
        <v>#VALUE!</v>
      </c>
      <c r="X224" s="7" t="e">
        <f t="shared" ca="1" si="45"/>
        <v>#VALUE!</v>
      </c>
      <c r="Y224" s="7" t="e">
        <f t="shared" ca="1" si="46"/>
        <v>#DIV/0!</v>
      </c>
      <c r="Z224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4" s="33" t="e">
        <f t="shared" ca="1" si="47"/>
        <v>#VALUE!</v>
      </c>
      <c r="AB224" s="7" t="e">
        <f t="shared" ca="1" si="48"/>
        <v>#VALUE!</v>
      </c>
      <c r="AC224" s="7" t="e">
        <f t="shared" ca="1" si="49"/>
        <v>#DIV/0!</v>
      </c>
      <c r="AD224" s="40"/>
      <c r="AE224" s="40"/>
      <c r="AF224" s="34"/>
      <c r="AH224" s="34"/>
    </row>
    <row r="225" spans="1:34" x14ac:dyDescent="0.25">
      <c r="A225" s="1"/>
      <c r="B225" s="25"/>
      <c r="C225" s="10"/>
      <c r="D225" s="1"/>
      <c r="E225" s="30"/>
      <c r="F225" s="1"/>
      <c r="G225" s="1"/>
      <c r="H225" s="1"/>
      <c r="I225" s="1"/>
      <c r="J225" s="1"/>
      <c r="K225" s="1"/>
      <c r="L225" s="1"/>
      <c r="M225" s="1"/>
      <c r="N225" s="1"/>
      <c r="O225" s="9"/>
      <c r="P225" s="7" t="e">
        <f t="shared" ca="1" si="55"/>
        <v>#DIV/0!</v>
      </c>
      <c r="Q225" s="7" t="e">
        <f t="shared" ca="1" si="42"/>
        <v>#DIV/0!</v>
      </c>
      <c r="R225" s="33">
        <f t="shared" ca="1" si="50"/>
        <v>0</v>
      </c>
      <c r="S225" s="33">
        <f t="shared" ca="1" si="51"/>
        <v>0</v>
      </c>
      <c r="T225" s="33">
        <f t="shared" ca="1" si="43"/>
        <v>0</v>
      </c>
      <c r="U225" s="7" t="e">
        <f t="shared" ca="1" si="52"/>
        <v>#DIV/0!</v>
      </c>
      <c r="V225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5" s="33" t="e">
        <f t="shared" ca="1" si="44"/>
        <v>#VALUE!</v>
      </c>
      <c r="X225" s="7" t="e">
        <f t="shared" ca="1" si="45"/>
        <v>#VALUE!</v>
      </c>
      <c r="Y225" s="7" t="e">
        <f t="shared" ca="1" si="46"/>
        <v>#DIV/0!</v>
      </c>
      <c r="Z225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5" s="33" t="e">
        <f t="shared" ca="1" si="47"/>
        <v>#VALUE!</v>
      </c>
      <c r="AB225" s="7" t="e">
        <f t="shared" ca="1" si="48"/>
        <v>#VALUE!</v>
      </c>
      <c r="AC225" s="7" t="e">
        <f t="shared" ca="1" si="49"/>
        <v>#DIV/0!</v>
      </c>
      <c r="AD225" s="40"/>
      <c r="AE225" s="40"/>
      <c r="AF225" s="34"/>
      <c r="AH225" s="34"/>
    </row>
    <row r="226" spans="1:34" x14ac:dyDescent="0.25">
      <c r="A226" s="1"/>
      <c r="B226" s="25"/>
      <c r="C226" s="10"/>
      <c r="D226" s="1"/>
      <c r="E226" s="30"/>
      <c r="F226" s="1"/>
      <c r="G226" s="1"/>
      <c r="H226" s="1"/>
      <c r="I226" s="1"/>
      <c r="J226" s="1"/>
      <c r="K226" s="1"/>
      <c r="L226" s="1"/>
      <c r="M226" s="1"/>
      <c r="N226" s="1"/>
      <c r="O226" s="9"/>
      <c r="P226" s="7" t="e">
        <f t="shared" ca="1" si="55"/>
        <v>#DIV/0!</v>
      </c>
      <c r="Q226" s="7" t="e">
        <f t="shared" ca="1" si="42"/>
        <v>#DIV/0!</v>
      </c>
      <c r="R226" s="33">
        <f t="shared" ca="1" si="50"/>
        <v>0</v>
      </c>
      <c r="S226" s="33">
        <f t="shared" ca="1" si="51"/>
        <v>0</v>
      </c>
      <c r="T226" s="33">
        <f t="shared" ca="1" si="43"/>
        <v>0</v>
      </c>
      <c r="U226" s="7" t="e">
        <f t="shared" ca="1" si="52"/>
        <v>#DIV/0!</v>
      </c>
      <c r="V226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6" s="33" t="e">
        <f t="shared" ca="1" si="44"/>
        <v>#VALUE!</v>
      </c>
      <c r="X226" s="7" t="e">
        <f t="shared" ca="1" si="45"/>
        <v>#VALUE!</v>
      </c>
      <c r="Y226" s="7" t="e">
        <f t="shared" ca="1" si="46"/>
        <v>#DIV/0!</v>
      </c>
      <c r="Z226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6" s="33" t="e">
        <f t="shared" ca="1" si="47"/>
        <v>#VALUE!</v>
      </c>
      <c r="AB226" s="7" t="e">
        <f t="shared" ca="1" si="48"/>
        <v>#VALUE!</v>
      </c>
      <c r="AC226" s="7" t="e">
        <f t="shared" ca="1" si="49"/>
        <v>#DIV/0!</v>
      </c>
      <c r="AD226" s="40"/>
      <c r="AE226" s="40"/>
      <c r="AF226" s="34"/>
      <c r="AH226" s="34"/>
    </row>
    <row r="227" spans="1:34" x14ac:dyDescent="0.25">
      <c r="A227" s="1"/>
      <c r="B227" s="25"/>
      <c r="C227" s="10"/>
      <c r="D227" s="1"/>
      <c r="E227" s="30"/>
      <c r="F227" s="1"/>
      <c r="G227" s="1"/>
      <c r="H227" s="1"/>
      <c r="I227" s="1"/>
      <c r="J227" s="1"/>
      <c r="K227" s="1"/>
      <c r="L227" s="1"/>
      <c r="M227" s="1"/>
      <c r="N227" s="1"/>
      <c r="O227" s="9"/>
      <c r="P227" s="7" t="e">
        <f t="shared" ca="1" si="55"/>
        <v>#DIV/0!</v>
      </c>
      <c r="Q227" s="7" t="e">
        <f t="shared" ca="1" si="42"/>
        <v>#DIV/0!</v>
      </c>
      <c r="R227" s="33">
        <f t="shared" ca="1" si="50"/>
        <v>0</v>
      </c>
      <c r="S227" s="33">
        <f t="shared" ca="1" si="51"/>
        <v>0</v>
      </c>
      <c r="T227" s="33">
        <f t="shared" ca="1" si="43"/>
        <v>0</v>
      </c>
      <c r="U227" s="7" t="e">
        <f t="shared" ca="1" si="52"/>
        <v>#DIV/0!</v>
      </c>
      <c r="V227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7" s="33" t="e">
        <f t="shared" ca="1" si="44"/>
        <v>#VALUE!</v>
      </c>
      <c r="X227" s="7" t="e">
        <f t="shared" ca="1" si="45"/>
        <v>#VALUE!</v>
      </c>
      <c r="Y227" s="7" t="e">
        <f t="shared" ca="1" si="46"/>
        <v>#DIV/0!</v>
      </c>
      <c r="Z227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7" s="33" t="e">
        <f t="shared" ca="1" si="47"/>
        <v>#VALUE!</v>
      </c>
      <c r="AB227" s="7" t="e">
        <f t="shared" ca="1" si="48"/>
        <v>#VALUE!</v>
      </c>
      <c r="AC227" s="7" t="e">
        <f t="shared" ca="1" si="49"/>
        <v>#DIV/0!</v>
      </c>
      <c r="AD227" s="40"/>
      <c r="AE227" s="40"/>
      <c r="AF227" s="34"/>
      <c r="AH227" s="34"/>
    </row>
    <row r="228" spans="1:34" x14ac:dyDescent="0.25">
      <c r="A228" s="1"/>
      <c r="B228" s="25"/>
      <c r="C228" s="10"/>
      <c r="D228" s="1"/>
      <c r="E228" s="30"/>
      <c r="F228" s="1"/>
      <c r="G228" s="1"/>
      <c r="H228" s="1"/>
      <c r="I228" s="1"/>
      <c r="J228" s="1"/>
      <c r="K228" s="1"/>
      <c r="L228" s="1"/>
      <c r="M228" s="1"/>
      <c r="N228" s="1"/>
      <c r="O228" s="9"/>
      <c r="P228" s="7" t="e">
        <f t="shared" ca="1" si="55"/>
        <v>#DIV/0!</v>
      </c>
      <c r="Q228" s="7" t="e">
        <f t="shared" ca="1" si="42"/>
        <v>#DIV/0!</v>
      </c>
      <c r="R228" s="33">
        <f t="shared" ca="1" si="50"/>
        <v>0</v>
      </c>
      <c r="S228" s="33">
        <f t="shared" ca="1" si="51"/>
        <v>0</v>
      </c>
      <c r="T228" s="33">
        <f t="shared" ca="1" si="43"/>
        <v>0</v>
      </c>
      <c r="U228" s="7" t="e">
        <f t="shared" ca="1" si="52"/>
        <v>#DIV/0!</v>
      </c>
      <c r="V228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8" s="33" t="e">
        <f t="shared" ca="1" si="44"/>
        <v>#VALUE!</v>
      </c>
      <c r="X228" s="7" t="e">
        <f t="shared" ca="1" si="45"/>
        <v>#VALUE!</v>
      </c>
      <c r="Y228" s="7" t="e">
        <f t="shared" ca="1" si="46"/>
        <v>#DIV/0!</v>
      </c>
      <c r="Z228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8" s="33" t="e">
        <f t="shared" ca="1" si="47"/>
        <v>#VALUE!</v>
      </c>
      <c r="AB228" s="7" t="e">
        <f t="shared" ca="1" si="48"/>
        <v>#VALUE!</v>
      </c>
      <c r="AC228" s="7" t="e">
        <f t="shared" ca="1" si="49"/>
        <v>#DIV/0!</v>
      </c>
      <c r="AD228" s="40"/>
      <c r="AE228" s="40"/>
      <c r="AF228" s="34"/>
      <c r="AH228" s="34"/>
    </row>
    <row r="229" spans="1:34" x14ac:dyDescent="0.25">
      <c r="A229" s="1"/>
      <c r="B229" s="25"/>
      <c r="C229" s="10"/>
      <c r="D229" s="1"/>
      <c r="E229" s="30"/>
      <c r="F229" s="1"/>
      <c r="G229" s="1"/>
      <c r="H229" s="1"/>
      <c r="I229" s="1"/>
      <c r="J229" s="1"/>
      <c r="K229" s="1"/>
      <c r="L229" s="1"/>
      <c r="M229" s="1"/>
      <c r="N229" s="1"/>
      <c r="O229" s="9"/>
      <c r="P229" s="7" t="e">
        <f t="shared" ca="1" si="55"/>
        <v>#DIV/0!</v>
      </c>
      <c r="Q229" s="7" t="e">
        <f t="shared" ca="1" si="42"/>
        <v>#DIV/0!</v>
      </c>
      <c r="R229" s="33">
        <f t="shared" ca="1" si="50"/>
        <v>0</v>
      </c>
      <c r="S229" s="33">
        <f t="shared" ca="1" si="51"/>
        <v>0</v>
      </c>
      <c r="T229" s="33">
        <f t="shared" ca="1" si="43"/>
        <v>0</v>
      </c>
      <c r="U229" s="7" t="e">
        <f t="shared" ca="1" si="52"/>
        <v>#DIV/0!</v>
      </c>
      <c r="V229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9" s="33" t="e">
        <f t="shared" ca="1" si="44"/>
        <v>#VALUE!</v>
      </c>
      <c r="X229" s="7" t="e">
        <f t="shared" ca="1" si="45"/>
        <v>#VALUE!</v>
      </c>
      <c r="Y229" s="7" t="e">
        <f t="shared" ca="1" si="46"/>
        <v>#DIV/0!</v>
      </c>
      <c r="Z229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9" s="33" t="e">
        <f t="shared" ca="1" si="47"/>
        <v>#VALUE!</v>
      </c>
      <c r="AB229" s="7" t="e">
        <f t="shared" ca="1" si="48"/>
        <v>#VALUE!</v>
      </c>
      <c r="AC229" s="7" t="e">
        <f t="shared" ca="1" si="49"/>
        <v>#DIV/0!</v>
      </c>
      <c r="AD229" s="40"/>
      <c r="AE229" s="40"/>
      <c r="AF229" s="34"/>
      <c r="AH229" s="34"/>
    </row>
    <row r="230" spans="1:34" x14ac:dyDescent="0.25">
      <c r="A230" s="1"/>
      <c r="B230" s="25"/>
      <c r="C230" s="10"/>
      <c r="D230" s="1"/>
      <c r="E230" s="30"/>
      <c r="F230" s="1"/>
      <c r="G230" s="1"/>
      <c r="H230" s="1"/>
      <c r="I230" s="1"/>
      <c r="J230" s="1"/>
      <c r="K230" s="1"/>
      <c r="L230" s="1"/>
      <c r="M230" s="1"/>
      <c r="N230" s="1"/>
      <c r="O230" s="9"/>
      <c r="P230" s="7" t="e">
        <f t="shared" ca="1" si="55"/>
        <v>#DIV/0!</v>
      </c>
      <c r="Q230" s="7" t="e">
        <f t="shared" ca="1" si="42"/>
        <v>#DIV/0!</v>
      </c>
      <c r="R230" s="33">
        <f t="shared" ca="1" si="50"/>
        <v>0</v>
      </c>
      <c r="S230" s="33">
        <f t="shared" ca="1" si="51"/>
        <v>0</v>
      </c>
      <c r="T230" s="33">
        <f t="shared" ca="1" si="43"/>
        <v>0</v>
      </c>
      <c r="U230" s="7" t="e">
        <f t="shared" ca="1" si="52"/>
        <v>#DIV/0!</v>
      </c>
      <c r="V230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0" s="33" t="e">
        <f t="shared" ca="1" si="44"/>
        <v>#VALUE!</v>
      </c>
      <c r="X230" s="7" t="e">
        <f t="shared" ca="1" si="45"/>
        <v>#VALUE!</v>
      </c>
      <c r="Y230" s="7" t="e">
        <f t="shared" ca="1" si="46"/>
        <v>#DIV/0!</v>
      </c>
      <c r="Z230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0" s="33" t="e">
        <f t="shared" ca="1" si="47"/>
        <v>#VALUE!</v>
      </c>
      <c r="AB230" s="7" t="e">
        <f t="shared" ca="1" si="48"/>
        <v>#VALUE!</v>
      </c>
      <c r="AC230" s="7" t="e">
        <f t="shared" ca="1" si="49"/>
        <v>#DIV/0!</v>
      </c>
      <c r="AD230" s="40"/>
      <c r="AE230" s="40"/>
      <c r="AF230" s="34"/>
      <c r="AH230" s="34"/>
    </row>
    <row r="231" spans="1:34" x14ac:dyDescent="0.25">
      <c r="A231" s="1"/>
      <c r="B231" s="25"/>
      <c r="C231" s="10"/>
      <c r="D231" s="1"/>
      <c r="E231" s="30"/>
      <c r="F231" s="1"/>
      <c r="G231" s="1"/>
      <c r="H231" s="1"/>
      <c r="I231" s="1"/>
      <c r="J231" s="1"/>
      <c r="K231" s="1"/>
      <c r="L231" s="1"/>
      <c r="M231" s="1"/>
      <c r="N231" s="1"/>
      <c r="O231" s="9"/>
      <c r="P231" s="7" t="e">
        <f t="shared" ca="1" si="55"/>
        <v>#DIV/0!</v>
      </c>
      <c r="Q231" s="7" t="e">
        <f t="shared" ca="1" si="42"/>
        <v>#DIV/0!</v>
      </c>
      <c r="R231" s="33">
        <f t="shared" ca="1" si="50"/>
        <v>0</v>
      </c>
      <c r="S231" s="33">
        <f t="shared" ca="1" si="51"/>
        <v>0</v>
      </c>
      <c r="T231" s="33">
        <f t="shared" ca="1" si="43"/>
        <v>0</v>
      </c>
      <c r="U231" s="7" t="e">
        <f t="shared" ca="1" si="52"/>
        <v>#DIV/0!</v>
      </c>
      <c r="V231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1" s="33" t="e">
        <f t="shared" ca="1" si="44"/>
        <v>#VALUE!</v>
      </c>
      <c r="X231" s="7" t="e">
        <f t="shared" ca="1" si="45"/>
        <v>#VALUE!</v>
      </c>
      <c r="Y231" s="7" t="e">
        <f t="shared" ca="1" si="46"/>
        <v>#DIV/0!</v>
      </c>
      <c r="Z231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1" s="33" t="e">
        <f t="shared" ca="1" si="47"/>
        <v>#VALUE!</v>
      </c>
      <c r="AB231" s="7" t="e">
        <f t="shared" ca="1" si="48"/>
        <v>#VALUE!</v>
      </c>
      <c r="AC231" s="7" t="e">
        <f t="shared" ca="1" si="49"/>
        <v>#DIV/0!</v>
      </c>
      <c r="AD231" s="40"/>
      <c r="AE231" s="40"/>
      <c r="AF231" s="34"/>
      <c r="AH231" s="34"/>
    </row>
    <row r="232" spans="1:34" x14ac:dyDescent="0.25">
      <c r="A232" s="1"/>
      <c r="B232" s="25"/>
      <c r="C232" s="10"/>
      <c r="D232" s="1"/>
      <c r="E232" s="30"/>
      <c r="F232" s="1"/>
      <c r="G232" s="1"/>
      <c r="H232" s="1"/>
      <c r="I232" s="1"/>
      <c r="J232" s="1"/>
      <c r="K232" s="1"/>
      <c r="L232" s="1"/>
      <c r="M232" s="1"/>
      <c r="N232" s="1"/>
      <c r="O232" s="9"/>
      <c r="P232" s="7" t="e">
        <f t="shared" ca="1" si="55"/>
        <v>#DIV/0!</v>
      </c>
      <c r="Q232" s="7" t="e">
        <f ca="1">P232/($B232-TODAY())</f>
        <v>#DIV/0!</v>
      </c>
      <c r="R232" s="33">
        <f t="shared" ca="1" si="50"/>
        <v>0</v>
      </c>
      <c r="S232" s="33">
        <f t="shared" ca="1" si="51"/>
        <v>0</v>
      </c>
      <c r="T232" s="33">
        <f ca="1">R232</f>
        <v>0</v>
      </c>
      <c r="U232" s="7" t="e">
        <f t="shared" ca="1" si="52"/>
        <v>#DIV/0!</v>
      </c>
      <c r="V232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2" s="33" t="e">
        <f ca="1">-(MAX(($F232-MAX($D232*(1+V232),$H232)),0)*$E232-$R232)</f>
        <v>#VALUE!</v>
      </c>
      <c r="X232" s="7" t="e">
        <f ca="1">W232/$R232</f>
        <v>#VALUE!</v>
      </c>
      <c r="Y232" s="7" t="e">
        <f ca="1">$U232+X232</f>
        <v>#DIV/0!</v>
      </c>
      <c r="Z232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2" s="33" t="e">
        <f ca="1">-(MAX(($F232-MAX($D232*(1+Z232),$H232)),0)*$E232-$R232)</f>
        <v>#VALUE!</v>
      </c>
      <c r="AB232" s="7" t="e">
        <f ca="1">AA232/$R232</f>
        <v>#VALUE!</v>
      </c>
      <c r="AC232" s="7" t="e">
        <f ca="1">$U232+AB232</f>
        <v>#DIV/0!</v>
      </c>
      <c r="AD232" s="40"/>
      <c r="AE232" s="40"/>
      <c r="AF232" s="34"/>
      <c r="AH232" s="34"/>
    </row>
    <row r="233" spans="1:34" x14ac:dyDescent="0.25">
      <c r="A233" s="1"/>
      <c r="B233" s="25"/>
      <c r="C233" s="10"/>
      <c r="D233" s="1"/>
      <c r="E233" s="30"/>
      <c r="F233" s="1"/>
      <c r="G233" s="1"/>
      <c r="H233" s="1"/>
      <c r="I233" s="1"/>
      <c r="J233" s="1"/>
      <c r="K233" s="1"/>
      <c r="L233" s="1"/>
      <c r="M233" s="1"/>
      <c r="N233" s="1"/>
      <c r="O233" s="9"/>
      <c r="P233" s="7" t="e">
        <f t="shared" ca="1" si="55"/>
        <v>#DIV/0!</v>
      </c>
      <c r="Q233" s="7" t="e">
        <f ca="1">P233/($B233-TODAY())</f>
        <v>#DIV/0!</v>
      </c>
      <c r="R233" s="33">
        <f t="shared" ca="1" si="50"/>
        <v>0</v>
      </c>
      <c r="S233" s="33">
        <f t="shared" ca="1" si="51"/>
        <v>0</v>
      </c>
      <c r="T233" s="33">
        <f ca="1">R233</f>
        <v>0</v>
      </c>
      <c r="U233" s="7" t="e">
        <f t="shared" ca="1" si="52"/>
        <v>#DIV/0!</v>
      </c>
      <c r="V233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3" s="33" t="e">
        <f ca="1">-(MAX(($F233-MAX($D233*(1+V233),$H233)),0)*$E233-$R233)</f>
        <v>#VALUE!</v>
      </c>
      <c r="X233" s="7" t="e">
        <f ca="1">W233/$R233</f>
        <v>#VALUE!</v>
      </c>
      <c r="Y233" s="7" t="e">
        <f ca="1">$U233+X233</f>
        <v>#DIV/0!</v>
      </c>
      <c r="Z233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3" s="33" t="e">
        <f ca="1">-(MAX(($F233-MAX($D233*(1+Z233),$H233)),0)*$E233-$R233)</f>
        <v>#VALUE!</v>
      </c>
      <c r="AB233" s="7" t="e">
        <f ca="1">AA233/$R233</f>
        <v>#VALUE!</v>
      </c>
      <c r="AC233" s="7" t="e">
        <f ca="1">$U233+AB233</f>
        <v>#DIV/0!</v>
      </c>
      <c r="AD233" s="40"/>
      <c r="AE233" s="40"/>
      <c r="AF233" s="34"/>
      <c r="AH233" s="34"/>
    </row>
    <row r="234" spans="1:34" x14ac:dyDescent="0.25">
      <c r="A234" s="1"/>
      <c r="B234" s="25"/>
      <c r="C234" s="10"/>
      <c r="D234" s="1"/>
      <c r="E234" s="30"/>
      <c r="F234" s="1"/>
      <c r="G234" s="1"/>
      <c r="H234" s="1"/>
      <c r="I234" s="1"/>
      <c r="J234" s="1"/>
      <c r="K234" s="1"/>
      <c r="L234" s="1"/>
      <c r="M234" s="1"/>
      <c r="N234" s="1"/>
      <c r="O234" s="9"/>
      <c r="P234" s="7" t="e">
        <f t="shared" ca="1" si="55"/>
        <v>#DIV/0!</v>
      </c>
      <c r="Q234" s="7" t="e">
        <f ca="1">P234/($B234-TODAY())</f>
        <v>#DIV/0!</v>
      </c>
      <c r="R234" s="33">
        <f t="shared" ca="1" si="50"/>
        <v>0</v>
      </c>
      <c r="S234" s="33">
        <f t="shared" ca="1" si="51"/>
        <v>0</v>
      </c>
      <c r="T234" s="33">
        <f ca="1">R234</f>
        <v>0</v>
      </c>
      <c r="U234" s="7" t="e">
        <f t="shared" ca="1" si="52"/>
        <v>#DIV/0!</v>
      </c>
      <c r="V234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4" s="33" t="e">
        <f ca="1">-(MAX(($F234-MAX($D234*(1+V234),$H234)),0)*$E234-$R234)</f>
        <v>#VALUE!</v>
      </c>
      <c r="X234" s="7" t="e">
        <f ca="1">W234/$R234</f>
        <v>#VALUE!</v>
      </c>
      <c r="Y234" s="7" t="e">
        <f ca="1">$U234+X234</f>
        <v>#DIV/0!</v>
      </c>
      <c r="Z234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4" s="33" t="e">
        <f ca="1">-(MAX(($F234-MAX($D234*(1+Z234),$H234)),0)*$E234-$R234)</f>
        <v>#VALUE!</v>
      </c>
      <c r="AB234" s="7" t="e">
        <f ca="1">AA234/$R234</f>
        <v>#VALUE!</v>
      </c>
      <c r="AC234" s="7" t="e">
        <f ca="1">$U234+AB234</f>
        <v>#DIV/0!</v>
      </c>
      <c r="AD234" s="40"/>
      <c r="AE234" s="40"/>
      <c r="AF234" s="34"/>
      <c r="AH234" s="34"/>
    </row>
    <row r="235" spans="1:34" x14ac:dyDescent="0.25">
      <c r="A235" s="1"/>
      <c r="B235" s="25"/>
      <c r="C235" s="10"/>
      <c r="D235" s="1"/>
      <c r="E235" s="30"/>
      <c r="F235" s="1"/>
      <c r="G235" s="1"/>
      <c r="H235" s="1"/>
      <c r="I235" s="1"/>
      <c r="J235" s="1"/>
      <c r="K235" s="1"/>
      <c r="L235" s="1"/>
      <c r="M235" s="1"/>
      <c r="N235" s="1"/>
      <c r="O235" s="9"/>
      <c r="P235" s="7" t="e">
        <f t="shared" ca="1" si="55"/>
        <v>#DIV/0!</v>
      </c>
      <c r="Q235" s="7" t="e">
        <f ca="1">P235/($B235-TODAY())</f>
        <v>#DIV/0!</v>
      </c>
      <c r="R235" s="33">
        <f t="shared" ca="1" si="50"/>
        <v>0</v>
      </c>
      <c r="S235" s="33">
        <f t="shared" ca="1" si="51"/>
        <v>0</v>
      </c>
      <c r="T235" s="33">
        <f ca="1">R235</f>
        <v>0</v>
      </c>
      <c r="U235" s="7" t="e">
        <f t="shared" ca="1" si="52"/>
        <v>#DIV/0!</v>
      </c>
      <c r="V235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5" s="33" t="e">
        <f ca="1">-(MAX(($F235-MAX($D235*(1+V235),$H235)),0)*$E235-$R235)</f>
        <v>#VALUE!</v>
      </c>
      <c r="X235" s="7" t="e">
        <f ca="1">W235/$R235</f>
        <v>#VALUE!</v>
      </c>
      <c r="Y235" s="7" t="e">
        <f ca="1">$U235+X235</f>
        <v>#DIV/0!</v>
      </c>
      <c r="Z235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5" s="33" t="e">
        <f ca="1">-(MAX(($F235-MAX($D235*(1+Z235),$H235)),0)*$E235-$R235)</f>
        <v>#VALUE!</v>
      </c>
      <c r="AB235" s="7" t="e">
        <f ca="1">AA235/$R235</f>
        <v>#VALUE!</v>
      </c>
      <c r="AC235" s="7" t="e">
        <f ca="1">$U235+AB235</f>
        <v>#DIV/0!</v>
      </c>
      <c r="AD235" s="40"/>
      <c r="AE235" s="40"/>
      <c r="AF235" s="34"/>
      <c r="AH235" s="34"/>
    </row>
    <row r="236" spans="1:34" x14ac:dyDescent="0.25">
      <c r="A236" s="1"/>
      <c r="B236" s="25"/>
      <c r="C236" s="10"/>
      <c r="D236" s="1"/>
      <c r="E236" s="30"/>
      <c r="F236" s="1"/>
      <c r="G236" s="1"/>
      <c r="H236" s="1"/>
      <c r="I236" s="1"/>
      <c r="J236" s="1"/>
      <c r="K236" s="1"/>
      <c r="L236" s="1"/>
      <c r="M236" s="1"/>
      <c r="N236" s="1"/>
      <c r="O236" s="9"/>
      <c r="P236" s="7" t="e">
        <f t="shared" ca="1" si="55"/>
        <v>#DIV/0!</v>
      </c>
      <c r="Q236" s="7" t="e">
        <f ca="1">P236/($B236-TODAY())</f>
        <v>#DIV/0!</v>
      </c>
      <c r="R236" s="33">
        <f t="shared" ca="1" si="50"/>
        <v>0</v>
      </c>
      <c r="S236" s="33">
        <f t="shared" ca="1" si="51"/>
        <v>0</v>
      </c>
      <c r="T236" s="33">
        <f ca="1">R236</f>
        <v>0</v>
      </c>
      <c r="U236" s="7" t="e">
        <f t="shared" ca="1" si="52"/>
        <v>#DIV/0!</v>
      </c>
      <c r="V236" s="7" t="str">
        <f t="shared" ca="1" si="53"/>
        <v>TypeError: must be str, not NoneType
    period_months) + " months' \
  File "F:\Mrig Analytics\Development\mrigAnalytics\mrigutilities.py", line 381,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6" s="33" t="e">
        <f ca="1">-(MAX(($F236-MAX($D236*(1+V236),$H236)),0)*$E236-$R236)</f>
        <v>#VALUE!</v>
      </c>
      <c r="X236" s="7" t="e">
        <f ca="1">W236/$R236</f>
        <v>#VALUE!</v>
      </c>
      <c r="Y236" s="7" t="e">
        <f ca="1">$U236+X236</f>
        <v>#DIV/0!</v>
      </c>
      <c r="Z236" s="7" t="str">
        <f t="shared" ca="1" si="54"/>
        <v>TypeError: must be str, not NoneType
    period_months) + " months' \
  File "F:\Mrig Analytics\Development\mrigAnalytics\mrigutilities.py", line 396,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6" s="33" t="e">
        <f ca="1">-(MAX(($F236-MAX($D236*(1+Z236),$H236)),0)*$E236-$R236)</f>
        <v>#VALUE!</v>
      </c>
      <c r="AB236" s="7" t="e">
        <f ca="1">AA236/$R236</f>
        <v>#VALUE!</v>
      </c>
      <c r="AC236" s="7" t="e">
        <f ca="1">$U236+AB236</f>
        <v>#DIV/0!</v>
      </c>
      <c r="AD236" s="40"/>
      <c r="AE236" s="40"/>
      <c r="AF236" s="34"/>
      <c r="AH236" s="34"/>
    </row>
    <row r="237" spans="1:34" x14ac:dyDescent="0.25">
      <c r="B237" s="39"/>
    </row>
    <row r="238" spans="1:34" x14ac:dyDescent="0.25">
      <c r="B238" s="39"/>
    </row>
    <row r="239" spans="1:34" x14ac:dyDescent="0.25">
      <c r="B239" s="39"/>
    </row>
    <row r="240" spans="1:34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mergeCells count="4">
    <mergeCell ref="B1:C2"/>
    <mergeCell ref="T2:U2"/>
    <mergeCell ref="V2:Y2"/>
    <mergeCell ref="Z2:AC2"/>
  </mergeCells>
  <dataValidations disablePrompts="1"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7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tr">
        <f>mrigxl_stocklist()</f>
        <v>REPRO</v>
      </c>
    </row>
    <row r="4" spans="2:2" x14ac:dyDescent="0.25">
      <c r="B4" t="s">
        <v>1726</v>
      </c>
    </row>
    <row r="5" spans="2:2" x14ac:dyDescent="0.25">
      <c r="B5" t="s">
        <v>933</v>
      </c>
    </row>
    <row r="6" spans="2:2" x14ac:dyDescent="0.25">
      <c r="B6" t="s">
        <v>1475</v>
      </c>
    </row>
    <row r="7" spans="2:2" x14ac:dyDescent="0.25">
      <c r="B7" t="s">
        <v>1353</v>
      </c>
    </row>
    <row r="8" spans="2:2" x14ac:dyDescent="0.25">
      <c r="B8" t="s">
        <v>547</v>
      </c>
    </row>
    <row r="9" spans="2:2" x14ac:dyDescent="0.25">
      <c r="B9" t="s">
        <v>16</v>
      </c>
    </row>
    <row r="10" spans="2:2" x14ac:dyDescent="0.25">
      <c r="B10" t="s">
        <v>486</v>
      </c>
    </row>
    <row r="11" spans="2:2" x14ac:dyDescent="0.25">
      <c r="B11" t="s">
        <v>1213</v>
      </c>
    </row>
    <row r="12" spans="2:2" x14ac:dyDescent="0.25">
      <c r="B12" t="s">
        <v>929</v>
      </c>
    </row>
    <row r="13" spans="2:2" x14ac:dyDescent="0.25">
      <c r="B13" t="s">
        <v>92</v>
      </c>
    </row>
    <row r="14" spans="2:2" x14ac:dyDescent="0.25">
      <c r="B14" t="s">
        <v>166</v>
      </c>
    </row>
    <row r="15" spans="2:2" x14ac:dyDescent="0.25">
      <c r="B15" t="s">
        <v>1505</v>
      </c>
    </row>
    <row r="16" spans="2:2" x14ac:dyDescent="0.25">
      <c r="B16" t="s">
        <v>270</v>
      </c>
    </row>
    <row r="17" spans="2:2" x14ac:dyDescent="0.25">
      <c r="B17" t="s">
        <v>718</v>
      </c>
    </row>
    <row r="18" spans="2:2" x14ac:dyDescent="0.25">
      <c r="B18" t="s">
        <v>118</v>
      </c>
    </row>
    <row r="19" spans="2:2" x14ac:dyDescent="0.25">
      <c r="B19" t="s">
        <v>1425</v>
      </c>
    </row>
    <row r="20" spans="2:2" x14ac:dyDescent="0.25">
      <c r="B20" t="s">
        <v>1021</v>
      </c>
    </row>
    <row r="21" spans="2:2" x14ac:dyDescent="0.25">
      <c r="B21" t="s">
        <v>947</v>
      </c>
    </row>
    <row r="22" spans="2:2" x14ac:dyDescent="0.25">
      <c r="B22" t="s">
        <v>711</v>
      </c>
    </row>
    <row r="23" spans="2:2" x14ac:dyDescent="0.25">
      <c r="B23" t="s">
        <v>1564</v>
      </c>
    </row>
    <row r="24" spans="2:2" x14ac:dyDescent="0.25">
      <c r="B24" t="s">
        <v>1283</v>
      </c>
    </row>
    <row r="25" spans="2:2" x14ac:dyDescent="0.25">
      <c r="B25" t="s">
        <v>984</v>
      </c>
    </row>
    <row r="26" spans="2:2" x14ac:dyDescent="0.25">
      <c r="B26" t="s">
        <v>1248</v>
      </c>
    </row>
    <row r="27" spans="2:2" x14ac:dyDescent="0.25">
      <c r="B27" t="s">
        <v>918</v>
      </c>
    </row>
    <row r="28" spans="2:2" x14ac:dyDescent="0.25">
      <c r="B28" t="s">
        <v>1097</v>
      </c>
    </row>
    <row r="29" spans="2:2" x14ac:dyDescent="0.25">
      <c r="B29" t="s">
        <v>965</v>
      </c>
    </row>
    <row r="30" spans="2:2" x14ac:dyDescent="0.25">
      <c r="B30" t="s">
        <v>1638</v>
      </c>
    </row>
    <row r="31" spans="2:2" x14ac:dyDescent="0.25">
      <c r="B31" t="s">
        <v>1166</v>
      </c>
    </row>
    <row r="32" spans="2:2" x14ac:dyDescent="0.25">
      <c r="B32" t="s">
        <v>640</v>
      </c>
    </row>
    <row r="33" spans="2:2" x14ac:dyDescent="0.25">
      <c r="B33" t="s">
        <v>1456</v>
      </c>
    </row>
    <row r="34" spans="2:2" x14ac:dyDescent="0.25">
      <c r="B34" t="s">
        <v>837</v>
      </c>
    </row>
    <row r="35" spans="2:2" x14ac:dyDescent="0.25">
      <c r="B35" t="s">
        <v>1540</v>
      </c>
    </row>
    <row r="36" spans="2:2" x14ac:dyDescent="0.25">
      <c r="B36" t="s">
        <v>977</v>
      </c>
    </row>
    <row r="37" spans="2:2" x14ac:dyDescent="0.25">
      <c r="B37" t="s">
        <v>859</v>
      </c>
    </row>
    <row r="38" spans="2:2" x14ac:dyDescent="0.25">
      <c r="B38" t="s">
        <v>846</v>
      </c>
    </row>
    <row r="39" spans="2:2" x14ac:dyDescent="0.25">
      <c r="B39" t="s">
        <v>537</v>
      </c>
    </row>
    <row r="40" spans="2:2" x14ac:dyDescent="0.25">
      <c r="B40" t="s">
        <v>1709</v>
      </c>
    </row>
    <row r="41" spans="2:2" x14ac:dyDescent="0.25">
      <c r="B41" t="s">
        <v>188</v>
      </c>
    </row>
    <row r="42" spans="2:2" x14ac:dyDescent="0.25">
      <c r="B42" t="s">
        <v>329</v>
      </c>
    </row>
    <row r="43" spans="2:2" x14ac:dyDescent="0.25">
      <c r="B43" t="s">
        <v>1332</v>
      </c>
    </row>
    <row r="44" spans="2:2" x14ac:dyDescent="0.25">
      <c r="B44" t="s">
        <v>1020</v>
      </c>
    </row>
    <row r="45" spans="2:2" x14ac:dyDescent="0.25">
      <c r="B45" t="s">
        <v>1517</v>
      </c>
    </row>
    <row r="46" spans="2:2" x14ac:dyDescent="0.25">
      <c r="B46" t="s">
        <v>1080</v>
      </c>
    </row>
    <row r="47" spans="2:2" x14ac:dyDescent="0.25">
      <c r="B47" t="s">
        <v>681</v>
      </c>
    </row>
    <row r="48" spans="2:2" x14ac:dyDescent="0.25">
      <c r="B48" t="s">
        <v>124</v>
      </c>
    </row>
    <row r="49" spans="2:2" x14ac:dyDescent="0.25">
      <c r="B49" t="s">
        <v>484</v>
      </c>
    </row>
    <row r="50" spans="2:2" x14ac:dyDescent="0.25">
      <c r="B50" t="s">
        <v>127</v>
      </c>
    </row>
    <row r="51" spans="2:2" x14ac:dyDescent="0.25">
      <c r="B51" t="s">
        <v>426</v>
      </c>
    </row>
    <row r="52" spans="2:2" x14ac:dyDescent="0.25">
      <c r="B52" t="s">
        <v>1389</v>
      </c>
    </row>
    <row r="53" spans="2:2" x14ac:dyDescent="0.25">
      <c r="B53" t="s">
        <v>1394</v>
      </c>
    </row>
    <row r="54" spans="2:2" x14ac:dyDescent="0.25">
      <c r="B54" t="s">
        <v>9</v>
      </c>
    </row>
    <row r="55" spans="2:2" x14ac:dyDescent="0.25">
      <c r="B55" t="s">
        <v>1507</v>
      </c>
    </row>
    <row r="56" spans="2:2" x14ac:dyDescent="0.25">
      <c r="B56" t="s">
        <v>1372</v>
      </c>
    </row>
    <row r="57" spans="2:2" x14ac:dyDescent="0.25">
      <c r="B57" t="s">
        <v>526</v>
      </c>
    </row>
    <row r="58" spans="2:2" x14ac:dyDescent="0.25">
      <c r="B58" t="s">
        <v>1008</v>
      </c>
    </row>
    <row r="59" spans="2:2" x14ac:dyDescent="0.25">
      <c r="B59" t="s">
        <v>1644</v>
      </c>
    </row>
    <row r="60" spans="2:2" x14ac:dyDescent="0.25">
      <c r="B60" t="s">
        <v>106</v>
      </c>
    </row>
    <row r="61" spans="2:2" x14ac:dyDescent="0.25">
      <c r="B61" t="s">
        <v>1117</v>
      </c>
    </row>
    <row r="62" spans="2:2" x14ac:dyDescent="0.25">
      <c r="B62" t="s">
        <v>52</v>
      </c>
    </row>
    <row r="63" spans="2:2" x14ac:dyDescent="0.25">
      <c r="B63" t="s">
        <v>879</v>
      </c>
    </row>
    <row r="64" spans="2:2" x14ac:dyDescent="0.25">
      <c r="B64" t="s">
        <v>1110</v>
      </c>
    </row>
    <row r="65" spans="2:2" x14ac:dyDescent="0.25">
      <c r="B65" t="s">
        <v>606</v>
      </c>
    </row>
    <row r="66" spans="2:2" x14ac:dyDescent="0.25">
      <c r="B66" t="s">
        <v>1684</v>
      </c>
    </row>
    <row r="67" spans="2:2" x14ac:dyDescent="0.25">
      <c r="B67" t="s">
        <v>1571</v>
      </c>
    </row>
    <row r="68" spans="2:2" x14ac:dyDescent="0.25">
      <c r="B68" t="s">
        <v>265</v>
      </c>
    </row>
    <row r="69" spans="2:2" x14ac:dyDescent="0.25">
      <c r="B69" t="s">
        <v>1740</v>
      </c>
    </row>
    <row r="70" spans="2:2" x14ac:dyDescent="0.25">
      <c r="B70" t="s">
        <v>1344</v>
      </c>
    </row>
    <row r="71" spans="2:2" x14ac:dyDescent="0.25">
      <c r="B71" t="s">
        <v>42</v>
      </c>
    </row>
    <row r="72" spans="2:2" x14ac:dyDescent="0.25">
      <c r="B72" t="s">
        <v>737</v>
      </c>
    </row>
    <row r="73" spans="2:2" x14ac:dyDescent="0.25">
      <c r="B73" t="s">
        <v>1260</v>
      </c>
    </row>
    <row r="74" spans="2:2" x14ac:dyDescent="0.25">
      <c r="B74" t="s">
        <v>492</v>
      </c>
    </row>
    <row r="75" spans="2:2" x14ac:dyDescent="0.25">
      <c r="B75" t="s">
        <v>1082</v>
      </c>
    </row>
    <row r="76" spans="2:2" x14ac:dyDescent="0.25">
      <c r="B76" t="s">
        <v>1502</v>
      </c>
    </row>
    <row r="77" spans="2:2" x14ac:dyDescent="0.25">
      <c r="B77" t="s">
        <v>132</v>
      </c>
    </row>
    <row r="78" spans="2:2" x14ac:dyDescent="0.25">
      <c r="B78" t="s">
        <v>1364</v>
      </c>
    </row>
    <row r="79" spans="2:2" x14ac:dyDescent="0.25">
      <c r="B79" t="s">
        <v>1208</v>
      </c>
    </row>
    <row r="80" spans="2:2" x14ac:dyDescent="0.25">
      <c r="B80" t="s">
        <v>829</v>
      </c>
    </row>
    <row r="81" spans="2:2" x14ac:dyDescent="0.25">
      <c r="B81" t="s">
        <v>875</v>
      </c>
    </row>
    <row r="82" spans="2:2" x14ac:dyDescent="0.25">
      <c r="B82" t="s">
        <v>819</v>
      </c>
    </row>
    <row r="83" spans="2:2" x14ac:dyDescent="0.25">
      <c r="B83" t="s">
        <v>798</v>
      </c>
    </row>
    <row r="84" spans="2:2" x14ac:dyDescent="0.25">
      <c r="B84" t="s">
        <v>456</v>
      </c>
    </row>
    <row r="85" spans="2:2" x14ac:dyDescent="0.25">
      <c r="B85" t="s">
        <v>348</v>
      </c>
    </row>
    <row r="86" spans="2:2" x14ac:dyDescent="0.25">
      <c r="B86" t="s">
        <v>1751</v>
      </c>
    </row>
    <row r="87" spans="2:2" x14ac:dyDescent="0.25">
      <c r="B87" t="s">
        <v>594</v>
      </c>
    </row>
    <row r="88" spans="2:2" x14ac:dyDescent="0.25">
      <c r="B88" t="s">
        <v>1640</v>
      </c>
    </row>
    <row r="89" spans="2:2" x14ac:dyDescent="0.25">
      <c r="B89" t="s">
        <v>781</v>
      </c>
    </row>
    <row r="90" spans="2:2" x14ac:dyDescent="0.25">
      <c r="B90" t="s">
        <v>545</v>
      </c>
    </row>
    <row r="91" spans="2:2" x14ac:dyDescent="0.25">
      <c r="B91" t="s">
        <v>200</v>
      </c>
    </row>
    <row r="92" spans="2:2" x14ac:dyDescent="0.25">
      <c r="B92" t="s">
        <v>1417</v>
      </c>
    </row>
    <row r="93" spans="2:2" x14ac:dyDescent="0.25">
      <c r="B93" t="s">
        <v>451</v>
      </c>
    </row>
    <row r="94" spans="2:2" x14ac:dyDescent="0.25">
      <c r="B94" t="s">
        <v>1419</v>
      </c>
    </row>
    <row r="95" spans="2:2" x14ac:dyDescent="0.25">
      <c r="B95" t="s">
        <v>687</v>
      </c>
    </row>
    <row r="96" spans="2:2" x14ac:dyDescent="0.25">
      <c r="B96" t="s">
        <v>546</v>
      </c>
    </row>
    <row r="97" spans="2:2" x14ac:dyDescent="0.25">
      <c r="B97" t="s">
        <v>1487</v>
      </c>
    </row>
    <row r="98" spans="2:2" x14ac:dyDescent="0.25">
      <c r="B98" t="s">
        <v>243</v>
      </c>
    </row>
    <row r="99" spans="2:2" x14ac:dyDescent="0.25">
      <c r="B99" t="s">
        <v>1319</v>
      </c>
    </row>
    <row r="100" spans="2:2" x14ac:dyDescent="0.25">
      <c r="B100" t="s">
        <v>1386</v>
      </c>
    </row>
    <row r="101" spans="2:2" x14ac:dyDescent="0.25">
      <c r="B101" t="s">
        <v>363</v>
      </c>
    </row>
    <row r="102" spans="2:2" x14ac:dyDescent="0.25">
      <c r="B102" t="s">
        <v>1566</v>
      </c>
    </row>
    <row r="103" spans="2:2" x14ac:dyDescent="0.25">
      <c r="B103" t="s">
        <v>1708</v>
      </c>
    </row>
    <row r="104" spans="2:2" x14ac:dyDescent="0.25">
      <c r="B104" t="s">
        <v>1613</v>
      </c>
    </row>
    <row r="105" spans="2:2" x14ac:dyDescent="0.25">
      <c r="B105" t="s">
        <v>948</v>
      </c>
    </row>
    <row r="106" spans="2:2" x14ac:dyDescent="0.25">
      <c r="B106" t="s">
        <v>1662</v>
      </c>
    </row>
    <row r="107" spans="2:2" x14ac:dyDescent="0.25">
      <c r="B107" t="s">
        <v>1271</v>
      </c>
    </row>
    <row r="108" spans="2:2" x14ac:dyDescent="0.25">
      <c r="B108" t="s">
        <v>1187</v>
      </c>
    </row>
    <row r="109" spans="2:2" x14ac:dyDescent="0.25">
      <c r="B109" t="s">
        <v>294</v>
      </c>
    </row>
    <row r="110" spans="2:2" x14ac:dyDescent="0.25">
      <c r="B110" t="s">
        <v>949</v>
      </c>
    </row>
    <row r="111" spans="2:2" x14ac:dyDescent="0.25">
      <c r="B111" t="s">
        <v>424</v>
      </c>
    </row>
    <row r="112" spans="2:2" x14ac:dyDescent="0.25">
      <c r="B112" t="s">
        <v>119</v>
      </c>
    </row>
    <row r="113" spans="2:2" x14ac:dyDescent="0.25">
      <c r="B113" t="s">
        <v>1600</v>
      </c>
    </row>
    <row r="114" spans="2:2" x14ac:dyDescent="0.25">
      <c r="B114" t="s">
        <v>1270</v>
      </c>
    </row>
    <row r="115" spans="2:2" x14ac:dyDescent="0.25">
      <c r="B115" t="s">
        <v>442</v>
      </c>
    </row>
    <row r="116" spans="2:2" x14ac:dyDescent="0.25">
      <c r="B116" t="s">
        <v>816</v>
      </c>
    </row>
    <row r="117" spans="2:2" x14ac:dyDescent="0.25">
      <c r="B117" t="s">
        <v>1481</v>
      </c>
    </row>
    <row r="118" spans="2:2" x14ac:dyDescent="0.25">
      <c r="B118" t="s">
        <v>436</v>
      </c>
    </row>
    <row r="119" spans="2:2" x14ac:dyDescent="0.25">
      <c r="B119" t="s">
        <v>825</v>
      </c>
    </row>
    <row r="120" spans="2:2" x14ac:dyDescent="0.25">
      <c r="B120" t="s">
        <v>599</v>
      </c>
    </row>
    <row r="121" spans="2:2" x14ac:dyDescent="0.25">
      <c r="B121" t="s">
        <v>914</v>
      </c>
    </row>
    <row r="122" spans="2:2" x14ac:dyDescent="0.25">
      <c r="B122" t="s">
        <v>783</v>
      </c>
    </row>
    <row r="123" spans="2:2" x14ac:dyDescent="0.25">
      <c r="B123" t="s">
        <v>443</v>
      </c>
    </row>
    <row r="124" spans="2:2" x14ac:dyDescent="0.25">
      <c r="B124" t="s">
        <v>1609</v>
      </c>
    </row>
    <row r="125" spans="2:2" x14ac:dyDescent="0.25">
      <c r="B125" t="s">
        <v>495</v>
      </c>
    </row>
    <row r="126" spans="2:2" x14ac:dyDescent="0.25">
      <c r="B126" t="s">
        <v>518</v>
      </c>
    </row>
    <row r="127" spans="2:2" x14ac:dyDescent="0.25">
      <c r="B127" t="s">
        <v>516</v>
      </c>
    </row>
    <row r="128" spans="2:2" x14ac:dyDescent="0.25">
      <c r="B128" t="s">
        <v>260</v>
      </c>
    </row>
    <row r="129" spans="2:2" x14ac:dyDescent="0.25">
      <c r="B129" t="s">
        <v>1678</v>
      </c>
    </row>
    <row r="130" spans="2:2" x14ac:dyDescent="0.25">
      <c r="B130" t="s">
        <v>1668</v>
      </c>
    </row>
    <row r="131" spans="2:2" x14ac:dyDescent="0.25">
      <c r="B131" t="s">
        <v>854</v>
      </c>
    </row>
    <row r="132" spans="2:2" x14ac:dyDescent="0.25">
      <c r="B132" t="s">
        <v>695</v>
      </c>
    </row>
    <row r="133" spans="2:2" x14ac:dyDescent="0.25">
      <c r="B133" t="s">
        <v>834</v>
      </c>
    </row>
    <row r="134" spans="2:2" x14ac:dyDescent="0.25">
      <c r="B134" t="s">
        <v>1087</v>
      </c>
    </row>
    <row r="135" spans="2:2" x14ac:dyDescent="0.25">
      <c r="B135" t="s">
        <v>1293</v>
      </c>
    </row>
    <row r="136" spans="2:2" x14ac:dyDescent="0.25">
      <c r="B136" t="s">
        <v>957</v>
      </c>
    </row>
    <row r="137" spans="2:2" x14ac:dyDescent="0.25">
      <c r="B137" t="s">
        <v>1689</v>
      </c>
    </row>
    <row r="138" spans="2:2" x14ac:dyDescent="0.25">
      <c r="B138" t="s">
        <v>760</v>
      </c>
    </row>
    <row r="139" spans="2:2" x14ac:dyDescent="0.25">
      <c r="B139" t="s">
        <v>445</v>
      </c>
    </row>
    <row r="140" spans="2:2" x14ac:dyDescent="0.25">
      <c r="B140" t="s">
        <v>1480</v>
      </c>
    </row>
    <row r="141" spans="2:2" x14ac:dyDescent="0.25">
      <c r="B141" t="s">
        <v>255</v>
      </c>
    </row>
    <row r="142" spans="2:2" x14ac:dyDescent="0.25">
      <c r="B142" t="s">
        <v>1661</v>
      </c>
    </row>
    <row r="143" spans="2:2" x14ac:dyDescent="0.25">
      <c r="B143" t="s">
        <v>1762</v>
      </c>
    </row>
    <row r="144" spans="2:2" x14ac:dyDescent="0.25">
      <c r="B144" t="s">
        <v>1012</v>
      </c>
    </row>
    <row r="145" spans="2:2" x14ac:dyDescent="0.25">
      <c r="B145" t="s">
        <v>1371</v>
      </c>
    </row>
    <row r="146" spans="2:2" x14ac:dyDescent="0.25">
      <c r="B146" t="s">
        <v>1461</v>
      </c>
    </row>
    <row r="147" spans="2:2" x14ac:dyDescent="0.25">
      <c r="B147" t="s">
        <v>47</v>
      </c>
    </row>
    <row r="148" spans="2:2" x14ac:dyDescent="0.25">
      <c r="B148" t="s">
        <v>1174</v>
      </c>
    </row>
    <row r="149" spans="2:2" x14ac:dyDescent="0.25">
      <c r="B149" t="s">
        <v>602</v>
      </c>
    </row>
    <row r="150" spans="2:2" x14ac:dyDescent="0.25">
      <c r="B150" t="s">
        <v>349</v>
      </c>
    </row>
    <row r="151" spans="2:2" x14ac:dyDescent="0.25">
      <c r="B151" t="s">
        <v>812</v>
      </c>
    </row>
    <row r="152" spans="2:2" x14ac:dyDescent="0.25">
      <c r="B152" t="s">
        <v>826</v>
      </c>
    </row>
    <row r="153" spans="2:2" x14ac:dyDescent="0.25">
      <c r="B153" t="s">
        <v>784</v>
      </c>
    </row>
    <row r="154" spans="2:2" x14ac:dyDescent="0.25">
      <c r="B154" t="s">
        <v>1686</v>
      </c>
    </row>
    <row r="155" spans="2:2" x14ac:dyDescent="0.25">
      <c r="B155" t="s">
        <v>653</v>
      </c>
    </row>
    <row r="156" spans="2:2" x14ac:dyDescent="0.25">
      <c r="B156" t="s">
        <v>396</v>
      </c>
    </row>
    <row r="157" spans="2:2" x14ac:dyDescent="0.25">
      <c r="B157" t="s">
        <v>1311</v>
      </c>
    </row>
    <row r="158" spans="2:2" x14ac:dyDescent="0.25">
      <c r="B158" t="s">
        <v>707</v>
      </c>
    </row>
    <row r="159" spans="2:2" x14ac:dyDescent="0.25">
      <c r="B159" t="s">
        <v>351</v>
      </c>
    </row>
    <row r="160" spans="2:2" x14ac:dyDescent="0.25">
      <c r="B160" t="s">
        <v>828</v>
      </c>
    </row>
    <row r="161" spans="2:2" x14ac:dyDescent="0.25">
      <c r="B161" t="s">
        <v>1226</v>
      </c>
    </row>
    <row r="162" spans="2:2" x14ac:dyDescent="0.25">
      <c r="B162" t="s">
        <v>1525</v>
      </c>
    </row>
    <row r="163" spans="2:2" x14ac:dyDescent="0.25">
      <c r="B163" t="s">
        <v>999</v>
      </c>
    </row>
    <row r="164" spans="2:2" x14ac:dyDescent="0.25">
      <c r="B164" t="s">
        <v>578</v>
      </c>
    </row>
    <row r="165" spans="2:2" x14ac:dyDescent="0.25">
      <c r="B165" t="s">
        <v>866</v>
      </c>
    </row>
    <row r="166" spans="2:2" x14ac:dyDescent="0.25">
      <c r="B166" t="s">
        <v>1246</v>
      </c>
    </row>
    <row r="167" spans="2:2" x14ac:dyDescent="0.25">
      <c r="B167" t="s">
        <v>257</v>
      </c>
    </row>
    <row r="168" spans="2:2" x14ac:dyDescent="0.25">
      <c r="B168" t="s">
        <v>1410</v>
      </c>
    </row>
    <row r="169" spans="2:2" x14ac:dyDescent="0.25">
      <c r="B169" t="s">
        <v>446</v>
      </c>
    </row>
    <row r="170" spans="2:2" x14ac:dyDescent="0.25">
      <c r="B170" t="s">
        <v>1042</v>
      </c>
    </row>
    <row r="171" spans="2:2" x14ac:dyDescent="0.25">
      <c r="B171" t="s">
        <v>700</v>
      </c>
    </row>
    <row r="172" spans="2:2" x14ac:dyDescent="0.25">
      <c r="B172" t="s">
        <v>968</v>
      </c>
    </row>
    <row r="173" spans="2:2" x14ac:dyDescent="0.25">
      <c r="B173" t="s">
        <v>1393</v>
      </c>
    </row>
    <row r="174" spans="2:2" x14ac:dyDescent="0.25">
      <c r="B174" t="s">
        <v>1070</v>
      </c>
    </row>
    <row r="175" spans="2:2" x14ac:dyDescent="0.25">
      <c r="B175" t="s">
        <v>1030</v>
      </c>
    </row>
    <row r="176" spans="2:2" x14ac:dyDescent="0.25">
      <c r="B176" t="s">
        <v>1356</v>
      </c>
    </row>
    <row r="177" spans="2:2" x14ac:dyDescent="0.25">
      <c r="B177" t="s">
        <v>1560</v>
      </c>
    </row>
    <row r="178" spans="2:2" x14ac:dyDescent="0.25">
      <c r="B178" t="s">
        <v>742</v>
      </c>
    </row>
    <row r="179" spans="2:2" x14ac:dyDescent="0.25">
      <c r="B179" t="s">
        <v>6</v>
      </c>
    </row>
    <row r="180" spans="2:2" x14ac:dyDescent="0.25">
      <c r="B180" t="s">
        <v>901</v>
      </c>
    </row>
    <row r="181" spans="2:2" x14ac:dyDescent="0.25">
      <c r="B181" t="s">
        <v>1264</v>
      </c>
    </row>
    <row r="182" spans="2:2" x14ac:dyDescent="0.25">
      <c r="B182" t="s">
        <v>331</v>
      </c>
    </row>
    <row r="183" spans="2:2" x14ac:dyDescent="0.25">
      <c r="B183" t="s">
        <v>560</v>
      </c>
    </row>
    <row r="184" spans="2:2" x14ac:dyDescent="0.25">
      <c r="B184" t="s">
        <v>1707</v>
      </c>
    </row>
    <row r="185" spans="2:2" x14ac:dyDescent="0.25">
      <c r="B185" t="s">
        <v>556</v>
      </c>
    </row>
    <row r="186" spans="2:2" x14ac:dyDescent="0.25">
      <c r="B186" t="s">
        <v>425</v>
      </c>
    </row>
    <row r="187" spans="2:2" x14ac:dyDescent="0.25">
      <c r="B187" t="s">
        <v>1757</v>
      </c>
    </row>
    <row r="188" spans="2:2" x14ac:dyDescent="0.25">
      <c r="B188" t="s">
        <v>570</v>
      </c>
    </row>
    <row r="189" spans="2:2" x14ac:dyDescent="0.25">
      <c r="B189" t="s">
        <v>1139</v>
      </c>
    </row>
    <row r="190" spans="2:2" x14ac:dyDescent="0.25">
      <c r="B190" t="s">
        <v>1313</v>
      </c>
    </row>
    <row r="191" spans="2:2" x14ac:dyDescent="0.25">
      <c r="B191" t="s">
        <v>277</v>
      </c>
    </row>
    <row r="192" spans="2:2" x14ac:dyDescent="0.25">
      <c r="B192" t="s">
        <v>193</v>
      </c>
    </row>
    <row r="193" spans="2:2" x14ac:dyDescent="0.25">
      <c r="B193" t="s">
        <v>1581</v>
      </c>
    </row>
    <row r="194" spans="2:2" x14ac:dyDescent="0.25">
      <c r="B194" t="s">
        <v>231</v>
      </c>
    </row>
    <row r="195" spans="2:2" x14ac:dyDescent="0.25">
      <c r="B195" t="s">
        <v>315</v>
      </c>
    </row>
    <row r="196" spans="2:2" x14ac:dyDescent="0.25">
      <c r="B196" t="s">
        <v>755</v>
      </c>
    </row>
    <row r="197" spans="2:2" x14ac:dyDescent="0.25">
      <c r="B197" t="s">
        <v>1230</v>
      </c>
    </row>
    <row r="198" spans="2:2" x14ac:dyDescent="0.25">
      <c r="B198" t="s">
        <v>1666</v>
      </c>
    </row>
    <row r="199" spans="2:2" x14ac:dyDescent="0.25">
      <c r="B199" t="s">
        <v>1655</v>
      </c>
    </row>
    <row r="200" spans="2:2" x14ac:dyDescent="0.25">
      <c r="B200" t="s">
        <v>1363</v>
      </c>
    </row>
    <row r="201" spans="2:2" x14ac:dyDescent="0.25">
      <c r="B201" t="s">
        <v>440</v>
      </c>
    </row>
    <row r="202" spans="2:2" x14ac:dyDescent="0.25">
      <c r="B202" t="s">
        <v>932</v>
      </c>
    </row>
    <row r="203" spans="2:2" x14ac:dyDescent="0.25">
      <c r="B203" t="s">
        <v>1589</v>
      </c>
    </row>
    <row r="204" spans="2:2" x14ac:dyDescent="0.25">
      <c r="B204" t="s">
        <v>295</v>
      </c>
    </row>
    <row r="205" spans="2:2" x14ac:dyDescent="0.25">
      <c r="B205" t="s">
        <v>751</v>
      </c>
    </row>
    <row r="206" spans="2:2" x14ac:dyDescent="0.25">
      <c r="B206" t="s">
        <v>25</v>
      </c>
    </row>
    <row r="207" spans="2:2" x14ac:dyDescent="0.25">
      <c r="B207" t="s">
        <v>780</v>
      </c>
    </row>
    <row r="208" spans="2:2" x14ac:dyDescent="0.25">
      <c r="B208" t="s">
        <v>1741</v>
      </c>
    </row>
    <row r="209" spans="2:2" x14ac:dyDescent="0.25">
      <c r="B209" t="s">
        <v>1079</v>
      </c>
    </row>
    <row r="210" spans="2:2" x14ac:dyDescent="0.25">
      <c r="B210" t="s">
        <v>236</v>
      </c>
    </row>
    <row r="211" spans="2:2" x14ac:dyDescent="0.25">
      <c r="B211" t="s">
        <v>1052</v>
      </c>
    </row>
    <row r="212" spans="2:2" x14ac:dyDescent="0.25">
      <c r="B212" t="s">
        <v>13</v>
      </c>
    </row>
    <row r="213" spans="2:2" x14ac:dyDescent="0.25">
      <c r="B213" t="s">
        <v>985</v>
      </c>
    </row>
    <row r="214" spans="2:2" x14ac:dyDescent="0.25">
      <c r="B214" t="s">
        <v>1214</v>
      </c>
    </row>
    <row r="215" spans="2:2" x14ac:dyDescent="0.25">
      <c r="B215" t="s">
        <v>684</v>
      </c>
    </row>
    <row r="216" spans="2:2" x14ac:dyDescent="0.25">
      <c r="B216" t="s">
        <v>1149</v>
      </c>
    </row>
    <row r="217" spans="2:2" x14ac:dyDescent="0.25">
      <c r="B217" t="s">
        <v>1433</v>
      </c>
    </row>
    <row r="218" spans="2:2" x14ac:dyDescent="0.25">
      <c r="B218" t="s">
        <v>63</v>
      </c>
    </row>
    <row r="219" spans="2:2" x14ac:dyDescent="0.25">
      <c r="B219" t="s">
        <v>629</v>
      </c>
    </row>
    <row r="220" spans="2:2" x14ac:dyDescent="0.25">
      <c r="B220" t="s">
        <v>1373</v>
      </c>
    </row>
    <row r="221" spans="2:2" x14ac:dyDescent="0.25">
      <c r="B221" t="s">
        <v>1645</v>
      </c>
    </row>
    <row r="222" spans="2:2" x14ac:dyDescent="0.25">
      <c r="B222" t="s">
        <v>1250</v>
      </c>
    </row>
    <row r="223" spans="2:2" x14ac:dyDescent="0.25">
      <c r="B223" t="s">
        <v>672</v>
      </c>
    </row>
    <row r="224" spans="2:2" x14ac:dyDescent="0.25">
      <c r="B224" t="s">
        <v>1142</v>
      </c>
    </row>
    <row r="225" spans="2:2" x14ac:dyDescent="0.25">
      <c r="B225" t="s">
        <v>1167</v>
      </c>
    </row>
    <row r="226" spans="2:2" x14ac:dyDescent="0.25">
      <c r="B226" t="s">
        <v>114</v>
      </c>
    </row>
    <row r="227" spans="2:2" x14ac:dyDescent="0.25">
      <c r="B227" t="s">
        <v>138</v>
      </c>
    </row>
    <row r="228" spans="2:2" x14ac:dyDescent="0.25">
      <c r="B228" t="s">
        <v>1501</v>
      </c>
    </row>
    <row r="229" spans="2:2" x14ac:dyDescent="0.25">
      <c r="B229" t="s">
        <v>414</v>
      </c>
    </row>
    <row r="230" spans="2:2" x14ac:dyDescent="0.25">
      <c r="B230" t="s">
        <v>773</v>
      </c>
    </row>
    <row r="231" spans="2:2" x14ac:dyDescent="0.25">
      <c r="B231" t="s">
        <v>1025</v>
      </c>
    </row>
    <row r="232" spans="2:2" x14ac:dyDescent="0.25">
      <c r="B232" t="s">
        <v>1407</v>
      </c>
    </row>
    <row r="233" spans="2:2" x14ac:dyDescent="0.25">
      <c r="B233" t="s">
        <v>317</v>
      </c>
    </row>
    <row r="234" spans="2:2" x14ac:dyDescent="0.25">
      <c r="B234" t="s">
        <v>1535</v>
      </c>
    </row>
    <row r="235" spans="2:2" x14ac:dyDescent="0.25">
      <c r="B235" t="s">
        <v>1218</v>
      </c>
    </row>
    <row r="236" spans="2:2" x14ac:dyDescent="0.25">
      <c r="B236" t="s">
        <v>122</v>
      </c>
    </row>
    <row r="237" spans="2:2" x14ac:dyDescent="0.25">
      <c r="B237" t="s">
        <v>614</v>
      </c>
    </row>
    <row r="238" spans="2:2" x14ac:dyDescent="0.25">
      <c r="B238" t="s">
        <v>915</v>
      </c>
    </row>
    <row r="239" spans="2:2" x14ac:dyDescent="0.25">
      <c r="B239" t="s">
        <v>263</v>
      </c>
    </row>
    <row r="240" spans="2:2" x14ac:dyDescent="0.25">
      <c r="B240" t="s">
        <v>179</v>
      </c>
    </row>
    <row r="241" spans="2:2" x14ac:dyDescent="0.25">
      <c r="B241" t="s">
        <v>865</v>
      </c>
    </row>
    <row r="242" spans="2:2" x14ac:dyDescent="0.25">
      <c r="B242" t="s">
        <v>21</v>
      </c>
    </row>
    <row r="243" spans="2:2" x14ac:dyDescent="0.25">
      <c r="B243" t="s">
        <v>297</v>
      </c>
    </row>
    <row r="244" spans="2:2" x14ac:dyDescent="0.25">
      <c r="B244" t="s">
        <v>1580</v>
      </c>
    </row>
    <row r="245" spans="2:2" x14ac:dyDescent="0.25">
      <c r="B245" t="s">
        <v>1280</v>
      </c>
    </row>
    <row r="246" spans="2:2" x14ac:dyDescent="0.25">
      <c r="B246" t="s">
        <v>748</v>
      </c>
    </row>
    <row r="247" spans="2:2" x14ac:dyDescent="0.25">
      <c r="B247" t="s">
        <v>324</v>
      </c>
    </row>
    <row r="248" spans="2:2" x14ac:dyDescent="0.25">
      <c r="B248" t="s">
        <v>557</v>
      </c>
    </row>
    <row r="249" spans="2:2" x14ac:dyDescent="0.25">
      <c r="B249" t="s">
        <v>868</v>
      </c>
    </row>
    <row r="250" spans="2:2" x14ac:dyDescent="0.25">
      <c r="B250" t="s">
        <v>739</v>
      </c>
    </row>
    <row r="251" spans="2:2" x14ac:dyDescent="0.25">
      <c r="B251" t="s">
        <v>705</v>
      </c>
    </row>
    <row r="252" spans="2:2" x14ac:dyDescent="0.25">
      <c r="B252" t="s">
        <v>937</v>
      </c>
    </row>
    <row r="253" spans="2:2" x14ac:dyDescent="0.25">
      <c r="B253" t="s">
        <v>715</v>
      </c>
    </row>
    <row r="254" spans="2:2" x14ac:dyDescent="0.25">
      <c r="B254" t="s">
        <v>851</v>
      </c>
    </row>
    <row r="255" spans="2:2" x14ac:dyDescent="0.25">
      <c r="B255" t="s">
        <v>111</v>
      </c>
    </row>
    <row r="256" spans="2:2" x14ac:dyDescent="0.25">
      <c r="B256" t="s">
        <v>975</v>
      </c>
    </row>
    <row r="257" spans="2:2" x14ac:dyDescent="0.25">
      <c r="B257" t="s">
        <v>709</v>
      </c>
    </row>
    <row r="258" spans="2:2" x14ac:dyDescent="0.25">
      <c r="B258" t="s">
        <v>286</v>
      </c>
    </row>
    <row r="259" spans="2:2" x14ac:dyDescent="0.25">
      <c r="B259" t="s">
        <v>994</v>
      </c>
    </row>
    <row r="260" spans="2:2" x14ac:dyDescent="0.25">
      <c r="B260" t="s">
        <v>1465</v>
      </c>
    </row>
    <row r="261" spans="2:2" x14ac:dyDescent="0.25">
      <c r="B261" t="s">
        <v>412</v>
      </c>
    </row>
    <row r="262" spans="2:2" x14ac:dyDescent="0.25">
      <c r="B262" t="s">
        <v>923</v>
      </c>
    </row>
    <row r="263" spans="2:2" x14ac:dyDescent="0.25">
      <c r="B263" t="s">
        <v>1316</v>
      </c>
    </row>
    <row r="264" spans="2:2" x14ac:dyDescent="0.25">
      <c r="B264" t="s">
        <v>1539</v>
      </c>
    </row>
    <row r="265" spans="2:2" x14ac:dyDescent="0.25">
      <c r="B265" t="s">
        <v>284</v>
      </c>
    </row>
    <row r="266" spans="2:2" x14ac:dyDescent="0.25">
      <c r="B266" t="s">
        <v>1759</v>
      </c>
    </row>
    <row r="267" spans="2:2" x14ac:dyDescent="0.25">
      <c r="B267" t="s">
        <v>766</v>
      </c>
    </row>
    <row r="268" spans="2:2" x14ac:dyDescent="0.25">
      <c r="B268" t="s">
        <v>500</v>
      </c>
    </row>
    <row r="269" spans="2:2" x14ac:dyDescent="0.25">
      <c r="B269" t="s">
        <v>135</v>
      </c>
    </row>
    <row r="270" spans="2:2" x14ac:dyDescent="0.25">
      <c r="B270" t="s">
        <v>1324</v>
      </c>
    </row>
    <row r="271" spans="2:2" x14ac:dyDescent="0.25">
      <c r="B271" t="s">
        <v>1387</v>
      </c>
    </row>
    <row r="272" spans="2:2" x14ac:dyDescent="0.25">
      <c r="B272" t="s">
        <v>1071</v>
      </c>
    </row>
    <row r="273" spans="2:2" x14ac:dyDescent="0.25">
      <c r="B273" t="s">
        <v>1203</v>
      </c>
    </row>
    <row r="274" spans="2:2" x14ac:dyDescent="0.25">
      <c r="B274" t="s">
        <v>1083</v>
      </c>
    </row>
    <row r="275" spans="2:2" x14ac:dyDescent="0.25">
      <c r="B275" t="s">
        <v>995</v>
      </c>
    </row>
    <row r="276" spans="2:2" x14ac:dyDescent="0.25">
      <c r="B276" t="s">
        <v>950</v>
      </c>
    </row>
    <row r="277" spans="2:2" x14ac:dyDescent="0.25">
      <c r="B277" t="s">
        <v>217</v>
      </c>
    </row>
    <row r="278" spans="2:2" x14ac:dyDescent="0.25">
      <c r="B278" t="s">
        <v>186</v>
      </c>
    </row>
    <row r="279" spans="2:2" x14ac:dyDescent="0.25">
      <c r="B279" t="s">
        <v>1033</v>
      </c>
    </row>
    <row r="280" spans="2:2" x14ac:dyDescent="0.25">
      <c r="B280" t="s">
        <v>1269</v>
      </c>
    </row>
    <row r="281" spans="2:2" x14ac:dyDescent="0.25">
      <c r="B281" t="s">
        <v>1050</v>
      </c>
    </row>
    <row r="282" spans="2:2" x14ac:dyDescent="0.25">
      <c r="B282" t="s">
        <v>587</v>
      </c>
    </row>
    <row r="283" spans="2:2" x14ac:dyDescent="0.25">
      <c r="B283" t="s">
        <v>1641</v>
      </c>
    </row>
    <row r="284" spans="2:2" x14ac:dyDescent="0.25">
      <c r="B284" t="s">
        <v>1251</v>
      </c>
    </row>
    <row r="285" spans="2:2" x14ac:dyDescent="0.25">
      <c r="B285" t="s">
        <v>1569</v>
      </c>
    </row>
    <row r="286" spans="2:2" x14ac:dyDescent="0.25">
      <c r="B286" t="s">
        <v>889</v>
      </c>
    </row>
    <row r="287" spans="2:2" x14ac:dyDescent="0.25">
      <c r="B287" t="s">
        <v>1705</v>
      </c>
    </row>
    <row r="288" spans="2:2" x14ac:dyDescent="0.25">
      <c r="B288" t="s">
        <v>335</v>
      </c>
    </row>
    <row r="289" spans="2:2" x14ac:dyDescent="0.25">
      <c r="B289" t="s">
        <v>1747</v>
      </c>
    </row>
    <row r="290" spans="2:2" x14ac:dyDescent="0.25">
      <c r="B290" t="s">
        <v>615</v>
      </c>
    </row>
    <row r="291" spans="2:2" x14ac:dyDescent="0.25">
      <c r="B291" t="s">
        <v>1598</v>
      </c>
    </row>
    <row r="292" spans="2:2" x14ac:dyDescent="0.25">
      <c r="B292" t="s">
        <v>1039</v>
      </c>
    </row>
    <row r="293" spans="2:2" x14ac:dyDescent="0.25">
      <c r="B293" t="s">
        <v>1244</v>
      </c>
    </row>
    <row r="294" spans="2:2" x14ac:dyDescent="0.25">
      <c r="B294" t="s">
        <v>467</v>
      </c>
    </row>
    <row r="295" spans="2:2" x14ac:dyDescent="0.25">
      <c r="B295" t="s">
        <v>886</v>
      </c>
    </row>
    <row r="296" spans="2:2" x14ac:dyDescent="0.25">
      <c r="B296" t="s">
        <v>1190</v>
      </c>
    </row>
    <row r="297" spans="2:2" x14ac:dyDescent="0.25">
      <c r="B297" t="s">
        <v>1743</v>
      </c>
    </row>
    <row r="298" spans="2:2" x14ac:dyDescent="0.25">
      <c r="B298" t="s">
        <v>1449</v>
      </c>
    </row>
    <row r="299" spans="2:2" x14ac:dyDescent="0.25">
      <c r="B299" t="s">
        <v>65</v>
      </c>
    </row>
    <row r="300" spans="2:2" x14ac:dyDescent="0.25">
      <c r="B300" t="s">
        <v>1037</v>
      </c>
    </row>
    <row r="301" spans="2:2" x14ac:dyDescent="0.25">
      <c r="B301" t="s">
        <v>694</v>
      </c>
    </row>
    <row r="302" spans="2:2" x14ac:dyDescent="0.25">
      <c r="B302" t="s">
        <v>206</v>
      </c>
    </row>
    <row r="303" spans="2:2" x14ac:dyDescent="0.25">
      <c r="B303" t="s">
        <v>771</v>
      </c>
    </row>
    <row r="304" spans="2:2" x14ac:dyDescent="0.25">
      <c r="B304" t="s">
        <v>1603</v>
      </c>
    </row>
    <row r="305" spans="2:2" x14ac:dyDescent="0.25">
      <c r="B305" t="s">
        <v>1577</v>
      </c>
    </row>
    <row r="306" spans="2:2" x14ac:dyDescent="0.25">
      <c r="B306" t="s">
        <v>307</v>
      </c>
    </row>
    <row r="307" spans="2:2" x14ac:dyDescent="0.25">
      <c r="B307" t="s">
        <v>685</v>
      </c>
    </row>
    <row r="308" spans="2:2" x14ac:dyDescent="0.25">
      <c r="B308" t="s">
        <v>1355</v>
      </c>
    </row>
    <row r="309" spans="2:2" x14ac:dyDescent="0.25">
      <c r="B309" t="s">
        <v>1326</v>
      </c>
    </row>
    <row r="310" spans="2:2" x14ac:dyDescent="0.25">
      <c r="B310" t="s">
        <v>1626</v>
      </c>
    </row>
    <row r="311" spans="2:2" x14ac:dyDescent="0.25">
      <c r="B311" t="s">
        <v>1063</v>
      </c>
    </row>
    <row r="312" spans="2:2" x14ac:dyDescent="0.25">
      <c r="B312" t="s">
        <v>1128</v>
      </c>
    </row>
    <row r="313" spans="2:2" x14ac:dyDescent="0.25">
      <c r="B313" t="s">
        <v>1111</v>
      </c>
    </row>
    <row r="314" spans="2:2" x14ac:dyDescent="0.25">
      <c r="B314" t="s">
        <v>130</v>
      </c>
    </row>
    <row r="315" spans="2:2" x14ac:dyDescent="0.25">
      <c r="B315" t="s">
        <v>91</v>
      </c>
    </row>
    <row r="316" spans="2:2" x14ac:dyDescent="0.25">
      <c r="B316" t="s">
        <v>74</v>
      </c>
    </row>
    <row r="317" spans="2:2" x14ac:dyDescent="0.25">
      <c r="B317" t="s">
        <v>1665</v>
      </c>
    </row>
    <row r="318" spans="2:2" x14ac:dyDescent="0.25">
      <c r="B318" t="s">
        <v>1736</v>
      </c>
    </row>
    <row r="319" spans="2:2" x14ac:dyDescent="0.25">
      <c r="B319" t="s">
        <v>867</v>
      </c>
    </row>
    <row r="320" spans="2:2" x14ac:dyDescent="0.25">
      <c r="B320" t="s">
        <v>1888</v>
      </c>
    </row>
    <row r="321" spans="2:2" x14ac:dyDescent="0.25">
      <c r="B321" t="s">
        <v>225</v>
      </c>
    </row>
    <row r="322" spans="2:2" x14ac:dyDescent="0.25">
      <c r="B322" t="s">
        <v>1275</v>
      </c>
    </row>
    <row r="323" spans="2:2" x14ac:dyDescent="0.25">
      <c r="B323" t="s">
        <v>380</v>
      </c>
    </row>
    <row r="324" spans="2:2" x14ac:dyDescent="0.25">
      <c r="B324" t="s">
        <v>620</v>
      </c>
    </row>
    <row r="325" spans="2:2" x14ac:dyDescent="0.25">
      <c r="B325" t="s">
        <v>1196</v>
      </c>
    </row>
    <row r="326" spans="2:2" x14ac:dyDescent="0.25">
      <c r="B326" t="s">
        <v>1341</v>
      </c>
    </row>
    <row r="327" spans="2:2" x14ac:dyDescent="0.25">
      <c r="B327" t="s">
        <v>981</v>
      </c>
    </row>
    <row r="328" spans="2:2" x14ac:dyDescent="0.25">
      <c r="B328" t="s">
        <v>942</v>
      </c>
    </row>
    <row r="329" spans="2:2" x14ac:dyDescent="0.25">
      <c r="B329" t="s">
        <v>841</v>
      </c>
    </row>
    <row r="330" spans="2:2" x14ac:dyDescent="0.25">
      <c r="B330" t="s">
        <v>1464</v>
      </c>
    </row>
    <row r="331" spans="2:2" x14ac:dyDescent="0.25">
      <c r="B331" t="s">
        <v>795</v>
      </c>
    </row>
    <row r="332" spans="2:2" x14ac:dyDescent="0.25">
      <c r="B332" t="s">
        <v>1162</v>
      </c>
    </row>
    <row r="333" spans="2:2" x14ac:dyDescent="0.25">
      <c r="B333" t="s">
        <v>262</v>
      </c>
    </row>
    <row r="334" spans="2:2" x14ac:dyDescent="0.25">
      <c r="B334" t="s">
        <v>510</v>
      </c>
    </row>
    <row r="335" spans="2:2" x14ac:dyDescent="0.25">
      <c r="B335" t="s">
        <v>743</v>
      </c>
    </row>
    <row r="336" spans="2:2" x14ac:dyDescent="0.25">
      <c r="B336" t="s">
        <v>1350</v>
      </c>
    </row>
    <row r="337" spans="2:2" x14ac:dyDescent="0.25">
      <c r="B337" t="s">
        <v>397</v>
      </c>
    </row>
    <row r="338" spans="2:2" x14ac:dyDescent="0.25">
      <c r="B338" t="s">
        <v>1614</v>
      </c>
    </row>
    <row r="339" spans="2:2" x14ac:dyDescent="0.25">
      <c r="B339" t="s">
        <v>1605</v>
      </c>
    </row>
    <row r="340" spans="2:2" x14ac:dyDescent="0.25">
      <c r="B340" t="s">
        <v>1219</v>
      </c>
    </row>
    <row r="341" spans="2:2" x14ac:dyDescent="0.25">
      <c r="B341" t="s">
        <v>971</v>
      </c>
    </row>
    <row r="342" spans="2:2" x14ac:dyDescent="0.25">
      <c r="B342" t="s">
        <v>562</v>
      </c>
    </row>
    <row r="343" spans="2:2" x14ac:dyDescent="0.25">
      <c r="B343" t="s">
        <v>1519</v>
      </c>
    </row>
    <row r="344" spans="2:2" x14ac:dyDescent="0.25">
      <c r="B344" t="s">
        <v>422</v>
      </c>
    </row>
    <row r="345" spans="2:2" x14ac:dyDescent="0.25">
      <c r="B345" t="s">
        <v>237</v>
      </c>
    </row>
    <row r="346" spans="2:2" x14ac:dyDescent="0.25">
      <c r="B346" t="s">
        <v>1498</v>
      </c>
    </row>
    <row r="347" spans="2:2" x14ac:dyDescent="0.25">
      <c r="B347" t="s">
        <v>759</v>
      </c>
    </row>
    <row r="348" spans="2:2" x14ac:dyDescent="0.25">
      <c r="B348" t="s">
        <v>717</v>
      </c>
    </row>
    <row r="349" spans="2:2" x14ac:dyDescent="0.25">
      <c r="B349" t="s">
        <v>316</v>
      </c>
    </row>
    <row r="350" spans="2:2" x14ac:dyDescent="0.25">
      <c r="B350" t="s">
        <v>1562</v>
      </c>
    </row>
    <row r="351" spans="2:2" x14ac:dyDescent="0.25">
      <c r="B351" t="s">
        <v>142</v>
      </c>
    </row>
    <row r="352" spans="2:2" x14ac:dyDescent="0.25">
      <c r="B352" t="s">
        <v>1286</v>
      </c>
    </row>
    <row r="353" spans="2:2" x14ac:dyDescent="0.25">
      <c r="B353" t="s">
        <v>680</v>
      </c>
    </row>
    <row r="354" spans="2:2" x14ac:dyDescent="0.25">
      <c r="B354" t="s">
        <v>12</v>
      </c>
    </row>
    <row r="355" spans="2:2" x14ac:dyDescent="0.25">
      <c r="B355" t="s">
        <v>1549</v>
      </c>
    </row>
    <row r="356" spans="2:2" x14ac:dyDescent="0.25">
      <c r="B356" t="s">
        <v>256</v>
      </c>
    </row>
    <row r="357" spans="2:2" x14ac:dyDescent="0.25">
      <c r="B357" t="s">
        <v>385</v>
      </c>
    </row>
    <row r="358" spans="2:2" x14ac:dyDescent="0.25">
      <c r="B358" t="s">
        <v>224</v>
      </c>
    </row>
    <row r="359" spans="2:2" x14ac:dyDescent="0.25">
      <c r="B359" t="s">
        <v>326</v>
      </c>
    </row>
    <row r="360" spans="2:2" x14ac:dyDescent="0.25">
      <c r="B360" t="s">
        <v>1727</v>
      </c>
    </row>
    <row r="361" spans="2:2" x14ac:dyDescent="0.25">
      <c r="B361" t="s">
        <v>1236</v>
      </c>
    </row>
    <row r="362" spans="2:2" x14ac:dyDescent="0.25">
      <c r="B362" t="s">
        <v>1627</v>
      </c>
    </row>
    <row r="363" spans="2:2" x14ac:dyDescent="0.25">
      <c r="B363" t="s">
        <v>34</v>
      </c>
    </row>
    <row r="364" spans="2:2" x14ac:dyDescent="0.25">
      <c r="B364" t="s">
        <v>61</v>
      </c>
    </row>
    <row r="365" spans="2:2" x14ac:dyDescent="0.25">
      <c r="B365" t="s">
        <v>112</v>
      </c>
    </row>
    <row r="366" spans="2:2" x14ac:dyDescent="0.25">
      <c r="B366" t="s">
        <v>1717</v>
      </c>
    </row>
    <row r="367" spans="2:2" x14ac:dyDescent="0.25">
      <c r="B367" t="s">
        <v>1170</v>
      </c>
    </row>
    <row r="368" spans="2:2" x14ac:dyDescent="0.25">
      <c r="B368" t="s">
        <v>797</v>
      </c>
    </row>
    <row r="369" spans="2:2" x14ac:dyDescent="0.25">
      <c r="B369" t="s">
        <v>736</v>
      </c>
    </row>
    <row r="370" spans="2:2" x14ac:dyDescent="0.25">
      <c r="B370" t="s">
        <v>176</v>
      </c>
    </row>
    <row r="371" spans="2:2" x14ac:dyDescent="0.25">
      <c r="B371" t="s">
        <v>1422</v>
      </c>
    </row>
    <row r="372" spans="2:2" x14ac:dyDescent="0.25">
      <c r="B372" t="s">
        <v>952</v>
      </c>
    </row>
    <row r="373" spans="2:2" x14ac:dyDescent="0.25">
      <c r="B373" t="s">
        <v>1585</v>
      </c>
    </row>
    <row r="374" spans="2:2" x14ac:dyDescent="0.25">
      <c r="B374" t="s">
        <v>55</v>
      </c>
    </row>
    <row r="375" spans="2:2" x14ac:dyDescent="0.25">
      <c r="B375" t="s">
        <v>676</v>
      </c>
    </row>
    <row r="376" spans="2:2" x14ac:dyDescent="0.25">
      <c r="B376" t="s">
        <v>664</v>
      </c>
    </row>
    <row r="377" spans="2:2" x14ac:dyDescent="0.25">
      <c r="B377" t="s">
        <v>525</v>
      </c>
    </row>
    <row r="378" spans="2:2" x14ac:dyDescent="0.25">
      <c r="B378" t="s">
        <v>1252</v>
      </c>
    </row>
    <row r="379" spans="2:2" x14ac:dyDescent="0.25">
      <c r="B379" t="s">
        <v>996</v>
      </c>
    </row>
    <row r="380" spans="2:2" x14ac:dyDescent="0.25">
      <c r="B380" t="s">
        <v>1178</v>
      </c>
    </row>
    <row r="381" spans="2:2" x14ac:dyDescent="0.25">
      <c r="B381" t="s">
        <v>1652</v>
      </c>
    </row>
    <row r="382" spans="2:2" x14ac:dyDescent="0.25">
      <c r="B382" t="s">
        <v>110</v>
      </c>
    </row>
    <row r="383" spans="2:2" x14ac:dyDescent="0.25">
      <c r="B383" t="s">
        <v>1405</v>
      </c>
    </row>
    <row r="384" spans="2:2" x14ac:dyDescent="0.25">
      <c r="B384" t="s">
        <v>1093</v>
      </c>
    </row>
    <row r="385" spans="2:2" x14ac:dyDescent="0.25">
      <c r="B385" t="s">
        <v>714</v>
      </c>
    </row>
    <row r="386" spans="2:2" x14ac:dyDescent="0.25">
      <c r="B386" t="s">
        <v>590</v>
      </c>
    </row>
    <row r="387" spans="2:2" x14ac:dyDescent="0.25">
      <c r="B387" t="s">
        <v>133</v>
      </c>
    </row>
    <row r="388" spans="2:2" x14ac:dyDescent="0.25">
      <c r="B388" t="s">
        <v>170</v>
      </c>
    </row>
    <row r="389" spans="2:2" x14ac:dyDescent="0.25">
      <c r="B389" t="s">
        <v>668</v>
      </c>
    </row>
    <row r="390" spans="2:2" x14ac:dyDescent="0.25">
      <c r="B390" t="s">
        <v>1114</v>
      </c>
    </row>
    <row r="391" spans="2:2" x14ac:dyDescent="0.25">
      <c r="B391" t="s">
        <v>1078</v>
      </c>
    </row>
    <row r="392" spans="2:2" x14ac:dyDescent="0.25">
      <c r="B392" t="s">
        <v>1055</v>
      </c>
    </row>
    <row r="393" spans="2:2" x14ac:dyDescent="0.25">
      <c r="B393" t="s">
        <v>8</v>
      </c>
    </row>
    <row r="394" spans="2:2" x14ac:dyDescent="0.25">
      <c r="B394" t="s">
        <v>702</v>
      </c>
    </row>
    <row r="395" spans="2:2" x14ac:dyDescent="0.25">
      <c r="B395" t="s">
        <v>521</v>
      </c>
    </row>
    <row r="396" spans="2:2" x14ac:dyDescent="0.25">
      <c r="B396" t="s">
        <v>899</v>
      </c>
    </row>
    <row r="397" spans="2:2" x14ac:dyDescent="0.25">
      <c r="B397" t="s">
        <v>1520</v>
      </c>
    </row>
    <row r="398" spans="2:2" x14ac:dyDescent="0.25">
      <c r="B398" t="s">
        <v>1154</v>
      </c>
    </row>
    <row r="399" spans="2:2" x14ac:dyDescent="0.25">
      <c r="B399" t="s">
        <v>120</v>
      </c>
    </row>
    <row r="400" spans="2:2" x14ac:dyDescent="0.25">
      <c r="B400" t="s">
        <v>1442</v>
      </c>
    </row>
    <row r="401" spans="2:2" x14ac:dyDescent="0.25">
      <c r="B401" t="s">
        <v>1436</v>
      </c>
    </row>
    <row r="402" spans="2:2" x14ac:dyDescent="0.25">
      <c r="B402" t="s">
        <v>1494</v>
      </c>
    </row>
    <row r="403" spans="2:2" x14ac:dyDescent="0.25">
      <c r="B403" t="s">
        <v>1415</v>
      </c>
    </row>
    <row r="404" spans="2:2" x14ac:dyDescent="0.25">
      <c r="B404" t="s">
        <v>1148</v>
      </c>
    </row>
    <row r="405" spans="2:2" x14ac:dyDescent="0.25">
      <c r="B405" t="s">
        <v>1068</v>
      </c>
    </row>
    <row r="406" spans="2:2" x14ac:dyDescent="0.25">
      <c r="B406" t="s">
        <v>531</v>
      </c>
    </row>
    <row r="407" spans="2:2" x14ac:dyDescent="0.25">
      <c r="B407" t="s">
        <v>1458</v>
      </c>
    </row>
    <row r="408" spans="2:2" x14ac:dyDescent="0.25">
      <c r="B408" t="s">
        <v>528</v>
      </c>
    </row>
    <row r="409" spans="2:2" x14ac:dyDescent="0.25">
      <c r="B409" t="s">
        <v>56</v>
      </c>
    </row>
    <row r="410" spans="2:2" x14ac:dyDescent="0.25">
      <c r="B410" t="s">
        <v>153</v>
      </c>
    </row>
    <row r="411" spans="2:2" x14ac:dyDescent="0.25">
      <c r="B411" t="s">
        <v>619</v>
      </c>
    </row>
    <row r="412" spans="2:2" x14ac:dyDescent="0.25">
      <c r="B412" t="s">
        <v>340</v>
      </c>
    </row>
    <row r="413" spans="2:2" x14ac:dyDescent="0.25">
      <c r="B413" t="s">
        <v>1522</v>
      </c>
    </row>
    <row r="414" spans="2:2" x14ac:dyDescent="0.25">
      <c r="B414" t="s">
        <v>648</v>
      </c>
    </row>
    <row r="415" spans="2:2" x14ac:dyDescent="0.25">
      <c r="B415" t="s">
        <v>1</v>
      </c>
    </row>
    <row r="416" spans="2:2" x14ac:dyDescent="0.25">
      <c r="B416" t="s">
        <v>930</v>
      </c>
    </row>
    <row r="417" spans="2:2" x14ac:dyDescent="0.25">
      <c r="B417" t="s">
        <v>1732</v>
      </c>
    </row>
    <row r="418" spans="2:2" x14ac:dyDescent="0.25">
      <c r="B418" t="s">
        <v>1748</v>
      </c>
    </row>
    <row r="419" spans="2:2" x14ac:dyDescent="0.25">
      <c r="B419" t="s">
        <v>1772</v>
      </c>
    </row>
    <row r="420" spans="2:2" x14ac:dyDescent="0.25">
      <c r="B420" t="s">
        <v>729</v>
      </c>
    </row>
    <row r="421" spans="2:2" x14ac:dyDescent="0.25">
      <c r="B421" t="s">
        <v>990</v>
      </c>
    </row>
    <row r="422" spans="2:2" x14ac:dyDescent="0.25">
      <c r="B422" t="s">
        <v>520</v>
      </c>
    </row>
    <row r="423" spans="2:2" x14ac:dyDescent="0.25">
      <c r="B423" t="s">
        <v>1157</v>
      </c>
    </row>
    <row r="424" spans="2:2" x14ac:dyDescent="0.25">
      <c r="B424" t="s">
        <v>1559</v>
      </c>
    </row>
    <row r="425" spans="2:2" x14ac:dyDescent="0.25">
      <c r="B425" t="s">
        <v>550</v>
      </c>
    </row>
    <row r="426" spans="2:2" x14ac:dyDescent="0.25">
      <c r="B426" t="s">
        <v>190</v>
      </c>
    </row>
    <row r="427" spans="2:2" x14ac:dyDescent="0.25">
      <c r="B427" t="s">
        <v>1424</v>
      </c>
    </row>
    <row r="428" spans="2:2" x14ac:dyDescent="0.25">
      <c r="B428" t="s">
        <v>341</v>
      </c>
    </row>
    <row r="429" spans="2:2" x14ac:dyDescent="0.25">
      <c r="B429" t="s">
        <v>1472</v>
      </c>
    </row>
    <row r="430" spans="2:2" x14ac:dyDescent="0.25">
      <c r="B430" t="s">
        <v>199</v>
      </c>
    </row>
    <row r="431" spans="2:2" x14ac:dyDescent="0.25">
      <c r="B431" t="s">
        <v>365</v>
      </c>
    </row>
    <row r="432" spans="2:2" x14ac:dyDescent="0.25">
      <c r="B432" t="s">
        <v>1660</v>
      </c>
    </row>
    <row r="433" spans="2:2" x14ac:dyDescent="0.25">
      <c r="B433" t="s">
        <v>1003</v>
      </c>
    </row>
    <row r="434" spans="2:2" x14ac:dyDescent="0.25">
      <c r="B434" t="s">
        <v>390</v>
      </c>
    </row>
    <row r="435" spans="2:2" x14ac:dyDescent="0.25">
      <c r="B435" t="s">
        <v>1567</v>
      </c>
    </row>
    <row r="436" spans="2:2" x14ac:dyDescent="0.25">
      <c r="B436" t="s">
        <v>1682</v>
      </c>
    </row>
    <row r="437" spans="2:2" x14ac:dyDescent="0.25">
      <c r="B437" t="s">
        <v>951</v>
      </c>
    </row>
    <row r="438" spans="2:2" x14ac:dyDescent="0.25">
      <c r="B438" t="s">
        <v>1435</v>
      </c>
    </row>
    <row r="439" spans="2:2" x14ac:dyDescent="0.25">
      <c r="B439" t="s">
        <v>191</v>
      </c>
    </row>
    <row r="440" spans="2:2" x14ac:dyDescent="0.25">
      <c r="B440" t="s">
        <v>1683</v>
      </c>
    </row>
    <row r="441" spans="2:2" x14ac:dyDescent="0.25">
      <c r="B441" t="s">
        <v>788</v>
      </c>
    </row>
    <row r="442" spans="2:2" x14ac:dyDescent="0.25">
      <c r="B442" t="s">
        <v>699</v>
      </c>
    </row>
    <row r="443" spans="2:2" x14ac:dyDescent="0.25">
      <c r="B443" t="s">
        <v>22</v>
      </c>
    </row>
    <row r="444" spans="2:2" x14ac:dyDescent="0.25">
      <c r="B444" t="s">
        <v>1484</v>
      </c>
    </row>
    <row r="445" spans="2:2" x14ac:dyDescent="0.25">
      <c r="B445" t="s">
        <v>1427</v>
      </c>
    </row>
    <row r="446" spans="2:2" x14ac:dyDescent="0.25">
      <c r="B446" t="s">
        <v>1558</v>
      </c>
    </row>
    <row r="447" spans="2:2" x14ac:dyDescent="0.25">
      <c r="B447" t="s">
        <v>1713</v>
      </c>
    </row>
    <row r="448" spans="2:2" x14ac:dyDescent="0.25">
      <c r="B448" t="s">
        <v>596</v>
      </c>
    </row>
    <row r="449" spans="2:2" x14ac:dyDescent="0.25">
      <c r="B449" t="s">
        <v>213</v>
      </c>
    </row>
    <row r="450" spans="2:2" x14ac:dyDescent="0.25">
      <c r="B450" t="s">
        <v>1578</v>
      </c>
    </row>
    <row r="451" spans="2:2" x14ac:dyDescent="0.25">
      <c r="B451" t="s">
        <v>108</v>
      </c>
    </row>
    <row r="452" spans="2:2" x14ac:dyDescent="0.25">
      <c r="B452" t="s">
        <v>678</v>
      </c>
    </row>
    <row r="453" spans="2:2" x14ac:dyDescent="0.25">
      <c r="B453" t="s">
        <v>579</v>
      </c>
    </row>
    <row r="454" spans="2:2" x14ac:dyDescent="0.25">
      <c r="B454" t="s">
        <v>661</v>
      </c>
    </row>
    <row r="455" spans="2:2" x14ac:dyDescent="0.25">
      <c r="B455" t="s">
        <v>1423</v>
      </c>
    </row>
    <row r="456" spans="2:2" x14ac:dyDescent="0.25">
      <c r="B456" t="s">
        <v>1084</v>
      </c>
    </row>
    <row r="457" spans="2:2" x14ac:dyDescent="0.25">
      <c r="B457" t="s">
        <v>969</v>
      </c>
    </row>
    <row r="458" spans="2:2" x14ac:dyDescent="0.25">
      <c r="B458" t="s">
        <v>682</v>
      </c>
    </row>
    <row r="459" spans="2:2" x14ac:dyDescent="0.25">
      <c r="B459" t="s">
        <v>1366</v>
      </c>
    </row>
    <row r="460" spans="2:2" x14ac:dyDescent="0.25">
      <c r="B460" t="s">
        <v>1553</v>
      </c>
    </row>
    <row r="461" spans="2:2" x14ac:dyDescent="0.25">
      <c r="B461" t="s">
        <v>1085</v>
      </c>
    </row>
    <row r="462" spans="2:2" x14ac:dyDescent="0.25">
      <c r="B462" t="s">
        <v>410</v>
      </c>
    </row>
    <row r="463" spans="2:2" x14ac:dyDescent="0.25">
      <c r="B463" t="s">
        <v>1742</v>
      </c>
    </row>
    <row r="464" spans="2:2" x14ac:dyDescent="0.25">
      <c r="B464" t="s">
        <v>1029</v>
      </c>
    </row>
    <row r="465" spans="2:2" x14ac:dyDescent="0.25">
      <c r="B465" t="s">
        <v>155</v>
      </c>
    </row>
    <row r="466" spans="2:2" x14ac:dyDescent="0.25">
      <c r="B466" t="s">
        <v>894</v>
      </c>
    </row>
    <row r="467" spans="2:2" x14ac:dyDescent="0.25">
      <c r="B467" t="s">
        <v>69</v>
      </c>
    </row>
    <row r="468" spans="2:2" x14ac:dyDescent="0.25">
      <c r="B468" t="s">
        <v>1531</v>
      </c>
    </row>
    <row r="469" spans="2:2" x14ac:dyDescent="0.25">
      <c r="B469" t="s">
        <v>1654</v>
      </c>
    </row>
    <row r="470" spans="2:2" x14ac:dyDescent="0.25">
      <c r="B470" t="s">
        <v>404</v>
      </c>
    </row>
    <row r="471" spans="2:2" x14ac:dyDescent="0.25">
      <c r="B471" t="s">
        <v>332</v>
      </c>
    </row>
    <row r="472" spans="2:2" x14ac:dyDescent="0.25">
      <c r="B472" t="s">
        <v>1216</v>
      </c>
    </row>
    <row r="473" spans="2:2" x14ac:dyDescent="0.25">
      <c r="B473" t="s">
        <v>954</v>
      </c>
    </row>
    <row r="474" spans="2:2" x14ac:dyDescent="0.25">
      <c r="B474" t="s">
        <v>876</v>
      </c>
    </row>
    <row r="475" spans="2:2" x14ac:dyDescent="0.25">
      <c r="B475" t="s">
        <v>963</v>
      </c>
    </row>
    <row r="476" spans="2:2" x14ac:dyDescent="0.25">
      <c r="B476" t="s">
        <v>189</v>
      </c>
    </row>
    <row r="477" spans="2:2" x14ac:dyDescent="0.25">
      <c r="B477" t="s">
        <v>76</v>
      </c>
    </row>
    <row r="478" spans="2:2" x14ac:dyDescent="0.25">
      <c r="B478" t="s">
        <v>1369</v>
      </c>
    </row>
    <row r="479" spans="2:2" x14ac:dyDescent="0.25">
      <c r="B479" t="s">
        <v>1211</v>
      </c>
    </row>
    <row r="480" spans="2:2" x14ac:dyDescent="0.25">
      <c r="B480" t="s">
        <v>831</v>
      </c>
    </row>
    <row r="481" spans="2:2" x14ac:dyDescent="0.25">
      <c r="B481" t="s">
        <v>77</v>
      </c>
    </row>
    <row r="482" spans="2:2" x14ac:dyDescent="0.25">
      <c r="B482" t="s">
        <v>772</v>
      </c>
    </row>
    <row r="483" spans="2:2" x14ac:dyDescent="0.25">
      <c r="B483" t="s">
        <v>1234</v>
      </c>
    </row>
    <row r="484" spans="2:2" x14ac:dyDescent="0.25">
      <c r="B484" t="s">
        <v>1123</v>
      </c>
    </row>
    <row r="485" spans="2:2" x14ac:dyDescent="0.25">
      <c r="B485" t="s">
        <v>636</v>
      </c>
    </row>
    <row r="486" spans="2:2" x14ac:dyDescent="0.25">
      <c r="B486" t="s">
        <v>553</v>
      </c>
    </row>
    <row r="487" spans="2:2" x14ac:dyDescent="0.25">
      <c r="B487" t="s">
        <v>1304</v>
      </c>
    </row>
    <row r="488" spans="2:2" x14ac:dyDescent="0.25">
      <c r="B488" t="s">
        <v>938</v>
      </c>
    </row>
    <row r="489" spans="2:2" x14ac:dyDescent="0.25">
      <c r="B489" t="s">
        <v>373</v>
      </c>
    </row>
    <row r="490" spans="2:2" x14ac:dyDescent="0.25">
      <c r="B490" t="s">
        <v>654</v>
      </c>
    </row>
    <row r="491" spans="2:2" x14ac:dyDescent="0.25">
      <c r="B491" t="s">
        <v>774</v>
      </c>
    </row>
    <row r="492" spans="2:2" x14ac:dyDescent="0.25">
      <c r="B492" t="s">
        <v>910</v>
      </c>
    </row>
    <row r="493" spans="2:2" x14ac:dyDescent="0.25">
      <c r="B493" t="s">
        <v>290</v>
      </c>
    </row>
    <row r="494" spans="2:2" x14ac:dyDescent="0.25">
      <c r="B494" t="s">
        <v>288</v>
      </c>
    </row>
    <row r="495" spans="2:2" x14ac:dyDescent="0.25">
      <c r="B495" t="s">
        <v>1152</v>
      </c>
    </row>
    <row r="496" spans="2:2" x14ac:dyDescent="0.25">
      <c r="B496" t="s">
        <v>741</v>
      </c>
    </row>
    <row r="497" spans="2:2" x14ac:dyDescent="0.25">
      <c r="B497" t="s">
        <v>310</v>
      </c>
    </row>
    <row r="498" spans="2:2" x14ac:dyDescent="0.25">
      <c r="B498" t="s">
        <v>1546</v>
      </c>
    </row>
    <row r="499" spans="2:2" x14ac:dyDescent="0.25">
      <c r="B499" t="s">
        <v>273</v>
      </c>
    </row>
    <row r="500" spans="2:2" x14ac:dyDescent="0.25">
      <c r="B500" t="s">
        <v>907</v>
      </c>
    </row>
    <row r="501" spans="2:2" x14ac:dyDescent="0.25">
      <c r="B501" t="s">
        <v>1107</v>
      </c>
    </row>
    <row r="502" spans="2:2" x14ac:dyDescent="0.25">
      <c r="B502" t="s">
        <v>601</v>
      </c>
    </row>
    <row r="503" spans="2:2" x14ac:dyDescent="0.25">
      <c r="B503" t="s">
        <v>185</v>
      </c>
    </row>
    <row r="504" spans="2:2" x14ac:dyDescent="0.25">
      <c r="B504" t="s">
        <v>68</v>
      </c>
    </row>
    <row r="505" spans="2:2" x14ac:dyDescent="0.25">
      <c r="B505" t="s">
        <v>1159</v>
      </c>
    </row>
    <row r="506" spans="2:2" x14ac:dyDescent="0.25">
      <c r="B506" t="s">
        <v>1538</v>
      </c>
    </row>
    <row r="507" spans="2:2" x14ac:dyDescent="0.25">
      <c r="B507" t="s">
        <v>460</v>
      </c>
    </row>
    <row r="508" spans="2:2" x14ac:dyDescent="0.25">
      <c r="B508" t="s">
        <v>1177</v>
      </c>
    </row>
    <row r="509" spans="2:2" x14ac:dyDescent="0.25">
      <c r="B509" t="s">
        <v>1343</v>
      </c>
    </row>
    <row r="510" spans="2:2" x14ac:dyDescent="0.25">
      <c r="B510" t="s">
        <v>126</v>
      </c>
    </row>
    <row r="511" spans="2:2" x14ac:dyDescent="0.25">
      <c r="B511" t="s">
        <v>72</v>
      </c>
    </row>
    <row r="512" spans="2:2" x14ac:dyDescent="0.25">
      <c r="B512" t="s">
        <v>1602</v>
      </c>
    </row>
    <row r="513" spans="2:2" x14ac:dyDescent="0.25">
      <c r="B513" t="s">
        <v>909</v>
      </c>
    </row>
    <row r="514" spans="2:2" x14ac:dyDescent="0.25">
      <c r="B514" t="s">
        <v>544</v>
      </c>
    </row>
    <row r="515" spans="2:2" x14ac:dyDescent="0.25">
      <c r="B515" t="s">
        <v>1125</v>
      </c>
    </row>
    <row r="516" spans="2:2" x14ac:dyDescent="0.25">
      <c r="B516" t="s">
        <v>765</v>
      </c>
    </row>
    <row r="517" spans="2:2" x14ac:dyDescent="0.25">
      <c r="B517" t="s">
        <v>1054</v>
      </c>
    </row>
    <row r="518" spans="2:2" x14ac:dyDescent="0.25">
      <c r="B518" t="s">
        <v>824</v>
      </c>
    </row>
    <row r="519" spans="2:2" x14ac:dyDescent="0.25">
      <c r="B519" t="s">
        <v>491</v>
      </c>
    </row>
    <row r="520" spans="2:2" x14ac:dyDescent="0.25">
      <c r="B520" t="s">
        <v>1760</v>
      </c>
    </row>
    <row r="521" spans="2:2" x14ac:dyDescent="0.25">
      <c r="B521" t="s">
        <v>1392</v>
      </c>
    </row>
    <row r="522" spans="2:2" x14ac:dyDescent="0.25">
      <c r="B522" t="s">
        <v>551</v>
      </c>
    </row>
    <row r="523" spans="2:2" x14ac:dyDescent="0.25">
      <c r="B523" t="s">
        <v>693</v>
      </c>
    </row>
    <row r="524" spans="2:2" x14ac:dyDescent="0.25">
      <c r="B524" t="s">
        <v>573</v>
      </c>
    </row>
    <row r="525" spans="2:2" x14ac:dyDescent="0.25">
      <c r="B525" t="s">
        <v>319</v>
      </c>
    </row>
    <row r="526" spans="2:2" x14ac:dyDescent="0.25">
      <c r="B526" t="s">
        <v>416</v>
      </c>
    </row>
    <row r="527" spans="2:2" x14ac:dyDescent="0.25">
      <c r="B527" t="s">
        <v>1523</v>
      </c>
    </row>
    <row r="528" spans="2:2" x14ac:dyDescent="0.25">
      <c r="B528" t="s">
        <v>343</v>
      </c>
    </row>
    <row r="529" spans="2:2" x14ac:dyDescent="0.25">
      <c r="B529" t="s">
        <v>1115</v>
      </c>
    </row>
    <row r="530" spans="2:2" x14ac:dyDescent="0.25">
      <c r="B530" t="s">
        <v>548</v>
      </c>
    </row>
    <row r="531" spans="2:2" x14ac:dyDescent="0.25">
      <c r="B531" t="s">
        <v>419</v>
      </c>
    </row>
    <row r="532" spans="2:2" x14ac:dyDescent="0.25">
      <c r="B532" t="s">
        <v>1267</v>
      </c>
    </row>
    <row r="533" spans="2:2" x14ac:dyDescent="0.25">
      <c r="B533" t="s">
        <v>646</v>
      </c>
    </row>
    <row r="534" spans="2:2" x14ac:dyDescent="0.25">
      <c r="B534" t="s">
        <v>143</v>
      </c>
    </row>
    <row r="535" spans="2:2" x14ac:dyDescent="0.25">
      <c r="B535" t="s">
        <v>1007</v>
      </c>
    </row>
    <row r="536" spans="2:2" x14ac:dyDescent="0.25">
      <c r="B536" t="s">
        <v>71</v>
      </c>
    </row>
    <row r="537" spans="2:2" x14ac:dyDescent="0.25">
      <c r="B537" t="s">
        <v>1243</v>
      </c>
    </row>
    <row r="538" spans="2:2" x14ac:dyDescent="0.25">
      <c r="B538" t="s">
        <v>1380</v>
      </c>
    </row>
    <row r="539" spans="2:2" x14ac:dyDescent="0.25">
      <c r="B539" t="s">
        <v>1227</v>
      </c>
    </row>
    <row r="540" spans="2:2" x14ac:dyDescent="0.25">
      <c r="B540" t="s">
        <v>515</v>
      </c>
    </row>
    <row r="541" spans="2:2" x14ac:dyDescent="0.25">
      <c r="B541" t="s">
        <v>943</v>
      </c>
    </row>
    <row r="542" spans="2:2" x14ac:dyDescent="0.25">
      <c r="B542" t="s">
        <v>958</v>
      </c>
    </row>
    <row r="543" spans="2:2" x14ac:dyDescent="0.25">
      <c r="B543" t="s">
        <v>1479</v>
      </c>
    </row>
    <row r="544" spans="2:2" x14ac:dyDescent="0.25">
      <c r="B544" t="s">
        <v>1075</v>
      </c>
    </row>
    <row r="545" spans="2:2" x14ac:dyDescent="0.25">
      <c r="B545" t="s">
        <v>1258</v>
      </c>
    </row>
    <row r="546" spans="2:2" x14ac:dyDescent="0.25">
      <c r="B546" t="s">
        <v>735</v>
      </c>
    </row>
    <row r="547" spans="2:2" x14ac:dyDescent="0.25">
      <c r="B547" t="s">
        <v>98</v>
      </c>
    </row>
    <row r="548" spans="2:2" x14ac:dyDescent="0.25">
      <c r="B548" t="s">
        <v>1750</v>
      </c>
    </row>
    <row r="549" spans="2:2" x14ac:dyDescent="0.25">
      <c r="B549" t="s">
        <v>1653</v>
      </c>
    </row>
    <row r="550" spans="2:2" x14ac:dyDescent="0.25">
      <c r="B550" t="s">
        <v>137</v>
      </c>
    </row>
    <row r="551" spans="2:2" x14ac:dyDescent="0.25">
      <c r="B551" t="s">
        <v>1680</v>
      </c>
    </row>
    <row r="552" spans="2:2" x14ac:dyDescent="0.25">
      <c r="B552" t="s">
        <v>1352</v>
      </c>
    </row>
    <row r="553" spans="2:2" x14ac:dyDescent="0.25">
      <c r="B553" t="s">
        <v>884</v>
      </c>
    </row>
    <row r="554" spans="2:2" x14ac:dyDescent="0.25">
      <c r="B554" t="s">
        <v>27</v>
      </c>
    </row>
    <row r="555" spans="2:2" x14ac:dyDescent="0.25">
      <c r="B555" t="s">
        <v>298</v>
      </c>
    </row>
    <row r="556" spans="2:2" x14ac:dyDescent="0.25">
      <c r="B556" t="s">
        <v>314</v>
      </c>
    </row>
    <row r="557" spans="2:2" x14ac:dyDescent="0.25">
      <c r="B557" t="s">
        <v>97</v>
      </c>
    </row>
    <row r="558" spans="2:2" x14ac:dyDescent="0.25">
      <c r="B558" t="s">
        <v>1284</v>
      </c>
    </row>
    <row r="559" spans="2:2" x14ac:dyDescent="0.25">
      <c r="B559" t="s">
        <v>864</v>
      </c>
    </row>
    <row r="560" spans="2:2" x14ac:dyDescent="0.25">
      <c r="B560" t="s">
        <v>716</v>
      </c>
    </row>
    <row r="561" spans="2:2" x14ac:dyDescent="0.25">
      <c r="B561" t="s">
        <v>1734</v>
      </c>
    </row>
    <row r="562" spans="2:2" x14ac:dyDescent="0.25">
      <c r="B562" t="s">
        <v>649</v>
      </c>
    </row>
    <row r="563" spans="2:2" x14ac:dyDescent="0.25">
      <c r="B563" t="s">
        <v>617</v>
      </c>
    </row>
    <row r="564" spans="2:2" x14ac:dyDescent="0.25">
      <c r="B564" t="s">
        <v>1588</v>
      </c>
    </row>
    <row r="565" spans="2:2" x14ac:dyDescent="0.25">
      <c r="B565" t="s">
        <v>1685</v>
      </c>
    </row>
    <row r="566" spans="2:2" x14ac:dyDescent="0.25">
      <c r="B566" t="s">
        <v>94</v>
      </c>
    </row>
    <row r="567" spans="2:2" x14ac:dyDescent="0.25">
      <c r="B567" t="s">
        <v>244</v>
      </c>
    </row>
    <row r="568" spans="2:2" x14ac:dyDescent="0.25">
      <c r="B568" t="s">
        <v>321</v>
      </c>
    </row>
    <row r="569" spans="2:2" x14ac:dyDescent="0.25">
      <c r="B569" t="s">
        <v>1006</v>
      </c>
    </row>
    <row r="570" spans="2:2" x14ac:dyDescent="0.25">
      <c r="B570" t="s">
        <v>935</v>
      </c>
    </row>
    <row r="571" spans="2:2" x14ac:dyDescent="0.25">
      <c r="B571" t="s">
        <v>333</v>
      </c>
    </row>
    <row r="572" spans="2:2" x14ac:dyDescent="0.25">
      <c r="B572" t="s">
        <v>670</v>
      </c>
    </row>
    <row r="573" spans="2:2" x14ac:dyDescent="0.25">
      <c r="B573" t="s">
        <v>639</v>
      </c>
    </row>
    <row r="574" spans="2:2" x14ac:dyDescent="0.25">
      <c r="B574" t="s">
        <v>641</v>
      </c>
    </row>
    <row r="575" spans="2:2" x14ac:dyDescent="0.25">
      <c r="B575" t="s">
        <v>1572</v>
      </c>
    </row>
    <row r="576" spans="2:2" x14ac:dyDescent="0.25">
      <c r="B576" t="s">
        <v>1016</v>
      </c>
    </row>
    <row r="577" spans="2:2" x14ac:dyDescent="0.25">
      <c r="B577" t="s">
        <v>802</v>
      </c>
    </row>
    <row r="578" spans="2:2" x14ac:dyDescent="0.25">
      <c r="B578" t="s">
        <v>1476</v>
      </c>
    </row>
    <row r="579" spans="2:2" x14ac:dyDescent="0.25">
      <c r="B579" t="s">
        <v>1688</v>
      </c>
    </row>
    <row r="580" spans="2:2" x14ac:dyDescent="0.25">
      <c r="B580" t="s">
        <v>906</v>
      </c>
    </row>
    <row r="581" spans="2:2" x14ac:dyDescent="0.25">
      <c r="B581" t="s">
        <v>571</v>
      </c>
    </row>
    <row r="582" spans="2:2" x14ac:dyDescent="0.25">
      <c r="B582" t="s">
        <v>146</v>
      </c>
    </row>
    <row r="583" spans="2:2" x14ac:dyDescent="0.25">
      <c r="B583" t="s">
        <v>499</v>
      </c>
    </row>
    <row r="584" spans="2:2" x14ac:dyDescent="0.25">
      <c r="B584" t="s">
        <v>1529</v>
      </c>
    </row>
    <row r="585" spans="2:2" x14ac:dyDescent="0.25">
      <c r="B585" t="s">
        <v>608</v>
      </c>
    </row>
    <row r="586" spans="2:2" x14ac:dyDescent="0.25">
      <c r="B586" t="s">
        <v>1314</v>
      </c>
    </row>
    <row r="587" spans="2:2" x14ac:dyDescent="0.25">
      <c r="B587" t="s">
        <v>1024</v>
      </c>
    </row>
    <row r="588" spans="2:2" x14ac:dyDescent="0.25">
      <c r="B588" t="s">
        <v>955</v>
      </c>
    </row>
    <row r="589" spans="2:2" x14ac:dyDescent="0.25">
      <c r="B589" t="s">
        <v>568</v>
      </c>
    </row>
    <row r="590" spans="2:2" x14ac:dyDescent="0.25">
      <c r="B590" t="s">
        <v>1489</v>
      </c>
    </row>
    <row r="591" spans="2:2" x14ac:dyDescent="0.25">
      <c r="B591" t="s">
        <v>95</v>
      </c>
    </row>
    <row r="592" spans="2:2" x14ac:dyDescent="0.25">
      <c r="B592" t="s">
        <v>210</v>
      </c>
    </row>
    <row r="593" spans="2:2" x14ac:dyDescent="0.25">
      <c r="B593" t="s">
        <v>1551</v>
      </c>
    </row>
    <row r="594" spans="2:2" x14ac:dyDescent="0.25">
      <c r="B594" t="s">
        <v>1131</v>
      </c>
    </row>
    <row r="595" spans="2:2" x14ac:dyDescent="0.25">
      <c r="B595" t="s">
        <v>233</v>
      </c>
    </row>
    <row r="596" spans="2:2" x14ac:dyDescent="0.25">
      <c r="B596" t="s">
        <v>1163</v>
      </c>
    </row>
    <row r="597" spans="2:2" x14ac:dyDescent="0.25">
      <c r="B597" t="s">
        <v>979</v>
      </c>
    </row>
    <row r="598" spans="2:2" x14ac:dyDescent="0.25">
      <c r="B598" t="s">
        <v>1232</v>
      </c>
    </row>
    <row r="599" spans="2:2" x14ac:dyDescent="0.25">
      <c r="B599" t="s">
        <v>730</v>
      </c>
    </row>
    <row r="600" spans="2:2" x14ac:dyDescent="0.25">
      <c r="B600" t="s">
        <v>392</v>
      </c>
    </row>
    <row r="601" spans="2:2" x14ac:dyDescent="0.25">
      <c r="B601" t="s">
        <v>972</v>
      </c>
    </row>
    <row r="602" spans="2:2" x14ac:dyDescent="0.25">
      <c r="B602" t="s">
        <v>529</v>
      </c>
    </row>
    <row r="603" spans="2:2" x14ac:dyDescent="0.25">
      <c r="B603" t="s">
        <v>336</v>
      </c>
    </row>
    <row r="604" spans="2:2" x14ac:dyDescent="0.25">
      <c r="B604" t="s">
        <v>727</v>
      </c>
    </row>
    <row r="605" spans="2:2" x14ac:dyDescent="0.25">
      <c r="B605" t="s">
        <v>1001</v>
      </c>
    </row>
    <row r="606" spans="2:2" x14ac:dyDescent="0.25">
      <c r="B606" t="s">
        <v>40</v>
      </c>
    </row>
    <row r="607" spans="2:2" x14ac:dyDescent="0.25">
      <c r="B607" t="s">
        <v>1377</v>
      </c>
    </row>
    <row r="608" spans="2:2" x14ac:dyDescent="0.25">
      <c r="B608" t="s">
        <v>706</v>
      </c>
    </row>
    <row r="609" spans="2:2" x14ac:dyDescent="0.25">
      <c r="B609" t="s">
        <v>1095</v>
      </c>
    </row>
    <row r="610" spans="2:2" x14ac:dyDescent="0.25">
      <c r="B610" t="s">
        <v>254</v>
      </c>
    </row>
    <row r="611" spans="2:2" x14ac:dyDescent="0.25">
      <c r="B611" t="s">
        <v>1542</v>
      </c>
    </row>
    <row r="612" spans="2:2" x14ac:dyDescent="0.25">
      <c r="B612" t="s">
        <v>282</v>
      </c>
    </row>
    <row r="613" spans="2:2" x14ac:dyDescent="0.25">
      <c r="B613" t="s">
        <v>1374</v>
      </c>
    </row>
    <row r="614" spans="2:2" x14ac:dyDescent="0.25">
      <c r="B614" t="s">
        <v>1426</v>
      </c>
    </row>
    <row r="615" spans="2:2" x14ac:dyDescent="0.25">
      <c r="B615" t="s">
        <v>1069</v>
      </c>
    </row>
    <row r="616" spans="2:2" x14ac:dyDescent="0.25">
      <c r="B616" t="s">
        <v>408</v>
      </c>
    </row>
    <row r="617" spans="2:2" x14ac:dyDescent="0.25">
      <c r="B617" t="s">
        <v>1126</v>
      </c>
    </row>
    <row r="618" spans="2:2" x14ac:dyDescent="0.25">
      <c r="B618" t="s">
        <v>934</v>
      </c>
    </row>
    <row r="619" spans="2:2" x14ac:dyDescent="0.25">
      <c r="B619" t="s">
        <v>1337</v>
      </c>
    </row>
    <row r="620" spans="2:2" x14ac:dyDescent="0.25">
      <c r="B620" t="s">
        <v>1493</v>
      </c>
    </row>
    <row r="621" spans="2:2" x14ac:dyDescent="0.25">
      <c r="B621" t="s">
        <v>1486</v>
      </c>
    </row>
    <row r="622" spans="2:2" x14ac:dyDescent="0.25">
      <c r="B622" t="s">
        <v>1504</v>
      </c>
    </row>
    <row r="623" spans="2:2" x14ac:dyDescent="0.25">
      <c r="B623" t="s">
        <v>1173</v>
      </c>
    </row>
    <row r="624" spans="2:2" x14ac:dyDescent="0.25">
      <c r="B624" t="s">
        <v>192</v>
      </c>
    </row>
    <row r="625" spans="2:2" x14ac:dyDescent="0.25">
      <c r="B625" t="s">
        <v>360</v>
      </c>
    </row>
    <row r="626" spans="2:2" x14ac:dyDescent="0.25">
      <c r="B626" t="s">
        <v>671</v>
      </c>
    </row>
    <row r="627" spans="2:2" x14ac:dyDescent="0.25">
      <c r="B627" t="s">
        <v>1646</v>
      </c>
    </row>
    <row r="628" spans="2:2" x14ac:dyDescent="0.25">
      <c r="B628" t="s">
        <v>992</v>
      </c>
    </row>
    <row r="629" spans="2:2" x14ac:dyDescent="0.25">
      <c r="B629" t="s">
        <v>1158</v>
      </c>
    </row>
    <row r="630" spans="2:2" x14ac:dyDescent="0.25">
      <c r="B630" t="s">
        <v>1144</v>
      </c>
    </row>
    <row r="631" spans="2:2" x14ac:dyDescent="0.25">
      <c r="B631" t="s">
        <v>144</v>
      </c>
    </row>
    <row r="632" spans="2:2" x14ac:dyDescent="0.25">
      <c r="B632" t="s">
        <v>229</v>
      </c>
    </row>
    <row r="633" spans="2:2" x14ac:dyDescent="0.25">
      <c r="B633" t="s">
        <v>626</v>
      </c>
    </row>
    <row r="634" spans="2:2" x14ac:dyDescent="0.25">
      <c r="B634" t="s">
        <v>1771</v>
      </c>
    </row>
    <row r="635" spans="2:2" x14ac:dyDescent="0.25">
      <c r="B635" t="s">
        <v>1229</v>
      </c>
    </row>
    <row r="636" spans="2:2" x14ac:dyDescent="0.25">
      <c r="B636" t="s">
        <v>1467</v>
      </c>
    </row>
    <row r="637" spans="2:2" x14ac:dyDescent="0.25">
      <c r="B637" t="s">
        <v>1619</v>
      </c>
    </row>
    <row r="638" spans="2:2" x14ac:dyDescent="0.25">
      <c r="B638" t="s">
        <v>401</v>
      </c>
    </row>
    <row r="639" spans="2:2" x14ac:dyDescent="0.25">
      <c r="B639" t="s">
        <v>472</v>
      </c>
    </row>
    <row r="640" spans="2:2" x14ac:dyDescent="0.25">
      <c r="B640" t="s">
        <v>1151</v>
      </c>
    </row>
    <row r="641" spans="2:2" x14ac:dyDescent="0.25">
      <c r="B641" t="s">
        <v>1409</v>
      </c>
    </row>
    <row r="642" spans="2:2" x14ac:dyDescent="0.25">
      <c r="B642" t="s">
        <v>692</v>
      </c>
    </row>
    <row r="643" spans="2:2" x14ac:dyDescent="0.25">
      <c r="B643" t="s">
        <v>1047</v>
      </c>
    </row>
    <row r="644" spans="2:2" x14ac:dyDescent="0.25">
      <c r="B644" t="s">
        <v>1327</v>
      </c>
    </row>
    <row r="645" spans="2:2" x14ac:dyDescent="0.25">
      <c r="B645" t="s">
        <v>582</v>
      </c>
    </row>
    <row r="646" spans="2:2" x14ac:dyDescent="0.25">
      <c r="B646" t="s">
        <v>58</v>
      </c>
    </row>
    <row r="647" spans="2:2" x14ac:dyDescent="0.25">
      <c r="B647" t="s">
        <v>177</v>
      </c>
    </row>
    <row r="648" spans="2:2" x14ac:dyDescent="0.25">
      <c r="B648" t="s">
        <v>1354</v>
      </c>
    </row>
    <row r="649" spans="2:2" x14ac:dyDescent="0.25">
      <c r="B649" t="s">
        <v>66</v>
      </c>
    </row>
    <row r="650" spans="2:2" x14ac:dyDescent="0.25">
      <c r="B650" t="s">
        <v>1165</v>
      </c>
    </row>
    <row r="651" spans="2:2" x14ac:dyDescent="0.25">
      <c r="B651" t="s">
        <v>1447</v>
      </c>
    </row>
    <row r="652" spans="2:2" x14ac:dyDescent="0.25">
      <c r="B652" t="s">
        <v>593</v>
      </c>
    </row>
    <row r="653" spans="2:2" x14ac:dyDescent="0.25">
      <c r="B653" t="s">
        <v>911</v>
      </c>
    </row>
    <row r="654" spans="2:2" x14ac:dyDescent="0.25">
      <c r="B654" t="s">
        <v>721</v>
      </c>
    </row>
    <row r="655" spans="2:2" x14ac:dyDescent="0.25">
      <c r="B655" t="s">
        <v>890</v>
      </c>
    </row>
    <row r="656" spans="2:2" x14ac:dyDescent="0.25">
      <c r="B656" t="s">
        <v>1639</v>
      </c>
    </row>
    <row r="657" spans="2:2" x14ac:dyDescent="0.25">
      <c r="B657" t="s">
        <v>1300</v>
      </c>
    </row>
    <row r="658" spans="2:2" x14ac:dyDescent="0.25">
      <c r="B658" t="s">
        <v>744</v>
      </c>
    </row>
    <row r="659" spans="2:2" x14ac:dyDescent="0.25">
      <c r="B659" t="s">
        <v>402</v>
      </c>
    </row>
    <row r="660" spans="2:2" x14ac:dyDescent="0.25">
      <c r="B660" t="s">
        <v>323</v>
      </c>
    </row>
    <row r="661" spans="2:2" x14ac:dyDescent="0.25">
      <c r="B661" t="s">
        <v>584</v>
      </c>
    </row>
    <row r="662" spans="2:2" x14ac:dyDescent="0.25">
      <c r="B662" t="s">
        <v>375</v>
      </c>
    </row>
    <row r="663" spans="2:2" x14ac:dyDescent="0.25">
      <c r="B663" t="s">
        <v>1728</v>
      </c>
    </row>
    <row r="664" spans="2:2" x14ac:dyDescent="0.25">
      <c r="B664" t="s">
        <v>1744</v>
      </c>
    </row>
    <row r="665" spans="2:2" x14ac:dyDescent="0.25">
      <c r="B665" t="s">
        <v>33</v>
      </c>
    </row>
    <row r="666" spans="2:2" x14ac:dyDescent="0.25">
      <c r="B666" t="s">
        <v>659</v>
      </c>
    </row>
    <row r="667" spans="2:2" x14ac:dyDescent="0.25">
      <c r="B667" t="s">
        <v>398</v>
      </c>
    </row>
    <row r="668" spans="2:2" x14ac:dyDescent="0.25">
      <c r="B668" t="s">
        <v>325</v>
      </c>
    </row>
    <row r="669" spans="2:2" x14ac:dyDescent="0.25">
      <c r="B669" t="s">
        <v>1022</v>
      </c>
    </row>
    <row r="670" spans="2:2" x14ac:dyDescent="0.25">
      <c r="B670" t="s">
        <v>1516</v>
      </c>
    </row>
    <row r="671" spans="2:2" x14ac:dyDescent="0.25">
      <c r="B671" t="s">
        <v>796</v>
      </c>
    </row>
    <row r="672" spans="2:2" x14ac:dyDescent="0.25">
      <c r="B672" t="s">
        <v>1552</v>
      </c>
    </row>
    <row r="673" spans="2:2" x14ac:dyDescent="0.25">
      <c r="B673" t="s">
        <v>1431</v>
      </c>
    </row>
    <row r="674" spans="2:2" x14ac:dyDescent="0.25">
      <c r="B674" t="s">
        <v>1583</v>
      </c>
    </row>
    <row r="675" spans="2:2" x14ac:dyDescent="0.25">
      <c r="B675" t="s">
        <v>1633</v>
      </c>
    </row>
    <row r="676" spans="2:2" x14ac:dyDescent="0.25">
      <c r="B676" t="s">
        <v>1325</v>
      </c>
    </row>
    <row r="677" spans="2:2" x14ac:dyDescent="0.25">
      <c r="B677" t="s">
        <v>32</v>
      </c>
    </row>
    <row r="678" spans="2:2" x14ac:dyDescent="0.25">
      <c r="B678" t="s">
        <v>448</v>
      </c>
    </row>
    <row r="679" spans="2:2" x14ac:dyDescent="0.25">
      <c r="B679" t="s">
        <v>580</v>
      </c>
    </row>
    <row r="680" spans="2:2" x14ac:dyDescent="0.25">
      <c r="B680" t="s">
        <v>552</v>
      </c>
    </row>
    <row r="681" spans="2:2" x14ac:dyDescent="0.25">
      <c r="B681" t="s">
        <v>1299</v>
      </c>
    </row>
    <row r="682" spans="2:2" x14ac:dyDescent="0.25">
      <c r="B682" t="s">
        <v>240</v>
      </c>
    </row>
    <row r="683" spans="2:2" x14ac:dyDescent="0.25">
      <c r="B683" t="s">
        <v>997</v>
      </c>
    </row>
    <row r="684" spans="2:2" x14ac:dyDescent="0.25">
      <c r="B684" t="s">
        <v>776</v>
      </c>
    </row>
    <row r="685" spans="2:2" x14ac:dyDescent="0.25">
      <c r="B685" t="s">
        <v>214</v>
      </c>
    </row>
    <row r="686" spans="2:2" x14ac:dyDescent="0.25">
      <c r="B686" t="s">
        <v>542</v>
      </c>
    </row>
    <row r="687" spans="2:2" x14ac:dyDescent="0.25">
      <c r="B687" t="s">
        <v>863</v>
      </c>
    </row>
    <row r="688" spans="2:2" x14ac:dyDescent="0.25">
      <c r="B688" t="s">
        <v>475</v>
      </c>
    </row>
    <row r="689" spans="2:2" x14ac:dyDescent="0.25">
      <c r="B689" t="s">
        <v>1019</v>
      </c>
    </row>
    <row r="690" spans="2:2" x14ac:dyDescent="0.25">
      <c r="B690" t="s">
        <v>1508</v>
      </c>
    </row>
    <row r="691" spans="2:2" x14ac:dyDescent="0.25">
      <c r="B691" t="s">
        <v>1036</v>
      </c>
    </row>
    <row r="692" spans="2:2" x14ac:dyDescent="0.25">
      <c r="B692" t="s">
        <v>908</v>
      </c>
    </row>
    <row r="693" spans="2:2" x14ac:dyDescent="0.25">
      <c r="B693" t="s">
        <v>1385</v>
      </c>
    </row>
    <row r="694" spans="2:2" x14ac:dyDescent="0.25">
      <c r="B694" t="s">
        <v>1268</v>
      </c>
    </row>
    <row r="695" spans="2:2" x14ac:dyDescent="0.25">
      <c r="B695" t="s">
        <v>393</v>
      </c>
    </row>
    <row r="696" spans="2:2" x14ac:dyDescent="0.25">
      <c r="B696" t="s">
        <v>605</v>
      </c>
    </row>
    <row r="697" spans="2:2" x14ac:dyDescent="0.25">
      <c r="B697" t="s">
        <v>403</v>
      </c>
    </row>
    <row r="698" spans="2:2" x14ac:dyDescent="0.25">
      <c r="B698" t="s">
        <v>888</v>
      </c>
    </row>
    <row r="699" spans="2:2" x14ac:dyDescent="0.25">
      <c r="B699" t="s">
        <v>647</v>
      </c>
    </row>
    <row r="700" spans="2:2" x14ac:dyDescent="0.25">
      <c r="B700" t="s">
        <v>1649</v>
      </c>
    </row>
    <row r="701" spans="2:2" x14ac:dyDescent="0.25">
      <c r="B701" t="s">
        <v>917</v>
      </c>
    </row>
    <row r="702" spans="2:2" x14ac:dyDescent="0.25">
      <c r="B702" t="s">
        <v>768</v>
      </c>
    </row>
    <row r="703" spans="2:2" x14ac:dyDescent="0.25">
      <c r="B703" t="s">
        <v>1430</v>
      </c>
    </row>
    <row r="704" spans="2:2" x14ac:dyDescent="0.25">
      <c r="B704" t="s">
        <v>1676</v>
      </c>
    </row>
    <row r="705" spans="2:2" x14ac:dyDescent="0.25">
      <c r="B705" t="s">
        <v>169</v>
      </c>
    </row>
    <row r="706" spans="2:2" x14ac:dyDescent="0.25">
      <c r="B706" t="s">
        <v>454</v>
      </c>
    </row>
    <row r="707" spans="2:2" x14ac:dyDescent="0.25">
      <c r="B707" t="s">
        <v>1420</v>
      </c>
    </row>
    <row r="708" spans="2:2" x14ac:dyDescent="0.25">
      <c r="B708" t="s">
        <v>585</v>
      </c>
    </row>
    <row r="709" spans="2:2" x14ac:dyDescent="0.25">
      <c r="B709" t="s">
        <v>509</v>
      </c>
    </row>
    <row r="710" spans="2:2" x14ac:dyDescent="0.25">
      <c r="B710" t="s">
        <v>344</v>
      </c>
    </row>
    <row r="711" spans="2:2" x14ac:dyDescent="0.25">
      <c r="B711" t="s">
        <v>183</v>
      </c>
    </row>
    <row r="712" spans="2:2" x14ac:dyDescent="0.25">
      <c r="B712" t="s">
        <v>522</v>
      </c>
    </row>
    <row r="713" spans="2:2" x14ac:dyDescent="0.25">
      <c r="B713" t="s">
        <v>689</v>
      </c>
    </row>
    <row r="714" spans="2:2" x14ac:dyDescent="0.25">
      <c r="B714" t="s">
        <v>770</v>
      </c>
    </row>
    <row r="715" spans="2:2" x14ac:dyDescent="0.25">
      <c r="B715" t="s">
        <v>931</v>
      </c>
    </row>
    <row r="716" spans="2:2" x14ac:dyDescent="0.25">
      <c r="B716" t="s">
        <v>891</v>
      </c>
    </row>
    <row r="717" spans="2:2" x14ac:dyDescent="0.25">
      <c r="B717" t="s">
        <v>498</v>
      </c>
    </row>
    <row r="718" spans="2:2" x14ac:dyDescent="0.25">
      <c r="B718" t="s">
        <v>978</v>
      </c>
    </row>
    <row r="719" spans="2:2" x14ac:dyDescent="0.25">
      <c r="B719" t="s">
        <v>818</v>
      </c>
    </row>
    <row r="720" spans="2:2" x14ac:dyDescent="0.25">
      <c r="B720" t="s">
        <v>241</v>
      </c>
    </row>
    <row r="721" spans="2:2" x14ac:dyDescent="0.25">
      <c r="B721" t="s">
        <v>1375</v>
      </c>
    </row>
    <row r="722" spans="2:2" x14ac:dyDescent="0.25">
      <c r="B722" t="s">
        <v>204</v>
      </c>
    </row>
    <row r="723" spans="2:2" x14ac:dyDescent="0.25">
      <c r="B723" t="s">
        <v>1541</v>
      </c>
    </row>
    <row r="724" spans="2:2" x14ac:dyDescent="0.25">
      <c r="B724" t="s">
        <v>1045</v>
      </c>
    </row>
    <row r="725" spans="2:2" x14ac:dyDescent="0.25">
      <c r="B725" t="s">
        <v>1647</v>
      </c>
    </row>
    <row r="726" spans="2:2" x14ac:dyDescent="0.25">
      <c r="B726" t="s">
        <v>1298</v>
      </c>
    </row>
    <row r="727" spans="2:2" x14ac:dyDescent="0.25">
      <c r="B727" t="s">
        <v>624</v>
      </c>
    </row>
    <row r="728" spans="2:2" x14ac:dyDescent="0.25">
      <c r="B728" t="s">
        <v>860</v>
      </c>
    </row>
    <row r="729" spans="2:2" x14ac:dyDescent="0.25">
      <c r="B729" t="s">
        <v>372</v>
      </c>
    </row>
    <row r="730" spans="2:2" x14ac:dyDescent="0.25">
      <c r="B730" t="s">
        <v>505</v>
      </c>
    </row>
    <row r="731" spans="2:2" x14ac:dyDescent="0.25">
      <c r="B731" t="s">
        <v>1147</v>
      </c>
    </row>
    <row r="732" spans="2:2" x14ac:dyDescent="0.25">
      <c r="B732" t="s">
        <v>701</v>
      </c>
    </row>
    <row r="733" spans="2:2" x14ac:dyDescent="0.25">
      <c r="B733" t="s">
        <v>811</v>
      </c>
    </row>
    <row r="734" spans="2:2" x14ac:dyDescent="0.25">
      <c r="B734" t="s">
        <v>57</v>
      </c>
    </row>
    <row r="735" spans="2:2" x14ac:dyDescent="0.25">
      <c r="B735" t="s">
        <v>371</v>
      </c>
    </row>
    <row r="736" spans="2:2" x14ac:dyDescent="0.25">
      <c r="B736" t="s">
        <v>1137</v>
      </c>
    </row>
    <row r="737" spans="2:2" x14ac:dyDescent="0.25">
      <c r="B737" t="s">
        <v>1607</v>
      </c>
    </row>
    <row r="738" spans="2:2" x14ac:dyDescent="0.25">
      <c r="B738" t="s">
        <v>512</v>
      </c>
    </row>
    <row r="739" spans="2:2" x14ac:dyDescent="0.25">
      <c r="B739" t="s">
        <v>669</v>
      </c>
    </row>
    <row r="740" spans="2:2" x14ac:dyDescent="0.25">
      <c r="B740" t="s">
        <v>1241</v>
      </c>
    </row>
    <row r="741" spans="2:2" x14ac:dyDescent="0.25">
      <c r="B741" t="s">
        <v>452</v>
      </c>
    </row>
    <row r="742" spans="2:2" x14ac:dyDescent="0.25">
      <c r="B742" t="s">
        <v>1066</v>
      </c>
    </row>
    <row r="743" spans="2:2" x14ac:dyDescent="0.25">
      <c r="B743" t="s">
        <v>361</v>
      </c>
    </row>
    <row r="744" spans="2:2" x14ac:dyDescent="0.25">
      <c r="B744" t="s">
        <v>1101</v>
      </c>
    </row>
    <row r="745" spans="2:2" x14ac:dyDescent="0.25">
      <c r="B745" t="s">
        <v>856</v>
      </c>
    </row>
    <row r="746" spans="2:2" x14ac:dyDescent="0.25">
      <c r="B746" t="s">
        <v>1752</v>
      </c>
    </row>
    <row r="747" spans="2:2" x14ac:dyDescent="0.25">
      <c r="B747" t="s">
        <v>561</v>
      </c>
    </row>
    <row r="748" spans="2:2" x14ac:dyDescent="0.25">
      <c r="B748" t="s">
        <v>369</v>
      </c>
    </row>
    <row r="749" spans="2:2" x14ac:dyDescent="0.25">
      <c r="B749" t="s">
        <v>1249</v>
      </c>
    </row>
    <row r="750" spans="2:2" x14ac:dyDescent="0.25">
      <c r="B750" t="s">
        <v>541</v>
      </c>
    </row>
    <row r="751" spans="2:2" x14ac:dyDescent="0.25">
      <c r="B751" t="s">
        <v>194</v>
      </c>
    </row>
    <row r="752" spans="2:2" x14ac:dyDescent="0.25">
      <c r="B752" t="s">
        <v>405</v>
      </c>
    </row>
    <row r="753" spans="2:2" x14ac:dyDescent="0.25">
      <c r="B753" t="s">
        <v>1345</v>
      </c>
    </row>
    <row r="754" spans="2:2" x14ac:dyDescent="0.25">
      <c r="B754" t="s">
        <v>591</v>
      </c>
    </row>
    <row r="755" spans="2:2" x14ac:dyDescent="0.25">
      <c r="B755" t="s">
        <v>447</v>
      </c>
    </row>
    <row r="756" spans="2:2" x14ac:dyDescent="0.25">
      <c r="B756" t="s">
        <v>308</v>
      </c>
    </row>
    <row r="757" spans="2:2" x14ac:dyDescent="0.25">
      <c r="B757" t="s">
        <v>1629</v>
      </c>
    </row>
    <row r="758" spans="2:2" x14ac:dyDescent="0.25">
      <c r="B758" t="s">
        <v>650</v>
      </c>
    </row>
    <row r="759" spans="2:2" x14ac:dyDescent="0.25">
      <c r="B759" t="s">
        <v>1758</v>
      </c>
    </row>
    <row r="760" spans="2:2" x14ac:dyDescent="0.25">
      <c r="B760" t="s">
        <v>539</v>
      </c>
    </row>
    <row r="761" spans="2:2" x14ac:dyDescent="0.25">
      <c r="B761" t="s">
        <v>1718</v>
      </c>
    </row>
    <row r="762" spans="2:2" x14ac:dyDescent="0.25">
      <c r="B762" t="s">
        <v>758</v>
      </c>
    </row>
    <row r="763" spans="2:2" x14ac:dyDescent="0.25">
      <c r="B763" t="s">
        <v>70</v>
      </c>
    </row>
    <row r="764" spans="2:2" x14ac:dyDescent="0.25">
      <c r="B764" t="s">
        <v>1697</v>
      </c>
    </row>
    <row r="765" spans="2:2" x14ac:dyDescent="0.25">
      <c r="B765" t="s">
        <v>1255</v>
      </c>
    </row>
    <row r="766" spans="2:2" x14ac:dyDescent="0.25">
      <c r="B766" t="s">
        <v>598</v>
      </c>
    </row>
    <row r="767" spans="2:2" x14ac:dyDescent="0.25">
      <c r="B767" t="s">
        <v>1231</v>
      </c>
    </row>
    <row r="768" spans="2:2" x14ac:dyDescent="0.25">
      <c r="B768" t="s">
        <v>104</v>
      </c>
    </row>
    <row r="769" spans="2:2" x14ac:dyDescent="0.25">
      <c r="B769" t="s">
        <v>96</v>
      </c>
    </row>
    <row r="770" spans="2:2" x14ac:dyDescent="0.25">
      <c r="B770" t="s">
        <v>100</v>
      </c>
    </row>
    <row r="771" spans="2:2" x14ac:dyDescent="0.25">
      <c r="B771" t="s">
        <v>1031</v>
      </c>
    </row>
    <row r="772" spans="2:2" x14ac:dyDescent="0.25">
      <c r="B772" t="s">
        <v>318</v>
      </c>
    </row>
    <row r="773" spans="2:2" x14ac:dyDescent="0.25">
      <c r="B773" t="s">
        <v>1444</v>
      </c>
    </row>
    <row r="774" spans="2:2" x14ac:dyDescent="0.25">
      <c r="B774" t="s">
        <v>1335</v>
      </c>
    </row>
    <row r="775" spans="2:2" x14ac:dyDescent="0.25">
      <c r="B775" t="s">
        <v>154</v>
      </c>
    </row>
    <row r="776" spans="2:2" x14ac:dyDescent="0.25">
      <c r="B776" t="s">
        <v>1548</v>
      </c>
    </row>
    <row r="777" spans="2:2" x14ac:dyDescent="0.25">
      <c r="B777" t="s">
        <v>1081</v>
      </c>
    </row>
    <row r="778" spans="2:2" x14ac:dyDescent="0.25">
      <c r="B778" t="s">
        <v>480</v>
      </c>
    </row>
    <row r="779" spans="2:2" x14ac:dyDescent="0.25">
      <c r="B779" t="s">
        <v>301</v>
      </c>
    </row>
    <row r="780" spans="2:2" x14ac:dyDescent="0.25">
      <c r="B780" t="s">
        <v>538</v>
      </c>
    </row>
    <row r="781" spans="2:2" x14ac:dyDescent="0.25">
      <c r="B781" t="s">
        <v>1175</v>
      </c>
    </row>
    <row r="782" spans="2:2" x14ac:dyDescent="0.25">
      <c r="B782" t="s">
        <v>1171</v>
      </c>
    </row>
    <row r="783" spans="2:2" x14ac:dyDescent="0.25">
      <c r="B783" t="s">
        <v>588</v>
      </c>
    </row>
    <row r="784" spans="2:2" x14ac:dyDescent="0.25">
      <c r="B784" t="s">
        <v>258</v>
      </c>
    </row>
    <row r="785" spans="2:2" x14ac:dyDescent="0.25">
      <c r="B785" t="s">
        <v>912</v>
      </c>
    </row>
    <row r="786" spans="2:2" x14ac:dyDescent="0.25">
      <c r="B786" t="s">
        <v>1745</v>
      </c>
    </row>
    <row r="787" spans="2:2" x14ac:dyDescent="0.25">
      <c r="B787" t="s">
        <v>1590</v>
      </c>
    </row>
    <row r="788" spans="2:2" x14ac:dyDescent="0.25">
      <c r="B788" t="s">
        <v>764</v>
      </c>
    </row>
    <row r="789" spans="2:2" x14ac:dyDescent="0.25">
      <c r="B789" t="s">
        <v>1017</v>
      </c>
    </row>
    <row r="790" spans="2:2" x14ac:dyDescent="0.25">
      <c r="B790" t="s">
        <v>1108</v>
      </c>
    </row>
    <row r="791" spans="2:2" x14ac:dyDescent="0.25">
      <c r="B791" t="s">
        <v>998</v>
      </c>
    </row>
    <row r="792" spans="2:2" x14ac:dyDescent="0.25">
      <c r="B792" t="s">
        <v>433</v>
      </c>
    </row>
    <row r="793" spans="2:2" x14ac:dyDescent="0.25">
      <c r="B793" t="s">
        <v>627</v>
      </c>
    </row>
    <row r="794" spans="2:2" x14ac:dyDescent="0.25">
      <c r="B794" t="s">
        <v>1530</v>
      </c>
    </row>
    <row r="795" spans="2:2" x14ac:dyDescent="0.25">
      <c r="B795" t="s">
        <v>1077</v>
      </c>
    </row>
    <row r="796" spans="2:2" x14ac:dyDescent="0.25">
      <c r="B796" t="s">
        <v>1245</v>
      </c>
    </row>
    <row r="797" spans="2:2" x14ac:dyDescent="0.25">
      <c r="B797" t="s">
        <v>469</v>
      </c>
    </row>
    <row r="798" spans="2:2" x14ac:dyDescent="0.25">
      <c r="B798" t="s">
        <v>898</v>
      </c>
    </row>
    <row r="799" spans="2:2" x14ac:dyDescent="0.25">
      <c r="B799" t="s">
        <v>1100</v>
      </c>
    </row>
    <row r="800" spans="2:2" x14ac:dyDescent="0.25">
      <c r="B800" t="s">
        <v>1396</v>
      </c>
    </row>
    <row r="801" spans="2:2" x14ac:dyDescent="0.25">
      <c r="B801" t="s">
        <v>1225</v>
      </c>
    </row>
    <row r="802" spans="2:2" x14ac:dyDescent="0.25">
      <c r="B802" t="s">
        <v>973</v>
      </c>
    </row>
    <row r="803" spans="2:2" x14ac:dyDescent="0.25">
      <c r="B803" t="s">
        <v>305</v>
      </c>
    </row>
    <row r="804" spans="2:2" x14ac:dyDescent="0.25">
      <c r="B804" t="s">
        <v>633</v>
      </c>
    </row>
    <row r="805" spans="2:2" x14ac:dyDescent="0.25">
      <c r="B805" t="s">
        <v>356</v>
      </c>
    </row>
    <row r="806" spans="2:2" x14ac:dyDescent="0.25">
      <c r="B806" t="s">
        <v>1281</v>
      </c>
    </row>
    <row r="807" spans="2:2" x14ac:dyDescent="0.25">
      <c r="B807" t="s">
        <v>43</v>
      </c>
    </row>
    <row r="808" spans="2:2" x14ac:dyDescent="0.25">
      <c r="B808" t="s">
        <v>1706</v>
      </c>
    </row>
    <row r="809" spans="2:2" x14ac:dyDescent="0.25">
      <c r="B809" t="s">
        <v>165</v>
      </c>
    </row>
    <row r="810" spans="2:2" x14ac:dyDescent="0.25">
      <c r="B810" t="s">
        <v>488</v>
      </c>
    </row>
    <row r="811" spans="2:2" x14ac:dyDescent="0.25">
      <c r="B811" t="s">
        <v>496</v>
      </c>
    </row>
    <row r="812" spans="2:2" x14ac:dyDescent="0.25">
      <c r="B812" t="s">
        <v>466</v>
      </c>
    </row>
    <row r="813" spans="2:2" x14ac:dyDescent="0.25">
      <c r="B813" t="s">
        <v>1712</v>
      </c>
    </row>
    <row r="814" spans="2:2" x14ac:dyDescent="0.25">
      <c r="B814" t="s">
        <v>1172</v>
      </c>
    </row>
    <row r="815" spans="2:2" x14ac:dyDescent="0.25">
      <c r="B815" t="s">
        <v>849</v>
      </c>
    </row>
    <row r="816" spans="2:2" x14ac:dyDescent="0.25">
      <c r="B816" t="s">
        <v>808</v>
      </c>
    </row>
    <row r="817" spans="2:2" x14ac:dyDescent="0.25">
      <c r="B817" t="s">
        <v>123</v>
      </c>
    </row>
    <row r="818" spans="2:2" x14ac:dyDescent="0.25">
      <c r="B818" t="s">
        <v>1769</v>
      </c>
    </row>
    <row r="819" spans="2:2" x14ac:dyDescent="0.25">
      <c r="B819" t="s">
        <v>1492</v>
      </c>
    </row>
    <row r="820" spans="2:2" x14ac:dyDescent="0.25">
      <c r="B820" t="s">
        <v>1223</v>
      </c>
    </row>
    <row r="821" spans="2:2" x14ac:dyDescent="0.25">
      <c r="B821" t="s">
        <v>904</v>
      </c>
    </row>
    <row r="822" spans="2:2" x14ac:dyDescent="0.25">
      <c r="B822" t="s">
        <v>881</v>
      </c>
    </row>
    <row r="823" spans="2:2" x14ac:dyDescent="0.25">
      <c r="B823" t="s">
        <v>117</v>
      </c>
    </row>
    <row r="824" spans="2:2" x14ac:dyDescent="0.25">
      <c r="B824" t="s">
        <v>1133</v>
      </c>
    </row>
    <row r="825" spans="2:2" x14ac:dyDescent="0.25">
      <c r="B825" t="s">
        <v>567</v>
      </c>
    </row>
    <row r="826" spans="2:2" x14ac:dyDescent="0.25">
      <c r="B826" t="s">
        <v>201</v>
      </c>
    </row>
    <row r="827" spans="2:2" x14ac:dyDescent="0.25">
      <c r="B827" t="s">
        <v>417</v>
      </c>
    </row>
    <row r="828" spans="2:2" x14ac:dyDescent="0.25">
      <c r="B828" t="s">
        <v>752</v>
      </c>
    </row>
    <row r="829" spans="2:2" x14ac:dyDescent="0.25">
      <c r="B829" t="s">
        <v>850</v>
      </c>
    </row>
    <row r="830" spans="2:2" x14ac:dyDescent="0.25">
      <c r="B830" t="s">
        <v>631</v>
      </c>
    </row>
    <row r="831" spans="2:2" x14ac:dyDescent="0.25">
      <c r="B831" t="s">
        <v>1290</v>
      </c>
    </row>
    <row r="832" spans="2:2" x14ac:dyDescent="0.25">
      <c r="B832" t="s">
        <v>1195</v>
      </c>
    </row>
    <row r="833" spans="2:2" x14ac:dyDescent="0.25">
      <c r="B833" t="s">
        <v>1199</v>
      </c>
    </row>
    <row r="834" spans="2:2" x14ac:dyDescent="0.25">
      <c r="B834" t="s">
        <v>1700</v>
      </c>
    </row>
    <row r="835" spans="2:2" x14ac:dyDescent="0.25">
      <c r="B835" t="s">
        <v>234</v>
      </c>
    </row>
    <row r="836" spans="2:2" x14ac:dyDescent="0.25">
      <c r="B836" t="s">
        <v>418</v>
      </c>
    </row>
    <row r="837" spans="2:2" x14ac:dyDescent="0.25">
      <c r="B837" t="s">
        <v>980</v>
      </c>
    </row>
    <row r="838" spans="2:2" x14ac:dyDescent="0.25">
      <c r="B838" t="s">
        <v>1210</v>
      </c>
    </row>
    <row r="839" spans="2:2" x14ac:dyDescent="0.25">
      <c r="B839" t="s">
        <v>235</v>
      </c>
    </row>
    <row r="840" spans="2:2" x14ac:dyDescent="0.25">
      <c r="B840" t="s">
        <v>1421</v>
      </c>
    </row>
    <row r="841" spans="2:2" x14ac:dyDescent="0.25">
      <c r="B841" t="s">
        <v>400</v>
      </c>
    </row>
    <row r="842" spans="2:2" x14ac:dyDescent="0.25">
      <c r="B842" t="s">
        <v>853</v>
      </c>
    </row>
    <row r="843" spans="2:2" x14ac:dyDescent="0.25">
      <c r="B843" t="s">
        <v>559</v>
      </c>
    </row>
    <row r="844" spans="2:2" x14ac:dyDescent="0.25">
      <c r="B844" t="s">
        <v>197</v>
      </c>
    </row>
    <row r="845" spans="2:2" x14ac:dyDescent="0.25">
      <c r="B845" t="s">
        <v>1491</v>
      </c>
    </row>
    <row r="846" spans="2:2" x14ac:dyDescent="0.25">
      <c r="B846" t="s">
        <v>1518</v>
      </c>
    </row>
    <row r="847" spans="2:2" x14ac:dyDescent="0.25">
      <c r="B847" t="s">
        <v>334</v>
      </c>
    </row>
    <row r="848" spans="2:2" x14ac:dyDescent="0.25">
      <c r="B848" t="s">
        <v>757</v>
      </c>
    </row>
    <row r="849" spans="2:2" x14ac:dyDescent="0.25">
      <c r="B849" t="s">
        <v>675</v>
      </c>
    </row>
    <row r="850" spans="2:2" x14ac:dyDescent="0.25">
      <c r="B850" t="s">
        <v>1408</v>
      </c>
    </row>
    <row r="851" spans="2:2" x14ac:dyDescent="0.25">
      <c r="B851" t="s">
        <v>645</v>
      </c>
    </row>
    <row r="852" spans="2:2" x14ac:dyDescent="0.25">
      <c r="B852" t="s">
        <v>339</v>
      </c>
    </row>
    <row r="853" spans="2:2" x14ac:dyDescent="0.25">
      <c r="B853" t="s">
        <v>604</v>
      </c>
    </row>
    <row r="854" spans="2:2" x14ac:dyDescent="0.25">
      <c r="B854" t="s">
        <v>833</v>
      </c>
    </row>
    <row r="855" spans="2:2" x14ac:dyDescent="0.25">
      <c r="B855" t="s">
        <v>1043</v>
      </c>
    </row>
    <row r="856" spans="2:2" x14ac:dyDescent="0.25">
      <c r="B856" t="s">
        <v>84</v>
      </c>
    </row>
    <row r="857" spans="2:2" x14ac:dyDescent="0.25">
      <c r="B857" t="s">
        <v>1040</v>
      </c>
    </row>
    <row r="858" spans="2:2" x14ac:dyDescent="0.25">
      <c r="B858" t="s">
        <v>207</v>
      </c>
    </row>
    <row r="859" spans="2:2" x14ac:dyDescent="0.25">
      <c r="B859" t="s">
        <v>667</v>
      </c>
    </row>
    <row r="860" spans="2:2" x14ac:dyDescent="0.25">
      <c r="B860" t="s">
        <v>1737</v>
      </c>
    </row>
    <row r="861" spans="2:2" x14ac:dyDescent="0.25">
      <c r="B861" t="s">
        <v>1124</v>
      </c>
    </row>
    <row r="862" spans="2:2" x14ac:dyDescent="0.25">
      <c r="B862" t="s">
        <v>49</v>
      </c>
    </row>
    <row r="863" spans="2:2" x14ac:dyDescent="0.25">
      <c r="B863" t="s">
        <v>268</v>
      </c>
    </row>
    <row r="864" spans="2:2" x14ac:dyDescent="0.25">
      <c r="B864" t="s">
        <v>1334</v>
      </c>
    </row>
    <row r="865" spans="2:2" x14ac:dyDescent="0.25">
      <c r="B865" t="s">
        <v>1399</v>
      </c>
    </row>
    <row r="866" spans="2:2" x14ac:dyDescent="0.25">
      <c r="B866" t="s">
        <v>1296</v>
      </c>
    </row>
    <row r="867" spans="2:2" x14ac:dyDescent="0.25">
      <c r="B867" t="s">
        <v>1273</v>
      </c>
    </row>
    <row r="868" spans="2:2" x14ac:dyDescent="0.25">
      <c r="B868" t="s">
        <v>611</v>
      </c>
    </row>
    <row r="869" spans="2:2" x14ac:dyDescent="0.25">
      <c r="B869" t="s">
        <v>1291</v>
      </c>
    </row>
    <row r="870" spans="2:2" x14ac:dyDescent="0.25">
      <c r="B870" t="s">
        <v>800</v>
      </c>
    </row>
    <row r="871" spans="2:2" x14ac:dyDescent="0.25">
      <c r="B871" t="s">
        <v>477</v>
      </c>
    </row>
    <row r="872" spans="2:2" x14ac:dyDescent="0.25">
      <c r="B872" t="s">
        <v>1667</v>
      </c>
    </row>
    <row r="873" spans="2:2" x14ac:dyDescent="0.25">
      <c r="B873" t="s">
        <v>1058</v>
      </c>
    </row>
    <row r="874" spans="2:2" x14ac:dyDescent="0.25">
      <c r="B874" t="s">
        <v>527</v>
      </c>
    </row>
    <row r="875" spans="2:2" x14ac:dyDescent="0.25">
      <c r="B875" t="s">
        <v>589</v>
      </c>
    </row>
    <row r="876" spans="2:2" x14ac:dyDescent="0.25">
      <c r="B876" t="s">
        <v>807</v>
      </c>
    </row>
    <row r="877" spans="2:2" x14ac:dyDescent="0.25">
      <c r="B877" t="s">
        <v>1478</v>
      </c>
    </row>
    <row r="878" spans="2:2" x14ac:dyDescent="0.25">
      <c r="B878" t="s">
        <v>87</v>
      </c>
    </row>
    <row r="879" spans="2:2" x14ac:dyDescent="0.25">
      <c r="B879" t="s">
        <v>1630</v>
      </c>
    </row>
    <row r="880" spans="2:2" x14ac:dyDescent="0.25">
      <c r="B880" t="s">
        <v>474</v>
      </c>
    </row>
    <row r="881" spans="2:2" x14ac:dyDescent="0.25">
      <c r="B881" t="s">
        <v>1594</v>
      </c>
    </row>
    <row r="882" spans="2:2" x14ac:dyDescent="0.25">
      <c r="B882" t="s">
        <v>1032</v>
      </c>
    </row>
    <row r="883" spans="2:2" x14ac:dyDescent="0.25">
      <c r="B883" t="s">
        <v>953</v>
      </c>
    </row>
    <row r="884" spans="2:2" x14ac:dyDescent="0.25">
      <c r="B884" t="s">
        <v>652</v>
      </c>
    </row>
    <row r="885" spans="2:2" x14ac:dyDescent="0.25">
      <c r="B885" t="s">
        <v>844</v>
      </c>
    </row>
    <row r="886" spans="2:2" x14ac:dyDescent="0.25">
      <c r="B886" t="s">
        <v>490</v>
      </c>
    </row>
    <row r="887" spans="2:2" x14ac:dyDescent="0.25">
      <c r="B887" t="s">
        <v>1184</v>
      </c>
    </row>
    <row r="888" spans="2:2" x14ac:dyDescent="0.25">
      <c r="B888" t="s">
        <v>845</v>
      </c>
    </row>
    <row r="889" spans="2:2" x14ac:dyDescent="0.25">
      <c r="B889" t="s">
        <v>289</v>
      </c>
    </row>
    <row r="890" spans="2:2" x14ac:dyDescent="0.25">
      <c r="B890" t="s">
        <v>239</v>
      </c>
    </row>
    <row r="891" spans="2:2" x14ac:dyDescent="0.25">
      <c r="B891" t="s">
        <v>481</v>
      </c>
    </row>
    <row r="892" spans="2:2" x14ac:dyDescent="0.25">
      <c r="B892" t="s">
        <v>302</v>
      </c>
    </row>
    <row r="893" spans="2:2" x14ac:dyDescent="0.25">
      <c r="B893" t="s">
        <v>1221</v>
      </c>
    </row>
    <row r="894" spans="2:2" x14ac:dyDescent="0.25">
      <c r="B894" t="s">
        <v>982</v>
      </c>
    </row>
    <row r="895" spans="2:2" x14ac:dyDescent="0.25">
      <c r="B895" t="s">
        <v>1681</v>
      </c>
    </row>
    <row r="896" spans="2:2" x14ac:dyDescent="0.25">
      <c r="B896" t="s">
        <v>1086</v>
      </c>
    </row>
    <row r="897" spans="2:2" x14ac:dyDescent="0.25">
      <c r="B897" t="s">
        <v>731</v>
      </c>
    </row>
    <row r="898" spans="2:2" x14ac:dyDescent="0.25">
      <c r="B898" t="s">
        <v>1561</v>
      </c>
    </row>
    <row r="899" spans="2:2" x14ac:dyDescent="0.25">
      <c r="B899" t="s">
        <v>945</v>
      </c>
    </row>
    <row r="900" spans="2:2" x14ac:dyDescent="0.25">
      <c r="B900" t="s">
        <v>848</v>
      </c>
    </row>
    <row r="901" spans="2:2" x14ac:dyDescent="0.25">
      <c r="B901" t="s">
        <v>196</v>
      </c>
    </row>
    <row r="902" spans="2:2" x14ac:dyDescent="0.25">
      <c r="B902" t="s">
        <v>1339</v>
      </c>
    </row>
    <row r="903" spans="2:2" x14ac:dyDescent="0.25">
      <c r="B903" t="s">
        <v>1059</v>
      </c>
    </row>
    <row r="904" spans="2:2" x14ac:dyDescent="0.25">
      <c r="B904" t="s">
        <v>1018</v>
      </c>
    </row>
    <row r="905" spans="2:2" x14ac:dyDescent="0.25">
      <c r="B905" t="s">
        <v>775</v>
      </c>
    </row>
    <row r="906" spans="2:2" x14ac:dyDescent="0.25">
      <c r="B906" t="s">
        <v>642</v>
      </c>
    </row>
    <row r="907" spans="2:2" x14ac:dyDescent="0.25">
      <c r="B907" t="s">
        <v>219</v>
      </c>
    </row>
    <row r="908" spans="2:2" x14ac:dyDescent="0.25">
      <c r="B908" t="s">
        <v>1028</v>
      </c>
    </row>
    <row r="909" spans="2:2" x14ac:dyDescent="0.25">
      <c r="B909" t="s">
        <v>1336</v>
      </c>
    </row>
    <row r="910" spans="2:2" x14ac:dyDescent="0.25">
      <c r="B910" t="s">
        <v>1146</v>
      </c>
    </row>
    <row r="911" spans="2:2" x14ac:dyDescent="0.25">
      <c r="B911" t="s">
        <v>470</v>
      </c>
    </row>
    <row r="912" spans="2:2" x14ac:dyDescent="0.25">
      <c r="B912" t="s">
        <v>1397</v>
      </c>
    </row>
    <row r="913" spans="2:2" x14ac:dyDescent="0.25">
      <c r="B913" t="s">
        <v>1625</v>
      </c>
    </row>
    <row r="914" spans="2:2" x14ac:dyDescent="0.25">
      <c r="B914" t="s">
        <v>1200</v>
      </c>
    </row>
    <row r="915" spans="2:2" x14ac:dyDescent="0.25">
      <c r="B915" t="s">
        <v>1204</v>
      </c>
    </row>
    <row r="916" spans="2:2" x14ac:dyDescent="0.25">
      <c r="B916" t="s">
        <v>1675</v>
      </c>
    </row>
    <row r="917" spans="2:2" x14ac:dyDescent="0.25">
      <c r="B917" t="s">
        <v>1459</v>
      </c>
    </row>
    <row r="918" spans="2:2" x14ac:dyDescent="0.25">
      <c r="B918" t="s">
        <v>1657</v>
      </c>
    </row>
    <row r="919" spans="2:2" x14ac:dyDescent="0.25">
      <c r="B919" t="s">
        <v>767</v>
      </c>
    </row>
    <row r="920" spans="2:2" x14ac:dyDescent="0.25">
      <c r="B920" t="s">
        <v>697</v>
      </c>
    </row>
    <row r="921" spans="2:2" x14ac:dyDescent="0.25">
      <c r="B921" t="s">
        <v>220</v>
      </c>
    </row>
    <row r="922" spans="2:2" x14ac:dyDescent="0.25">
      <c r="B922" t="s">
        <v>1766</v>
      </c>
    </row>
    <row r="923" spans="2:2" x14ac:dyDescent="0.25">
      <c r="B923" t="s">
        <v>1473</v>
      </c>
    </row>
    <row r="924" spans="2:2" x14ac:dyDescent="0.25">
      <c r="B924" t="s">
        <v>1347</v>
      </c>
    </row>
    <row r="925" spans="2:2" x14ac:dyDescent="0.25">
      <c r="B925" t="s">
        <v>29</v>
      </c>
    </row>
    <row r="926" spans="2:2" x14ac:dyDescent="0.25">
      <c r="B926" t="s">
        <v>1239</v>
      </c>
    </row>
    <row r="927" spans="2:2" x14ac:dyDescent="0.25">
      <c r="B927" t="s">
        <v>1403</v>
      </c>
    </row>
    <row r="928" spans="2:2" x14ac:dyDescent="0.25">
      <c r="B928" t="s">
        <v>10</v>
      </c>
    </row>
    <row r="929" spans="2:2" x14ac:dyDescent="0.25">
      <c r="B929" t="s">
        <v>367</v>
      </c>
    </row>
    <row r="930" spans="2:2" x14ac:dyDescent="0.25">
      <c r="B930" t="s">
        <v>1287</v>
      </c>
    </row>
    <row r="931" spans="2:2" x14ac:dyDescent="0.25">
      <c r="B931" t="s">
        <v>504</v>
      </c>
    </row>
    <row r="932" spans="2:2" x14ac:dyDescent="0.25">
      <c r="B932" t="s">
        <v>285</v>
      </c>
    </row>
    <row r="933" spans="2:2" x14ac:dyDescent="0.25">
      <c r="B933" t="s">
        <v>1279</v>
      </c>
    </row>
    <row r="934" spans="2:2" x14ac:dyDescent="0.25">
      <c r="B934" t="s">
        <v>1000</v>
      </c>
    </row>
    <row r="935" spans="2:2" x14ac:dyDescent="0.25">
      <c r="B935" t="s">
        <v>882</v>
      </c>
    </row>
    <row r="936" spans="2:2" x14ac:dyDescent="0.25">
      <c r="B936" t="s">
        <v>1466</v>
      </c>
    </row>
    <row r="937" spans="2:2" x14ac:dyDescent="0.25">
      <c r="B937" t="s">
        <v>622</v>
      </c>
    </row>
    <row r="938" spans="2:2" x14ac:dyDescent="0.25">
      <c r="B938" t="s">
        <v>1637</v>
      </c>
    </row>
    <row r="939" spans="2:2" x14ac:dyDescent="0.25">
      <c r="B939" t="s">
        <v>1242</v>
      </c>
    </row>
    <row r="940" spans="2:2" x14ac:dyDescent="0.25">
      <c r="B940" t="s">
        <v>149</v>
      </c>
    </row>
    <row r="941" spans="2:2" x14ac:dyDescent="0.25">
      <c r="B941" t="s">
        <v>1259</v>
      </c>
    </row>
    <row r="942" spans="2:2" x14ac:dyDescent="0.25">
      <c r="B942" t="s">
        <v>1711</v>
      </c>
    </row>
    <row r="943" spans="2:2" x14ac:dyDescent="0.25">
      <c r="B943" t="s">
        <v>1099</v>
      </c>
    </row>
    <row r="944" spans="2:2" x14ac:dyDescent="0.25">
      <c r="B944" t="s">
        <v>740</v>
      </c>
    </row>
    <row r="945" spans="2:2" x14ac:dyDescent="0.25">
      <c r="B945" t="s">
        <v>78</v>
      </c>
    </row>
    <row r="946" spans="2:2" x14ac:dyDescent="0.25">
      <c r="B946" t="s">
        <v>925</v>
      </c>
    </row>
    <row r="947" spans="2:2" x14ac:dyDescent="0.25">
      <c r="B947" t="s">
        <v>1672</v>
      </c>
    </row>
    <row r="948" spans="2:2" x14ac:dyDescent="0.25">
      <c r="B948" t="s">
        <v>101</v>
      </c>
    </row>
    <row r="949" spans="2:2" x14ac:dyDescent="0.25">
      <c r="B949" t="s">
        <v>253</v>
      </c>
    </row>
    <row r="950" spans="2:2" x14ac:dyDescent="0.25">
      <c r="B950" t="s">
        <v>941</v>
      </c>
    </row>
    <row r="951" spans="2:2" x14ac:dyDescent="0.25">
      <c r="B951" t="s">
        <v>1733</v>
      </c>
    </row>
    <row r="952" spans="2:2" x14ac:dyDescent="0.25">
      <c r="B952" t="s">
        <v>1482</v>
      </c>
    </row>
    <row r="953" spans="2:2" x14ac:dyDescent="0.25">
      <c r="B953" t="s">
        <v>887</v>
      </c>
    </row>
    <row r="954" spans="2:2" x14ac:dyDescent="0.25">
      <c r="B954" t="s">
        <v>1289</v>
      </c>
    </row>
    <row r="955" spans="2:2" x14ac:dyDescent="0.25">
      <c r="B955" t="s">
        <v>1445</v>
      </c>
    </row>
    <row r="956" spans="2:2" x14ac:dyDescent="0.25">
      <c r="B956" t="s">
        <v>1160</v>
      </c>
    </row>
    <row r="957" spans="2:2" x14ac:dyDescent="0.25">
      <c r="B957" t="s">
        <v>976</v>
      </c>
    </row>
    <row r="958" spans="2:2" x14ac:dyDescent="0.25">
      <c r="B958" t="s">
        <v>226</v>
      </c>
    </row>
    <row r="959" spans="2:2" x14ac:dyDescent="0.25">
      <c r="B959" t="s">
        <v>793</v>
      </c>
    </row>
    <row r="960" spans="2:2" x14ac:dyDescent="0.25">
      <c r="B960" t="s">
        <v>1632</v>
      </c>
    </row>
    <row r="961" spans="2:2" x14ac:dyDescent="0.25">
      <c r="B961" t="s">
        <v>1674</v>
      </c>
    </row>
    <row r="962" spans="2:2" x14ac:dyDescent="0.25">
      <c r="B962" t="s">
        <v>38</v>
      </c>
    </row>
    <row r="963" spans="2:2" x14ac:dyDescent="0.25">
      <c r="B963" t="s">
        <v>0</v>
      </c>
    </row>
    <row r="964" spans="2:2" x14ac:dyDescent="0.25">
      <c r="B964" t="s">
        <v>264</v>
      </c>
    </row>
    <row r="965" spans="2:2" x14ac:dyDescent="0.25">
      <c r="B965" t="s">
        <v>378</v>
      </c>
    </row>
    <row r="966" spans="2:2" x14ac:dyDescent="0.25">
      <c r="B966" t="s">
        <v>1563</v>
      </c>
    </row>
    <row r="967" spans="2:2" x14ac:dyDescent="0.25">
      <c r="B967" t="s">
        <v>961</v>
      </c>
    </row>
    <row r="968" spans="2:2" x14ac:dyDescent="0.25">
      <c r="B968" t="s">
        <v>322</v>
      </c>
    </row>
    <row r="969" spans="2:2" x14ac:dyDescent="0.25">
      <c r="B969" t="s">
        <v>637</v>
      </c>
    </row>
    <row r="970" spans="2:2" x14ac:dyDescent="0.25">
      <c r="B970" t="s">
        <v>44</v>
      </c>
    </row>
    <row r="971" spans="2:2" x14ac:dyDescent="0.25">
      <c r="B971" t="s">
        <v>46</v>
      </c>
    </row>
    <row r="972" spans="2:2" x14ac:dyDescent="0.25">
      <c r="B972" t="s">
        <v>1215</v>
      </c>
    </row>
    <row r="973" spans="2:2" x14ac:dyDescent="0.25">
      <c r="B973" t="s">
        <v>1698</v>
      </c>
    </row>
    <row r="974" spans="2:2" x14ac:dyDescent="0.25">
      <c r="B974" t="s">
        <v>1623</v>
      </c>
    </row>
    <row r="975" spans="2:2" x14ac:dyDescent="0.25">
      <c r="B975" t="s">
        <v>212</v>
      </c>
    </row>
    <row r="976" spans="2:2" x14ac:dyDescent="0.25">
      <c r="B976" t="s">
        <v>107</v>
      </c>
    </row>
    <row r="977" spans="2:2" x14ac:dyDescent="0.25">
      <c r="B977" t="s">
        <v>610</v>
      </c>
    </row>
    <row r="978" spans="2:2" x14ac:dyDescent="0.25">
      <c r="B978" t="s">
        <v>1358</v>
      </c>
    </row>
    <row r="979" spans="2:2" x14ac:dyDescent="0.25">
      <c r="B979" t="s">
        <v>572</v>
      </c>
    </row>
    <row r="980" spans="2:2" x14ac:dyDescent="0.25">
      <c r="B980" t="s">
        <v>432</v>
      </c>
    </row>
    <row r="981" spans="2:2" x14ac:dyDescent="0.25">
      <c r="B981" t="s">
        <v>395</v>
      </c>
    </row>
    <row r="982" spans="2:2" x14ac:dyDescent="0.25">
      <c r="B982" t="s">
        <v>575</v>
      </c>
    </row>
    <row r="983" spans="2:2" x14ac:dyDescent="0.25">
      <c r="B983" t="s">
        <v>1074</v>
      </c>
    </row>
    <row r="984" spans="2:2" x14ac:dyDescent="0.25">
      <c r="B984" t="s">
        <v>421</v>
      </c>
    </row>
    <row r="985" spans="2:2" x14ac:dyDescent="0.25">
      <c r="B985" t="s">
        <v>1145</v>
      </c>
    </row>
    <row r="986" spans="2:2" x14ac:dyDescent="0.25">
      <c r="B986" t="s">
        <v>1543</v>
      </c>
    </row>
    <row r="987" spans="2:2" x14ac:dyDescent="0.25">
      <c r="B987" t="s">
        <v>869</v>
      </c>
    </row>
    <row r="988" spans="2:2" x14ac:dyDescent="0.25">
      <c r="B988" t="s">
        <v>1342</v>
      </c>
    </row>
    <row r="989" spans="2:2" x14ac:dyDescent="0.25">
      <c r="B989" t="s">
        <v>1309</v>
      </c>
    </row>
    <row r="990" spans="2:2" x14ac:dyDescent="0.25">
      <c r="B990" t="s">
        <v>769</v>
      </c>
    </row>
    <row r="991" spans="2:2" x14ac:dyDescent="0.25">
      <c r="B991" t="s">
        <v>471</v>
      </c>
    </row>
    <row r="992" spans="2:2" x14ac:dyDescent="0.25">
      <c r="B992" t="s">
        <v>450</v>
      </c>
    </row>
    <row r="993" spans="2:2" x14ac:dyDescent="0.25">
      <c r="B993" t="s">
        <v>62</v>
      </c>
    </row>
    <row r="994" spans="2:2" x14ac:dyDescent="0.25">
      <c r="B994" t="s">
        <v>1038</v>
      </c>
    </row>
    <row r="995" spans="2:2" x14ac:dyDescent="0.25">
      <c r="B995" t="s">
        <v>1272</v>
      </c>
    </row>
    <row r="996" spans="2:2" x14ac:dyDescent="0.25">
      <c r="B996" t="s">
        <v>1669</v>
      </c>
    </row>
    <row r="997" spans="2:2" x14ac:dyDescent="0.25">
      <c r="B997" t="s">
        <v>600</v>
      </c>
    </row>
    <row r="998" spans="2:2" x14ac:dyDescent="0.25">
      <c r="B998" t="s">
        <v>346</v>
      </c>
    </row>
    <row r="999" spans="2:2" x14ac:dyDescent="0.25">
      <c r="B999" t="s">
        <v>873</v>
      </c>
    </row>
    <row r="1000" spans="2:2" x14ac:dyDescent="0.25">
      <c r="B1000" t="s">
        <v>1064</v>
      </c>
    </row>
    <row r="1001" spans="2:2" x14ac:dyDescent="0.25">
      <c r="B1001" t="s">
        <v>1011</v>
      </c>
    </row>
    <row r="1002" spans="2:2" x14ac:dyDescent="0.25">
      <c r="B1002" t="s">
        <v>514</v>
      </c>
    </row>
    <row r="1003" spans="2:2" x14ac:dyDescent="0.25">
      <c r="B1003" t="s">
        <v>1076</v>
      </c>
    </row>
    <row r="1004" spans="2:2" x14ac:dyDescent="0.25">
      <c r="B1004" t="s">
        <v>733</v>
      </c>
    </row>
    <row r="1005" spans="2:2" x14ac:dyDescent="0.25">
      <c r="B1005" t="s">
        <v>1217</v>
      </c>
    </row>
    <row r="1006" spans="2:2" x14ac:dyDescent="0.25">
      <c r="B1006" t="s">
        <v>266</v>
      </c>
    </row>
    <row r="1007" spans="2:2" x14ac:dyDescent="0.25">
      <c r="B1007" t="s">
        <v>806</v>
      </c>
    </row>
    <row r="1008" spans="2:2" x14ac:dyDescent="0.25">
      <c r="B1008" t="s">
        <v>847</v>
      </c>
    </row>
    <row r="1009" spans="2:2" x14ac:dyDescent="0.25">
      <c r="B1009" t="s">
        <v>116</v>
      </c>
    </row>
    <row r="1010" spans="2:2" x14ac:dyDescent="0.25">
      <c r="B1010" t="s">
        <v>1161</v>
      </c>
    </row>
    <row r="1011" spans="2:2" x14ac:dyDescent="0.25">
      <c r="B1011" t="s">
        <v>827</v>
      </c>
    </row>
    <row r="1012" spans="2:2" x14ac:dyDescent="0.25">
      <c r="B1012" t="s">
        <v>81</v>
      </c>
    </row>
    <row r="1013" spans="2:2" x14ac:dyDescent="0.25">
      <c r="B1013" t="s">
        <v>275</v>
      </c>
    </row>
    <row r="1014" spans="2:2" x14ac:dyDescent="0.25">
      <c r="B1014" t="s">
        <v>1119</v>
      </c>
    </row>
    <row r="1015" spans="2:2" x14ac:dyDescent="0.25">
      <c r="B1015" t="s">
        <v>1634</v>
      </c>
    </row>
    <row r="1016" spans="2:2" x14ac:dyDescent="0.25">
      <c r="B1016" t="s">
        <v>960</v>
      </c>
    </row>
    <row r="1017" spans="2:2" x14ac:dyDescent="0.25">
      <c r="B1017" t="s">
        <v>1730</v>
      </c>
    </row>
    <row r="1018" spans="2:2" x14ac:dyDescent="0.25">
      <c r="B1018" t="s">
        <v>820</v>
      </c>
    </row>
    <row r="1019" spans="2:2" x14ac:dyDescent="0.25">
      <c r="B1019" t="s">
        <v>141</v>
      </c>
    </row>
    <row r="1020" spans="2:2" x14ac:dyDescent="0.25">
      <c r="B1020" t="s">
        <v>1212</v>
      </c>
    </row>
    <row r="1021" spans="2:2" x14ac:dyDescent="0.25">
      <c r="B1021" t="s">
        <v>1441</v>
      </c>
    </row>
    <row r="1022" spans="2:2" x14ac:dyDescent="0.25">
      <c r="B1022" t="s">
        <v>1391</v>
      </c>
    </row>
    <row r="1023" spans="2:2" x14ac:dyDescent="0.25">
      <c r="B1023" t="s">
        <v>1317</v>
      </c>
    </row>
    <row r="1024" spans="2:2" x14ac:dyDescent="0.25">
      <c r="B1024" t="s">
        <v>1265</v>
      </c>
    </row>
    <row r="1025" spans="2:2" x14ac:dyDescent="0.25">
      <c r="B1025" t="s">
        <v>1181</v>
      </c>
    </row>
    <row r="1026" spans="2:2" x14ac:dyDescent="0.25">
      <c r="B1026" t="s">
        <v>956</v>
      </c>
    </row>
    <row r="1027" spans="2:2" x14ac:dyDescent="0.25">
      <c r="B1027" t="s">
        <v>458</v>
      </c>
    </row>
    <row r="1028" spans="2:2" x14ac:dyDescent="0.25">
      <c r="B1028" t="s">
        <v>1141</v>
      </c>
    </row>
    <row r="1029" spans="2:2" x14ac:dyDescent="0.25">
      <c r="B1029" t="s">
        <v>377</v>
      </c>
    </row>
    <row r="1030" spans="2:2" x14ac:dyDescent="0.25">
      <c r="B1030" t="s">
        <v>1513</v>
      </c>
    </row>
    <row r="1031" spans="2:2" x14ac:dyDescent="0.25">
      <c r="B1031" t="s">
        <v>1254</v>
      </c>
    </row>
    <row r="1032" spans="2:2" x14ac:dyDescent="0.25">
      <c r="B1032" t="s">
        <v>756</v>
      </c>
    </row>
    <row r="1033" spans="2:2" x14ac:dyDescent="0.25">
      <c r="B1033" t="s">
        <v>658</v>
      </c>
    </row>
    <row r="1034" spans="2:2" x14ac:dyDescent="0.25">
      <c r="B1034" t="s">
        <v>1120</v>
      </c>
    </row>
    <row r="1035" spans="2:2" x14ac:dyDescent="0.25">
      <c r="B1035" t="s">
        <v>1462</v>
      </c>
    </row>
    <row r="1036" spans="2:2" x14ac:dyDescent="0.25">
      <c r="B1036" t="s">
        <v>1061</v>
      </c>
    </row>
    <row r="1037" spans="2:2" x14ac:dyDescent="0.25">
      <c r="B1037" t="s">
        <v>1301</v>
      </c>
    </row>
    <row r="1038" spans="2:2" x14ac:dyDescent="0.25">
      <c r="B1038" t="s">
        <v>1773</v>
      </c>
    </row>
    <row r="1039" spans="2:2" x14ac:dyDescent="0.25">
      <c r="B1039" t="s">
        <v>1526</v>
      </c>
    </row>
    <row r="1040" spans="2:2" x14ac:dyDescent="0.25">
      <c r="B1040" t="s">
        <v>483</v>
      </c>
    </row>
    <row r="1041" spans="2:2" x14ac:dyDescent="0.25">
      <c r="B1041" t="s">
        <v>163</v>
      </c>
    </row>
    <row r="1042" spans="2:2" x14ac:dyDescent="0.25">
      <c r="B1042" t="s">
        <v>299</v>
      </c>
    </row>
    <row r="1043" spans="2:2" x14ac:dyDescent="0.25">
      <c r="B1043" t="s">
        <v>1109</v>
      </c>
    </row>
    <row r="1044" spans="2:2" x14ac:dyDescent="0.25">
      <c r="B1044" t="s">
        <v>1402</v>
      </c>
    </row>
    <row r="1045" spans="2:2" x14ac:dyDescent="0.25">
      <c r="B1045" t="s">
        <v>1628</v>
      </c>
    </row>
    <row r="1046" spans="2:2" x14ac:dyDescent="0.25">
      <c r="B1046" t="s">
        <v>1579</v>
      </c>
    </row>
    <row r="1047" spans="2:2" x14ac:dyDescent="0.25">
      <c r="B1047" t="s">
        <v>791</v>
      </c>
    </row>
    <row r="1048" spans="2:2" x14ac:dyDescent="0.25">
      <c r="B1048" t="s">
        <v>1346</v>
      </c>
    </row>
    <row r="1049" spans="2:2" x14ac:dyDescent="0.25">
      <c r="B1049" t="s">
        <v>14</v>
      </c>
    </row>
    <row r="1050" spans="2:2" x14ac:dyDescent="0.25">
      <c r="B1050" t="s">
        <v>463</v>
      </c>
    </row>
    <row r="1051" spans="2:2" x14ac:dyDescent="0.25">
      <c r="B1051" t="s">
        <v>1261</v>
      </c>
    </row>
    <row r="1052" spans="2:2" x14ac:dyDescent="0.25">
      <c r="B1052" t="s">
        <v>1593</v>
      </c>
    </row>
    <row r="1053" spans="2:2" x14ac:dyDescent="0.25">
      <c r="B1053" t="s">
        <v>750</v>
      </c>
    </row>
    <row r="1054" spans="2:2" x14ac:dyDescent="0.25">
      <c r="B1054" t="s">
        <v>1182</v>
      </c>
    </row>
    <row r="1055" spans="2:2" x14ac:dyDescent="0.25">
      <c r="B1055" t="s">
        <v>634</v>
      </c>
    </row>
    <row r="1056" spans="2:2" x14ac:dyDescent="0.25">
      <c r="B1056" t="s">
        <v>1060</v>
      </c>
    </row>
    <row r="1057" spans="2:2" x14ac:dyDescent="0.25">
      <c r="B1057" t="s">
        <v>635</v>
      </c>
    </row>
    <row r="1058" spans="2:2" x14ac:dyDescent="0.25">
      <c r="B1058" t="s">
        <v>232</v>
      </c>
    </row>
    <row r="1059" spans="2:2" x14ac:dyDescent="0.25">
      <c r="B1059" t="s">
        <v>1088</v>
      </c>
    </row>
    <row r="1060" spans="2:2" x14ac:dyDescent="0.25">
      <c r="B1060" t="s">
        <v>1446</v>
      </c>
    </row>
    <row r="1061" spans="2:2" x14ac:dyDescent="0.25">
      <c r="B1061" t="s">
        <v>1455</v>
      </c>
    </row>
    <row r="1062" spans="2:2" x14ac:dyDescent="0.25">
      <c r="B1062" t="s">
        <v>916</v>
      </c>
    </row>
    <row r="1063" spans="2:2" x14ac:dyDescent="0.25">
      <c r="B1063" t="s">
        <v>502</v>
      </c>
    </row>
    <row r="1064" spans="2:2" x14ac:dyDescent="0.25">
      <c r="B1064" t="s">
        <v>222</v>
      </c>
    </row>
    <row r="1065" spans="2:2" x14ac:dyDescent="0.25">
      <c r="B1065" t="s">
        <v>267</v>
      </c>
    </row>
    <row r="1066" spans="2:2" x14ac:dyDescent="0.25">
      <c r="B1066" t="s">
        <v>725</v>
      </c>
    </row>
    <row r="1067" spans="2:2" x14ac:dyDescent="0.25">
      <c r="B1067" t="s">
        <v>1065</v>
      </c>
    </row>
    <row r="1068" spans="2:2" x14ac:dyDescent="0.25">
      <c r="B1068" t="s">
        <v>801</v>
      </c>
    </row>
    <row r="1069" spans="2:2" x14ac:dyDescent="0.25">
      <c r="B1069" t="s">
        <v>1155</v>
      </c>
    </row>
    <row r="1070" spans="2:2" x14ac:dyDescent="0.25">
      <c r="B1070" t="s">
        <v>1365</v>
      </c>
    </row>
    <row r="1071" spans="2:2" x14ac:dyDescent="0.25">
      <c r="B1071" t="s">
        <v>330</v>
      </c>
    </row>
    <row r="1072" spans="2:2" x14ac:dyDescent="0.25">
      <c r="B1072" t="s">
        <v>1724</v>
      </c>
    </row>
    <row r="1073" spans="2:2" x14ac:dyDescent="0.25">
      <c r="B1073" t="s">
        <v>993</v>
      </c>
    </row>
    <row r="1074" spans="2:2" x14ac:dyDescent="0.25">
      <c r="B1074" t="s">
        <v>1277</v>
      </c>
    </row>
    <row r="1075" spans="2:2" x14ac:dyDescent="0.25">
      <c r="B1075" t="s">
        <v>215</v>
      </c>
    </row>
    <row r="1076" spans="2:2" x14ac:dyDescent="0.25">
      <c r="B1076" t="s">
        <v>792</v>
      </c>
    </row>
    <row r="1077" spans="2:2" x14ac:dyDescent="0.25">
      <c r="B1077" t="s">
        <v>145</v>
      </c>
    </row>
    <row r="1078" spans="2:2" x14ac:dyDescent="0.25">
      <c r="B1078" t="s">
        <v>1443</v>
      </c>
    </row>
    <row r="1079" spans="2:2" x14ac:dyDescent="0.25">
      <c r="B1079" t="s">
        <v>1297</v>
      </c>
    </row>
    <row r="1080" spans="2:2" x14ac:dyDescent="0.25">
      <c r="B1080" t="s">
        <v>513</v>
      </c>
    </row>
    <row r="1081" spans="2:2" x14ac:dyDescent="0.25">
      <c r="B1081" t="s">
        <v>785</v>
      </c>
    </row>
    <row r="1082" spans="2:2" x14ac:dyDescent="0.25">
      <c r="B1082" t="s">
        <v>303</v>
      </c>
    </row>
    <row r="1083" spans="2:2" x14ac:dyDescent="0.25">
      <c r="B1083" t="s">
        <v>350</v>
      </c>
    </row>
    <row r="1084" spans="2:2" x14ac:dyDescent="0.25">
      <c r="B1084" t="s">
        <v>227</v>
      </c>
    </row>
    <row r="1085" spans="2:2" x14ac:dyDescent="0.25">
      <c r="B1085" t="s">
        <v>1351</v>
      </c>
    </row>
    <row r="1086" spans="2:2" x14ac:dyDescent="0.25">
      <c r="B1086" t="s">
        <v>1521</v>
      </c>
    </row>
    <row r="1087" spans="2:2" x14ac:dyDescent="0.25">
      <c r="B1087" t="s">
        <v>1439</v>
      </c>
    </row>
    <row r="1088" spans="2:2" x14ac:dyDescent="0.25">
      <c r="B1088" t="s">
        <v>157</v>
      </c>
    </row>
    <row r="1089" spans="2:2" x14ac:dyDescent="0.25">
      <c r="B1089" t="s">
        <v>805</v>
      </c>
    </row>
    <row r="1090" spans="2:2" x14ac:dyDescent="0.25">
      <c r="B1090" t="s">
        <v>842</v>
      </c>
    </row>
    <row r="1091" spans="2:2" x14ac:dyDescent="0.25">
      <c r="B1091" t="s">
        <v>320</v>
      </c>
    </row>
    <row r="1092" spans="2:2" x14ac:dyDescent="0.25">
      <c r="B1092" t="s">
        <v>612</v>
      </c>
    </row>
    <row r="1093" spans="2:2" x14ac:dyDescent="0.25">
      <c r="B1093" t="s">
        <v>1767</v>
      </c>
    </row>
    <row r="1094" spans="2:2" x14ac:dyDescent="0.25">
      <c r="B1094" t="s">
        <v>809</v>
      </c>
    </row>
    <row r="1095" spans="2:2" x14ac:dyDescent="0.25">
      <c r="B1095" t="s">
        <v>409</v>
      </c>
    </row>
    <row r="1096" spans="2:2" x14ac:dyDescent="0.25">
      <c r="B1096" t="s">
        <v>1570</v>
      </c>
    </row>
    <row r="1097" spans="2:2" x14ac:dyDescent="0.25">
      <c r="B1097" t="s">
        <v>940</v>
      </c>
    </row>
    <row r="1098" spans="2:2" x14ac:dyDescent="0.25">
      <c r="B1098" t="s">
        <v>304</v>
      </c>
    </row>
    <row r="1099" spans="2:2" x14ac:dyDescent="0.25">
      <c r="B1099" t="s">
        <v>150</v>
      </c>
    </row>
    <row r="1100" spans="2:2" x14ac:dyDescent="0.25">
      <c r="B1100" t="s">
        <v>991</v>
      </c>
    </row>
    <row r="1101" spans="2:2" x14ac:dyDescent="0.25">
      <c r="B1101" t="s">
        <v>439</v>
      </c>
    </row>
    <row r="1102" spans="2:2" x14ac:dyDescent="0.25">
      <c r="B1102" t="s">
        <v>306</v>
      </c>
    </row>
    <row r="1103" spans="2:2" x14ac:dyDescent="0.25">
      <c r="B1103" t="s">
        <v>382</v>
      </c>
    </row>
    <row r="1104" spans="2:2" x14ac:dyDescent="0.25">
      <c r="B1104" t="s">
        <v>205</v>
      </c>
    </row>
    <row r="1105" spans="2:2" x14ac:dyDescent="0.25">
      <c r="B1105" t="s">
        <v>1749</v>
      </c>
    </row>
    <row r="1106" spans="2:2" x14ac:dyDescent="0.25">
      <c r="B1106" t="s">
        <v>519</v>
      </c>
    </row>
    <row r="1107" spans="2:2" x14ac:dyDescent="0.25">
      <c r="B1107" t="s">
        <v>1582</v>
      </c>
    </row>
    <row r="1108" spans="2:2" x14ac:dyDescent="0.25">
      <c r="B1108" t="s">
        <v>1587</v>
      </c>
    </row>
    <row r="1109" spans="2:2" x14ac:dyDescent="0.25">
      <c r="B1109" t="s">
        <v>643</v>
      </c>
    </row>
    <row r="1110" spans="2:2" x14ac:dyDescent="0.25">
      <c r="B1110" t="s">
        <v>1704</v>
      </c>
    </row>
    <row r="1111" spans="2:2" x14ac:dyDescent="0.25">
      <c r="B1111" t="s">
        <v>1454</v>
      </c>
    </row>
    <row r="1112" spans="2:2" x14ac:dyDescent="0.25">
      <c r="B1112" t="s">
        <v>1485</v>
      </c>
    </row>
    <row r="1113" spans="2:2" x14ac:dyDescent="0.25">
      <c r="B1113" t="s">
        <v>1315</v>
      </c>
    </row>
    <row r="1114" spans="2:2" x14ac:dyDescent="0.25">
      <c r="B1114" t="s">
        <v>384</v>
      </c>
    </row>
    <row r="1115" spans="2:2" x14ac:dyDescent="0.25">
      <c r="B1115" t="s">
        <v>464</v>
      </c>
    </row>
    <row r="1116" spans="2:2" x14ac:dyDescent="0.25">
      <c r="B1116" t="s">
        <v>872</v>
      </c>
    </row>
    <row r="1117" spans="2:2" x14ac:dyDescent="0.25">
      <c r="B1117" t="s">
        <v>171</v>
      </c>
    </row>
    <row r="1118" spans="2:2" x14ac:dyDescent="0.25">
      <c r="B1118" t="s">
        <v>381</v>
      </c>
    </row>
    <row r="1119" spans="2:2" x14ac:dyDescent="0.25">
      <c r="B1119" t="s">
        <v>1575</v>
      </c>
    </row>
    <row r="1120" spans="2:2" x14ac:dyDescent="0.25">
      <c r="B1120" t="s">
        <v>1057</v>
      </c>
    </row>
    <row r="1121" spans="2:2" x14ac:dyDescent="0.25">
      <c r="B1121" t="s">
        <v>1615</v>
      </c>
    </row>
    <row r="1122" spans="2:2" x14ac:dyDescent="0.25">
      <c r="B1122" t="s">
        <v>1092</v>
      </c>
    </row>
    <row r="1123" spans="2:2" x14ac:dyDescent="0.25">
      <c r="B1123" t="s">
        <v>532</v>
      </c>
    </row>
    <row r="1124" spans="2:2" x14ac:dyDescent="0.25">
      <c r="B1124" t="s">
        <v>131</v>
      </c>
    </row>
    <row r="1125" spans="2:2" x14ac:dyDescent="0.25">
      <c r="B1125" t="s">
        <v>1376</v>
      </c>
    </row>
    <row r="1126" spans="2:2" x14ac:dyDescent="0.25">
      <c r="B1126" t="s">
        <v>1278</v>
      </c>
    </row>
    <row r="1127" spans="2:2" x14ac:dyDescent="0.25">
      <c r="B1127" t="s">
        <v>1514</v>
      </c>
    </row>
    <row r="1128" spans="2:2" x14ac:dyDescent="0.25">
      <c r="B1128" t="s">
        <v>1333</v>
      </c>
    </row>
    <row r="1129" spans="2:2" x14ac:dyDescent="0.25">
      <c r="B1129" t="s">
        <v>406</v>
      </c>
    </row>
    <row r="1130" spans="2:2" x14ac:dyDescent="0.25">
      <c r="B1130" t="s">
        <v>746</v>
      </c>
    </row>
    <row r="1131" spans="2:2" x14ac:dyDescent="0.25">
      <c r="B1131" t="s">
        <v>900</v>
      </c>
    </row>
    <row r="1132" spans="2:2" x14ac:dyDescent="0.25">
      <c r="B1132" t="s">
        <v>779</v>
      </c>
    </row>
    <row r="1133" spans="2:2" x14ac:dyDescent="0.25">
      <c r="B1133" t="s">
        <v>1437</v>
      </c>
    </row>
    <row r="1134" spans="2:2" x14ac:dyDescent="0.25">
      <c r="B1134" t="s">
        <v>720</v>
      </c>
    </row>
    <row r="1135" spans="2:2" x14ac:dyDescent="0.25">
      <c r="B1135" t="s">
        <v>391</v>
      </c>
    </row>
    <row r="1136" spans="2:2" x14ac:dyDescent="0.25">
      <c r="B1136" t="s">
        <v>897</v>
      </c>
    </row>
    <row r="1137" spans="2:2" x14ac:dyDescent="0.25">
      <c r="B1137" t="s">
        <v>1285</v>
      </c>
    </row>
    <row r="1138" spans="2:2" x14ac:dyDescent="0.25">
      <c r="B1138" t="s">
        <v>354</v>
      </c>
    </row>
    <row r="1139" spans="2:2" x14ac:dyDescent="0.25">
      <c r="B1139" t="s">
        <v>936</v>
      </c>
    </row>
    <row r="1140" spans="2:2" x14ac:dyDescent="0.25">
      <c r="B1140" t="s">
        <v>125</v>
      </c>
    </row>
    <row r="1141" spans="2:2" x14ac:dyDescent="0.25">
      <c r="B1141" t="s">
        <v>986</v>
      </c>
    </row>
    <row r="1142" spans="2:2" x14ac:dyDescent="0.25">
      <c r="B1142" t="s">
        <v>583</v>
      </c>
    </row>
    <row r="1143" spans="2:2" x14ac:dyDescent="0.25">
      <c r="B1143" t="s">
        <v>1765</v>
      </c>
    </row>
    <row r="1144" spans="2:2" x14ac:dyDescent="0.25">
      <c r="B1144" t="s">
        <v>1438</v>
      </c>
    </row>
    <row r="1145" spans="2:2" x14ac:dyDescent="0.25">
      <c r="B1145" t="s">
        <v>749</v>
      </c>
    </row>
    <row r="1146" spans="2:2" x14ac:dyDescent="0.25">
      <c r="B1146" t="s">
        <v>160</v>
      </c>
    </row>
    <row r="1147" spans="2:2" x14ac:dyDescent="0.25">
      <c r="B1147" t="s">
        <v>437</v>
      </c>
    </row>
    <row r="1148" spans="2:2" x14ac:dyDescent="0.25">
      <c r="B1148" t="s">
        <v>211</v>
      </c>
    </row>
    <row r="1149" spans="2:2" x14ac:dyDescent="0.25">
      <c r="B1149" t="s">
        <v>26</v>
      </c>
    </row>
    <row r="1150" spans="2:2" x14ac:dyDescent="0.25">
      <c r="B1150" t="s">
        <v>517</v>
      </c>
    </row>
    <row r="1151" spans="2:2" x14ac:dyDescent="0.25">
      <c r="B1151" t="s">
        <v>1658</v>
      </c>
    </row>
    <row r="1152" spans="2:2" x14ac:dyDescent="0.25">
      <c r="B1152" t="s">
        <v>666</v>
      </c>
    </row>
    <row r="1153" spans="2:2" x14ac:dyDescent="0.25">
      <c r="B1153" t="s">
        <v>80</v>
      </c>
    </row>
    <row r="1154" spans="2:2" x14ac:dyDescent="0.25">
      <c r="B1154" t="s">
        <v>1515</v>
      </c>
    </row>
    <row r="1155" spans="2:2" x14ac:dyDescent="0.25">
      <c r="B1155" t="s">
        <v>129</v>
      </c>
    </row>
    <row r="1156" spans="2:2" x14ac:dyDescent="0.25">
      <c r="B1156" t="s">
        <v>1450</v>
      </c>
    </row>
    <row r="1157" spans="2:2" x14ac:dyDescent="0.25">
      <c r="B1157" t="s">
        <v>1620</v>
      </c>
    </row>
    <row r="1158" spans="2:2" x14ac:dyDescent="0.25">
      <c r="B1158" t="s">
        <v>1090</v>
      </c>
    </row>
    <row r="1159" spans="2:2" x14ac:dyDescent="0.25">
      <c r="B1159" t="s">
        <v>618</v>
      </c>
    </row>
    <row r="1160" spans="2:2" x14ac:dyDescent="0.25">
      <c r="B1160" t="s">
        <v>59</v>
      </c>
    </row>
    <row r="1161" spans="2:2" x14ac:dyDescent="0.25">
      <c r="B1161" t="s">
        <v>175</v>
      </c>
    </row>
    <row r="1162" spans="2:2" x14ac:dyDescent="0.25">
      <c r="B1162" t="s">
        <v>1746</v>
      </c>
    </row>
    <row r="1163" spans="2:2" x14ac:dyDescent="0.25">
      <c r="B1163" t="s">
        <v>1185</v>
      </c>
    </row>
    <row r="1164" spans="2:2" x14ac:dyDescent="0.25">
      <c r="B1164" t="s">
        <v>922</v>
      </c>
    </row>
    <row r="1165" spans="2:2" x14ac:dyDescent="0.25">
      <c r="B1165" t="s">
        <v>814</v>
      </c>
    </row>
    <row r="1166" spans="2:2" x14ac:dyDescent="0.25">
      <c r="B1166" t="s">
        <v>161</v>
      </c>
    </row>
    <row r="1167" spans="2:2" x14ac:dyDescent="0.25">
      <c r="B1167" t="s">
        <v>1220</v>
      </c>
    </row>
    <row r="1168" spans="2:2" x14ac:dyDescent="0.25">
      <c r="B1168" t="s">
        <v>1702</v>
      </c>
    </row>
    <row r="1169" spans="2:2" x14ac:dyDescent="0.25">
      <c r="B1169" t="s">
        <v>852</v>
      </c>
    </row>
    <row r="1170" spans="2:2" x14ac:dyDescent="0.25">
      <c r="B1170" t="s">
        <v>413</v>
      </c>
    </row>
    <row r="1171" spans="2:2" x14ac:dyDescent="0.25">
      <c r="B1171" t="s">
        <v>152</v>
      </c>
    </row>
    <row r="1172" spans="2:2" x14ac:dyDescent="0.25">
      <c r="B1172" t="s">
        <v>1592</v>
      </c>
    </row>
    <row r="1173" spans="2:2" x14ac:dyDescent="0.25">
      <c r="B1173" t="s">
        <v>1183</v>
      </c>
    </row>
    <row r="1174" spans="2:2" x14ac:dyDescent="0.25">
      <c r="B1174" t="s">
        <v>374</v>
      </c>
    </row>
    <row r="1175" spans="2:2" x14ac:dyDescent="0.25">
      <c r="B1175" t="s">
        <v>1274</v>
      </c>
    </row>
    <row r="1176" spans="2:2" x14ac:dyDescent="0.25">
      <c r="B1176" t="s">
        <v>722</v>
      </c>
    </row>
    <row r="1177" spans="2:2" x14ac:dyDescent="0.25">
      <c r="B1177" t="s">
        <v>184</v>
      </c>
    </row>
    <row r="1178" spans="2:2" x14ac:dyDescent="0.25">
      <c r="B1178" t="s">
        <v>843</v>
      </c>
    </row>
    <row r="1179" spans="2:2" x14ac:dyDescent="0.25">
      <c r="B1179" t="s">
        <v>1094</v>
      </c>
    </row>
    <row r="1180" spans="2:2" x14ac:dyDescent="0.25">
      <c r="B1180" t="s">
        <v>728</v>
      </c>
    </row>
    <row r="1181" spans="2:2" x14ac:dyDescent="0.25">
      <c r="B1181" t="s">
        <v>1361</v>
      </c>
    </row>
    <row r="1182" spans="2:2" x14ac:dyDescent="0.25">
      <c r="B1182" t="s">
        <v>1416</v>
      </c>
    </row>
    <row r="1183" spans="2:2" x14ac:dyDescent="0.25">
      <c r="B1183" t="s">
        <v>1308</v>
      </c>
    </row>
    <row r="1184" spans="2:2" x14ac:dyDescent="0.25">
      <c r="B1184" t="s">
        <v>223</v>
      </c>
    </row>
    <row r="1185" spans="2:2" x14ac:dyDescent="0.25">
      <c r="B1185" t="s">
        <v>1440</v>
      </c>
    </row>
    <row r="1186" spans="2:2" x14ac:dyDescent="0.25">
      <c r="B1186" t="s">
        <v>1318</v>
      </c>
    </row>
    <row r="1187" spans="2:2" x14ac:dyDescent="0.25">
      <c r="B1187" t="s">
        <v>313</v>
      </c>
    </row>
    <row r="1188" spans="2:2" x14ac:dyDescent="0.25">
      <c r="B1188" t="s">
        <v>630</v>
      </c>
    </row>
    <row r="1189" spans="2:2" x14ac:dyDescent="0.25">
      <c r="B1189" t="s">
        <v>1693</v>
      </c>
    </row>
    <row r="1190" spans="2:2" x14ac:dyDescent="0.25">
      <c r="B1190" t="s">
        <v>358</v>
      </c>
    </row>
    <row r="1191" spans="2:2" x14ac:dyDescent="0.25">
      <c r="B1191" t="s">
        <v>337</v>
      </c>
    </row>
    <row r="1192" spans="2:2" x14ac:dyDescent="0.25">
      <c r="B1192" t="s">
        <v>1201</v>
      </c>
    </row>
    <row r="1193" spans="2:2" x14ac:dyDescent="0.25">
      <c r="B1193" t="s">
        <v>1096</v>
      </c>
    </row>
    <row r="1194" spans="2:2" x14ac:dyDescent="0.25">
      <c r="B1194" t="s">
        <v>198</v>
      </c>
    </row>
    <row r="1195" spans="2:2" x14ac:dyDescent="0.25">
      <c r="B1195" t="s">
        <v>1303</v>
      </c>
    </row>
    <row r="1196" spans="2:2" x14ac:dyDescent="0.25">
      <c r="B1196" t="s">
        <v>928</v>
      </c>
    </row>
    <row r="1197" spans="2:2" x14ac:dyDescent="0.25">
      <c r="B1197" t="s">
        <v>989</v>
      </c>
    </row>
    <row r="1198" spans="2:2" x14ac:dyDescent="0.25">
      <c r="B1198" t="s">
        <v>1156</v>
      </c>
    </row>
    <row r="1199" spans="2:2" x14ac:dyDescent="0.25">
      <c r="B1199" t="s">
        <v>1511</v>
      </c>
    </row>
    <row r="1200" spans="2:2" x14ac:dyDescent="0.25">
      <c r="B1200" t="s">
        <v>1411</v>
      </c>
    </row>
    <row r="1201" spans="2:2" x14ac:dyDescent="0.25">
      <c r="B1201" t="s">
        <v>252</v>
      </c>
    </row>
    <row r="1202" spans="2:2" x14ac:dyDescent="0.25">
      <c r="B1202" t="s">
        <v>1618</v>
      </c>
    </row>
    <row r="1203" spans="2:2" x14ac:dyDescent="0.25">
      <c r="B1203" t="s">
        <v>1320</v>
      </c>
    </row>
    <row r="1204" spans="2:2" x14ac:dyDescent="0.25">
      <c r="B1204" t="s">
        <v>810</v>
      </c>
    </row>
    <row r="1205" spans="2:2" x14ac:dyDescent="0.25">
      <c r="B1205" t="s">
        <v>1463</v>
      </c>
    </row>
    <row r="1206" spans="2:2" x14ac:dyDescent="0.25">
      <c r="B1206" t="s">
        <v>174</v>
      </c>
    </row>
    <row r="1207" spans="2:2" x14ac:dyDescent="0.25">
      <c r="B1207" t="s">
        <v>536</v>
      </c>
    </row>
    <row r="1208" spans="2:2" x14ac:dyDescent="0.25">
      <c r="B1208" t="s">
        <v>595</v>
      </c>
    </row>
    <row r="1209" spans="2:2" x14ac:dyDescent="0.25">
      <c r="B1209" t="s">
        <v>1106</v>
      </c>
    </row>
    <row r="1210" spans="2:2" x14ac:dyDescent="0.25">
      <c r="B1210" t="s">
        <v>1550</v>
      </c>
    </row>
    <row r="1211" spans="2:2" x14ac:dyDescent="0.25">
      <c r="B1211" t="s">
        <v>1306</v>
      </c>
    </row>
    <row r="1212" spans="2:2" x14ac:dyDescent="0.25">
      <c r="B1212" t="s">
        <v>37</v>
      </c>
    </row>
    <row r="1213" spans="2:2" x14ac:dyDescent="0.25">
      <c r="B1213" t="s">
        <v>1168</v>
      </c>
    </row>
    <row r="1214" spans="2:2" x14ac:dyDescent="0.25">
      <c r="B1214" t="s">
        <v>501</v>
      </c>
    </row>
    <row r="1215" spans="2:2" x14ac:dyDescent="0.25">
      <c r="B1215" t="s">
        <v>708</v>
      </c>
    </row>
    <row r="1216" spans="2:2" x14ac:dyDescent="0.25">
      <c r="B1216" t="s">
        <v>399</v>
      </c>
    </row>
    <row r="1217" spans="2:2" x14ac:dyDescent="0.25">
      <c r="B1217" t="s">
        <v>1340</v>
      </c>
    </row>
    <row r="1218" spans="2:2" x14ac:dyDescent="0.25">
      <c r="B1218" t="s">
        <v>3</v>
      </c>
    </row>
    <row r="1219" spans="2:2" x14ac:dyDescent="0.25">
      <c r="B1219" t="s">
        <v>105</v>
      </c>
    </row>
    <row r="1220" spans="2:2" x14ac:dyDescent="0.25">
      <c r="B1220" t="s">
        <v>103</v>
      </c>
    </row>
    <row r="1221" spans="2:2" x14ac:dyDescent="0.25">
      <c r="B1221" t="s">
        <v>576</v>
      </c>
    </row>
    <row r="1222" spans="2:2" x14ac:dyDescent="0.25">
      <c r="B1222" t="s">
        <v>1499</v>
      </c>
    </row>
    <row r="1223" spans="2:2" x14ac:dyDescent="0.25">
      <c r="B1223" t="s">
        <v>1608</v>
      </c>
    </row>
    <row r="1224" spans="2:2" x14ac:dyDescent="0.25">
      <c r="B1224" t="s">
        <v>1295</v>
      </c>
    </row>
    <row r="1225" spans="2:2" x14ac:dyDescent="0.25">
      <c r="B1225" t="s">
        <v>17</v>
      </c>
    </row>
    <row r="1226" spans="2:2" x14ac:dyDescent="0.25">
      <c r="B1226" t="s">
        <v>1457</v>
      </c>
    </row>
    <row r="1227" spans="2:2" x14ac:dyDescent="0.25">
      <c r="B1227" t="s">
        <v>1663</v>
      </c>
    </row>
    <row r="1228" spans="2:2" x14ac:dyDescent="0.25">
      <c r="B1228" t="s">
        <v>1470</v>
      </c>
    </row>
    <row r="1229" spans="2:2" x14ac:dyDescent="0.25">
      <c r="B1229" t="s">
        <v>674</v>
      </c>
    </row>
    <row r="1230" spans="2:2" x14ac:dyDescent="0.25">
      <c r="B1230" t="s">
        <v>563</v>
      </c>
    </row>
    <row r="1231" spans="2:2" x14ac:dyDescent="0.25">
      <c r="B1231" t="s">
        <v>1677</v>
      </c>
    </row>
    <row r="1232" spans="2:2" x14ac:dyDescent="0.25">
      <c r="B1232" t="s">
        <v>1599</v>
      </c>
    </row>
    <row r="1233" spans="2:2" x14ac:dyDescent="0.25">
      <c r="B1233" t="s">
        <v>1164</v>
      </c>
    </row>
    <row r="1234" spans="2:2" x14ac:dyDescent="0.25">
      <c r="B1234" t="s">
        <v>782</v>
      </c>
    </row>
    <row r="1235" spans="2:2" x14ac:dyDescent="0.25">
      <c r="B1235" t="s">
        <v>39</v>
      </c>
    </row>
    <row r="1236" spans="2:2" x14ac:dyDescent="0.25">
      <c r="B1236" t="s">
        <v>489</v>
      </c>
    </row>
    <row r="1237" spans="2:2" x14ac:dyDescent="0.25">
      <c r="B1237" t="s">
        <v>90</v>
      </c>
    </row>
    <row r="1238" spans="2:2" x14ac:dyDescent="0.25">
      <c r="B1238" t="s">
        <v>487</v>
      </c>
    </row>
    <row r="1239" spans="2:2" x14ac:dyDescent="0.25">
      <c r="B1239" t="s">
        <v>1169</v>
      </c>
    </row>
    <row r="1240" spans="2:2" x14ac:dyDescent="0.25">
      <c r="B1240" t="s">
        <v>1104</v>
      </c>
    </row>
    <row r="1241" spans="2:2" x14ac:dyDescent="0.25">
      <c r="B1241" t="s">
        <v>434</v>
      </c>
    </row>
    <row r="1242" spans="2:2" x14ac:dyDescent="0.25">
      <c r="B1242" t="s">
        <v>28</v>
      </c>
    </row>
    <row r="1243" spans="2:2" x14ac:dyDescent="0.25">
      <c r="B1243" t="s">
        <v>1046</v>
      </c>
    </row>
    <row r="1244" spans="2:2" x14ac:dyDescent="0.25">
      <c r="B1244" t="s">
        <v>745</v>
      </c>
    </row>
    <row r="1245" spans="2:2" x14ac:dyDescent="0.25">
      <c r="B1245" t="s">
        <v>1262</v>
      </c>
    </row>
    <row r="1246" spans="2:2" x14ac:dyDescent="0.25">
      <c r="B1246" t="s">
        <v>1188</v>
      </c>
    </row>
    <row r="1247" spans="2:2" x14ac:dyDescent="0.25">
      <c r="B1247" t="s">
        <v>1574</v>
      </c>
    </row>
    <row r="1248" spans="2:2" x14ac:dyDescent="0.25">
      <c r="B1248" t="s">
        <v>147</v>
      </c>
    </row>
    <row r="1249" spans="2:2" x14ac:dyDescent="0.25">
      <c r="B1249" t="s">
        <v>1237</v>
      </c>
    </row>
    <row r="1250" spans="2:2" x14ac:dyDescent="0.25">
      <c r="B1250" t="s">
        <v>1452</v>
      </c>
    </row>
    <row r="1251" spans="2:2" x14ac:dyDescent="0.25">
      <c r="B1251" t="s">
        <v>274</v>
      </c>
    </row>
    <row r="1252" spans="2:2" x14ac:dyDescent="0.25">
      <c r="B1252" t="s">
        <v>713</v>
      </c>
    </row>
    <row r="1253" spans="2:2" x14ac:dyDescent="0.25">
      <c r="B1253" t="s">
        <v>787</v>
      </c>
    </row>
    <row r="1254" spans="2:2" x14ac:dyDescent="0.25">
      <c r="B1254" t="s">
        <v>1687</v>
      </c>
    </row>
    <row r="1255" spans="2:2" x14ac:dyDescent="0.25">
      <c r="B1255" t="s">
        <v>1266</v>
      </c>
    </row>
    <row r="1256" spans="2:2" x14ac:dyDescent="0.25">
      <c r="B1256" t="s">
        <v>1228</v>
      </c>
    </row>
    <row r="1257" spans="2:2" x14ac:dyDescent="0.25">
      <c r="B1257" t="s">
        <v>15</v>
      </c>
    </row>
    <row r="1258" spans="2:2" x14ac:dyDescent="0.25">
      <c r="B1258" t="s">
        <v>1348</v>
      </c>
    </row>
    <row r="1259" spans="2:2" x14ac:dyDescent="0.25">
      <c r="B1259" t="s">
        <v>1338</v>
      </c>
    </row>
    <row r="1260" spans="2:2" x14ac:dyDescent="0.25">
      <c r="B1260" t="s">
        <v>82</v>
      </c>
    </row>
    <row r="1261" spans="2:2" x14ac:dyDescent="0.25">
      <c r="B1261" t="s">
        <v>902</v>
      </c>
    </row>
    <row r="1262" spans="2:2" x14ac:dyDescent="0.25">
      <c r="B1262" t="s">
        <v>1121</v>
      </c>
    </row>
    <row r="1263" spans="2:2" x14ac:dyDescent="0.25">
      <c r="B1263" t="s">
        <v>1288</v>
      </c>
    </row>
    <row r="1264" spans="2:2" x14ac:dyDescent="0.25">
      <c r="B1264" t="s">
        <v>494</v>
      </c>
    </row>
    <row r="1265" spans="2:2" x14ac:dyDescent="0.25">
      <c r="B1265" t="s">
        <v>1591</v>
      </c>
    </row>
    <row r="1266" spans="2:2" x14ac:dyDescent="0.25">
      <c r="B1266" t="s">
        <v>747</v>
      </c>
    </row>
    <row r="1267" spans="2:2" x14ac:dyDescent="0.25">
      <c r="B1267" t="s">
        <v>974</v>
      </c>
    </row>
    <row r="1268" spans="2:2" x14ac:dyDescent="0.25">
      <c r="B1268" t="s">
        <v>885</v>
      </c>
    </row>
    <row r="1269" spans="2:2" x14ac:dyDescent="0.25">
      <c r="B1269" t="s">
        <v>1015</v>
      </c>
    </row>
    <row r="1270" spans="2:2" x14ac:dyDescent="0.25">
      <c r="B1270" t="s">
        <v>1238</v>
      </c>
    </row>
    <row r="1271" spans="2:2" x14ac:dyDescent="0.25">
      <c r="B1271" t="s">
        <v>291</v>
      </c>
    </row>
    <row r="1272" spans="2:2" x14ac:dyDescent="0.25">
      <c r="B1272" t="s">
        <v>1622</v>
      </c>
    </row>
    <row r="1273" spans="2:2" x14ac:dyDescent="0.25">
      <c r="B1273" t="s">
        <v>1129</v>
      </c>
    </row>
    <row r="1274" spans="2:2" x14ac:dyDescent="0.25">
      <c r="B1274" t="s">
        <v>468</v>
      </c>
    </row>
    <row r="1275" spans="2:2" x14ac:dyDescent="0.25">
      <c r="B1275" t="s">
        <v>817</v>
      </c>
    </row>
    <row r="1276" spans="2:2" x14ac:dyDescent="0.25">
      <c r="B1276" t="s">
        <v>7</v>
      </c>
    </row>
    <row r="1277" spans="2:2" x14ac:dyDescent="0.25">
      <c r="B1277" t="s">
        <v>1179</v>
      </c>
    </row>
    <row r="1278" spans="2:2" x14ac:dyDescent="0.25">
      <c r="B1278" t="s">
        <v>511</v>
      </c>
    </row>
    <row r="1279" spans="2:2" x14ac:dyDescent="0.25">
      <c r="B1279" t="s">
        <v>603</v>
      </c>
    </row>
    <row r="1280" spans="2:2" x14ac:dyDescent="0.25">
      <c r="B1280" t="s">
        <v>926</v>
      </c>
    </row>
    <row r="1281" spans="2:2" x14ac:dyDescent="0.25">
      <c r="B1281" t="s">
        <v>168</v>
      </c>
    </row>
    <row r="1282" spans="2:2" x14ac:dyDescent="0.25">
      <c r="B1282" t="s">
        <v>357</v>
      </c>
    </row>
    <row r="1283" spans="2:2" x14ac:dyDescent="0.25">
      <c r="B1283" t="s">
        <v>1612</v>
      </c>
    </row>
    <row r="1284" spans="2:2" x14ac:dyDescent="0.25">
      <c r="B1284" t="s">
        <v>242</v>
      </c>
    </row>
    <row r="1285" spans="2:2" x14ac:dyDescent="0.25">
      <c r="B1285" t="s">
        <v>389</v>
      </c>
    </row>
    <row r="1286" spans="2:2" x14ac:dyDescent="0.25">
      <c r="B1286" t="s">
        <v>644</v>
      </c>
    </row>
    <row r="1287" spans="2:2" x14ac:dyDescent="0.25">
      <c r="B1287" t="s">
        <v>586</v>
      </c>
    </row>
    <row r="1288" spans="2:2" x14ac:dyDescent="0.25">
      <c r="B1288" t="s">
        <v>1557</v>
      </c>
    </row>
    <row r="1289" spans="2:2" x14ac:dyDescent="0.25">
      <c r="B1289" t="s">
        <v>293</v>
      </c>
    </row>
    <row r="1290" spans="2:2" x14ac:dyDescent="0.25">
      <c r="B1290" t="s">
        <v>1756</v>
      </c>
    </row>
    <row r="1291" spans="2:2" x14ac:dyDescent="0.25">
      <c r="B1291" t="s">
        <v>1474</v>
      </c>
    </row>
    <row r="1292" spans="2:2" x14ac:dyDescent="0.25">
      <c r="B1292" t="s">
        <v>686</v>
      </c>
    </row>
    <row r="1293" spans="2:2" x14ac:dyDescent="0.25">
      <c r="B1293" t="s">
        <v>23</v>
      </c>
    </row>
    <row r="1294" spans="2:2" x14ac:dyDescent="0.25">
      <c r="B1294" t="s">
        <v>987</v>
      </c>
    </row>
    <row r="1295" spans="2:2" x14ac:dyDescent="0.25">
      <c r="B1295" t="s">
        <v>1302</v>
      </c>
    </row>
    <row r="1296" spans="2:2" x14ac:dyDescent="0.25">
      <c r="B1296" t="s">
        <v>1224</v>
      </c>
    </row>
    <row r="1297" spans="2:2" x14ac:dyDescent="0.25">
      <c r="B1297" t="s">
        <v>1604</v>
      </c>
    </row>
    <row r="1298" spans="2:2" x14ac:dyDescent="0.25">
      <c r="B1298" t="s">
        <v>710</v>
      </c>
    </row>
    <row r="1299" spans="2:2" x14ac:dyDescent="0.25">
      <c r="B1299" t="s">
        <v>407</v>
      </c>
    </row>
    <row r="1300" spans="2:2" x14ac:dyDescent="0.25">
      <c r="B1300" t="s">
        <v>51</v>
      </c>
    </row>
    <row r="1301" spans="2:2" x14ac:dyDescent="0.25">
      <c r="B1301" t="s">
        <v>362</v>
      </c>
    </row>
    <row r="1302" spans="2:2" x14ac:dyDescent="0.25">
      <c r="B1302" t="s">
        <v>1696</v>
      </c>
    </row>
    <row r="1303" spans="2:2" x14ac:dyDescent="0.25">
      <c r="B1303" t="s">
        <v>507</v>
      </c>
    </row>
    <row r="1304" spans="2:2" x14ac:dyDescent="0.25">
      <c r="B1304" t="s">
        <v>1536</v>
      </c>
    </row>
    <row r="1305" spans="2:2" x14ac:dyDescent="0.25">
      <c r="B1305" t="s">
        <v>35</v>
      </c>
    </row>
    <row r="1306" spans="2:2" x14ac:dyDescent="0.25">
      <c r="B1306" t="s">
        <v>370</v>
      </c>
    </row>
    <row r="1307" spans="2:2" x14ac:dyDescent="0.25">
      <c r="B1307" t="s">
        <v>1189</v>
      </c>
    </row>
    <row r="1308" spans="2:2" x14ac:dyDescent="0.25">
      <c r="B1308" t="s">
        <v>815</v>
      </c>
    </row>
    <row r="1309" spans="2:2" x14ac:dyDescent="0.25">
      <c r="B1309" t="s">
        <v>549</v>
      </c>
    </row>
    <row r="1310" spans="2:2" x14ac:dyDescent="0.25">
      <c r="B1310" t="s">
        <v>182</v>
      </c>
    </row>
    <row r="1311" spans="2:2" x14ac:dyDescent="0.25">
      <c r="B1311" t="s">
        <v>428</v>
      </c>
    </row>
    <row r="1312" spans="2:2" x14ac:dyDescent="0.25">
      <c r="B1312" t="s">
        <v>1206</v>
      </c>
    </row>
    <row r="1313" spans="2:2" x14ac:dyDescent="0.25">
      <c r="B1313" t="s">
        <v>690</v>
      </c>
    </row>
    <row r="1314" spans="2:2" x14ac:dyDescent="0.25">
      <c r="B1314" t="s">
        <v>278</v>
      </c>
    </row>
    <row r="1315" spans="2:2" x14ac:dyDescent="0.25">
      <c r="B1315" t="s">
        <v>970</v>
      </c>
    </row>
    <row r="1316" spans="2:2" x14ac:dyDescent="0.25">
      <c r="B1316" t="s">
        <v>554</v>
      </c>
    </row>
    <row r="1317" spans="2:2" x14ac:dyDescent="0.25">
      <c r="B1317" t="s">
        <v>347</v>
      </c>
    </row>
    <row r="1318" spans="2:2" x14ac:dyDescent="0.25">
      <c r="B1318" t="s">
        <v>983</v>
      </c>
    </row>
    <row r="1319" spans="2:2" x14ac:dyDescent="0.25">
      <c r="B1319" t="s">
        <v>435</v>
      </c>
    </row>
    <row r="1320" spans="2:2" x14ac:dyDescent="0.25">
      <c r="B1320" t="s">
        <v>359</v>
      </c>
    </row>
    <row r="1321" spans="2:2" x14ac:dyDescent="0.25">
      <c r="B1321" t="s">
        <v>1573</v>
      </c>
    </row>
    <row r="1322" spans="2:2" x14ac:dyDescent="0.25">
      <c r="B1322" t="s">
        <v>379</v>
      </c>
    </row>
    <row r="1323" spans="2:2" x14ac:dyDescent="0.25">
      <c r="B1323" t="s">
        <v>861</v>
      </c>
    </row>
    <row r="1324" spans="2:2" x14ac:dyDescent="0.25">
      <c r="B1324" t="s">
        <v>1321</v>
      </c>
    </row>
    <row r="1325" spans="2:2" x14ac:dyDescent="0.25">
      <c r="B1325" t="s">
        <v>228</v>
      </c>
    </row>
    <row r="1326" spans="2:2" x14ac:dyDescent="0.25">
      <c r="B1326" t="s">
        <v>1673</v>
      </c>
    </row>
    <row r="1327" spans="2:2" x14ac:dyDescent="0.25">
      <c r="B1327" t="s">
        <v>1388</v>
      </c>
    </row>
    <row r="1328" spans="2:2" x14ac:dyDescent="0.25">
      <c r="B1328" t="s">
        <v>1330</v>
      </c>
    </row>
    <row r="1329" spans="2:2" x14ac:dyDescent="0.25">
      <c r="B1329" t="s">
        <v>1715</v>
      </c>
    </row>
    <row r="1330" spans="2:2" x14ac:dyDescent="0.25">
      <c r="B1330" t="s">
        <v>874</v>
      </c>
    </row>
    <row r="1331" spans="2:2" x14ac:dyDescent="0.25">
      <c r="B1331" t="s">
        <v>1412</v>
      </c>
    </row>
    <row r="1332" spans="2:2" x14ac:dyDescent="0.25">
      <c r="B1332" t="s">
        <v>89</v>
      </c>
    </row>
    <row r="1333" spans="2:2" x14ac:dyDescent="0.25">
      <c r="B1333" t="s">
        <v>581</v>
      </c>
    </row>
    <row r="1334" spans="2:2" x14ac:dyDescent="0.25">
      <c r="B1334" t="s">
        <v>799</v>
      </c>
    </row>
    <row r="1335" spans="2:2" x14ac:dyDescent="0.25">
      <c r="B1335" t="s">
        <v>167</v>
      </c>
    </row>
    <row r="1336" spans="2:2" x14ac:dyDescent="0.25">
      <c r="B1336" t="s">
        <v>1002</v>
      </c>
    </row>
    <row r="1337" spans="2:2" x14ac:dyDescent="0.25">
      <c r="B1337" t="s">
        <v>5</v>
      </c>
    </row>
    <row r="1338" spans="2:2" x14ac:dyDescent="0.25">
      <c r="B1338" t="s">
        <v>249</v>
      </c>
    </row>
    <row r="1339" spans="2:2" x14ac:dyDescent="0.25">
      <c r="B1339" t="s">
        <v>1586</v>
      </c>
    </row>
    <row r="1340" spans="2:2" x14ac:dyDescent="0.25">
      <c r="B1340" t="s">
        <v>1631</v>
      </c>
    </row>
    <row r="1341" spans="2:2" x14ac:dyDescent="0.25">
      <c r="B1341" t="s">
        <v>1105</v>
      </c>
    </row>
    <row r="1342" spans="2:2" x14ac:dyDescent="0.25">
      <c r="B1342" t="s">
        <v>1233</v>
      </c>
    </row>
    <row r="1343" spans="2:2" x14ac:dyDescent="0.25">
      <c r="B1343" t="s">
        <v>1004</v>
      </c>
    </row>
    <row r="1344" spans="2:2" x14ac:dyDescent="0.25">
      <c r="B1344" t="s">
        <v>279</v>
      </c>
    </row>
    <row r="1345" spans="2:2" x14ac:dyDescent="0.25">
      <c r="B1345" t="s">
        <v>1679</v>
      </c>
    </row>
    <row r="1346" spans="2:2" x14ac:dyDescent="0.25">
      <c r="B1346" t="s">
        <v>835</v>
      </c>
    </row>
    <row r="1347" spans="2:2" x14ac:dyDescent="0.25">
      <c r="B1347" t="s">
        <v>1471</v>
      </c>
    </row>
    <row r="1348" spans="2:2" x14ac:dyDescent="0.25">
      <c r="B1348" t="s">
        <v>93</v>
      </c>
    </row>
    <row r="1349" spans="2:2" x14ac:dyDescent="0.25">
      <c r="B1349" t="s">
        <v>574</v>
      </c>
    </row>
    <row r="1350" spans="2:2" x14ac:dyDescent="0.25">
      <c r="B1350" t="s">
        <v>73</v>
      </c>
    </row>
    <row r="1351" spans="2:2" x14ac:dyDescent="0.25">
      <c r="B1351" t="s">
        <v>1545</v>
      </c>
    </row>
    <row r="1352" spans="2:2" x14ac:dyDescent="0.25">
      <c r="B1352" t="s">
        <v>533</v>
      </c>
    </row>
    <row r="1353" spans="2:2" x14ac:dyDescent="0.25">
      <c r="B1353" t="s">
        <v>1735</v>
      </c>
    </row>
    <row r="1354" spans="2:2" x14ac:dyDescent="0.25">
      <c r="B1354" t="s">
        <v>1122</v>
      </c>
    </row>
    <row r="1355" spans="2:2" x14ac:dyDescent="0.25">
      <c r="B1355" t="s">
        <v>271</v>
      </c>
    </row>
    <row r="1356" spans="2:2" x14ac:dyDescent="0.25">
      <c r="B1356" t="s">
        <v>1524</v>
      </c>
    </row>
    <row r="1357" spans="2:2" x14ac:dyDescent="0.25">
      <c r="B1357" t="s">
        <v>1434</v>
      </c>
    </row>
    <row r="1358" spans="2:2" x14ac:dyDescent="0.25">
      <c r="B1358" t="s">
        <v>924</v>
      </c>
    </row>
    <row r="1359" spans="2:2" x14ac:dyDescent="0.25">
      <c r="B1359" t="s">
        <v>479</v>
      </c>
    </row>
    <row r="1360" spans="2:2" x14ac:dyDescent="0.25">
      <c r="B1360" t="s">
        <v>656</v>
      </c>
    </row>
    <row r="1361" spans="2:2" x14ac:dyDescent="0.25">
      <c r="B1361" t="s">
        <v>1197</v>
      </c>
    </row>
    <row r="1362" spans="2:2" x14ac:dyDescent="0.25">
      <c r="B1362" t="s">
        <v>1500</v>
      </c>
    </row>
    <row r="1363" spans="2:2" x14ac:dyDescent="0.25">
      <c r="B1363" t="s">
        <v>48</v>
      </c>
    </row>
    <row r="1364" spans="2:2" x14ac:dyDescent="0.25">
      <c r="B1364" t="s">
        <v>1395</v>
      </c>
    </row>
    <row r="1365" spans="2:2" x14ac:dyDescent="0.25">
      <c r="B1365" t="s">
        <v>1256</v>
      </c>
    </row>
    <row r="1366" spans="2:2" x14ac:dyDescent="0.25">
      <c r="B1366" t="s">
        <v>1527</v>
      </c>
    </row>
    <row r="1367" spans="2:2" x14ac:dyDescent="0.25">
      <c r="B1367" t="s">
        <v>180</v>
      </c>
    </row>
    <row r="1368" spans="2:2" x14ac:dyDescent="0.25">
      <c r="B1368" t="s">
        <v>1180</v>
      </c>
    </row>
    <row r="1369" spans="2:2" x14ac:dyDescent="0.25">
      <c r="B1369" t="s">
        <v>1328</v>
      </c>
    </row>
    <row r="1370" spans="2:2" x14ac:dyDescent="0.25">
      <c r="B1370" t="s">
        <v>880</v>
      </c>
    </row>
    <row r="1371" spans="2:2" x14ac:dyDescent="0.25">
      <c r="B1371" t="s">
        <v>762</v>
      </c>
    </row>
    <row r="1372" spans="2:2" x14ac:dyDescent="0.25">
      <c r="B1372" t="s">
        <v>726</v>
      </c>
    </row>
    <row r="1373" spans="2:2" x14ac:dyDescent="0.25">
      <c r="B1373" t="s">
        <v>368</v>
      </c>
    </row>
    <row r="1374" spans="2:2" x14ac:dyDescent="0.25">
      <c r="B1374" t="s">
        <v>719</v>
      </c>
    </row>
    <row r="1375" spans="2:2" x14ac:dyDescent="0.25">
      <c r="B1375" t="s">
        <v>1027</v>
      </c>
    </row>
    <row r="1376" spans="2:2" x14ac:dyDescent="0.25">
      <c r="B1376" t="s">
        <v>162</v>
      </c>
    </row>
    <row r="1377" spans="2:2" x14ac:dyDescent="0.25">
      <c r="B1377" t="s">
        <v>109</v>
      </c>
    </row>
    <row r="1378" spans="2:2" x14ac:dyDescent="0.25">
      <c r="B1378" t="s">
        <v>251</v>
      </c>
    </row>
    <row r="1379" spans="2:2" x14ac:dyDescent="0.25">
      <c r="B1379" t="s">
        <v>1312</v>
      </c>
    </row>
    <row r="1380" spans="2:2" x14ac:dyDescent="0.25">
      <c r="B1380" t="s">
        <v>1635</v>
      </c>
    </row>
    <row r="1381" spans="2:2" x14ac:dyDescent="0.25">
      <c r="B1381" t="s">
        <v>946</v>
      </c>
    </row>
    <row r="1382" spans="2:2" x14ac:dyDescent="0.25">
      <c r="B1382" t="s">
        <v>832</v>
      </c>
    </row>
    <row r="1383" spans="2:2" x14ac:dyDescent="0.25">
      <c r="B1383" t="s">
        <v>1692</v>
      </c>
    </row>
    <row r="1384" spans="2:2" x14ac:dyDescent="0.25">
      <c r="B1384" t="s">
        <v>786</v>
      </c>
    </row>
    <row r="1385" spans="2:2" x14ac:dyDescent="0.25">
      <c r="B1385" t="s">
        <v>1761</v>
      </c>
    </row>
    <row r="1386" spans="2:2" x14ac:dyDescent="0.25">
      <c r="B1386" t="s">
        <v>919</v>
      </c>
    </row>
    <row r="1387" spans="2:2" x14ac:dyDescent="0.25">
      <c r="B1387" t="s">
        <v>1257</v>
      </c>
    </row>
    <row r="1388" spans="2:2" x14ac:dyDescent="0.25">
      <c r="B1388" t="s">
        <v>662</v>
      </c>
    </row>
    <row r="1389" spans="2:2" x14ac:dyDescent="0.25">
      <c r="B1389" t="s">
        <v>53</v>
      </c>
    </row>
    <row r="1390" spans="2:2" x14ac:dyDescent="0.25">
      <c r="B1390" t="s">
        <v>1193</v>
      </c>
    </row>
    <row r="1391" spans="2:2" x14ac:dyDescent="0.25">
      <c r="B1391" t="s">
        <v>1624</v>
      </c>
    </row>
    <row r="1392" spans="2:2" x14ac:dyDescent="0.25">
      <c r="B1392" t="s">
        <v>1276</v>
      </c>
    </row>
    <row r="1393" spans="2:2" x14ac:dyDescent="0.25">
      <c r="B1393" t="s">
        <v>1305</v>
      </c>
    </row>
    <row r="1394" spans="2:2" x14ac:dyDescent="0.25">
      <c r="B1394" t="s">
        <v>679</v>
      </c>
    </row>
    <row r="1395" spans="2:2" x14ac:dyDescent="0.25">
      <c r="B1395" t="s">
        <v>616</v>
      </c>
    </row>
    <row r="1396" spans="2:2" x14ac:dyDescent="0.25">
      <c r="B1396" t="s">
        <v>540</v>
      </c>
    </row>
    <row r="1397" spans="2:2" x14ac:dyDescent="0.25">
      <c r="B1397" t="s">
        <v>839</v>
      </c>
    </row>
    <row r="1398" spans="2:2" x14ac:dyDescent="0.25">
      <c r="B1398" t="s">
        <v>592</v>
      </c>
    </row>
    <row r="1399" spans="2:2" x14ac:dyDescent="0.25">
      <c r="B1399" t="s">
        <v>159</v>
      </c>
    </row>
    <row r="1400" spans="2:2" x14ac:dyDescent="0.25">
      <c r="B1400" t="s">
        <v>1359</v>
      </c>
    </row>
    <row r="1401" spans="2:2" x14ac:dyDescent="0.25">
      <c r="B1401" t="s">
        <v>1010</v>
      </c>
    </row>
    <row r="1402" spans="2:2" x14ac:dyDescent="0.25">
      <c r="B1402" t="s">
        <v>136</v>
      </c>
    </row>
    <row r="1403" spans="2:2" x14ac:dyDescent="0.25">
      <c r="B1403" t="s">
        <v>1005</v>
      </c>
    </row>
    <row r="1404" spans="2:2" x14ac:dyDescent="0.25">
      <c r="B1404" t="s">
        <v>20</v>
      </c>
    </row>
    <row r="1405" spans="2:2" x14ac:dyDescent="0.25">
      <c r="B1405" t="s">
        <v>1610</v>
      </c>
    </row>
    <row r="1406" spans="2:2" x14ac:dyDescent="0.25">
      <c r="B1406" t="s">
        <v>1418</v>
      </c>
    </row>
    <row r="1407" spans="2:2" x14ac:dyDescent="0.25">
      <c r="B1407" t="s">
        <v>283</v>
      </c>
    </row>
    <row r="1408" spans="2:2" x14ac:dyDescent="0.25">
      <c r="B1408" t="s">
        <v>959</v>
      </c>
    </row>
    <row r="1409" spans="2:2" x14ac:dyDescent="0.25">
      <c r="B1409" t="s">
        <v>1140</v>
      </c>
    </row>
    <row r="1410" spans="2:2" x14ac:dyDescent="0.25">
      <c r="B1410" t="s">
        <v>1468</v>
      </c>
    </row>
    <row r="1411" spans="2:2" x14ac:dyDescent="0.25">
      <c r="B1411" t="s">
        <v>1023</v>
      </c>
    </row>
    <row r="1412" spans="2:2" x14ac:dyDescent="0.25">
      <c r="B1412" t="s">
        <v>1554</v>
      </c>
    </row>
    <row r="1413" spans="2:2" x14ac:dyDescent="0.25">
      <c r="B1413" t="s">
        <v>870</v>
      </c>
    </row>
    <row r="1414" spans="2:2" x14ac:dyDescent="0.25">
      <c r="B1414" t="s">
        <v>836</v>
      </c>
    </row>
    <row r="1415" spans="2:2" x14ac:dyDescent="0.25">
      <c r="B1415" t="s">
        <v>535</v>
      </c>
    </row>
    <row r="1416" spans="2:2" x14ac:dyDescent="0.25">
      <c r="B1416" t="s">
        <v>1643</v>
      </c>
    </row>
    <row r="1417" spans="2:2" x14ac:dyDescent="0.25">
      <c r="B1417" t="s">
        <v>173</v>
      </c>
    </row>
    <row r="1418" spans="2:2" x14ac:dyDescent="0.25">
      <c r="B1418" t="s">
        <v>309</v>
      </c>
    </row>
    <row r="1419" spans="2:2" x14ac:dyDescent="0.25">
      <c r="B1419" t="s">
        <v>1719</v>
      </c>
    </row>
    <row r="1420" spans="2:2" x14ac:dyDescent="0.25">
      <c r="B1420" t="s">
        <v>1460</v>
      </c>
    </row>
    <row r="1421" spans="2:2" x14ac:dyDescent="0.25">
      <c r="B1421" t="s">
        <v>1414</v>
      </c>
    </row>
    <row r="1422" spans="2:2" x14ac:dyDescent="0.25">
      <c r="B1422" t="s">
        <v>1606</v>
      </c>
    </row>
    <row r="1423" spans="2:2" x14ac:dyDescent="0.25">
      <c r="B1423" t="s">
        <v>83</v>
      </c>
    </row>
    <row r="1424" spans="2:2" x14ac:dyDescent="0.25">
      <c r="B1424" t="s">
        <v>1764</v>
      </c>
    </row>
    <row r="1425" spans="2:2" x14ac:dyDescent="0.25">
      <c r="B1425" t="s">
        <v>1642</v>
      </c>
    </row>
    <row r="1426" spans="2:2" x14ac:dyDescent="0.25">
      <c r="B1426" t="s">
        <v>1390</v>
      </c>
    </row>
    <row r="1427" spans="2:2" x14ac:dyDescent="0.25">
      <c r="B1427" t="s">
        <v>1051</v>
      </c>
    </row>
    <row r="1428" spans="2:2" x14ac:dyDescent="0.25">
      <c r="B1428" t="s">
        <v>387</v>
      </c>
    </row>
    <row r="1429" spans="2:2" x14ac:dyDescent="0.25">
      <c r="B1429" t="s">
        <v>1222</v>
      </c>
    </row>
    <row r="1430" spans="2:2" x14ac:dyDescent="0.25">
      <c r="B1430" t="s">
        <v>857</v>
      </c>
    </row>
    <row r="1431" spans="2:2" x14ac:dyDescent="0.25">
      <c r="B1431" t="s">
        <v>1659</v>
      </c>
    </row>
    <row r="1432" spans="2:2" x14ac:dyDescent="0.25">
      <c r="B1432" t="s">
        <v>420</v>
      </c>
    </row>
    <row r="1433" spans="2:2" x14ac:dyDescent="0.25">
      <c r="B1433" t="s">
        <v>651</v>
      </c>
    </row>
    <row r="1434" spans="2:2" x14ac:dyDescent="0.25">
      <c r="B1434" t="s">
        <v>1310</v>
      </c>
    </row>
    <row r="1435" spans="2:2" x14ac:dyDescent="0.25">
      <c r="B1435" t="s">
        <v>75</v>
      </c>
    </row>
    <row r="1436" spans="2:2" x14ac:dyDescent="0.25">
      <c r="B1436" t="s">
        <v>1547</v>
      </c>
    </row>
    <row r="1437" spans="2:2" x14ac:dyDescent="0.25">
      <c r="B1437" t="s">
        <v>1721</v>
      </c>
    </row>
    <row r="1438" spans="2:2" x14ac:dyDescent="0.25">
      <c r="B1438" t="s">
        <v>209</v>
      </c>
    </row>
    <row r="1439" spans="2:2" x14ac:dyDescent="0.25">
      <c r="B1439" t="s">
        <v>1367</v>
      </c>
    </row>
    <row r="1440" spans="2:2" x14ac:dyDescent="0.25">
      <c r="B1440" t="s">
        <v>858</v>
      </c>
    </row>
    <row r="1441" spans="2:2" x14ac:dyDescent="0.25">
      <c r="B1441" t="s">
        <v>638</v>
      </c>
    </row>
    <row r="1442" spans="2:2" x14ac:dyDescent="0.25">
      <c r="B1442" t="s">
        <v>259</v>
      </c>
    </row>
    <row r="1443" spans="2:2" x14ac:dyDescent="0.25">
      <c r="B1443" t="s">
        <v>1136</v>
      </c>
    </row>
    <row r="1444" spans="2:2" x14ac:dyDescent="0.25">
      <c r="B1444" t="s">
        <v>287</v>
      </c>
    </row>
    <row r="1445" spans="2:2" x14ac:dyDescent="0.25">
      <c r="B1445" t="s">
        <v>794</v>
      </c>
    </row>
    <row r="1446" spans="2:2" x14ac:dyDescent="0.25">
      <c r="B1446" t="s">
        <v>1323</v>
      </c>
    </row>
    <row r="1447" spans="2:2" x14ac:dyDescent="0.25">
      <c r="B1447" t="s">
        <v>11</v>
      </c>
    </row>
    <row r="1448" spans="2:2" x14ac:dyDescent="0.25">
      <c r="B1448" t="s">
        <v>1621</v>
      </c>
    </row>
    <row r="1449" spans="2:2" x14ac:dyDescent="0.25">
      <c r="B1449" t="s">
        <v>1584</v>
      </c>
    </row>
    <row r="1450" spans="2:2" x14ac:dyDescent="0.25">
      <c r="B1450" t="s">
        <v>1198</v>
      </c>
    </row>
    <row r="1451" spans="2:2" x14ac:dyDescent="0.25">
      <c r="B1451" t="s">
        <v>18</v>
      </c>
    </row>
    <row r="1452" spans="2:2" x14ac:dyDescent="0.25">
      <c r="B1452" t="s">
        <v>883</v>
      </c>
    </row>
    <row r="1453" spans="2:2" x14ac:dyDescent="0.25">
      <c r="B1453" t="s">
        <v>415</v>
      </c>
    </row>
    <row r="1454" spans="2:2" x14ac:dyDescent="0.25">
      <c r="B1454" t="s">
        <v>1729</v>
      </c>
    </row>
    <row r="1455" spans="2:2" x14ac:dyDescent="0.25">
      <c r="B1455" t="s">
        <v>99</v>
      </c>
    </row>
    <row r="1456" spans="2:2" x14ac:dyDescent="0.25">
      <c r="B1456" t="s">
        <v>703</v>
      </c>
    </row>
    <row r="1457" spans="2:2" x14ac:dyDescent="0.25">
      <c r="B1457" t="s">
        <v>1329</v>
      </c>
    </row>
    <row r="1458" spans="2:2" x14ac:dyDescent="0.25">
      <c r="B1458" t="s">
        <v>665</v>
      </c>
    </row>
    <row r="1459" spans="2:2" x14ac:dyDescent="0.25">
      <c r="B1459" t="s">
        <v>1690</v>
      </c>
    </row>
    <row r="1460" spans="2:2" x14ac:dyDescent="0.25">
      <c r="B1460" t="s">
        <v>462</v>
      </c>
    </row>
    <row r="1461" spans="2:2" x14ac:dyDescent="0.25">
      <c r="B1461" t="s">
        <v>1617</v>
      </c>
    </row>
    <row r="1462" spans="2:2" x14ac:dyDescent="0.25">
      <c r="B1462" t="s">
        <v>1495</v>
      </c>
    </row>
    <row r="1463" spans="2:2" x14ac:dyDescent="0.25">
      <c r="B1463" t="s">
        <v>383</v>
      </c>
    </row>
    <row r="1464" spans="2:2" x14ac:dyDescent="0.25">
      <c r="B1464" t="s">
        <v>895</v>
      </c>
    </row>
    <row r="1465" spans="2:2" x14ac:dyDescent="0.25">
      <c r="B1465" t="s">
        <v>1049</v>
      </c>
    </row>
    <row r="1466" spans="2:2" x14ac:dyDescent="0.25">
      <c r="B1466" t="s">
        <v>115</v>
      </c>
    </row>
    <row r="1467" spans="2:2" x14ac:dyDescent="0.25">
      <c r="B1467" t="s">
        <v>1014</v>
      </c>
    </row>
    <row r="1468" spans="2:2" x14ac:dyDescent="0.25">
      <c r="B1468" t="s">
        <v>388</v>
      </c>
    </row>
    <row r="1469" spans="2:2" x14ac:dyDescent="0.25">
      <c r="B1469" t="s">
        <v>457</v>
      </c>
    </row>
    <row r="1470" spans="2:2" x14ac:dyDescent="0.25">
      <c r="B1470" t="s">
        <v>822</v>
      </c>
    </row>
    <row r="1471" spans="2:2" x14ac:dyDescent="0.25">
      <c r="B1471" t="s">
        <v>1134</v>
      </c>
    </row>
    <row r="1472" spans="2:2" x14ac:dyDescent="0.25">
      <c r="B1472" t="s">
        <v>1153</v>
      </c>
    </row>
    <row r="1473" spans="2:2" x14ac:dyDescent="0.25">
      <c r="B1473" t="s">
        <v>655</v>
      </c>
    </row>
    <row r="1474" spans="2:2" x14ac:dyDescent="0.25">
      <c r="B1474" t="s">
        <v>566</v>
      </c>
    </row>
    <row r="1475" spans="2:2" x14ac:dyDescent="0.25">
      <c r="B1475" t="s">
        <v>1113</v>
      </c>
    </row>
    <row r="1476" spans="2:2" x14ac:dyDescent="0.25">
      <c r="B1476" t="s">
        <v>245</v>
      </c>
    </row>
    <row r="1477" spans="2:2" x14ac:dyDescent="0.25">
      <c r="B1477" t="s">
        <v>967</v>
      </c>
    </row>
    <row r="1478" spans="2:2" x14ac:dyDescent="0.25">
      <c r="B1478" t="s">
        <v>1664</v>
      </c>
    </row>
    <row r="1479" spans="2:2" x14ac:dyDescent="0.25">
      <c r="B1479" t="s">
        <v>1235</v>
      </c>
    </row>
    <row r="1480" spans="2:2" x14ac:dyDescent="0.25">
      <c r="B1480" t="s">
        <v>1694</v>
      </c>
    </row>
    <row r="1481" spans="2:2" x14ac:dyDescent="0.25">
      <c r="B1481" t="s">
        <v>1191</v>
      </c>
    </row>
    <row r="1482" spans="2:2" x14ac:dyDescent="0.25">
      <c r="B1482" t="s">
        <v>534</v>
      </c>
    </row>
    <row r="1483" spans="2:2" x14ac:dyDescent="0.25">
      <c r="B1483" t="s">
        <v>1034</v>
      </c>
    </row>
    <row r="1484" spans="2:2" x14ac:dyDescent="0.25">
      <c r="B1484" t="s">
        <v>86</v>
      </c>
    </row>
    <row r="1485" spans="2:2" x14ac:dyDescent="0.25">
      <c r="B1485" t="s">
        <v>1754</v>
      </c>
    </row>
    <row r="1486" spans="2:2" x14ac:dyDescent="0.25">
      <c r="B1486" t="s">
        <v>1714</v>
      </c>
    </row>
    <row r="1487" spans="2:2" x14ac:dyDescent="0.25">
      <c r="B1487" t="s">
        <v>1763</v>
      </c>
    </row>
    <row r="1488" spans="2:2" x14ac:dyDescent="0.25">
      <c r="B1488" t="s">
        <v>913</v>
      </c>
    </row>
    <row r="1489" spans="2:2" x14ac:dyDescent="0.25">
      <c r="B1489" t="s">
        <v>723</v>
      </c>
    </row>
    <row r="1490" spans="2:2" x14ac:dyDescent="0.25">
      <c r="B1490" t="s">
        <v>1207</v>
      </c>
    </row>
    <row r="1491" spans="2:2" x14ac:dyDescent="0.25">
      <c r="B1491" t="s">
        <v>1379</v>
      </c>
    </row>
    <row r="1492" spans="2:2" x14ac:dyDescent="0.25">
      <c r="B1492" t="s">
        <v>558</v>
      </c>
    </row>
    <row r="1493" spans="2:2" x14ac:dyDescent="0.25">
      <c r="B1493" t="s">
        <v>248</v>
      </c>
    </row>
    <row r="1494" spans="2:2" x14ac:dyDescent="0.25">
      <c r="B1494" t="s">
        <v>230</v>
      </c>
    </row>
    <row r="1495" spans="2:2" x14ac:dyDescent="0.25">
      <c r="B1495" t="s">
        <v>1555</v>
      </c>
    </row>
    <row r="1496" spans="2:2" x14ac:dyDescent="0.25">
      <c r="B1496" t="s">
        <v>1098</v>
      </c>
    </row>
    <row r="1497" spans="2:2" x14ac:dyDescent="0.25">
      <c r="B1497" t="s">
        <v>1013</v>
      </c>
    </row>
    <row r="1498" spans="2:2" x14ac:dyDescent="0.25">
      <c r="B1498" t="s">
        <v>394</v>
      </c>
    </row>
    <row r="1499" spans="2:2" x14ac:dyDescent="0.25">
      <c r="B1499" t="s">
        <v>1576</v>
      </c>
    </row>
    <row r="1500" spans="2:2" x14ac:dyDescent="0.25">
      <c r="B1500" t="s">
        <v>218</v>
      </c>
    </row>
    <row r="1501" spans="2:2" x14ac:dyDescent="0.25">
      <c r="B1501" t="s">
        <v>1596</v>
      </c>
    </row>
    <row r="1502" spans="2:2" x14ac:dyDescent="0.25">
      <c r="B1502" t="s">
        <v>102</v>
      </c>
    </row>
    <row r="1503" spans="2:2" x14ac:dyDescent="0.25">
      <c r="B1503" t="s">
        <v>202</v>
      </c>
    </row>
    <row r="1504" spans="2:2" x14ac:dyDescent="0.25">
      <c r="B1504" t="s">
        <v>761</v>
      </c>
    </row>
    <row r="1505" spans="2:2" x14ac:dyDescent="0.25">
      <c r="B1505" t="s">
        <v>1544</v>
      </c>
    </row>
    <row r="1506" spans="2:2" x14ac:dyDescent="0.25">
      <c r="B1506" t="s">
        <v>1357</v>
      </c>
    </row>
    <row r="1507" spans="2:2" x14ac:dyDescent="0.25">
      <c r="B1507" t="s">
        <v>45</v>
      </c>
    </row>
    <row r="1508" spans="2:2" x14ac:dyDescent="0.25">
      <c r="B1508" t="s">
        <v>139</v>
      </c>
    </row>
    <row r="1509" spans="2:2" x14ac:dyDescent="0.25">
      <c r="B1509" t="s">
        <v>1282</v>
      </c>
    </row>
    <row r="1510" spans="2:2" x14ac:dyDescent="0.25">
      <c r="B1510" t="s">
        <v>1176</v>
      </c>
    </row>
    <row r="1511" spans="2:2" x14ac:dyDescent="0.25">
      <c r="B1511" t="s">
        <v>1496</v>
      </c>
    </row>
    <row r="1512" spans="2:2" x14ac:dyDescent="0.25">
      <c r="B1512" t="s">
        <v>1382</v>
      </c>
    </row>
    <row r="1513" spans="2:2" x14ac:dyDescent="0.25">
      <c r="B1513" t="s">
        <v>386</v>
      </c>
    </row>
    <row r="1514" spans="2:2" x14ac:dyDescent="0.25">
      <c r="B1514" t="s">
        <v>1091</v>
      </c>
    </row>
    <row r="1515" spans="2:2" x14ac:dyDescent="0.25">
      <c r="B1515" t="s">
        <v>896</v>
      </c>
    </row>
    <row r="1516" spans="2:2" x14ac:dyDescent="0.25">
      <c r="B1516" t="s">
        <v>1240</v>
      </c>
    </row>
    <row r="1517" spans="2:2" x14ac:dyDescent="0.25">
      <c r="B1517" t="s">
        <v>250</v>
      </c>
    </row>
    <row r="1518" spans="2:2" x14ac:dyDescent="0.25">
      <c r="B1518" t="s">
        <v>903</v>
      </c>
    </row>
    <row r="1519" spans="2:2" x14ac:dyDescent="0.25">
      <c r="B1519" t="s">
        <v>1116</v>
      </c>
    </row>
    <row r="1520" spans="2:2" x14ac:dyDescent="0.25">
      <c r="B1520" t="s">
        <v>172</v>
      </c>
    </row>
    <row r="1521" spans="2:2" x14ac:dyDescent="0.25">
      <c r="B1521" t="s">
        <v>1404</v>
      </c>
    </row>
    <row r="1522" spans="2:2" x14ac:dyDescent="0.25">
      <c r="B1522" t="s">
        <v>1026</v>
      </c>
    </row>
    <row r="1523" spans="2:2" x14ac:dyDescent="0.25">
      <c r="B1523" t="s">
        <v>565</v>
      </c>
    </row>
    <row r="1524" spans="2:2" x14ac:dyDescent="0.25">
      <c r="B1524" t="s">
        <v>1205</v>
      </c>
    </row>
    <row r="1525" spans="2:2" x14ac:dyDescent="0.25">
      <c r="B1525" t="s">
        <v>1067</v>
      </c>
    </row>
    <row r="1526" spans="2:2" x14ac:dyDescent="0.25">
      <c r="B1526" t="s">
        <v>892</v>
      </c>
    </row>
    <row r="1527" spans="2:2" x14ac:dyDescent="0.25">
      <c r="B1527" t="s">
        <v>1073</v>
      </c>
    </row>
    <row r="1528" spans="2:2" x14ac:dyDescent="0.25">
      <c r="B1528" t="s">
        <v>1616</v>
      </c>
    </row>
    <row r="1529" spans="2:2" x14ac:dyDescent="0.25">
      <c r="B1529" t="s">
        <v>927</v>
      </c>
    </row>
    <row r="1530" spans="2:2" x14ac:dyDescent="0.25">
      <c r="B1530" t="s">
        <v>628</v>
      </c>
    </row>
    <row r="1531" spans="2:2" x14ac:dyDescent="0.25">
      <c r="B1531" t="s">
        <v>1534</v>
      </c>
    </row>
    <row r="1532" spans="2:2" x14ac:dyDescent="0.25">
      <c r="B1532" t="s">
        <v>1360</v>
      </c>
    </row>
    <row r="1533" spans="2:2" x14ac:dyDescent="0.25">
      <c r="B1533" t="s">
        <v>311</v>
      </c>
    </row>
    <row r="1534" spans="2:2" x14ac:dyDescent="0.25">
      <c r="B1534" t="s">
        <v>506</v>
      </c>
    </row>
    <row r="1535" spans="2:2" x14ac:dyDescent="0.25">
      <c r="B1535" t="s">
        <v>431</v>
      </c>
    </row>
    <row r="1536" spans="2:2" x14ac:dyDescent="0.25">
      <c r="B1536" t="s">
        <v>1738</v>
      </c>
    </row>
    <row r="1537" spans="2:2" x14ac:dyDescent="0.25">
      <c r="B1537" t="s">
        <v>877</v>
      </c>
    </row>
    <row r="1538" spans="2:2" x14ac:dyDescent="0.25">
      <c r="B1538" t="s">
        <v>625</v>
      </c>
    </row>
    <row r="1539" spans="2:2" x14ac:dyDescent="0.25">
      <c r="B1539" t="s">
        <v>459</v>
      </c>
    </row>
    <row r="1540" spans="2:2" x14ac:dyDescent="0.25">
      <c r="B1540" t="s">
        <v>485</v>
      </c>
    </row>
    <row r="1541" spans="2:2" x14ac:dyDescent="0.25">
      <c r="B1541" t="s">
        <v>353</v>
      </c>
    </row>
    <row r="1542" spans="2:2" x14ac:dyDescent="0.25">
      <c r="B1542" t="s">
        <v>473</v>
      </c>
    </row>
    <row r="1543" spans="2:2" x14ac:dyDescent="0.25">
      <c r="B1543" t="s">
        <v>1695</v>
      </c>
    </row>
    <row r="1544" spans="2:2" x14ac:dyDescent="0.25">
      <c r="B1544" t="s">
        <v>67</v>
      </c>
    </row>
    <row r="1545" spans="2:2" x14ac:dyDescent="0.25">
      <c r="B1545" t="s">
        <v>280</v>
      </c>
    </row>
    <row r="1546" spans="2:2" x14ac:dyDescent="0.25">
      <c r="B1546" t="s">
        <v>1118</v>
      </c>
    </row>
    <row r="1547" spans="2:2" x14ac:dyDescent="0.25">
      <c r="B1547" t="s">
        <v>508</v>
      </c>
    </row>
    <row r="1548" spans="2:2" x14ac:dyDescent="0.25">
      <c r="B1548" t="s">
        <v>813</v>
      </c>
    </row>
    <row r="1549" spans="2:2" x14ac:dyDescent="0.25">
      <c r="B1549" t="s">
        <v>1670</v>
      </c>
    </row>
    <row r="1550" spans="2:2" x14ac:dyDescent="0.25">
      <c r="B1550" t="s">
        <v>1483</v>
      </c>
    </row>
    <row r="1551" spans="2:2" x14ac:dyDescent="0.25">
      <c r="B1551" t="s">
        <v>683</v>
      </c>
    </row>
    <row r="1552" spans="2:2" x14ac:dyDescent="0.25">
      <c r="B1552" t="s">
        <v>543</v>
      </c>
    </row>
    <row r="1553" spans="2:2" x14ac:dyDescent="0.25">
      <c r="B1553" t="s">
        <v>1595</v>
      </c>
    </row>
    <row r="1554" spans="2:2" x14ac:dyDescent="0.25">
      <c r="B1554" t="s">
        <v>1322</v>
      </c>
    </row>
    <row r="1555" spans="2:2" x14ac:dyDescent="0.25">
      <c r="B1555" t="s">
        <v>195</v>
      </c>
    </row>
    <row r="1556" spans="2:2" x14ac:dyDescent="0.25">
      <c r="B1556" t="s">
        <v>140</v>
      </c>
    </row>
    <row r="1557" spans="2:2" x14ac:dyDescent="0.25">
      <c r="B1557" t="s">
        <v>1130</v>
      </c>
    </row>
    <row r="1558" spans="2:2" x14ac:dyDescent="0.25">
      <c r="B1558" t="s">
        <v>328</v>
      </c>
    </row>
    <row r="1559" spans="2:2" x14ac:dyDescent="0.25">
      <c r="B1559" t="s">
        <v>497</v>
      </c>
    </row>
    <row r="1560" spans="2:2" x14ac:dyDescent="0.25">
      <c r="B1560" t="s">
        <v>427</v>
      </c>
    </row>
    <row r="1561" spans="2:2" x14ac:dyDescent="0.25">
      <c r="B1561" t="s">
        <v>1294</v>
      </c>
    </row>
    <row r="1562" spans="2:2" x14ac:dyDescent="0.25">
      <c r="B1562" t="s">
        <v>1556</v>
      </c>
    </row>
    <row r="1563" spans="2:2" x14ac:dyDescent="0.25">
      <c r="B1563" t="s">
        <v>216</v>
      </c>
    </row>
    <row r="1564" spans="2:2" x14ac:dyDescent="0.25">
      <c r="B1564" t="s">
        <v>247</v>
      </c>
    </row>
    <row r="1565" spans="2:2" x14ac:dyDescent="0.25">
      <c r="B1565" t="s">
        <v>597</v>
      </c>
    </row>
    <row r="1566" spans="2:2" x14ac:dyDescent="0.25">
      <c r="B1566" t="s">
        <v>54</v>
      </c>
    </row>
    <row r="1567" spans="2:2" x14ac:dyDescent="0.25">
      <c r="B1567" t="s">
        <v>555</v>
      </c>
    </row>
    <row r="1568" spans="2:2" x14ac:dyDescent="0.25">
      <c r="B1568" t="s">
        <v>1691</v>
      </c>
    </row>
    <row r="1569" spans="2:2" x14ac:dyDescent="0.25">
      <c r="B1569" t="s">
        <v>1701</v>
      </c>
    </row>
    <row r="1570" spans="2:2" x14ac:dyDescent="0.25">
      <c r="B1570" t="s">
        <v>734</v>
      </c>
    </row>
    <row r="1571" spans="2:2" x14ac:dyDescent="0.25">
      <c r="B1571" t="s">
        <v>673</v>
      </c>
    </row>
    <row r="1572" spans="2:2" x14ac:dyDescent="0.25">
      <c r="B1572" t="s">
        <v>1378</v>
      </c>
    </row>
    <row r="1573" spans="2:2" x14ac:dyDescent="0.25">
      <c r="B1573" t="s">
        <v>1056</v>
      </c>
    </row>
    <row r="1574" spans="2:2" x14ac:dyDescent="0.25">
      <c r="B1574" t="s">
        <v>804</v>
      </c>
    </row>
    <row r="1575" spans="2:2" x14ac:dyDescent="0.25">
      <c r="B1575" t="s">
        <v>962</v>
      </c>
    </row>
    <row r="1576" spans="2:2" x14ac:dyDescent="0.25">
      <c r="B1576" t="s">
        <v>1671</v>
      </c>
    </row>
    <row r="1577" spans="2:2" x14ac:dyDescent="0.25">
      <c r="B1577" t="s">
        <v>158</v>
      </c>
    </row>
    <row r="1578" spans="2:2" x14ac:dyDescent="0.25">
      <c r="B1578" t="s">
        <v>438</v>
      </c>
    </row>
    <row r="1579" spans="2:2" x14ac:dyDescent="0.25">
      <c r="B1579" t="s">
        <v>1370</v>
      </c>
    </row>
    <row r="1580" spans="2:2" x14ac:dyDescent="0.25">
      <c r="B1580" t="s">
        <v>1723</v>
      </c>
    </row>
    <row r="1581" spans="2:2" x14ac:dyDescent="0.25">
      <c r="B1581" t="s">
        <v>327</v>
      </c>
    </row>
    <row r="1582" spans="2:2" x14ac:dyDescent="0.25">
      <c r="B1582" t="s">
        <v>1089</v>
      </c>
    </row>
    <row r="1583" spans="2:2" x14ac:dyDescent="0.25">
      <c r="B1583" t="s">
        <v>724</v>
      </c>
    </row>
    <row r="1584" spans="2:2" x14ac:dyDescent="0.25">
      <c r="B1584" t="s">
        <v>1044</v>
      </c>
    </row>
    <row r="1585" spans="2:2" x14ac:dyDescent="0.25">
      <c r="B1585" t="s">
        <v>1710</v>
      </c>
    </row>
    <row r="1586" spans="2:2" x14ac:dyDescent="0.25">
      <c r="B1586" t="s">
        <v>789</v>
      </c>
    </row>
    <row r="1587" spans="2:2" x14ac:dyDescent="0.25">
      <c r="B1587" t="s">
        <v>276</v>
      </c>
    </row>
    <row r="1588" spans="2:2" x14ac:dyDescent="0.25">
      <c r="B1588" t="s">
        <v>1597</v>
      </c>
    </row>
    <row r="1589" spans="2:2" x14ac:dyDescent="0.25">
      <c r="B1589" t="s">
        <v>613</v>
      </c>
    </row>
    <row r="1590" spans="2:2" x14ac:dyDescent="0.25">
      <c r="B1590" t="s">
        <v>632</v>
      </c>
    </row>
    <row r="1591" spans="2:2" x14ac:dyDescent="0.25">
      <c r="B1591" t="s">
        <v>121</v>
      </c>
    </row>
    <row r="1592" spans="2:2" x14ac:dyDescent="0.25">
      <c r="B1592" t="s">
        <v>964</v>
      </c>
    </row>
    <row r="1593" spans="2:2" x14ac:dyDescent="0.25">
      <c r="B1593" t="s">
        <v>478</v>
      </c>
    </row>
    <row r="1594" spans="2:2" x14ac:dyDescent="0.25">
      <c r="B1594" t="s">
        <v>134</v>
      </c>
    </row>
    <row r="1595" spans="2:2" x14ac:dyDescent="0.25">
      <c r="B1595" t="s">
        <v>677</v>
      </c>
    </row>
    <row r="1596" spans="2:2" x14ac:dyDescent="0.25">
      <c r="B1596" t="s">
        <v>878</v>
      </c>
    </row>
    <row r="1597" spans="2:2" x14ac:dyDescent="0.25">
      <c r="B1597" t="s">
        <v>1656</v>
      </c>
    </row>
    <row r="1598" spans="2:2" x14ac:dyDescent="0.25">
      <c r="B1598" t="s">
        <v>1349</v>
      </c>
    </row>
    <row r="1599" spans="2:2" x14ac:dyDescent="0.25">
      <c r="B1599" t="s">
        <v>503</v>
      </c>
    </row>
    <row r="1600" spans="2:2" x14ac:dyDescent="0.25">
      <c r="B1600" t="s">
        <v>704</v>
      </c>
    </row>
    <row r="1601" spans="2:2" x14ac:dyDescent="0.25">
      <c r="B1601" t="s">
        <v>790</v>
      </c>
    </row>
    <row r="1602" spans="2:2" x14ac:dyDescent="0.25">
      <c r="B1602" t="s">
        <v>823</v>
      </c>
    </row>
    <row r="1603" spans="2:2" x14ac:dyDescent="0.25">
      <c r="B1603" t="s">
        <v>246</v>
      </c>
    </row>
    <row r="1604" spans="2:2" x14ac:dyDescent="0.25">
      <c r="B1604" t="s">
        <v>1150</v>
      </c>
    </row>
    <row r="1605" spans="2:2" x14ac:dyDescent="0.25">
      <c r="B1605" t="s">
        <v>345</v>
      </c>
    </row>
    <row r="1606" spans="2:2" x14ac:dyDescent="0.25">
      <c r="B1606" t="s">
        <v>944</v>
      </c>
    </row>
    <row r="1607" spans="2:2" x14ac:dyDescent="0.25">
      <c r="B1607" t="s">
        <v>85</v>
      </c>
    </row>
    <row r="1608" spans="2:2" x14ac:dyDescent="0.25">
      <c r="B1608" t="s">
        <v>1509</v>
      </c>
    </row>
    <row r="1609" spans="2:2" x14ac:dyDescent="0.25">
      <c r="B1609" t="s">
        <v>1143</v>
      </c>
    </row>
    <row r="1610" spans="2:2" x14ac:dyDescent="0.25">
      <c r="B1610" t="s">
        <v>1722</v>
      </c>
    </row>
    <row r="1611" spans="2:2" x14ac:dyDescent="0.25">
      <c r="B1611" t="s">
        <v>31</v>
      </c>
    </row>
    <row r="1612" spans="2:2" x14ac:dyDescent="0.25">
      <c r="B1612" t="s">
        <v>355</v>
      </c>
    </row>
    <row r="1613" spans="2:2" x14ac:dyDescent="0.25">
      <c r="B1613" t="s">
        <v>128</v>
      </c>
    </row>
    <row r="1614" spans="2:2" x14ac:dyDescent="0.25">
      <c r="B1614" t="s">
        <v>1041</v>
      </c>
    </row>
    <row r="1615" spans="2:2" x14ac:dyDescent="0.25">
      <c r="B1615" t="s">
        <v>181</v>
      </c>
    </row>
    <row r="1616" spans="2:2" x14ac:dyDescent="0.25">
      <c r="B1616" t="s">
        <v>208</v>
      </c>
    </row>
    <row r="1617" spans="2:2" x14ac:dyDescent="0.25">
      <c r="B1617" t="s">
        <v>1448</v>
      </c>
    </row>
    <row r="1618" spans="2:2" x14ac:dyDescent="0.25">
      <c r="B1618" t="s">
        <v>577</v>
      </c>
    </row>
    <row r="1619" spans="2:2" x14ac:dyDescent="0.25">
      <c r="B1619" t="s">
        <v>465</v>
      </c>
    </row>
    <row r="1620" spans="2:2" x14ac:dyDescent="0.25">
      <c r="B1620" t="s">
        <v>1731</v>
      </c>
    </row>
    <row r="1621" spans="2:2" x14ac:dyDescent="0.25">
      <c r="B1621" t="s">
        <v>803</v>
      </c>
    </row>
    <row r="1622" spans="2:2" x14ac:dyDescent="0.25">
      <c r="B1622" t="s">
        <v>36</v>
      </c>
    </row>
    <row r="1623" spans="2:2" x14ac:dyDescent="0.25">
      <c r="B1623" t="s">
        <v>1510</v>
      </c>
    </row>
    <row r="1624" spans="2:2" x14ac:dyDescent="0.25">
      <c r="B1624" t="s">
        <v>455</v>
      </c>
    </row>
    <row r="1625" spans="2:2" x14ac:dyDescent="0.25">
      <c r="B1625" t="s">
        <v>1202</v>
      </c>
    </row>
    <row r="1626" spans="2:2" x14ac:dyDescent="0.25">
      <c r="B1626" t="s">
        <v>569</v>
      </c>
    </row>
    <row r="1627" spans="2:2" x14ac:dyDescent="0.25">
      <c r="B1627" t="s">
        <v>423</v>
      </c>
    </row>
    <row r="1628" spans="2:2" x14ac:dyDescent="0.25">
      <c r="B1628" t="s">
        <v>696</v>
      </c>
    </row>
    <row r="1629" spans="2:2" x14ac:dyDescent="0.25">
      <c r="B1629" t="s">
        <v>524</v>
      </c>
    </row>
    <row r="1630" spans="2:2" x14ac:dyDescent="0.25">
      <c r="B1630" t="s">
        <v>530</v>
      </c>
    </row>
    <row r="1631" spans="2:2" x14ac:dyDescent="0.25">
      <c r="B1631" t="s">
        <v>1753</v>
      </c>
    </row>
    <row r="1632" spans="2:2" x14ac:dyDescent="0.25">
      <c r="B1632" t="s">
        <v>921</v>
      </c>
    </row>
    <row r="1633" spans="2:2" x14ac:dyDescent="0.25">
      <c r="B1633" t="s">
        <v>1383</v>
      </c>
    </row>
    <row r="1634" spans="2:2" x14ac:dyDescent="0.25">
      <c r="B1634" t="s">
        <v>657</v>
      </c>
    </row>
    <row r="1635" spans="2:2" x14ac:dyDescent="0.25">
      <c r="B1635" t="s">
        <v>607</v>
      </c>
    </row>
    <row r="1636" spans="2:2" x14ac:dyDescent="0.25">
      <c r="B1636" t="s">
        <v>312</v>
      </c>
    </row>
    <row r="1637" spans="2:2" x14ac:dyDescent="0.25">
      <c r="B1637" t="s">
        <v>609</v>
      </c>
    </row>
    <row r="1638" spans="2:2" x14ac:dyDescent="0.25">
      <c r="B1638" t="s">
        <v>1453</v>
      </c>
    </row>
    <row r="1639" spans="2:2" x14ac:dyDescent="0.25">
      <c r="B1639" t="s">
        <v>60</v>
      </c>
    </row>
    <row r="1640" spans="2:2" x14ac:dyDescent="0.25">
      <c r="B1640" t="s">
        <v>523</v>
      </c>
    </row>
    <row r="1641" spans="2:2" x14ac:dyDescent="0.25">
      <c r="B1641" t="s">
        <v>754</v>
      </c>
    </row>
    <row r="1642" spans="2:2" x14ac:dyDescent="0.25">
      <c r="B1642" t="s">
        <v>1209</v>
      </c>
    </row>
    <row r="1643" spans="2:2" x14ac:dyDescent="0.25">
      <c r="B1643" t="s">
        <v>1533</v>
      </c>
    </row>
    <row r="1644" spans="2:2" x14ac:dyDescent="0.25">
      <c r="B1644" t="s">
        <v>905</v>
      </c>
    </row>
    <row r="1645" spans="2:2" x14ac:dyDescent="0.25">
      <c r="B1645" t="s">
        <v>1650</v>
      </c>
    </row>
    <row r="1646" spans="2:2" x14ac:dyDescent="0.25">
      <c r="B1646" t="s">
        <v>660</v>
      </c>
    </row>
    <row r="1647" spans="2:2" x14ac:dyDescent="0.25">
      <c r="B1647" t="s">
        <v>663</v>
      </c>
    </row>
    <row r="1648" spans="2:2" x14ac:dyDescent="0.25">
      <c r="B1648" t="s">
        <v>1488</v>
      </c>
    </row>
    <row r="1649" spans="2:2" x14ac:dyDescent="0.25">
      <c r="B1649" t="s">
        <v>1477</v>
      </c>
    </row>
    <row r="1650" spans="2:2" x14ac:dyDescent="0.25">
      <c r="B1650" t="s">
        <v>221</v>
      </c>
    </row>
    <row r="1651" spans="2:2" x14ac:dyDescent="0.25">
      <c r="B1651" t="s">
        <v>300</v>
      </c>
    </row>
    <row r="1652" spans="2:2" x14ac:dyDescent="0.25">
      <c r="B1652" t="s">
        <v>148</v>
      </c>
    </row>
    <row r="1653" spans="2:2" x14ac:dyDescent="0.25">
      <c r="B1653" t="s">
        <v>41</v>
      </c>
    </row>
    <row r="1654" spans="2:2" x14ac:dyDescent="0.25">
      <c r="B1654" t="s">
        <v>1127</v>
      </c>
    </row>
    <row r="1655" spans="2:2" x14ac:dyDescent="0.25">
      <c r="B1655" t="s">
        <v>4</v>
      </c>
    </row>
    <row r="1656" spans="2:2" x14ac:dyDescent="0.25">
      <c r="B1656" t="s">
        <v>1497</v>
      </c>
    </row>
    <row r="1657" spans="2:2" x14ac:dyDescent="0.25">
      <c r="B1657" t="s">
        <v>691</v>
      </c>
    </row>
    <row r="1658" spans="2:2" x14ac:dyDescent="0.25">
      <c r="B1658" t="s">
        <v>50</v>
      </c>
    </row>
    <row r="1659" spans="2:2" x14ac:dyDescent="0.25">
      <c r="B1659" t="s">
        <v>269</v>
      </c>
    </row>
    <row r="1660" spans="2:2" x14ac:dyDescent="0.25">
      <c r="B1660" t="s">
        <v>1648</v>
      </c>
    </row>
    <row r="1661" spans="2:2" x14ac:dyDescent="0.25">
      <c r="B1661" t="s">
        <v>1102</v>
      </c>
    </row>
    <row r="1662" spans="2:2" x14ac:dyDescent="0.25">
      <c r="B1662" t="s">
        <v>203</v>
      </c>
    </row>
    <row r="1663" spans="2:2" x14ac:dyDescent="0.25">
      <c r="B1663" t="s">
        <v>939</v>
      </c>
    </row>
    <row r="1664" spans="2:2" x14ac:dyDescent="0.25">
      <c r="B1664" t="s">
        <v>19</v>
      </c>
    </row>
    <row r="1665" spans="2:2" x14ac:dyDescent="0.25">
      <c r="B1665" t="s">
        <v>893</v>
      </c>
    </row>
    <row r="1666" spans="2:2" x14ac:dyDescent="0.25">
      <c r="B1666" t="s">
        <v>482</v>
      </c>
    </row>
    <row r="1667" spans="2:2" x14ac:dyDescent="0.25">
      <c r="B1667" t="s">
        <v>296</v>
      </c>
    </row>
    <row r="1668" spans="2:2" x14ac:dyDescent="0.25">
      <c r="B1668" t="s">
        <v>1400</v>
      </c>
    </row>
    <row r="1669" spans="2:2" x14ac:dyDescent="0.25">
      <c r="B1669" t="s">
        <v>1368</v>
      </c>
    </row>
    <row r="1670" spans="2:2" x14ac:dyDescent="0.25">
      <c r="B1670" t="s">
        <v>1247</v>
      </c>
    </row>
    <row r="1671" spans="2:2" x14ac:dyDescent="0.25">
      <c r="B1671" t="s">
        <v>1512</v>
      </c>
    </row>
    <row r="1672" spans="2:2" x14ac:dyDescent="0.25">
      <c r="B1672" t="s">
        <v>1651</v>
      </c>
    </row>
    <row r="1673" spans="2:2" x14ac:dyDescent="0.25">
      <c r="B1673" t="s">
        <v>1384</v>
      </c>
    </row>
    <row r="1674" spans="2:2" x14ac:dyDescent="0.25">
      <c r="B1674" t="s">
        <v>261</v>
      </c>
    </row>
    <row r="1675" spans="2:2" x14ac:dyDescent="0.25">
      <c r="B1675" t="s">
        <v>88</v>
      </c>
    </row>
    <row r="1676" spans="2:2" x14ac:dyDescent="0.25">
      <c r="B1676" t="s">
        <v>862</v>
      </c>
    </row>
    <row r="1677" spans="2:2" x14ac:dyDescent="0.25">
      <c r="B1677" t="s">
        <v>1716</v>
      </c>
    </row>
    <row r="1678" spans="2:2" x14ac:dyDescent="0.25">
      <c r="B1678" t="s">
        <v>1263</v>
      </c>
    </row>
    <row r="1679" spans="2:2" x14ac:dyDescent="0.25">
      <c r="B1679" t="s">
        <v>1490</v>
      </c>
    </row>
    <row r="1680" spans="2:2" x14ac:dyDescent="0.25">
      <c r="B1680" t="s">
        <v>178</v>
      </c>
    </row>
    <row r="1681" spans="2:2" x14ac:dyDescent="0.25">
      <c r="B1681" t="s">
        <v>1432</v>
      </c>
    </row>
    <row r="1682" spans="2:2" x14ac:dyDescent="0.25">
      <c r="B1682" t="s">
        <v>342</v>
      </c>
    </row>
    <row r="1683" spans="2:2" x14ac:dyDescent="0.25">
      <c r="B1683" t="s">
        <v>1398</v>
      </c>
    </row>
    <row r="1684" spans="2:2" x14ac:dyDescent="0.25">
      <c r="B1684" t="s">
        <v>564</v>
      </c>
    </row>
    <row r="1685" spans="2:2" x14ac:dyDescent="0.25">
      <c r="B1685" t="s">
        <v>920</v>
      </c>
    </row>
    <row r="1686" spans="2:2" x14ac:dyDescent="0.25">
      <c r="B1686" t="s">
        <v>1072</v>
      </c>
    </row>
    <row r="1687" spans="2:2" x14ac:dyDescent="0.25">
      <c r="B1687" t="s">
        <v>1503</v>
      </c>
    </row>
    <row r="1688" spans="2:2" x14ac:dyDescent="0.25">
      <c r="B1688" t="s">
        <v>1406</v>
      </c>
    </row>
    <row r="1689" spans="2:2" x14ac:dyDescent="0.25">
      <c r="B1689" t="s">
        <v>429</v>
      </c>
    </row>
    <row r="1690" spans="2:2" x14ac:dyDescent="0.25">
      <c r="B1690" t="s">
        <v>113</v>
      </c>
    </row>
    <row r="1691" spans="2:2" x14ac:dyDescent="0.25">
      <c r="B1691" t="s">
        <v>1413</v>
      </c>
    </row>
    <row r="1692" spans="2:2" x14ac:dyDescent="0.25">
      <c r="B1692" t="s">
        <v>366</v>
      </c>
    </row>
    <row r="1693" spans="2:2" x14ac:dyDescent="0.25">
      <c r="B1693" t="s">
        <v>732</v>
      </c>
    </row>
    <row r="1694" spans="2:2" x14ac:dyDescent="0.25">
      <c r="B1694" t="s">
        <v>763</v>
      </c>
    </row>
    <row r="1695" spans="2:2" x14ac:dyDescent="0.25">
      <c r="B1695" t="s">
        <v>352</v>
      </c>
    </row>
    <row r="1696" spans="2:2" x14ac:dyDescent="0.25">
      <c r="B1696" t="s">
        <v>461</v>
      </c>
    </row>
    <row r="1697" spans="2:2" x14ac:dyDescent="0.25">
      <c r="B1697" t="s">
        <v>988</v>
      </c>
    </row>
    <row r="1698" spans="2:2" x14ac:dyDescent="0.25">
      <c r="B1698" t="s">
        <v>1636</v>
      </c>
    </row>
    <row r="1699" spans="2:2" x14ac:dyDescent="0.25">
      <c r="B1699" t="s">
        <v>1537</v>
      </c>
    </row>
    <row r="1700" spans="2:2" x14ac:dyDescent="0.25">
      <c r="B1700" t="s">
        <v>688</v>
      </c>
    </row>
    <row r="1701" spans="2:2" x14ac:dyDescent="0.25">
      <c r="B1701" t="s">
        <v>1103</v>
      </c>
    </row>
    <row r="1702" spans="2:2" x14ac:dyDescent="0.25">
      <c r="B1702" t="s">
        <v>1699</v>
      </c>
    </row>
    <row r="1703" spans="2:2" x14ac:dyDescent="0.25">
      <c r="B1703" t="s">
        <v>1755</v>
      </c>
    </row>
    <row r="1704" spans="2:2" x14ac:dyDescent="0.25">
      <c r="B1704" t="s">
        <v>30</v>
      </c>
    </row>
    <row r="1705" spans="2:2" x14ac:dyDescent="0.25">
      <c r="B1705" t="s">
        <v>777</v>
      </c>
    </row>
    <row r="1706" spans="2:2" x14ac:dyDescent="0.25">
      <c r="B1706" t="s">
        <v>1253</v>
      </c>
    </row>
    <row r="1707" spans="2:2" x14ac:dyDescent="0.25">
      <c r="B1707" t="s">
        <v>1703</v>
      </c>
    </row>
    <row r="1708" spans="2:2" x14ac:dyDescent="0.25">
      <c r="B1708" t="s">
        <v>712</v>
      </c>
    </row>
    <row r="1709" spans="2:2" x14ac:dyDescent="0.25">
      <c r="B1709" t="s">
        <v>441</v>
      </c>
    </row>
    <row r="1710" spans="2:2" x14ac:dyDescent="0.25">
      <c r="B1710" t="s">
        <v>753</v>
      </c>
    </row>
    <row r="1711" spans="2:2" x14ac:dyDescent="0.25">
      <c r="B1711" t="s">
        <v>1307</v>
      </c>
    </row>
    <row r="1712" spans="2:2" x14ac:dyDescent="0.25">
      <c r="B1712" t="s">
        <v>1192</v>
      </c>
    </row>
    <row r="1713" spans="2:2" x14ac:dyDescent="0.25">
      <c r="B1713" t="s">
        <v>64</v>
      </c>
    </row>
    <row r="1714" spans="2:2" x14ac:dyDescent="0.25">
      <c r="B1714" t="s">
        <v>1506</v>
      </c>
    </row>
    <row r="1715" spans="2:2" x14ac:dyDescent="0.25">
      <c r="B1715" t="s">
        <v>1720</v>
      </c>
    </row>
    <row r="1716" spans="2:2" x14ac:dyDescent="0.25">
      <c r="B1716" t="s">
        <v>1048</v>
      </c>
    </row>
    <row r="1717" spans="2:2" x14ac:dyDescent="0.25">
      <c r="B1717" t="s">
        <v>376</v>
      </c>
    </row>
    <row r="1718" spans="2:2" x14ac:dyDescent="0.25">
      <c r="B1718" t="s">
        <v>364</v>
      </c>
    </row>
    <row r="1719" spans="2:2" x14ac:dyDescent="0.25">
      <c r="B1719" t="s">
        <v>272</v>
      </c>
    </row>
    <row r="1720" spans="2:2" x14ac:dyDescent="0.25">
      <c r="B1720" t="s">
        <v>411</v>
      </c>
    </row>
    <row r="1721" spans="2:2" x14ac:dyDescent="0.25">
      <c r="B1721" t="s">
        <v>830</v>
      </c>
    </row>
    <row r="1722" spans="2:2" x14ac:dyDescent="0.25">
      <c r="B1722" t="s">
        <v>1132</v>
      </c>
    </row>
    <row r="1723" spans="2:2" x14ac:dyDescent="0.25">
      <c r="B1723" t="s">
        <v>476</v>
      </c>
    </row>
    <row r="1724" spans="2:2" x14ac:dyDescent="0.25">
      <c r="B1724" t="s">
        <v>1401</v>
      </c>
    </row>
    <row r="1725" spans="2:2" x14ac:dyDescent="0.25">
      <c r="B1725" t="s">
        <v>1062</v>
      </c>
    </row>
    <row r="1726" spans="2:2" x14ac:dyDescent="0.25">
      <c r="B1726" t="s">
        <v>1568</v>
      </c>
    </row>
    <row r="1727" spans="2:2" x14ac:dyDescent="0.25">
      <c r="B1727" t="s">
        <v>238</v>
      </c>
    </row>
    <row r="1728" spans="2:2" x14ac:dyDescent="0.25">
      <c r="B1728" t="s">
        <v>1381</v>
      </c>
    </row>
    <row r="1729" spans="2:2" x14ac:dyDescent="0.25">
      <c r="B1729" t="s">
        <v>1292</v>
      </c>
    </row>
    <row r="1730" spans="2:2" x14ac:dyDescent="0.25">
      <c r="B1730" t="s">
        <v>453</v>
      </c>
    </row>
    <row r="1731" spans="2:2" x14ac:dyDescent="0.25">
      <c r="B1731" t="s">
        <v>1768</v>
      </c>
    </row>
    <row r="1732" spans="2:2" x14ac:dyDescent="0.25">
      <c r="B1732" t="s">
        <v>338</v>
      </c>
    </row>
    <row r="1733" spans="2:2" x14ac:dyDescent="0.25">
      <c r="B1733" t="s">
        <v>2</v>
      </c>
    </row>
    <row r="1734" spans="2:2" x14ac:dyDescent="0.25">
      <c r="B1734" t="s">
        <v>1469</v>
      </c>
    </row>
    <row r="1735" spans="2:2" x14ac:dyDescent="0.25">
      <c r="B1735" t="s">
        <v>1611</v>
      </c>
    </row>
    <row r="1736" spans="2:2" x14ac:dyDescent="0.25">
      <c r="B1736" t="s">
        <v>430</v>
      </c>
    </row>
    <row r="1737" spans="2:2" x14ac:dyDescent="0.25">
      <c r="B1737" t="s">
        <v>1194</v>
      </c>
    </row>
    <row r="1738" spans="2:2" x14ac:dyDescent="0.25">
      <c r="B1738" t="s">
        <v>1053</v>
      </c>
    </row>
    <row r="1739" spans="2:2" x14ac:dyDescent="0.25">
      <c r="B1739" t="s">
        <v>838</v>
      </c>
    </row>
    <row r="1740" spans="2:2" x14ac:dyDescent="0.25">
      <c r="B1740" t="s">
        <v>778</v>
      </c>
    </row>
    <row r="1741" spans="2:2" x14ac:dyDescent="0.25">
      <c r="B1741" t="s">
        <v>493</v>
      </c>
    </row>
    <row r="1742" spans="2:2" x14ac:dyDescent="0.25">
      <c r="B1742" t="s">
        <v>966</v>
      </c>
    </row>
    <row r="1743" spans="2:2" x14ac:dyDescent="0.25">
      <c r="B1743" t="s">
        <v>1428</v>
      </c>
    </row>
    <row r="1744" spans="2:2" x14ac:dyDescent="0.25">
      <c r="B1744" t="s">
        <v>1138</v>
      </c>
    </row>
    <row r="1745" spans="2:2" x14ac:dyDescent="0.25">
      <c r="B1745" t="s">
        <v>621</v>
      </c>
    </row>
    <row r="1746" spans="2:2" x14ac:dyDescent="0.25">
      <c r="B1746" t="s">
        <v>151</v>
      </c>
    </row>
    <row r="1747" spans="2:2" x14ac:dyDescent="0.25">
      <c r="B1747" t="s">
        <v>1565</v>
      </c>
    </row>
    <row r="1748" spans="2:2" x14ac:dyDescent="0.25">
      <c r="B1748" t="s">
        <v>1601</v>
      </c>
    </row>
    <row r="1749" spans="2:2" x14ac:dyDescent="0.25">
      <c r="B1749" t="s">
        <v>1725</v>
      </c>
    </row>
    <row r="1750" spans="2:2" x14ac:dyDescent="0.25">
      <c r="B1750" t="s">
        <v>1135</v>
      </c>
    </row>
    <row r="1751" spans="2:2" x14ac:dyDescent="0.25">
      <c r="B1751" t="s">
        <v>1451</v>
      </c>
    </row>
    <row r="1752" spans="2:2" x14ac:dyDescent="0.25">
      <c r="B1752" t="s">
        <v>1429</v>
      </c>
    </row>
    <row r="1753" spans="2:2" x14ac:dyDescent="0.25">
      <c r="B1753" t="s">
        <v>855</v>
      </c>
    </row>
    <row r="1754" spans="2:2" x14ac:dyDescent="0.25">
      <c r="B1754" t="s">
        <v>187</v>
      </c>
    </row>
    <row r="1755" spans="2:2" x14ac:dyDescent="0.25">
      <c r="B1755" t="s">
        <v>1528</v>
      </c>
    </row>
    <row r="1756" spans="2:2" x14ac:dyDescent="0.25">
      <c r="B1756" t="s">
        <v>1035</v>
      </c>
    </row>
    <row r="1757" spans="2:2" x14ac:dyDescent="0.25">
      <c r="B1757" t="s">
        <v>840</v>
      </c>
    </row>
    <row r="1758" spans="2:2" x14ac:dyDescent="0.25">
      <c r="B1758" t="s">
        <v>821</v>
      </c>
    </row>
    <row r="1759" spans="2:2" x14ac:dyDescent="0.25">
      <c r="B1759" t="s">
        <v>164</v>
      </c>
    </row>
    <row r="1760" spans="2:2" x14ac:dyDescent="0.25">
      <c r="B1760" t="s">
        <v>449</v>
      </c>
    </row>
    <row r="1761" spans="2:2" x14ac:dyDescent="0.25">
      <c r="B1761" t="s">
        <v>1532</v>
      </c>
    </row>
    <row r="1762" spans="2:2" x14ac:dyDescent="0.25">
      <c r="B1762" t="s">
        <v>1112</v>
      </c>
    </row>
    <row r="1763" spans="2:2" x14ac:dyDescent="0.25">
      <c r="B1763" t="s">
        <v>1009</v>
      </c>
    </row>
    <row r="1764" spans="2:2" x14ac:dyDescent="0.25">
      <c r="B1764" t="s">
        <v>1739</v>
      </c>
    </row>
    <row r="1765" spans="2:2" x14ac:dyDescent="0.25">
      <c r="B1765" t="s">
        <v>156</v>
      </c>
    </row>
    <row r="1766" spans="2:2" x14ac:dyDescent="0.25">
      <c r="B1766" t="s">
        <v>1362</v>
      </c>
    </row>
    <row r="1767" spans="2:2" x14ac:dyDescent="0.25">
      <c r="B1767" t="s">
        <v>292</v>
      </c>
    </row>
    <row r="1768" spans="2:2" x14ac:dyDescent="0.25">
      <c r="B1768" t="s">
        <v>1770</v>
      </c>
    </row>
    <row r="1769" spans="2:2" x14ac:dyDescent="0.25">
      <c r="B1769" t="s">
        <v>623</v>
      </c>
    </row>
    <row r="1770" spans="2:2" x14ac:dyDescent="0.25">
      <c r="B1770" t="s">
        <v>79</v>
      </c>
    </row>
    <row r="1771" spans="2:2" x14ac:dyDescent="0.25">
      <c r="B1771" t="s">
        <v>1186</v>
      </c>
    </row>
    <row r="1772" spans="2:2" x14ac:dyDescent="0.25">
      <c r="B1772" t="s">
        <v>698</v>
      </c>
    </row>
    <row r="1773" spans="2:2" x14ac:dyDescent="0.25">
      <c r="B1773" t="s">
        <v>444</v>
      </c>
    </row>
    <row r="1774" spans="2:2" x14ac:dyDescent="0.25">
      <c r="B1774" t="s">
        <v>1331</v>
      </c>
    </row>
    <row r="1775" spans="2:2" x14ac:dyDescent="0.25">
      <c r="B1775" t="s">
        <v>738</v>
      </c>
    </row>
    <row r="1776" spans="2:2" x14ac:dyDescent="0.25">
      <c r="B1776" t="s">
        <v>871</v>
      </c>
    </row>
    <row r="1777" spans="2:2" x14ac:dyDescent="0.25">
      <c r="B1777" t="s">
        <v>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2020-05-15T16:26:57Z</dcterms:modified>
</cp:coreProperties>
</file>