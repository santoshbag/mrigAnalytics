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4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0" i="10" l="1"/>
  <c r="T90" i="10" s="1"/>
  <c r="Q90" i="10"/>
  <c r="P90" i="10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T86" i="10"/>
  <c r="U86" i="10" s="1"/>
  <c r="R86" i="10"/>
  <c r="S86" i="10" s="1"/>
  <c r="Q86" i="10"/>
  <c r="P86" i="10"/>
  <c r="T85" i="10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T82" i="10"/>
  <c r="U82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T79" i="10"/>
  <c r="S79" i="10"/>
  <c r="R79" i="10"/>
  <c r="P79" i="10"/>
  <c r="Q79" i="10" s="1"/>
  <c r="T78" i="10"/>
  <c r="U78" i="10" s="1"/>
  <c r="R78" i="10"/>
  <c r="S78" i="10" s="1"/>
  <c r="Q78" i="10"/>
  <c r="P78" i="10"/>
  <c r="T77" i="10"/>
  <c r="R77" i="10"/>
  <c r="S77" i="10" s="1"/>
  <c r="P77" i="10"/>
  <c r="Q77" i="10" s="1"/>
  <c r="R76" i="10"/>
  <c r="S76" i="10" s="1"/>
  <c r="P76" i="10"/>
  <c r="Q76" i="10" s="1"/>
  <c r="S75" i="10"/>
  <c r="R75" i="10"/>
  <c r="T75" i="10" s="1"/>
  <c r="P75" i="10"/>
  <c r="Q75" i="10" s="1"/>
  <c r="T74" i="10"/>
  <c r="U74" i="10" s="1"/>
  <c r="R74" i="10"/>
  <c r="S74" i="10" s="1"/>
  <c r="Q74" i="10"/>
  <c r="P74" i="10"/>
  <c r="R73" i="10"/>
  <c r="T73" i="10" s="1"/>
  <c r="P73" i="10"/>
  <c r="Q73" i="10" s="1"/>
  <c r="R72" i="10"/>
  <c r="S72" i="10" s="1"/>
  <c r="P72" i="10"/>
  <c r="Q72" i="10" s="1"/>
  <c r="T71" i="10"/>
  <c r="S71" i="10"/>
  <c r="R71" i="10"/>
  <c r="P71" i="10"/>
  <c r="Q71" i="10" s="1"/>
  <c r="T70" i="10"/>
  <c r="U70" i="10" s="1"/>
  <c r="R70" i="10"/>
  <c r="S70" i="10" s="1"/>
  <c r="Q70" i="10"/>
  <c r="P70" i="10"/>
  <c r="T69" i="10"/>
  <c r="R69" i="10"/>
  <c r="S69" i="10" s="1"/>
  <c r="P69" i="10"/>
  <c r="Q69" i="10" s="1"/>
  <c r="R68" i="10"/>
  <c r="S68" i="10" s="1"/>
  <c r="P68" i="10"/>
  <c r="Q68" i="10" s="1"/>
  <c r="S67" i="10"/>
  <c r="R67" i="10"/>
  <c r="T67" i="10" s="1"/>
  <c r="P67" i="10"/>
  <c r="Q67" i="10" s="1"/>
  <c r="S66" i="10"/>
  <c r="R66" i="10"/>
  <c r="T66" i="10" s="1"/>
  <c r="Q66" i="10"/>
  <c r="P66" i="10"/>
  <c r="T65" i="10"/>
  <c r="S65" i="10"/>
  <c r="R65" i="10"/>
  <c r="P65" i="10"/>
  <c r="Q65" i="10" s="1"/>
  <c r="R64" i="10"/>
  <c r="T64" i="10" s="1"/>
  <c r="Q64" i="10"/>
  <c r="P64" i="10"/>
  <c r="T63" i="10"/>
  <c r="U63" i="10" s="1"/>
  <c r="S63" i="10"/>
  <c r="R63" i="10"/>
  <c r="P63" i="10"/>
  <c r="Q63" i="10" s="1"/>
  <c r="R62" i="10"/>
  <c r="T62" i="10" s="1"/>
  <c r="Q62" i="10"/>
  <c r="P62" i="10"/>
  <c r="S61" i="10"/>
  <c r="R61" i="10"/>
  <c r="T61" i="10" s="1"/>
  <c r="U61" i="10" s="1"/>
  <c r="P61" i="10"/>
  <c r="Q61" i="10" s="1"/>
  <c r="R60" i="10"/>
  <c r="T60" i="10" s="1"/>
  <c r="Q60" i="10"/>
  <c r="P60" i="10"/>
  <c r="R59" i="10"/>
  <c r="T59" i="10" s="1"/>
  <c r="P59" i="10"/>
  <c r="Q59" i="10" s="1"/>
  <c r="R58" i="10"/>
  <c r="T58" i="10" s="1"/>
  <c r="P58" i="10"/>
  <c r="Q58" i="10" s="1"/>
  <c r="T57" i="10"/>
  <c r="R57" i="10"/>
  <c r="S57" i="10" s="1"/>
  <c r="P57" i="10"/>
  <c r="Q57" i="10" s="1"/>
  <c r="R56" i="10"/>
  <c r="T56" i="10" s="1"/>
  <c r="P56" i="10"/>
  <c r="Q56" i="10" s="1"/>
  <c r="T55" i="10"/>
  <c r="U55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T52" i="10"/>
  <c r="R52" i="10"/>
  <c r="S52" i="10" s="1"/>
  <c r="P52" i="10"/>
  <c r="Q52" i="10" s="1"/>
  <c r="R51" i="10"/>
  <c r="S51" i="10" s="1"/>
  <c r="P51" i="10"/>
  <c r="Q51" i="10" s="1"/>
  <c r="R50" i="10"/>
  <c r="S50" i="10" s="1"/>
  <c r="Q50" i="10"/>
  <c r="P50" i="10"/>
  <c r="T49" i="10"/>
  <c r="R49" i="10"/>
  <c r="S49" i="10" s="1"/>
  <c r="P49" i="10"/>
  <c r="Q49" i="10" s="1"/>
  <c r="T48" i="10"/>
  <c r="U48" i="10" s="1"/>
  <c r="R48" i="10"/>
  <c r="S48" i="10" s="1"/>
  <c r="P48" i="10"/>
  <c r="Q48" i="10" s="1"/>
  <c r="R47" i="10"/>
  <c r="T47" i="10" s="1"/>
  <c r="P47" i="10"/>
  <c r="Q47" i="10" s="1"/>
  <c r="T46" i="10"/>
  <c r="U46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T42" i="10"/>
  <c r="R42" i="10"/>
  <c r="S42" i="10" s="1"/>
  <c r="P42" i="10"/>
  <c r="Q42" i="10" s="1"/>
  <c r="R41" i="10"/>
  <c r="T41" i="10" s="1"/>
  <c r="P41" i="10"/>
  <c r="Q41" i="10" s="1"/>
  <c r="T40" i="10"/>
  <c r="R40" i="10"/>
  <c r="S40" i="10" s="1"/>
  <c r="P40" i="10"/>
  <c r="Q40" i="10" s="1"/>
  <c r="R39" i="10"/>
  <c r="T39" i="10" s="1"/>
  <c r="P39" i="10"/>
  <c r="Q39" i="10" s="1"/>
  <c r="T38" i="10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T34" i="10"/>
  <c r="R34" i="10"/>
  <c r="S34" i="10" s="1"/>
  <c r="P34" i="10"/>
  <c r="Q34" i="10" s="1"/>
  <c r="R33" i="10"/>
  <c r="T33" i="10" s="1"/>
  <c r="P33" i="10"/>
  <c r="Q33" i="10" s="1"/>
  <c r="Z89" i="10"/>
  <c r="Z90" i="10"/>
  <c r="V90" i="10"/>
  <c r="Z88" i="10"/>
  <c r="V88" i="10"/>
  <c r="V89" i="10"/>
  <c r="V86" i="10"/>
  <c r="Z85" i="10"/>
  <c r="V83" i="10"/>
  <c r="Z80" i="10"/>
  <c r="V78" i="10"/>
  <c r="Z77" i="10"/>
  <c r="V75" i="10"/>
  <c r="Z72" i="10"/>
  <c r="V70" i="10"/>
  <c r="Z69" i="10"/>
  <c r="V67" i="10"/>
  <c r="Z86" i="10"/>
  <c r="V84" i="10"/>
  <c r="Z83" i="10"/>
  <c r="V81" i="10"/>
  <c r="Z78" i="10"/>
  <c r="V76" i="10"/>
  <c r="Z75" i="10"/>
  <c r="V73" i="10"/>
  <c r="Z70" i="10"/>
  <c r="V68" i="10"/>
  <c r="Z67" i="10"/>
  <c r="Z65" i="10"/>
  <c r="V65" i="10"/>
  <c r="Z63" i="10"/>
  <c r="V63" i="10"/>
  <c r="Z61" i="10"/>
  <c r="V61" i="10"/>
  <c r="Z59" i="10"/>
  <c r="V59" i="10"/>
  <c r="Z57" i="10"/>
  <c r="V57" i="10"/>
  <c r="Z55" i="10"/>
  <c r="V55" i="10"/>
  <c r="V87" i="10"/>
  <c r="Z84" i="10"/>
  <c r="V82" i="10"/>
  <c r="Z81" i="10"/>
  <c r="V79" i="10"/>
  <c r="Z76" i="10"/>
  <c r="V74" i="10"/>
  <c r="Z73" i="10"/>
  <c r="V71" i="10"/>
  <c r="Z68" i="10"/>
  <c r="Z87" i="10"/>
  <c r="V85" i="10"/>
  <c r="Z82" i="10"/>
  <c r="V80" i="10"/>
  <c r="Z79" i="10"/>
  <c r="V77" i="10"/>
  <c r="Z74" i="10"/>
  <c r="V72" i="10"/>
  <c r="Z71" i="10"/>
  <c r="V69" i="10"/>
  <c r="Z66" i="10"/>
  <c r="V66" i="10"/>
  <c r="Z64" i="10"/>
  <c r="V64" i="10"/>
  <c r="Z62" i="10"/>
  <c r="V62" i="10"/>
  <c r="Z60" i="10"/>
  <c r="V60" i="10"/>
  <c r="Z58" i="10"/>
  <c r="V58" i="10"/>
  <c r="Z56" i="10"/>
  <c r="V56" i="10"/>
  <c r="Z53" i="10"/>
  <c r="V51" i="10"/>
  <c r="V48" i="10"/>
  <c r="Z47" i="10"/>
  <c r="V45" i="10"/>
  <c r="Z38" i="10"/>
  <c r="Z36" i="10"/>
  <c r="V34" i="10"/>
  <c r="V52" i="10"/>
  <c r="Z50" i="10"/>
  <c r="Z48" i="10"/>
  <c r="V46" i="10"/>
  <c r="Z45" i="10"/>
  <c r="Z44" i="10"/>
  <c r="V44" i="10"/>
  <c r="Z42" i="10"/>
  <c r="V42" i="10"/>
  <c r="Z40" i="10"/>
  <c r="V40" i="10"/>
  <c r="V38" i="10"/>
  <c r="V36" i="10"/>
  <c r="Z34" i="10"/>
  <c r="V33" i="10"/>
  <c r="Z54" i="10"/>
  <c r="V53" i="10"/>
  <c r="Z51" i="10"/>
  <c r="V49" i="10"/>
  <c r="Z46" i="10"/>
  <c r="Z37" i="10"/>
  <c r="V35" i="10"/>
  <c r="V54" i="10"/>
  <c r="Z52" i="10"/>
  <c r="V50" i="10"/>
  <c r="Z49" i="10"/>
  <c r="V47" i="10"/>
  <c r="Z43" i="10"/>
  <c r="V43" i="10"/>
  <c r="Z41" i="10"/>
  <c r="V41" i="10"/>
  <c r="Z39" i="10"/>
  <c r="V39" i="10"/>
  <c r="V37" i="10"/>
  <c r="Z35" i="10"/>
  <c r="Z33" i="10"/>
  <c r="AC61" i="10" l="1"/>
  <c r="AC55" i="10"/>
  <c r="T44" i="10"/>
  <c r="T53" i="10"/>
  <c r="U53" i="10" s="1"/>
  <c r="S59" i="10"/>
  <c r="U59" i="10" s="1"/>
  <c r="S87" i="10"/>
  <c r="U87" i="10" s="1"/>
  <c r="AC87" i="10" s="1"/>
  <c r="T36" i="10"/>
  <c r="U67" i="10"/>
  <c r="U75" i="10"/>
  <c r="U65" i="10"/>
  <c r="AC65" i="10" s="1"/>
  <c r="U66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AC46" i="10" s="1"/>
  <c r="W49" i="10"/>
  <c r="X49" i="10" s="1"/>
  <c r="AA51" i="10"/>
  <c r="AB51" i="10" s="1"/>
  <c r="W53" i="10"/>
  <c r="X53" i="10" s="1"/>
  <c r="Y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X66" i="10" s="1"/>
  <c r="Y66" i="10" s="1"/>
  <c r="AA66" i="10"/>
  <c r="AB66" i="10" s="1"/>
  <c r="W69" i="10"/>
  <c r="X69" i="10" s="1"/>
  <c r="AA71" i="10"/>
  <c r="AB71" i="10" s="1"/>
  <c r="W72" i="10"/>
  <c r="X72" i="10" s="1"/>
  <c r="AA74" i="10"/>
  <c r="AB74" i="10" s="1"/>
  <c r="AC74" i="10" s="1"/>
  <c r="W77" i="10"/>
  <c r="X77" i="10" s="1"/>
  <c r="AA79" i="10"/>
  <c r="AB79" i="10" s="1"/>
  <c r="W80" i="10"/>
  <c r="X80" i="10" s="1"/>
  <c r="AA82" i="10"/>
  <c r="AB82" i="10" s="1"/>
  <c r="AC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X59" i="10" s="1"/>
  <c r="AA59" i="10"/>
  <c r="AB59" i="10" s="1"/>
  <c r="W61" i="10"/>
  <c r="X61" i="10" s="1"/>
  <c r="AA61" i="10"/>
  <c r="AB61" i="10" s="1"/>
  <c r="W63" i="10"/>
  <c r="X63" i="10" s="1"/>
  <c r="AA63" i="10"/>
  <c r="AB63" i="10" s="1"/>
  <c r="AC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AC78" i="10" s="1"/>
  <c r="W81" i="10"/>
  <c r="AA83" i="10"/>
  <c r="AB83" i="10" s="1"/>
  <c r="W84" i="10"/>
  <c r="X84" i="10" s="1"/>
  <c r="AA86" i="10"/>
  <c r="AB86" i="10" s="1"/>
  <c r="AC86" i="10" s="1"/>
  <c r="W67" i="10"/>
  <c r="X67" i="10" s="1"/>
  <c r="AA69" i="10"/>
  <c r="AB69" i="10" s="1"/>
  <c r="W70" i="10"/>
  <c r="X70" i="10" s="1"/>
  <c r="AA72" i="10"/>
  <c r="AB72" i="10" s="1"/>
  <c r="W75" i="10"/>
  <c r="X75" i="10" s="1"/>
  <c r="Y75" i="10" s="1"/>
  <c r="AA77" i="10"/>
  <c r="AB77" i="10" s="1"/>
  <c r="W78" i="10"/>
  <c r="X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8" i="10"/>
  <c r="Y46" i="10"/>
  <c r="U40" i="10"/>
  <c r="Y48" i="10"/>
  <c r="U34" i="10"/>
  <c r="AC34" i="10" s="1"/>
  <c r="U42" i="10"/>
  <c r="AC42" i="10" s="1"/>
  <c r="U36" i="10"/>
  <c r="AC36" i="10" s="1"/>
  <c r="U44" i="10"/>
  <c r="AC44" i="10" s="1"/>
  <c r="U49" i="10"/>
  <c r="Y55" i="10"/>
  <c r="Y67" i="10"/>
  <c r="Y86" i="10"/>
  <c r="S33" i="10"/>
  <c r="U33" i="10" s="1"/>
  <c r="AC33" i="10" s="1"/>
  <c r="S35" i="10"/>
  <c r="U35" i="10" s="1"/>
  <c r="AC35" i="10" s="1"/>
  <c r="S37" i="10"/>
  <c r="U37" i="10" s="1"/>
  <c r="AC37" i="10" s="1"/>
  <c r="S39" i="10"/>
  <c r="U39" i="10" s="1"/>
  <c r="AC39" i="10" s="1"/>
  <c r="S41" i="10"/>
  <c r="U41" i="10" s="1"/>
  <c r="S43" i="10"/>
  <c r="U43" i="10" s="1"/>
  <c r="AC43" i="10" s="1"/>
  <c r="S45" i="10"/>
  <c r="U45" i="10" s="1"/>
  <c r="AC45" i="10" s="1"/>
  <c r="U52" i="10"/>
  <c r="AC52" i="10" s="1"/>
  <c r="U57" i="10"/>
  <c r="AC57" i="10" s="1"/>
  <c r="Y65" i="10"/>
  <c r="Y82" i="10"/>
  <c r="S47" i="10"/>
  <c r="U47" i="10" s="1"/>
  <c r="AC47" i="10" s="1"/>
  <c r="T50" i="10"/>
  <c r="U50" i="10" s="1"/>
  <c r="AC50" i="10" s="1"/>
  <c r="T51" i="10"/>
  <c r="U51" i="10" s="1"/>
  <c r="Y63" i="10"/>
  <c r="Y70" i="10"/>
  <c r="Y74" i="10"/>
  <c r="Y78" i="10"/>
  <c r="T54" i="10"/>
  <c r="U54" i="10" s="1"/>
  <c r="AC54" i="10" s="1"/>
  <c r="Y61" i="10"/>
  <c r="T68" i="10"/>
  <c r="U68" i="10" s="1"/>
  <c r="U71" i="10"/>
  <c r="AC71" i="10" s="1"/>
  <c r="S73" i="10"/>
  <c r="U73" i="10" s="1"/>
  <c r="AC73" i="10" s="1"/>
  <c r="T76" i="10"/>
  <c r="U76" i="10" s="1"/>
  <c r="U79" i="10"/>
  <c r="AC79" i="10" s="1"/>
  <c r="S81" i="10"/>
  <c r="U81" i="10" s="1"/>
  <c r="AC81" i="10" s="1"/>
  <c r="T84" i="10"/>
  <c r="U84" i="10" s="1"/>
  <c r="AC84" i="10" s="1"/>
  <c r="S56" i="10"/>
  <c r="U56" i="10" s="1"/>
  <c r="AC56" i="10" s="1"/>
  <c r="S58" i="10"/>
  <c r="U58" i="10" s="1"/>
  <c r="AC58" i="10" s="1"/>
  <c r="S60" i="10"/>
  <c r="U60" i="10" s="1"/>
  <c r="AC60" i="10" s="1"/>
  <c r="S62" i="10"/>
  <c r="U62" i="10" s="1"/>
  <c r="AC62" i="10" s="1"/>
  <c r="S64" i="10"/>
  <c r="U64" i="10" s="1"/>
  <c r="AC64" i="10" s="1"/>
  <c r="S83" i="10"/>
  <c r="U83" i="10" s="1"/>
  <c r="AC83" i="10" s="1"/>
  <c r="T72" i="10"/>
  <c r="U72" i="10" s="1"/>
  <c r="AC72" i="10" s="1"/>
  <c r="T80" i="10"/>
  <c r="U80" i="10" s="1"/>
  <c r="T88" i="10"/>
  <c r="U88" i="10" s="1"/>
  <c r="AC88" i="10" s="1"/>
  <c r="S89" i="10"/>
  <c r="U89" i="10" s="1"/>
  <c r="AC89" i="10" s="1"/>
  <c r="U69" i="10"/>
  <c r="AC69" i="10" s="1"/>
  <c r="U77" i="10"/>
  <c r="AC77" i="10" s="1"/>
  <c r="U85" i="10"/>
  <c r="AC85" i="10" s="1"/>
  <c r="S90" i="10"/>
  <c r="U90" i="10" s="1"/>
  <c r="T7" i="10"/>
  <c r="R7" i="10"/>
  <c r="S7" i="10" s="1"/>
  <c r="P7" i="10"/>
  <c r="Q7" i="10" s="1"/>
  <c r="AC59" i="10" l="1"/>
  <c r="Y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X81" i="10"/>
  <c r="Y81" i="10" s="1"/>
  <c r="X87" i="10"/>
  <c r="X45" i="10"/>
  <c r="X43" i="10"/>
  <c r="AC66" i="10"/>
  <c r="Y37" i="10"/>
  <c r="Y83" i="10"/>
  <c r="Y45" i="10"/>
  <c r="X62" i="10"/>
  <c r="Y62" i="10" s="1"/>
  <c r="X58" i="10"/>
  <c r="Y58" i="10" s="1"/>
  <c r="X35" i="10"/>
  <c r="Y35" i="10" s="1"/>
  <c r="X37" i="10"/>
  <c r="Y36" i="10"/>
  <c r="Y88" i="10"/>
  <c r="Y51" i="10"/>
  <c r="Y49" i="10"/>
  <c r="Y34" i="10"/>
  <c r="Y43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87" i="10"/>
  <c r="Y76" i="10"/>
  <c r="Y57" i="10"/>
  <c r="Y42" i="10"/>
  <c r="X64" i="10"/>
  <c r="Y64" i="10" s="1"/>
  <c r="X60" i="10"/>
  <c r="Y60" i="10" s="1"/>
  <c r="X56" i="10"/>
  <c r="Y56" i="10" s="1"/>
  <c r="U7" i="10"/>
  <c r="P26" i="10"/>
  <c r="R39" i="13" l="1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T36" i="13"/>
  <c r="S36" i="13"/>
  <c r="R36" i="13"/>
  <c r="P36" i="13"/>
  <c r="Q36" i="13" s="1"/>
  <c r="R35" i="13"/>
  <c r="Q35" i="13"/>
  <c r="P35" i="13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R31" i="13"/>
  <c r="S31" i="13" s="1"/>
  <c r="P31" i="13"/>
  <c r="Q31" i="13" s="1"/>
  <c r="R30" i="13"/>
  <c r="T30" i="13" s="1"/>
  <c r="P30" i="13"/>
  <c r="Q30" i="13" s="1"/>
  <c r="R29" i="13"/>
  <c r="S29" i="13" s="1"/>
  <c r="P29" i="13"/>
  <c r="Q29" i="13" s="1"/>
  <c r="T28" i="13"/>
  <c r="R28" i="13"/>
  <c r="S28" i="13" s="1"/>
  <c r="P28" i="13"/>
  <c r="Q28" i="13" s="1"/>
  <c r="R27" i="13"/>
  <c r="P27" i="13"/>
  <c r="Q27" i="13" s="1"/>
  <c r="T26" i="13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T23" i="13"/>
  <c r="U23" i="13" s="1"/>
  <c r="R23" i="13"/>
  <c r="S23" i="13" s="1"/>
  <c r="P23" i="13"/>
  <c r="Q23" i="13" s="1"/>
  <c r="R22" i="13"/>
  <c r="P22" i="13"/>
  <c r="Q22" i="13" s="1"/>
  <c r="R21" i="13"/>
  <c r="S21" i="13" s="1"/>
  <c r="Q21" i="13"/>
  <c r="P21" i="13"/>
  <c r="R20" i="13"/>
  <c r="S20" i="13" s="1"/>
  <c r="P20" i="13"/>
  <c r="Q20" i="13" s="1"/>
  <c r="R19" i="13"/>
  <c r="P19" i="13"/>
  <c r="Q19" i="13" s="1"/>
  <c r="T18" i="13"/>
  <c r="U18" i="13" s="1"/>
  <c r="R18" i="13"/>
  <c r="S18" i="13" s="1"/>
  <c r="P18" i="13"/>
  <c r="Q18" i="13" s="1"/>
  <c r="T17" i="13"/>
  <c r="U17" i="13" s="1"/>
  <c r="R17" i="13"/>
  <c r="S17" i="13" s="1"/>
  <c r="P17" i="13"/>
  <c r="Q17" i="13" s="1"/>
  <c r="R16" i="13"/>
  <c r="P16" i="13"/>
  <c r="Q16" i="13" s="1"/>
  <c r="R15" i="13"/>
  <c r="P15" i="13"/>
  <c r="Q15" i="13" s="1"/>
  <c r="T14" i="13"/>
  <c r="U14" i="13" s="1"/>
  <c r="S14" i="13"/>
  <c r="R14" i="13"/>
  <c r="P14" i="13"/>
  <c r="Q14" i="13" s="1"/>
  <c r="R13" i="13"/>
  <c r="Q13" i="13"/>
  <c r="P13" i="13"/>
  <c r="S12" i="13"/>
  <c r="R12" i="13"/>
  <c r="T12" i="13" s="1"/>
  <c r="U12" i="13" s="1"/>
  <c r="P12" i="13"/>
  <c r="Q12" i="13" s="1"/>
  <c r="R11" i="13"/>
  <c r="Q11" i="13"/>
  <c r="P11" i="13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Q7" i="13"/>
  <c r="P7" i="13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33" i="13"/>
  <c r="V25" i="13"/>
  <c r="V17" i="13"/>
  <c r="Z12" i="13"/>
  <c r="V39" i="13"/>
  <c r="V31" i="13"/>
  <c r="V23" i="13"/>
  <c r="Z39" i="13"/>
  <c r="V18" i="13"/>
  <c r="V9" i="13"/>
  <c r="Z34" i="13"/>
  <c r="V16" i="13"/>
  <c r="V37" i="13"/>
  <c r="V24" i="13"/>
  <c r="V13" i="13"/>
  <c r="V21" i="13"/>
  <c r="V27" i="13"/>
  <c r="Z32" i="13"/>
  <c r="Z24" i="13"/>
  <c r="Z16" i="13"/>
  <c r="V12" i="13"/>
  <c r="Z38" i="13"/>
  <c r="Z30" i="13"/>
  <c r="Z22" i="13"/>
  <c r="V35" i="13"/>
  <c r="Z15" i="13"/>
  <c r="Z8" i="13"/>
  <c r="V26" i="13"/>
  <c r="Z9" i="13"/>
  <c r="V34" i="13"/>
  <c r="Z21" i="13"/>
  <c r="V11" i="13"/>
  <c r="V32" i="13"/>
  <c r="Z18" i="13"/>
  <c r="V38" i="13"/>
  <c r="V30" i="13"/>
  <c r="V22" i="13"/>
  <c r="Z14" i="13"/>
  <c r="Z10" i="13"/>
  <c r="V36" i="13"/>
  <c r="V28" i="13"/>
  <c r="V20" i="13"/>
  <c r="V29" i="13"/>
  <c r="Z13" i="13"/>
  <c r="V6" i="13"/>
  <c r="Z23" i="13"/>
  <c r="V7" i="13"/>
  <c r="Z31" i="13"/>
  <c r="V19" i="13"/>
  <c r="Z7" i="13"/>
  <c r="Z29" i="13"/>
  <c r="Z5" i="13"/>
  <c r="Z35" i="13"/>
  <c r="Z27" i="13"/>
  <c r="Z19" i="13"/>
  <c r="V14" i="13"/>
  <c r="V10" i="13"/>
  <c r="Z33" i="13"/>
  <c r="Z25" i="13"/>
  <c r="Z17" i="13"/>
  <c r="Z26" i="13"/>
  <c r="Z11" i="13"/>
  <c r="Z37" i="13"/>
  <c r="Z20" i="13"/>
  <c r="Z6" i="13"/>
  <c r="Z28" i="13"/>
  <c r="V15" i="13"/>
  <c r="V5" i="13"/>
  <c r="V8" i="13"/>
  <c r="Z36" i="13"/>
  <c r="V4" i="10"/>
  <c r="V23" i="10"/>
  <c r="Z20" i="10"/>
  <c r="Z5" i="10"/>
  <c r="Z25" i="10"/>
  <c r="Z12" i="10"/>
  <c r="Z30" i="10"/>
  <c r="Z9" i="10"/>
  <c r="V32" i="10"/>
  <c r="V15" i="10"/>
  <c r="Z8" i="10"/>
  <c r="Z18" i="10"/>
  <c r="Z28" i="10"/>
  <c r="V25" i="10"/>
  <c r="Z16" i="10"/>
  <c r="V18" i="10"/>
  <c r="V8" i="10"/>
  <c r="Z14" i="10"/>
  <c r="V10" i="10"/>
  <c r="V6" i="10"/>
  <c r="Z21" i="10"/>
  <c r="Z27" i="10"/>
  <c r="V20" i="10"/>
  <c r="V5" i="10"/>
  <c r="Z15" i="10"/>
  <c r="Z6" i="10"/>
  <c r="Z23" i="10"/>
  <c r="Z29" i="10"/>
  <c r="V21" i="10"/>
  <c r="V16" i="10"/>
  <c r="Z4" i="10"/>
  <c r="V7" i="10"/>
  <c r="Z13" i="10"/>
  <c r="V13" i="10"/>
  <c r="Z19" i="10"/>
  <c r="Z22" i="10"/>
  <c r="V30" i="10"/>
  <c r="V24" i="10"/>
  <c r="Z31" i="10"/>
  <c r="Z32" i="10"/>
  <c r="V31" i="10"/>
  <c r="Z10" i="10"/>
  <c r="V14" i="10"/>
  <c r="V9" i="10"/>
  <c r="V28" i="10"/>
  <c r="Z24" i="10"/>
  <c r="V29" i="10"/>
  <c r="V27" i="10"/>
  <c r="Z11" i="10"/>
  <c r="V11" i="10"/>
  <c r="V19" i="10"/>
  <c r="Z7" i="10"/>
  <c r="V17" i="10"/>
  <c r="Z17" i="10"/>
  <c r="V12" i="10"/>
  <c r="V22" i="10"/>
  <c r="T7" i="13" l="1"/>
  <c r="U7" i="13" s="1"/>
  <c r="T10" i="13"/>
  <c r="T20" i="13"/>
  <c r="U20" i="13" s="1"/>
  <c r="T21" i="13"/>
  <c r="U21" i="13" s="1"/>
  <c r="T29" i="13"/>
  <c r="U29" i="13" s="1"/>
  <c r="S30" i="13"/>
  <c r="T33" i="13"/>
  <c r="U33" i="13" s="1"/>
  <c r="S38" i="13"/>
  <c r="U36" i="13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AC15" i="10" s="1"/>
  <c r="S21" i="10"/>
  <c r="U21" i="10" s="1"/>
  <c r="S30" i="10"/>
  <c r="U30" i="10" s="1"/>
  <c r="T28" i="10"/>
  <c r="U28" i="10" s="1"/>
  <c r="S32" i="10"/>
  <c r="U32" i="10" s="1"/>
  <c r="AC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W32" i="13"/>
  <c r="X32" i="13" s="1"/>
  <c r="W21" i="13"/>
  <c r="X21" i="13" s="1"/>
  <c r="W5" i="13"/>
  <c r="X5" i="13" s="1"/>
  <c r="AA7" i="13"/>
  <c r="AB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C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Y18" i="13" s="1"/>
  <c r="AA26" i="13"/>
  <c r="AB26" i="13" s="1"/>
  <c r="W29" i="13"/>
  <c r="X29" i="13" s="1"/>
  <c r="W35" i="13"/>
  <c r="X35" i="13" s="1"/>
  <c r="AA39" i="13"/>
  <c r="AB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Y31" i="13" s="1"/>
  <c r="AA33" i="13"/>
  <c r="AB33" i="13" s="1"/>
  <c r="W36" i="13"/>
  <c r="X36" i="13" s="1"/>
  <c r="AA38" i="13"/>
  <c r="AB38" i="13" s="1"/>
  <c r="W39" i="13"/>
  <c r="X39" i="13" s="1"/>
  <c r="Y39" i="13" s="1"/>
  <c r="W10" i="13"/>
  <c r="X10" i="13" s="1"/>
  <c r="AA10" i="13"/>
  <c r="AB10" i="13" s="1"/>
  <c r="W12" i="13"/>
  <c r="X12" i="13" s="1"/>
  <c r="Y12" i="13" s="1"/>
  <c r="AA12" i="13"/>
  <c r="AB12" i="13" s="1"/>
  <c r="AC12" i="13" s="1"/>
  <c r="W14" i="13"/>
  <c r="X14" i="13" s="1"/>
  <c r="AA14" i="13"/>
  <c r="AB14" i="13" s="1"/>
  <c r="AA16" i="13"/>
  <c r="AB16" i="13" s="1"/>
  <c r="W17" i="13"/>
  <c r="X17" i="13" s="1"/>
  <c r="Y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Y33" i="13" s="1"/>
  <c r="AA35" i="13"/>
  <c r="AB35" i="13" s="1"/>
  <c r="W38" i="13"/>
  <c r="X38" i="13" s="1"/>
  <c r="S19" i="13"/>
  <c r="T19" i="13"/>
  <c r="T12" i="10"/>
  <c r="S12" i="10"/>
  <c r="U9" i="10"/>
  <c r="AC7" i="13"/>
  <c r="S9" i="13"/>
  <c r="T9" i="13"/>
  <c r="AC17" i="13"/>
  <c r="AC20" i="13"/>
  <c r="Y20" i="13"/>
  <c r="T22" i="13"/>
  <c r="S22" i="13"/>
  <c r="S4" i="10"/>
  <c r="T4" i="10"/>
  <c r="AC31" i="13"/>
  <c r="T14" i="10"/>
  <c r="S14" i="10"/>
  <c r="Y7" i="13"/>
  <c r="U10" i="13"/>
  <c r="AC14" i="13"/>
  <c r="Y14" i="13"/>
  <c r="AC23" i="13"/>
  <c r="T24" i="13"/>
  <c r="S24" i="13"/>
  <c r="T10" i="10"/>
  <c r="S10" i="10"/>
  <c r="T6" i="13"/>
  <c r="S6" i="13"/>
  <c r="AC33" i="13"/>
  <c r="Y34" i="13"/>
  <c r="AC39" i="13"/>
  <c r="T16" i="13"/>
  <c r="S16" i="13"/>
  <c r="U26" i="13"/>
  <c r="U38" i="13"/>
  <c r="AC18" i="13"/>
  <c r="Y29" i="13"/>
  <c r="AC29" i="13"/>
  <c r="S35" i="13"/>
  <c r="T35" i="13"/>
  <c r="AC36" i="13"/>
  <c r="Y36" i="13"/>
  <c r="S24" i="10"/>
  <c r="U24" i="10" s="1"/>
  <c r="AC24" i="10" s="1"/>
  <c r="T13" i="10"/>
  <c r="U13" i="10" s="1"/>
  <c r="T5" i="13"/>
  <c r="U5" i="13" s="1"/>
  <c r="T11" i="13"/>
  <c r="S11" i="13"/>
  <c r="T13" i="13"/>
  <c r="U13" i="13" s="1"/>
  <c r="S13" i="13"/>
  <c r="T15" i="13"/>
  <c r="S15" i="13"/>
  <c r="Y21" i="13"/>
  <c r="AC21" i="13"/>
  <c r="T25" i="13"/>
  <c r="U25" i="13" s="1"/>
  <c r="S27" i="13"/>
  <c r="T27" i="13"/>
  <c r="U27" i="13" s="1"/>
  <c r="U28" i="13"/>
  <c r="U30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Y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C8" i="10" l="1"/>
  <c r="X32" i="10"/>
  <c r="X8" i="10"/>
  <c r="AC28" i="10"/>
  <c r="AC5" i="10"/>
  <c r="AC18" i="10"/>
  <c r="AC6" i="10"/>
  <c r="AC30" i="10"/>
  <c r="AC23" i="10"/>
  <c r="AC31" i="10"/>
  <c r="X24" i="10"/>
  <c r="AC13" i="10"/>
  <c r="AC9" i="10"/>
  <c r="AC22" i="10"/>
  <c r="AC21" i="10"/>
  <c r="AC19" i="10"/>
  <c r="AC25" i="10"/>
  <c r="Y15" i="10"/>
  <c r="X10" i="10"/>
  <c r="AC8" i="13"/>
  <c r="Y8" i="13"/>
  <c r="U22" i="13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Y27" i="13"/>
  <c r="AC27" i="13"/>
  <c r="U16" i="10"/>
  <c r="AC16" i="10" s="1"/>
  <c r="Y24" i="10"/>
  <c r="Y25" i="10"/>
  <c r="X4" i="10"/>
  <c r="U32" i="13"/>
  <c r="U16" i="13"/>
  <c r="U6" i="13"/>
  <c r="U24" i="13"/>
  <c r="AC9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3" i="13"/>
  <c r="AC13" i="13"/>
  <c r="AC22" i="13"/>
  <c r="Y22" i="13"/>
  <c r="Y18" i="10"/>
  <c r="Y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AG3" i="13"/>
  <c r="Z4" i="13"/>
  <c r="V4" i="13"/>
  <c r="Y10" i="10" l="1"/>
  <c r="AC10" i="10"/>
  <c r="Y16" i="10"/>
  <c r="Y14" i="10"/>
  <c r="T4" i="13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U4" i="13"/>
  <c r="W4" i="13"/>
  <c r="X4" i="13" s="1"/>
  <c r="Y4" i="13" s="1"/>
  <c r="AA4" i="13"/>
  <c r="AB4" i="13" s="1"/>
  <c r="AC4" i="13" s="1"/>
  <c r="R26" i="10"/>
  <c r="T26" i="10" s="1"/>
  <c r="S26" i="10" l="1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AG3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Z26" i="10"/>
  <c r="V26" i="10"/>
  <c r="AA26" i="10" l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 s="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R59" i="7" l="1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T46" i="7" l="1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S82" i="9" l="1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S94" i="9" l="1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S43" i="9" l="1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T24" i="9" l="1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D3" i="7" l="1"/>
  <c r="B3" i="5"/>
</calcChain>
</file>

<file path=xl/sharedStrings.xml><?xml version="1.0" encoding="utf-8"?>
<sst xmlns="http://schemas.openxmlformats.org/spreadsheetml/2006/main" count="2432" uniqueCount="1893">
  <si>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</si>
  <si>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</si>
  <si>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</si>
  <si>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</si>
  <si>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</si>
  <si>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</si>
  <si>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</si>
  <si>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</si>
  <si>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</si>
  <si>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</si>
  <si>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</si>
  <si>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</si>
  <si>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</si>
  <si>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</si>
  <si>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</si>
  <si>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</si>
  <si>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</si>
  <si>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</si>
  <si>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</si>
  <si>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</si>
  <si>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</si>
  <si>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</si>
  <si>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</si>
  <si>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</si>
  <si>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</si>
  <si>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</si>
  <si>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</si>
  <si>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</si>
  <si>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</si>
  <si>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</si>
  <si>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</si>
  <si>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</si>
  <si>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</si>
  <si>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</si>
  <si>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</si>
  <si>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</si>
  <si>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</si>
  <si>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</si>
  <si>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</si>
  <si>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</si>
  <si>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</si>
  <si>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</si>
  <si>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</si>
  <si>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</si>
  <si>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</si>
  <si>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</si>
  <si>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</si>
  <si>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</si>
  <si>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</si>
  <si>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</si>
  <si>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</si>
  <si>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</si>
  <si>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</si>
  <si>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</si>
  <si>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</si>
  <si>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</si>
  <si>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</si>
  <si>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</si>
  <si>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</si>
  <si>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</si>
  <si>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</si>
  <si>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</si>
  <si>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</si>
  <si>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</si>
  <si>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</si>
  <si>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</si>
  <si>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</si>
  <si>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</si>
  <si>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</si>
  <si>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</si>
  <si>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</si>
  <si>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</si>
  <si>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</si>
  <si>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</si>
  <si>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</si>
  <si>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</si>
  <si>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</si>
  <si>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</si>
  <si>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</si>
  <si>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</si>
  <si>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</si>
  <si>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</si>
  <si>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</si>
  <si>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</si>
  <si>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</si>
  <si>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</si>
  <si>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</si>
  <si>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</si>
  <si>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</si>
  <si>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</si>
  <si>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</si>
  <si>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</si>
  <si>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</si>
  <si>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</si>
  <si>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</si>
  <si>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</si>
  <si>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</si>
  <si>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</si>
  <si>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</si>
  <si>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</si>
  <si>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</si>
  <si>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</si>
  <si>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</si>
  <si>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</si>
  <si>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</si>
  <si>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</si>
  <si>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</si>
  <si>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</si>
  <si>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</si>
  <si>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</si>
  <si>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</si>
  <si>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</si>
  <si>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</si>
  <si>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</si>
  <si>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</si>
  <si>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</si>
  <si>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</si>
  <si>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</si>
  <si>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</si>
  <si>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</si>
  <si>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</si>
  <si>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</si>
  <si>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</si>
  <si>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</si>
  <si>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</si>
  <si>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</si>
  <si>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</si>
  <si>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</si>
  <si>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</si>
  <si>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</si>
  <si>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</si>
  <si>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</si>
  <si>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</si>
  <si>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</si>
  <si>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</si>
  <si>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</si>
  <si>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</si>
  <si>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</si>
  <si>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</si>
  <si>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</si>
  <si>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</si>
  <si>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</si>
  <si>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</si>
  <si>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</si>
  <si>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</si>
  <si>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</si>
  <si>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</si>
  <si>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</si>
  <si>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</si>
  <si>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</si>
  <si>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</si>
  <si>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</si>
  <si>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</si>
  <si>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</si>
  <si>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</si>
  <si>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</si>
  <si>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</si>
  <si>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</si>
  <si>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</si>
  <si>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</si>
  <si>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</si>
  <si>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</si>
  <si>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</si>
  <si>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</si>
  <si>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</si>
  <si>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</si>
  <si>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</si>
  <si>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</si>
  <si>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</si>
  <si>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</si>
  <si>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</si>
  <si>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</si>
  <si>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</si>
  <si>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</si>
  <si>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</si>
  <si>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</si>
  <si>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</si>
  <si>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</si>
  <si>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</si>
  <si>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</si>
  <si>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</si>
  <si>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</si>
  <si>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</si>
  <si>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</si>
  <si>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</si>
  <si>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</si>
  <si>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</si>
  <si>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</si>
  <si>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</si>
  <si>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</si>
  <si>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</si>
  <si>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</si>
  <si>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</si>
  <si>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</si>
  <si>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</si>
  <si>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</si>
  <si>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</si>
  <si>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</si>
  <si>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</si>
  <si>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</si>
  <si>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</si>
  <si>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</si>
  <si>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</si>
  <si>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</si>
  <si>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</si>
  <si>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</si>
  <si>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</si>
  <si>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</si>
  <si>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</si>
  <si>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</si>
  <si>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</si>
  <si>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</si>
  <si>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</si>
  <si>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</si>
  <si>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</si>
  <si>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</si>
  <si>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</si>
  <si>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</si>
  <si>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</si>
  <si>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</si>
  <si>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</si>
  <si>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</si>
  <si>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</si>
  <si>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</si>
  <si>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</si>
  <si>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</si>
  <si>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</si>
  <si>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</si>
  <si>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</si>
  <si>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</si>
  <si>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</si>
  <si>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</si>
  <si>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</si>
  <si>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</si>
  <si>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</si>
  <si>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</si>
  <si>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</si>
  <si>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</si>
  <si>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</si>
  <si>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</si>
  <si>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</si>
  <si>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</si>
  <si>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</si>
  <si>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</si>
  <si>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</si>
  <si>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</si>
  <si>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</si>
  <si>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</si>
  <si>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</si>
  <si>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</si>
  <si>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</si>
  <si>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</si>
  <si>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</si>
  <si>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</si>
  <si>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</si>
  <si>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</si>
  <si>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</si>
  <si>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</si>
  <si>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</si>
  <si>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</si>
  <si>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</si>
  <si>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</si>
  <si>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</si>
  <si>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</si>
  <si>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</si>
  <si>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</si>
  <si>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</si>
  <si>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</si>
  <si>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</si>
  <si>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</si>
  <si>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</si>
  <si>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</si>
  <si>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</si>
  <si>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</si>
  <si>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</si>
  <si>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</si>
  <si>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</si>
  <si>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</si>
  <si>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</si>
  <si>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</si>
  <si>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</si>
  <si>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</si>
  <si>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</si>
  <si>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</si>
  <si>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</si>
  <si>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</si>
  <si>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</si>
  <si>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</si>
  <si>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</si>
  <si>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</si>
  <si>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</si>
  <si>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</si>
  <si>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</si>
  <si>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</si>
  <si>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</si>
  <si>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</si>
  <si>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</si>
  <si>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</si>
  <si>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</si>
  <si>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</si>
  <si>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</si>
  <si>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</si>
  <si>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</si>
  <si>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</si>
  <si>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</si>
  <si>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</si>
  <si>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</si>
  <si>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</si>
  <si>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</si>
  <si>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</si>
  <si>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</si>
  <si>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</si>
  <si>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</si>
  <si>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</si>
  <si>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</si>
  <si>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</si>
  <si>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</si>
  <si>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</si>
  <si>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</si>
  <si>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</si>
  <si>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</si>
  <si>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</si>
  <si>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</si>
  <si>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</si>
  <si>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</si>
  <si>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</si>
  <si>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</si>
  <si>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</si>
  <si>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</si>
  <si>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</si>
  <si>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</si>
  <si>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</si>
  <si>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</si>
  <si>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</si>
  <si>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</si>
  <si>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</si>
  <si>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</si>
  <si>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</si>
  <si>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</si>
  <si>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</si>
  <si>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</si>
  <si>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</si>
  <si>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</si>
  <si>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</si>
  <si>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</si>
  <si>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</si>
  <si>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</si>
  <si>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</si>
  <si>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</si>
  <si>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</si>
  <si>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</si>
  <si>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</si>
  <si>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</si>
  <si>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</si>
  <si>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</si>
  <si>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</si>
  <si>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</si>
  <si>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</si>
  <si>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</si>
  <si>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</si>
  <si>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</si>
  <si>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</si>
  <si>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</si>
  <si>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</si>
  <si>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</si>
  <si>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</si>
  <si>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</si>
  <si>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</si>
  <si>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</si>
  <si>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</si>
  <si>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</si>
  <si>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</si>
  <si>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</si>
  <si>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</si>
  <si>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</si>
  <si>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</si>
  <si>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</si>
  <si>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</si>
  <si>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</si>
  <si>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</si>
  <si>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</si>
  <si>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</si>
  <si>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</si>
  <si>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</si>
  <si>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</si>
  <si>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</si>
  <si>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</si>
  <si>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</si>
  <si>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</si>
  <si>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</si>
  <si>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</si>
  <si>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</si>
  <si>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</si>
  <si>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</si>
  <si>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</si>
  <si>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</si>
  <si>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</si>
  <si>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</si>
  <si>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</si>
  <si>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</si>
  <si>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</si>
  <si>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</si>
  <si>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</si>
  <si>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</si>
  <si>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</si>
  <si>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</si>
  <si>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</si>
  <si>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</si>
  <si>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</si>
  <si>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</si>
  <si>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</si>
  <si>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</si>
  <si>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</si>
  <si>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</si>
  <si>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</si>
  <si>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</si>
  <si>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</si>
  <si>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</si>
  <si>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</si>
  <si>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</si>
  <si>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</si>
  <si>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</si>
  <si>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</si>
  <si>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</si>
  <si>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</si>
  <si>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</si>
  <si>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</si>
  <si>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</si>
  <si>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</si>
  <si>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</si>
  <si>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</si>
  <si>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</si>
  <si>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</si>
  <si>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</si>
  <si>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</si>
  <si>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</si>
  <si>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</si>
  <si>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</si>
  <si>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</si>
  <si>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</si>
  <si>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</si>
  <si>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</si>
  <si>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</si>
  <si>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</si>
  <si>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</si>
  <si>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</si>
  <si>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</si>
  <si>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</si>
  <si>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</si>
  <si>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</si>
  <si>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</si>
  <si>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</si>
  <si>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</si>
  <si>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</si>
  <si>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</si>
  <si>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</si>
  <si>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</si>
  <si>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</si>
  <si>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</si>
  <si>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</si>
  <si>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</si>
  <si>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</si>
  <si>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</si>
  <si>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</si>
  <si>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</si>
  <si>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</si>
  <si>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</si>
  <si>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</si>
  <si>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</si>
  <si>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</si>
  <si>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</si>
  <si>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</si>
  <si>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</si>
  <si>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</si>
  <si>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</si>
  <si>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</si>
  <si>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</si>
  <si>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</si>
  <si>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</si>
  <si>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</si>
  <si>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</si>
  <si>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</si>
  <si>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</si>
  <si>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</si>
  <si>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</si>
  <si>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</si>
  <si>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</si>
  <si>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</si>
  <si>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</si>
  <si>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</si>
  <si>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</si>
  <si>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</si>
  <si>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</si>
  <si>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</si>
  <si>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</si>
  <si>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</si>
  <si>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</si>
  <si>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</si>
  <si>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</si>
  <si>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</si>
  <si>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</si>
  <si>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</si>
  <si>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</si>
  <si>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</si>
  <si>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</si>
  <si>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</si>
  <si>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</si>
  <si>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</si>
  <si>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</si>
  <si>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</si>
  <si>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</si>
  <si>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</si>
  <si>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</si>
  <si>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</si>
  <si>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</si>
  <si>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</si>
  <si>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</si>
  <si>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</si>
  <si>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</si>
  <si>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</si>
  <si>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</si>
  <si>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</si>
  <si>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</si>
  <si>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</si>
  <si>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</si>
  <si>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</si>
  <si>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</si>
  <si>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</si>
  <si>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</si>
  <si>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</si>
  <si>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</si>
  <si>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</si>
  <si>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</si>
  <si>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</si>
  <si>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</si>
  <si>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</si>
  <si>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</si>
  <si>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</si>
  <si>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</si>
  <si>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</si>
  <si>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</si>
  <si>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</si>
  <si>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</si>
  <si>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</si>
  <si>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</si>
  <si>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</si>
  <si>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</si>
  <si>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</si>
  <si>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</si>
  <si>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</si>
  <si>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</si>
  <si>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</si>
  <si>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</si>
  <si>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</si>
  <si>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</si>
  <si>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</si>
  <si>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</si>
  <si>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</si>
  <si>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</si>
  <si>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</si>
  <si>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</si>
  <si>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</si>
  <si>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</si>
  <si>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</si>
  <si>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</si>
  <si>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</si>
  <si>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</si>
  <si>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</si>
  <si>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</si>
  <si>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</si>
  <si>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</si>
  <si>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</si>
  <si>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</si>
  <si>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</si>
  <si>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</si>
  <si>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</si>
  <si>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</si>
  <si>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</si>
  <si>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</si>
  <si>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</si>
  <si>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</si>
  <si>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</si>
  <si>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</si>
  <si>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</si>
  <si>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</si>
  <si>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</si>
  <si>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</si>
  <si>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</si>
  <si>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</si>
  <si>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</si>
  <si>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</si>
  <si>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</si>
  <si>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</si>
  <si>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</si>
  <si>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</si>
  <si>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</si>
  <si>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</si>
  <si>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</si>
  <si>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</si>
  <si>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</si>
  <si>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</si>
  <si>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</si>
  <si>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</si>
  <si>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</si>
  <si>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</si>
  <si>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</si>
  <si>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</si>
  <si>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</si>
  <si>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</si>
  <si>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</si>
  <si>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</si>
  <si>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</si>
  <si>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</si>
  <si>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</si>
  <si>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</si>
  <si>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</si>
  <si>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</si>
  <si>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</si>
  <si>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</si>
  <si>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</si>
  <si>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</si>
  <si>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</si>
  <si>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</si>
  <si>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</si>
  <si>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</si>
  <si>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</si>
  <si>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</si>
  <si>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</si>
  <si>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</si>
  <si>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</si>
  <si>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</si>
  <si>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</si>
  <si>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</si>
  <si>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</si>
  <si>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</si>
  <si>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</si>
  <si>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</si>
  <si>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</si>
  <si>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</si>
  <si>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</si>
  <si>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</si>
  <si>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</si>
  <si>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</si>
  <si>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</si>
  <si>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</si>
  <si>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</si>
  <si>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</si>
  <si>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</si>
  <si>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</si>
  <si>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</si>
  <si>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</si>
  <si>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</si>
  <si>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</si>
  <si>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</si>
  <si>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</si>
  <si>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</si>
  <si>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</si>
  <si>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</si>
  <si>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</si>
  <si>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</si>
  <si>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</si>
  <si>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</si>
  <si>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</si>
  <si>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</si>
  <si>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</si>
  <si>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</si>
  <si>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</si>
  <si>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</si>
  <si>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</si>
  <si>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</si>
  <si>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</si>
  <si>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</si>
  <si>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</si>
  <si>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</si>
  <si>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</si>
  <si>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</si>
  <si>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</si>
  <si>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</si>
  <si>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</si>
  <si>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</si>
  <si>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</si>
  <si>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</si>
  <si>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</si>
  <si>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</si>
  <si>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</si>
  <si>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</si>
  <si>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</si>
  <si>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</si>
  <si>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</si>
  <si>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</si>
  <si>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</si>
  <si>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</si>
  <si>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</si>
  <si>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</si>
  <si>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</si>
  <si>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</si>
  <si>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</si>
  <si>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</si>
  <si>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</si>
  <si>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</si>
  <si>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</si>
  <si>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</si>
  <si>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</si>
  <si>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</si>
  <si>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</si>
  <si>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</si>
  <si>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</si>
  <si>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</si>
  <si>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</si>
  <si>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</si>
  <si>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</si>
  <si>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</si>
  <si>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</si>
  <si>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</si>
  <si>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</si>
  <si>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</si>
  <si>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</si>
  <si>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</si>
  <si>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</si>
  <si>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</si>
  <si>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</si>
  <si>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</si>
  <si>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</si>
  <si>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</si>
  <si>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</si>
  <si>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</si>
  <si>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</si>
  <si>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</si>
  <si>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</si>
  <si>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</si>
  <si>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</si>
  <si>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</si>
  <si>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</si>
  <si>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</si>
  <si>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</si>
  <si>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</si>
  <si>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</si>
  <si>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</si>
  <si>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</si>
  <si>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</si>
  <si>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</si>
  <si>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</si>
  <si>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</si>
  <si>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</si>
  <si>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</si>
  <si>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</si>
  <si>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</si>
  <si>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</si>
  <si>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</si>
  <si>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</si>
  <si>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</si>
  <si>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</si>
  <si>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</si>
  <si>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</si>
  <si>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</si>
  <si>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</si>
  <si>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</si>
  <si>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</si>
  <si>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</si>
  <si>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</si>
  <si>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</si>
  <si>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</si>
  <si>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</si>
  <si>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</si>
  <si>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</si>
  <si>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</si>
  <si>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</si>
  <si>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</si>
  <si>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</si>
  <si>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</si>
  <si>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</si>
  <si>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</si>
  <si>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</si>
  <si>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</si>
  <si>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</si>
  <si>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</si>
  <si>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</si>
  <si>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</si>
  <si>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</si>
  <si>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</si>
  <si>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</si>
  <si>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</si>
  <si>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</si>
  <si>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</si>
  <si>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</si>
  <si>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</si>
  <si>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</si>
  <si>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</si>
  <si>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</si>
  <si>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</si>
  <si>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</si>
  <si>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</si>
  <si>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</si>
  <si>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</si>
  <si>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</si>
  <si>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</si>
  <si>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</si>
  <si>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</si>
  <si>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</si>
  <si>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</si>
  <si>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</si>
  <si>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</si>
  <si>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</si>
  <si>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</si>
  <si>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</si>
  <si>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</si>
  <si>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</si>
  <si>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</si>
  <si>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</si>
  <si>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</si>
  <si>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</si>
  <si>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</si>
  <si>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</si>
  <si>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</si>
  <si>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</si>
  <si>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</si>
  <si>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</si>
  <si>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</si>
  <si>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</si>
  <si>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</si>
  <si>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</si>
  <si>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</si>
  <si>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</si>
  <si>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</si>
  <si>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</si>
  <si>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</si>
  <si>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</si>
  <si>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</si>
  <si>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</si>
  <si>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</si>
  <si>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</si>
  <si>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</si>
  <si>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</si>
  <si>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</si>
  <si>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</si>
  <si>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</si>
  <si>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</si>
  <si>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</si>
  <si>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</si>
  <si>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</si>
  <si>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</si>
  <si>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</si>
  <si>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</si>
  <si>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</si>
  <si>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</si>
  <si>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</si>
  <si>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</si>
  <si>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</si>
  <si>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</si>
  <si>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</si>
  <si>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</si>
  <si>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</si>
  <si>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</si>
  <si>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</si>
  <si>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</si>
  <si>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</si>
  <si>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</si>
  <si>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</si>
  <si>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</si>
  <si>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</si>
  <si>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</si>
  <si>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</si>
  <si>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</si>
  <si>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</si>
  <si>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</si>
  <si>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</si>
  <si>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</si>
  <si>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</si>
  <si>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</si>
  <si>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</si>
  <si>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</si>
  <si>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</si>
  <si>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</si>
  <si>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</si>
  <si>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</si>
  <si>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</si>
  <si>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</si>
  <si>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</si>
  <si>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</si>
  <si>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</si>
  <si>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</si>
  <si>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</si>
  <si>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</si>
  <si>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</si>
  <si>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</si>
  <si>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</si>
  <si>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</si>
  <si>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</si>
  <si>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</si>
  <si>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</si>
  <si>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</si>
  <si>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</si>
  <si>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</si>
  <si>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</si>
  <si>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</si>
  <si>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</si>
  <si>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</si>
  <si>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</si>
  <si>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</si>
  <si>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</si>
  <si>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</si>
  <si>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</si>
  <si>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</si>
  <si>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</si>
  <si>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</si>
  <si>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</si>
  <si>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</si>
  <si>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</si>
  <si>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</si>
  <si>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</si>
  <si>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</si>
  <si>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</si>
  <si>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</si>
  <si>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</si>
  <si>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</si>
  <si>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</si>
  <si>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</si>
  <si>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</si>
  <si>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</si>
  <si>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</si>
  <si>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</si>
  <si>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</si>
  <si>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</si>
  <si>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</si>
  <si>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</si>
  <si>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</si>
  <si>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</si>
  <si>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</si>
  <si>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</si>
  <si>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</si>
  <si>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</si>
  <si>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</si>
  <si>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</si>
  <si>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</si>
  <si>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</si>
  <si>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</si>
  <si>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</si>
  <si>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</si>
  <si>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</si>
  <si>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</si>
  <si>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</si>
  <si>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</si>
  <si>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</si>
  <si>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</si>
  <si>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</si>
  <si>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</si>
  <si>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</si>
  <si>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</si>
  <si>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</si>
  <si>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</si>
  <si>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</si>
  <si>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</si>
  <si>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</si>
  <si>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</si>
  <si>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</si>
  <si>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</si>
  <si>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</si>
  <si>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</si>
  <si>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</si>
  <si>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</si>
  <si>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</si>
  <si>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</si>
  <si>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</si>
  <si>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</si>
  <si>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</si>
  <si>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</si>
  <si>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</si>
  <si>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</si>
  <si>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</si>
  <si>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</si>
  <si>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</si>
  <si>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</si>
  <si>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</si>
  <si>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</si>
  <si>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</si>
  <si>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</si>
  <si>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</si>
  <si>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</si>
  <si>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</si>
  <si>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</si>
  <si>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</si>
  <si>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</si>
  <si>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</si>
  <si>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</si>
  <si>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</si>
  <si>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</si>
  <si>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</si>
  <si>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</si>
  <si>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</si>
  <si>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</si>
  <si>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</si>
  <si>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</si>
  <si>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</si>
  <si>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</si>
  <si>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</si>
  <si>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</si>
  <si>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</si>
  <si>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</si>
  <si>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</si>
  <si>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</si>
  <si>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</si>
  <si>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</si>
  <si>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</si>
  <si>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</si>
  <si>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</si>
  <si>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</si>
  <si>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</si>
  <si>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</si>
  <si>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</si>
  <si>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</si>
  <si>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</si>
  <si>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</si>
  <si>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</si>
  <si>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</si>
  <si>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</si>
  <si>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</si>
  <si>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</si>
  <si>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</si>
  <si>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</si>
  <si>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</si>
  <si>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</si>
  <si>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</si>
  <si>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</si>
  <si>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</si>
  <si>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</si>
  <si>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</si>
  <si>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</si>
  <si>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</si>
  <si>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</si>
  <si>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</si>
  <si>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</si>
  <si>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</si>
  <si>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</si>
  <si>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</si>
  <si>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</si>
  <si>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</si>
  <si>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</si>
  <si>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</si>
  <si>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</si>
  <si>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</si>
  <si>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</si>
  <si>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</si>
  <si>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</si>
  <si>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</si>
  <si>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</si>
  <si>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</si>
  <si>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</si>
  <si>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</si>
  <si>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</si>
  <si>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</si>
  <si>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</si>
  <si>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</si>
  <si>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</si>
  <si>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</si>
  <si>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</si>
  <si>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</si>
  <si>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</si>
  <si>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</si>
  <si>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</si>
  <si>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</si>
  <si>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</si>
  <si>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</si>
  <si>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</si>
  <si>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</si>
  <si>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</si>
  <si>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</si>
  <si>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</si>
  <si>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</si>
  <si>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</si>
  <si>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</si>
  <si>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</si>
  <si>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</si>
  <si>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</si>
  <si>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</si>
  <si>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</si>
  <si>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</si>
  <si>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</si>
  <si>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</si>
  <si>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</si>
  <si>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</si>
  <si>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</si>
  <si>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</si>
  <si>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</si>
  <si>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</si>
  <si>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</si>
  <si>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</si>
  <si>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</si>
  <si>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</si>
  <si>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</si>
  <si>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</si>
  <si>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</si>
  <si>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</si>
  <si>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</si>
  <si>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</si>
  <si>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</si>
  <si>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</si>
  <si>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</si>
  <si>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</si>
  <si>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</si>
  <si>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</si>
  <si>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</si>
  <si>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</si>
  <si>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</si>
  <si>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</si>
  <si>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</si>
  <si>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</si>
  <si>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</si>
  <si>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</si>
  <si>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</si>
  <si>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</si>
  <si>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</si>
  <si>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</si>
  <si>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</si>
  <si>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</si>
  <si>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</si>
  <si>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</si>
  <si>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</si>
  <si>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</si>
  <si>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</si>
  <si>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</si>
  <si>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</si>
  <si>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</si>
  <si>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</si>
  <si>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</si>
  <si>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</si>
  <si>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</si>
  <si>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</si>
  <si>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</si>
  <si>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</si>
  <si>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</si>
  <si>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</si>
  <si>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</si>
  <si>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</si>
  <si>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</si>
  <si>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</si>
  <si>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</si>
  <si>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</si>
  <si>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</si>
  <si>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</si>
  <si>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</si>
  <si>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</si>
  <si>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</si>
  <si>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</si>
  <si>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</si>
  <si>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</si>
  <si>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</si>
  <si>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</si>
  <si>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</si>
  <si>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</si>
  <si>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</si>
  <si>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</si>
  <si>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</si>
  <si>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</si>
  <si>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</si>
  <si>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</si>
  <si>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</si>
  <si>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</si>
  <si>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</si>
  <si>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</si>
  <si>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</si>
  <si>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</si>
  <si>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</si>
  <si>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</si>
  <si>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</si>
  <si>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</si>
  <si>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</si>
  <si>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</si>
  <si>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</si>
  <si>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</si>
  <si>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</si>
  <si>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</si>
  <si>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</si>
  <si>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</si>
  <si>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</si>
  <si>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</si>
  <si>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</si>
  <si>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</si>
  <si>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</si>
  <si>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</si>
  <si>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</si>
  <si>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</si>
  <si>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</si>
  <si>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</si>
  <si>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</si>
  <si>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</si>
  <si>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</si>
  <si>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</si>
  <si>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</si>
  <si>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</si>
  <si>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</si>
  <si>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</si>
  <si>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</si>
  <si>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</si>
  <si>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</si>
  <si>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</si>
  <si>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</si>
  <si>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</si>
  <si>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</si>
  <si>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</si>
  <si>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</si>
  <si>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</si>
  <si>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</si>
  <si>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</si>
  <si>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</si>
  <si>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</si>
  <si>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</si>
  <si>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</si>
  <si>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</si>
  <si>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</si>
  <si>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</si>
  <si>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</si>
  <si>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</si>
  <si>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</si>
  <si>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</si>
  <si>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</si>
  <si>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</si>
  <si>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</si>
  <si>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</si>
  <si>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</si>
  <si>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</si>
  <si>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</si>
  <si>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</si>
  <si>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</si>
  <si>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</si>
  <si>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</si>
  <si>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</si>
  <si>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</si>
  <si>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</si>
  <si>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</si>
  <si>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</si>
  <si>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</si>
  <si>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</si>
  <si>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</si>
  <si>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</si>
  <si>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</si>
  <si>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</si>
  <si>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</si>
  <si>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</si>
  <si>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</si>
  <si>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</si>
  <si>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</si>
  <si>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</si>
  <si>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</si>
  <si>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</si>
  <si>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</si>
  <si>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</si>
  <si>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</si>
  <si>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</si>
  <si>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</si>
  <si>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</si>
  <si>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</si>
  <si>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</si>
  <si>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</si>
  <si>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</si>
  <si>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</si>
  <si>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</si>
  <si>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</si>
  <si>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</si>
  <si>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</si>
  <si>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</si>
  <si>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</si>
  <si>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</si>
  <si>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</si>
  <si>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</si>
  <si>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</si>
  <si>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</si>
  <si>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</si>
  <si>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</si>
  <si>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</si>
  <si>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</si>
  <si>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</si>
  <si>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</si>
  <si>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</si>
  <si>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</si>
  <si>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</si>
  <si>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</si>
  <si>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</si>
  <si>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</si>
  <si>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</si>
  <si>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</si>
  <si>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</si>
  <si>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</si>
  <si>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</si>
  <si>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</si>
  <si>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</si>
  <si>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</si>
  <si>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</si>
  <si>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</si>
  <si>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</si>
  <si>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</si>
  <si>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</si>
  <si>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</si>
  <si>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</si>
  <si>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</si>
  <si>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</si>
  <si>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</si>
  <si>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</si>
  <si>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</si>
  <si>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</si>
  <si>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</si>
  <si>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</si>
  <si>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</si>
  <si>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</si>
  <si>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</si>
  <si>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</si>
  <si>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</si>
  <si>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</si>
  <si>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</si>
  <si>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</si>
  <si>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</si>
  <si>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</si>
  <si>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</si>
  <si>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</si>
  <si>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</si>
  <si>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</si>
  <si>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</si>
  <si>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</si>
  <si>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</si>
  <si>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</si>
  <si>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</si>
  <si>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</si>
  <si>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</si>
  <si>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</si>
  <si>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</si>
  <si>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</si>
  <si>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</si>
  <si>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</si>
  <si>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</si>
  <si>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</si>
  <si>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</si>
  <si>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</si>
  <si>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</si>
  <si>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</si>
  <si>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</si>
  <si>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</si>
  <si>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</si>
  <si>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</si>
  <si>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</si>
  <si>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</si>
  <si>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</si>
  <si>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</si>
  <si>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</si>
  <si>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</si>
  <si>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</si>
  <si>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</si>
  <si>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</si>
  <si>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</si>
  <si>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</si>
  <si>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</si>
  <si>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</si>
  <si>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</si>
  <si>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</si>
  <si>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</si>
  <si>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</si>
  <si>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</si>
  <si>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</si>
  <si>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</si>
  <si>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</si>
  <si>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</si>
  <si>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</si>
  <si>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</si>
  <si>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</si>
  <si>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</si>
  <si>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</si>
  <si>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</si>
  <si>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</si>
  <si>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</si>
  <si>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</si>
  <si>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</si>
  <si>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</si>
  <si>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</si>
  <si>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</si>
  <si>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</si>
  <si>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</si>
  <si>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</si>
  <si>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</si>
  <si>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</si>
  <si>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</si>
  <si>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</si>
  <si>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</si>
  <si>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</si>
  <si>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</si>
  <si>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</si>
  <si>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</si>
  <si>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</si>
  <si>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</si>
  <si>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</si>
  <si>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</si>
  <si>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</si>
  <si>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</si>
  <si>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</si>
  <si>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</si>
  <si>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</si>
  <si>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</si>
  <si>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</si>
  <si>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</si>
  <si>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</si>
  <si>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</si>
  <si>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</si>
  <si>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</si>
  <si>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</si>
  <si>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</si>
  <si>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</si>
  <si>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</si>
  <si>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</si>
  <si>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</si>
  <si>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</si>
  <si>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</si>
  <si>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</si>
  <si>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</si>
  <si>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</si>
  <si>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</si>
  <si>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</si>
  <si>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</si>
  <si>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</si>
  <si>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</si>
  <si>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</si>
  <si>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</si>
  <si>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</si>
  <si>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</si>
  <si>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</si>
  <si>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</si>
  <si>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</si>
  <si>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</si>
  <si>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</si>
  <si>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</si>
  <si>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</si>
  <si>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</si>
  <si>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</si>
  <si>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</si>
  <si>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</si>
  <si>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</si>
  <si>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</si>
  <si>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</si>
  <si>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</si>
  <si>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</si>
  <si>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</si>
  <si>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</si>
  <si>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</si>
  <si>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</si>
  <si>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</si>
  <si>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</si>
  <si>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</si>
  <si>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</si>
  <si>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</si>
  <si>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</si>
  <si>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</si>
  <si>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</si>
  <si>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</si>
  <si>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</si>
  <si>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</si>
  <si>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</si>
  <si>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</si>
  <si>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</si>
  <si>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</si>
  <si>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</si>
  <si>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</si>
  <si>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</si>
  <si>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</si>
  <si>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</si>
  <si>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</si>
  <si>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</si>
  <si>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</si>
  <si>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</si>
  <si>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</si>
  <si>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</si>
  <si>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</si>
  <si>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</si>
  <si>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</si>
  <si>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</si>
  <si>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</si>
  <si>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</si>
  <si>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</si>
  <si>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</si>
  <si>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</si>
  <si>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</si>
  <si>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</si>
  <si>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</si>
  <si>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</si>
  <si>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</si>
  <si>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</si>
  <si>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</si>
  <si>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</si>
  <si>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</si>
  <si>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</si>
  <si>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</si>
  <si>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</si>
  <si>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</si>
  <si>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</si>
  <si>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</si>
  <si>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</si>
  <si>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</si>
  <si>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</si>
  <si>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</si>
  <si>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</si>
  <si>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</si>
  <si>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</si>
  <si>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</si>
  <si>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</si>
  <si>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</si>
  <si>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</si>
  <si>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</si>
  <si>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</si>
  <si>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</si>
  <si>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</si>
  <si>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</si>
  <si>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</si>
  <si>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</si>
  <si>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</si>
  <si>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</si>
  <si>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</si>
  <si>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</si>
  <si>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</si>
  <si>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</si>
  <si>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</si>
  <si>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</si>
  <si>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</si>
  <si>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</si>
  <si>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</si>
  <si>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</si>
  <si>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</si>
  <si>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</si>
  <si>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</si>
  <si>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</si>
  <si>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</si>
  <si>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</si>
  <si>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</si>
  <si>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</si>
  <si>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</si>
  <si>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</si>
  <si>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</si>
  <si>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</si>
  <si>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</si>
  <si>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</si>
  <si>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</si>
  <si>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</si>
  <si>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</si>
  <si>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</si>
  <si>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</si>
  <si>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</si>
  <si>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</si>
  <si>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</si>
  <si>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</si>
  <si>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</si>
  <si>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</si>
  <si>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</si>
  <si>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</si>
  <si>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</si>
  <si>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</si>
  <si>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</si>
  <si>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</si>
  <si>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</si>
  <si>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</si>
  <si>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</si>
  <si>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</si>
  <si>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</si>
  <si>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</si>
  <si>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</si>
  <si>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</si>
  <si>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</si>
  <si>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</si>
  <si>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</si>
  <si>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</si>
  <si>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</si>
  <si>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</si>
  <si>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</si>
  <si>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</si>
  <si>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</si>
  <si>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</si>
  <si>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</si>
  <si>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</si>
  <si>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</si>
  <si>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</si>
  <si>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</si>
  <si>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</si>
  <si>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</si>
  <si>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</si>
  <si>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</si>
  <si>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</si>
  <si>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</si>
  <si>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</si>
  <si>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</si>
  <si>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</si>
  <si>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</si>
  <si>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</si>
  <si>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</si>
  <si>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</si>
  <si>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</si>
  <si>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</si>
  <si>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</si>
  <si>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</si>
  <si>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</si>
  <si>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</si>
  <si>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</si>
  <si>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</si>
  <si>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</si>
  <si>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</si>
  <si>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</si>
  <si>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</si>
  <si>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</si>
  <si>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</si>
  <si>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</si>
  <si>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</si>
  <si>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</si>
  <si>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</si>
  <si>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</si>
  <si>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</si>
  <si>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</si>
  <si>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</si>
  <si>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</si>
  <si>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</si>
  <si>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</si>
  <si>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</si>
  <si>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</si>
  <si>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</si>
  <si>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</si>
  <si>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</si>
  <si>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</si>
  <si>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</si>
  <si>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</si>
  <si>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</si>
  <si>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</si>
  <si>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</si>
  <si>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</si>
  <si>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</si>
  <si>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</si>
  <si>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</si>
  <si>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</si>
  <si>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</si>
  <si>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</si>
  <si>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</si>
  <si>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</si>
  <si>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</si>
  <si>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</si>
  <si>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</si>
  <si>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</si>
  <si>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</si>
  <si>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</si>
  <si>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</si>
  <si>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</si>
  <si>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</si>
  <si>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</si>
  <si>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</si>
  <si>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</si>
  <si>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</si>
  <si>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</si>
  <si>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</si>
  <si>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</si>
  <si>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</si>
  <si>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</si>
  <si>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</si>
  <si>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</si>
  <si>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</si>
  <si>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</si>
  <si>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</si>
  <si>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</si>
  <si>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</si>
  <si>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</si>
  <si>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</si>
  <si>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</si>
  <si>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</si>
  <si>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</si>
  <si>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</si>
  <si>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</si>
  <si>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</si>
  <si>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</si>
  <si>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</si>
  <si>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</si>
  <si>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</si>
  <si>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</si>
  <si>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</si>
  <si>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</si>
  <si>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</si>
  <si>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</si>
  <si>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</si>
  <si>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</si>
  <si>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</si>
  <si>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</si>
  <si>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</si>
  <si>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</si>
  <si>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</si>
  <si>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</si>
  <si>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</si>
  <si>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</si>
  <si>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</si>
  <si>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</si>
  <si>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</si>
  <si>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</si>
  <si>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</si>
  <si>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</si>
  <si>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</si>
  <si>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</si>
  <si>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</si>
  <si>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</si>
  <si>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</si>
  <si>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</si>
  <si>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</si>
  <si>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</si>
  <si>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</si>
  <si>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</si>
  <si>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</si>
  <si>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</si>
  <si>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</si>
  <si>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</si>
  <si>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</si>
  <si>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</si>
  <si>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</si>
  <si>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</si>
  <si>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</si>
  <si>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</si>
  <si>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</si>
  <si>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</si>
  <si>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</si>
  <si>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</si>
  <si>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</si>
  <si>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</si>
  <si>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</si>
  <si>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</si>
  <si>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</si>
  <si>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</si>
  <si>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</si>
  <si>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</si>
  <si>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</si>
  <si>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</si>
  <si>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</si>
  <si>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</si>
  <si>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</si>
  <si>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</si>
  <si>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</si>
  <si>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</si>
  <si>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</si>
  <si>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</si>
  <si>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</si>
  <si>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</si>
  <si>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</si>
  <si>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</si>
  <si>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</si>
  <si>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</si>
  <si>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</si>
  <si>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</si>
  <si>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</si>
  <si>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</si>
  <si>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</si>
  <si>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</si>
  <si>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</si>
  <si>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</si>
  <si>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</si>
  <si>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</si>
  <si>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</si>
  <si>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</si>
  <si>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</si>
  <si>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</si>
  <si>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</si>
  <si>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</si>
  <si>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</si>
  <si>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</si>
  <si>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</si>
  <si>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</si>
  <si>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</si>
  <si>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</si>
  <si>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</si>
  <si>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</si>
  <si>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</si>
  <si>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</si>
  <si>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</si>
  <si>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</si>
  <si>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</si>
  <si>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</si>
  <si>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</si>
  <si>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</si>
  <si>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</si>
  <si>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</si>
  <si>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</si>
  <si>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</si>
  <si>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</si>
  <si>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</si>
  <si>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</si>
  <si>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</si>
  <si>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</si>
  <si>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</si>
  <si>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</si>
  <si>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</si>
  <si>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</si>
  <si>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</si>
  <si>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</si>
  <si>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</si>
  <si>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</si>
  <si>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</si>
  <si>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</si>
  <si>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</si>
  <si>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</si>
  <si>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</si>
  <si>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</si>
  <si>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</si>
  <si>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</si>
  <si>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</si>
  <si>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</si>
  <si>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</si>
  <si>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</si>
  <si>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</si>
  <si>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</si>
  <si>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</si>
  <si>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</si>
  <si>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</si>
  <si>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</si>
  <si>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</si>
  <si>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</si>
  <si>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</si>
  <si>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</si>
  <si>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</si>
  <si>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</si>
  <si>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</si>
  <si>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</si>
  <si>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</si>
  <si>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</si>
  <si>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</si>
  <si>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</si>
  <si>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</si>
  <si>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</si>
  <si>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</si>
  <si>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</si>
  <si>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</si>
  <si>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</si>
  <si>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</si>
  <si>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</si>
  <si>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</si>
  <si>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</si>
  <si>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</si>
  <si>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</si>
  <si>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</si>
  <si>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</si>
  <si>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</si>
  <si>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</si>
  <si>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</si>
  <si>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</si>
  <si>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</si>
  <si>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</si>
  <si>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</si>
  <si>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</si>
  <si>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</si>
  <si>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</si>
  <si>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</si>
  <si>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</si>
  <si>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</si>
  <si>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</si>
  <si>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</si>
  <si>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</si>
  <si>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</si>
  <si>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</si>
  <si>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</si>
  <si>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</si>
  <si>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</si>
  <si>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</si>
  <si>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</si>
  <si>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Higher_Strike</t>
  </si>
  <si>
    <t>Higher_Strike_LTP</t>
  </si>
  <si>
    <t>Net Credit</t>
  </si>
  <si>
    <t>Max Risk</t>
  </si>
  <si>
    <t>Lower_Strike</t>
  </si>
  <si>
    <t>Lower_Strike_LTP</t>
  </si>
  <si>
    <t xml:space="preserve"> ADANIENT|OC Downloaded | PCR and IVSKEW test passed |  valid expiry of [datetime.date(2019, 1, 31)]| Final OC Accepted 
 AKSHOPTFBR| ARVIND|OC Downloaded | PCR and IVSKEW test passed |  valid expiry of [datetime.date(2019, 1, 31), datetime.date(2019, 2, 28)]| ASHOKLEY|OC Downloaded | PCR and IVSKEW test passed |  valid expiry of [datetime.date(2019, 1, 31), datetime.date(2019, 2, 28)]| Final OC Accepted 
 AUROPHARMA|OC Downloaded | PCR and IVSKEW test passed |  valid expiry of [datetime.date(2019, 1, 31), datetime.date(2019, 2, 28)]| Final OC Accepted 
 BAJAJHIND| BALKRISIND|OC Downloaded | PCR and IVSKEW test passed |  valid expiry of [datetime.date(2019, 1, 31)]| BALRAMCHIN| BEL|OC Downloaded | PCR and IVSKEW test passed |  valid expiry of [datetime.date(2019, 1, 31), datetime.date(2019, 2, 28)]| Final OC Accepted 
 BHARATFORG|OC Downloaded | PCR and IVSKEW test passed |  valid expiry of [datetime.date(2019, 1, 31), datetime.date(2019, 2, 28)]| Final OC Accepted 
 BOMDYEING| CADILAHC|OC Downloaded | PCR and IVSKEW test passed |  valid expiry of [datetime.date(2019, 1, 31)]| Final OC Accepted 
 CIPLA|OC Downloaded | PCR and IVSKEW test passed |  valid expiry of [datetime.date(2019, 1, 31), datetime.date(2019, 2, 28)]| DAAWAT| DENABANK| DIVISLAB|OC Downloaded | PCR and IVSKEW test passed |  valid expiry of [datetime.date(2019, 1, 31), datetime.date(2019, 2, 28)]| Final OC Accepted 
 DWARKESH| FORTIS| FSL| GATI| GLENMARK|OC Downloaded | PCR and IVSKEW test passed |  valid expiry of [datetime.date(2019, 1, 31)]| Final OC Accepted 
 GMRINFRA|OC Downloaded | PCR and IVSKEW test passed |  valid expiry of [datetime.date(2019, 1, 31), datetime.date(2019, 2, 28)]| Final OC Accepted 
 GRANULES| GRAPHITE| GRASIM|OC Downloaded | PCR and IVSKEW test passed |  valid expiry of [datetime.date(2019, 1, 31)]| GRUH| HAVELLS|OC Downloaded | PCR and IVSKEW test passed |  valid expiry of [datetime.date(2019, 1, 31)]| Final OC Accepted 
 HCC| HCL-INSYS| HCLTECH|OC Downloaded | PCR and IVSKEW test passed |  valid expiry of [datetime.date(2019, 1, 31)]| Final OC Accepted 
 HINDALCO|OC Downloaded | PCR and IVSKEW test passed |  valid expiry of [datetime.date(2019, 1, 31), datetime.date(2019, 2, 28)]| IBREALEST| IDEA| IOC| ITI| JAICORPLTD| JETAIRWAYS| JINDALSAW| JINDALSTEL| JISLJALEQS| JKPAPER| JKTYRE| JSL| JSWSTEEL| KPIT| LAKSHVILAS| LIQUIDBEES| LT| M&amp;M| MARKSANS| MCDOWELL-N| MEGH| MINDTREE| MRPL| NATIONALUM| NIITTECH| NMDC| NTPC| ONGC| ORIENTPPR| PENINLAND| PETRONET| PHILIPCARB| PRAKASH| RECLTD| RELCAPITAL| RELINFRA| RENUKA| ROLTA| RPOWER| SAIL| SANWARIA| SCI| SINTEX| SRTRANSFIN| STRTECH| SUNPHARMA| SUNTV| TATAELXSI| TATAMTRDVR| TATAPOWER| TATASTEEL| TECHM| TORNTPOWER| TVSMOTOR| USHAMART| VOLTAS| WOCKPHARMA| YESBANK|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</si>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</sst>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1861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1862</v>
      </c>
      <c r="E14" s="19" t="s">
        <v>1863</v>
      </c>
      <c r="F14" s="19" t="s">
        <v>1868</v>
      </c>
      <c r="G14" s="19" t="s">
        <v>1864</v>
      </c>
      <c r="H14" s="19" t="s">
        <v>1865</v>
      </c>
      <c r="I14" s="19" t="s">
        <v>1866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1867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1869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1870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1871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1872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1873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1874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1875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1876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1877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1878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1879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1880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1881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1882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1883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1884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1885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1886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1887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1888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1889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1890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N8" sqref="N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64" t="s">
        <v>1892</v>
      </c>
      <c r="B1" s="59" t="s">
        <v>1823</v>
      </c>
      <c r="C1" s="59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1</v>
      </c>
      <c r="B2" s="60"/>
      <c r="C2" s="60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61" t="s">
        <v>1851</v>
      </c>
      <c r="R2" s="63"/>
      <c r="S2" s="61" t="s">
        <v>1849</v>
      </c>
      <c r="T2" s="62"/>
      <c r="U2" s="62"/>
      <c r="V2" s="63"/>
      <c r="W2" s="61" t="s">
        <v>1850</v>
      </c>
      <c r="X2" s="62"/>
      <c r="Y2" s="62"/>
      <c r="Z2" s="63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43951</v>
      </c>
      <c r="C4" s="10" t="s">
        <v>1530</v>
      </c>
      <c r="D4" s="1">
        <v>476.95</v>
      </c>
      <c r="E4" s="30">
        <v>1250</v>
      </c>
      <c r="F4" s="1">
        <v>490</v>
      </c>
      <c r="G4" s="1">
        <v>18.600000000000001</v>
      </c>
      <c r="H4" s="1">
        <v>266250</v>
      </c>
      <c r="I4" s="1">
        <v>1250</v>
      </c>
      <c r="J4" s="1">
        <v>18.7</v>
      </c>
      <c r="K4" s="1">
        <v>19.45</v>
      </c>
      <c r="L4" s="1">
        <v>1250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5"/>
      <c r="AE4" s="34" t="s">
        <v>1846</v>
      </c>
    </row>
    <row r="5" spans="1:36" x14ac:dyDescent="0.25">
      <c r="A5" s="3"/>
      <c r="B5" s="25">
        <v>43951</v>
      </c>
      <c r="C5" s="10" t="s">
        <v>409</v>
      </c>
      <c r="D5" s="1">
        <v>3848.95</v>
      </c>
      <c r="E5" s="30">
        <v>250</v>
      </c>
      <c r="F5" s="1">
        <v>3800</v>
      </c>
      <c r="G5" s="1">
        <v>214.05</v>
      </c>
      <c r="H5" s="1">
        <v>29750</v>
      </c>
      <c r="I5" s="1">
        <v>250</v>
      </c>
      <c r="J5" s="1">
        <v>214</v>
      </c>
      <c r="K5" s="1">
        <v>224.95</v>
      </c>
      <c r="L5" s="1">
        <v>250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43951</v>
      </c>
      <c r="C6" s="10" t="s">
        <v>644</v>
      </c>
      <c r="D6" s="1">
        <v>2470.65</v>
      </c>
      <c r="E6" s="30">
        <v>300</v>
      </c>
      <c r="F6" s="1">
        <v>2480</v>
      </c>
      <c r="G6" s="1">
        <v>78.25</v>
      </c>
      <c r="H6" s="1">
        <v>15600</v>
      </c>
      <c r="I6" s="1">
        <v>300</v>
      </c>
      <c r="J6" s="1">
        <v>78.8</v>
      </c>
      <c r="K6" s="1">
        <v>97.75</v>
      </c>
      <c r="L6" s="1">
        <v>300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43951</v>
      </c>
      <c r="C7" s="10" t="s">
        <v>18</v>
      </c>
      <c r="D7" s="1">
        <v>2393.85</v>
      </c>
      <c r="E7" s="30">
        <v>400</v>
      </c>
      <c r="F7" s="1">
        <v>2400</v>
      </c>
      <c r="G7" s="1">
        <v>127</v>
      </c>
      <c r="H7" s="1">
        <v>44800</v>
      </c>
      <c r="I7" s="1">
        <v>400</v>
      </c>
      <c r="J7" s="1">
        <v>122</v>
      </c>
      <c r="K7" s="1">
        <v>128.19999999999999</v>
      </c>
      <c r="L7" s="1">
        <v>2000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43951</v>
      </c>
      <c r="C8" s="10" t="s">
        <v>247</v>
      </c>
      <c r="D8" s="1">
        <v>343.85</v>
      </c>
      <c r="E8" s="30">
        <v>2300</v>
      </c>
      <c r="F8" s="1">
        <v>340</v>
      </c>
      <c r="G8" s="1">
        <v>30.85</v>
      </c>
      <c r="H8" s="1">
        <v>230000</v>
      </c>
      <c r="I8" s="1">
        <v>2300</v>
      </c>
      <c r="J8" s="1">
        <v>30</v>
      </c>
      <c r="K8" s="1">
        <v>31.95</v>
      </c>
      <c r="L8" s="1">
        <v>6900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43951</v>
      </c>
      <c r="C9" s="10" t="s">
        <v>327</v>
      </c>
      <c r="D9" s="1">
        <v>608.79999999999995</v>
      </c>
      <c r="E9" s="30">
        <v>1150</v>
      </c>
      <c r="F9" s="1">
        <v>600</v>
      </c>
      <c r="G9" s="1">
        <v>38</v>
      </c>
      <c r="H9" s="1">
        <v>402500</v>
      </c>
      <c r="I9" s="1">
        <v>1150</v>
      </c>
      <c r="J9" s="1">
        <v>37.65</v>
      </c>
      <c r="K9" s="1">
        <v>38.35</v>
      </c>
      <c r="L9" s="1">
        <v>1150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43951</v>
      </c>
      <c r="C10" s="10" t="s">
        <v>933</v>
      </c>
      <c r="D10" s="1">
        <v>846.15</v>
      </c>
      <c r="E10" s="30">
        <v>700</v>
      </c>
      <c r="F10" s="1">
        <v>850</v>
      </c>
      <c r="G10" s="1">
        <v>38.950000000000003</v>
      </c>
      <c r="H10" s="1">
        <v>136500</v>
      </c>
      <c r="I10" s="1">
        <v>1400</v>
      </c>
      <c r="J10" s="1">
        <v>38.200000000000003</v>
      </c>
      <c r="K10" s="1">
        <v>38.450000000000003</v>
      </c>
      <c r="L10" s="1">
        <v>700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/>
      <c r="C11" s="10"/>
      <c r="D11" s="1"/>
      <c r="E11" s="30"/>
      <c r="F11" s="1"/>
      <c r="G11" s="1"/>
      <c r="H11" s="1"/>
      <c r="I11" s="1"/>
      <c r="J11" s="1"/>
      <c r="K11" s="1"/>
      <c r="L11" s="1"/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/>
      <c r="C12" s="10"/>
      <c r="D12" s="1"/>
      <c r="E12" s="30"/>
      <c r="F12" s="1"/>
      <c r="G12" s="1"/>
      <c r="H12" s="1"/>
      <c r="I12" s="1"/>
      <c r="J12" s="1"/>
      <c r="K12" s="1"/>
      <c r="L12" s="1"/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/>
      <c r="C13" s="10"/>
      <c r="D13" s="1"/>
      <c r="E13" s="30"/>
      <c r="F13" s="1"/>
      <c r="G13" s="1"/>
      <c r="H13" s="1"/>
      <c r="I13" s="1"/>
      <c r="J13" s="1"/>
      <c r="K13" s="1"/>
      <c r="L13" s="1"/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/>
      <c r="C14" s="10"/>
      <c r="D14" s="1"/>
      <c r="E14" s="30"/>
      <c r="F14" s="1"/>
      <c r="G14" s="1"/>
      <c r="H14" s="1"/>
      <c r="I14" s="1"/>
      <c r="J14" s="1"/>
      <c r="K14" s="1"/>
      <c r="L14" s="1"/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/>
      <c r="C15" s="10"/>
      <c r="D15" s="1"/>
      <c r="E15" s="30"/>
      <c r="F15" s="1"/>
      <c r="G15" s="1"/>
      <c r="H15" s="1"/>
      <c r="I15" s="1"/>
      <c r="J15" s="1"/>
      <c r="K15" s="1"/>
      <c r="L15" s="1"/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59"/>
      <c r="C1" s="59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0"/>
      <c r="C2" s="6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si="2">R4/D4-1</f>
        <v>-0.79104477611940305</v>
      </c>
      <c r="R4" s="33">
        <f t="shared" ref="R4:R35" si="3">mrigxl_stockquote(C4)</f>
        <v>1.4</v>
      </c>
      <c r="S4" s="33">
        <f t="shared" ref="S4:S35" si="4">(MIN(F4,R4)-D4+G4)*E4</f>
        <v>-161500.00000000003</v>
      </c>
      <c r="T4" s="7">
        <f t="shared" ref="T4:T35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si="2"/>
        <v>-0.79104477611940305</v>
      </c>
      <c r="R5" s="33">
        <f t="shared" si="3"/>
        <v>1.4</v>
      </c>
      <c r="S5" s="33">
        <f t="shared" si="4"/>
        <v>-164900.00000000003</v>
      </c>
      <c r="T5" s="7">
        <f t="shared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si="2"/>
        <v>-1.6611295681063121E-2</v>
      </c>
      <c r="R6" s="33">
        <f t="shared" si="3"/>
        <v>148</v>
      </c>
      <c r="S6" s="33">
        <f t="shared" si="4"/>
        <v>14600.000000000002</v>
      </c>
      <c r="T6" s="7">
        <f t="shared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si="2"/>
        <v>-0.57425742574257432</v>
      </c>
      <c r="R7" s="33">
        <f t="shared" si="3"/>
        <v>34.4</v>
      </c>
      <c r="S7" s="33">
        <f t="shared" si="4"/>
        <v>-261000</v>
      </c>
      <c r="T7" s="7">
        <f t="shared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si="2"/>
        <v>-0.60299116247450713</v>
      </c>
      <c r="R8" s="33">
        <f t="shared" si="3"/>
        <v>29.2</v>
      </c>
      <c r="S8" s="33">
        <f t="shared" si="4"/>
        <v>-252299.99999999997</v>
      </c>
      <c r="T8" s="7">
        <f t="shared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si="2"/>
        <v>-0.15137889688249395</v>
      </c>
      <c r="R9" s="33">
        <f t="shared" si="3"/>
        <v>141.55000000000001</v>
      </c>
      <c r="S9" s="33">
        <f t="shared" si="4"/>
        <v>-49125</v>
      </c>
      <c r="T9" s="7">
        <f t="shared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si="2"/>
        <v>0.19231685054369385</v>
      </c>
      <c r="R10" s="33">
        <f t="shared" si="3"/>
        <v>751.1</v>
      </c>
      <c r="S10" s="33">
        <f t="shared" si="4"/>
        <v>54174.999999999956</v>
      </c>
      <c r="T10" s="7">
        <f t="shared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si="2"/>
        <v>-1.6611295681063121E-2</v>
      </c>
      <c r="R11" s="33">
        <f t="shared" si="3"/>
        <v>148</v>
      </c>
      <c r="S11" s="33">
        <f t="shared" si="4"/>
        <v>19000</v>
      </c>
      <c r="T11" s="7">
        <f t="shared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si="2"/>
        <v>-0.51760228353948623</v>
      </c>
      <c r="R12" s="33">
        <f t="shared" si="3"/>
        <v>50.7</v>
      </c>
      <c r="S12" s="33">
        <f t="shared" si="4"/>
        <v>-204799.99999999994</v>
      </c>
      <c r="T12" s="7">
        <f t="shared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si="2"/>
        <v>-0.95263598326359833</v>
      </c>
      <c r="R13" s="33">
        <f t="shared" si="3"/>
        <v>14.15</v>
      </c>
      <c r="S13" s="33">
        <f t="shared" si="4"/>
        <v>-351910.00000000006</v>
      </c>
      <c r="T13" s="7">
        <f t="shared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si="2"/>
        <v>9.4082840236686449E-2</v>
      </c>
      <c r="R14" s="33">
        <f t="shared" si="3"/>
        <v>92.45</v>
      </c>
      <c r="S14" s="33">
        <f t="shared" si="4"/>
        <v>36000</v>
      </c>
      <c r="T14" s="7">
        <f t="shared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si="2"/>
        <v>-0.57425742574257432</v>
      </c>
      <c r="R15" s="33">
        <f t="shared" si="3"/>
        <v>34.4</v>
      </c>
      <c r="S15" s="33">
        <f t="shared" si="4"/>
        <v>-255000</v>
      </c>
      <c r="T15" s="7">
        <f t="shared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si="2"/>
        <v>-0.58355437665782506</v>
      </c>
      <c r="R16" s="33">
        <f t="shared" si="3"/>
        <v>15.7</v>
      </c>
      <c r="S16" s="33">
        <f t="shared" si="4"/>
        <v>-273900.00000000006</v>
      </c>
      <c r="T16" s="7">
        <f t="shared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si="2"/>
        <v>-0.95263598326359833</v>
      </c>
      <c r="R17" s="33">
        <f t="shared" si="3"/>
        <v>14.15</v>
      </c>
      <c r="S17" s="33">
        <f t="shared" si="4"/>
        <v>-345605.00000000006</v>
      </c>
      <c r="T17" s="7">
        <f t="shared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si="2"/>
        <v>0.11041990668740298</v>
      </c>
      <c r="R18" s="33">
        <f t="shared" si="3"/>
        <v>35.700000000000003</v>
      </c>
      <c r="S18" s="33">
        <f t="shared" si="4"/>
        <v>19350.000000000011</v>
      </c>
      <c r="T18" s="7">
        <f t="shared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si="2"/>
        <v>-0.67058823529411771</v>
      </c>
      <c r="R19" s="33">
        <f t="shared" si="3"/>
        <v>4.2</v>
      </c>
      <c r="S19" s="33">
        <f t="shared" si="4"/>
        <v>-198750.00000000003</v>
      </c>
      <c r="T19" s="7">
        <f t="shared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si="2"/>
        <v>-0.62967504598405888</v>
      </c>
      <c r="R20" s="33">
        <f t="shared" si="3"/>
        <v>90.6</v>
      </c>
      <c r="S20" s="33">
        <f t="shared" si="4"/>
        <v>-286300</v>
      </c>
      <c r="T20" s="7">
        <f t="shared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si="2"/>
        <v>-0.15137889688249395</v>
      </c>
      <c r="R21" s="33">
        <f t="shared" si="3"/>
        <v>141.55000000000001</v>
      </c>
      <c r="S21" s="33">
        <f t="shared" si="4"/>
        <v>-43500</v>
      </c>
      <c r="T21" s="7">
        <f t="shared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si="2"/>
        <v>3.5888252148997157E-2</v>
      </c>
      <c r="R22" s="33">
        <f t="shared" si="3"/>
        <v>723.05</v>
      </c>
      <c r="S22" s="33">
        <f t="shared" si="4"/>
        <v>22825</v>
      </c>
      <c r="T22" s="7">
        <f t="shared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si="2"/>
        <v>-3.849557522123892E-2</v>
      </c>
      <c r="R23" s="33">
        <f t="shared" si="3"/>
        <v>217.3</v>
      </c>
      <c r="S23" s="33">
        <f t="shared" si="4"/>
        <v>3228.7500000000177</v>
      </c>
      <c r="T23" s="7">
        <f t="shared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si="2"/>
        <v>-0.60299116247450713</v>
      </c>
      <c r="R24" s="33">
        <f t="shared" si="3"/>
        <v>29.2</v>
      </c>
      <c r="S24" s="33">
        <f t="shared" si="4"/>
        <v>-246299.99999999997</v>
      </c>
      <c r="T24" s="7">
        <f t="shared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si="2"/>
        <v>-0.5143939393939394</v>
      </c>
      <c r="R25" s="33">
        <f t="shared" si="3"/>
        <v>32.049999999999997</v>
      </c>
      <c r="S25" s="33">
        <f t="shared" si="4"/>
        <v>-172150.00000000003</v>
      </c>
      <c r="T25" s="7">
        <f t="shared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si="2"/>
        <v>-0.21546529792457048</v>
      </c>
      <c r="R26" s="33">
        <f t="shared" si="3"/>
        <v>351.55</v>
      </c>
      <c r="S26" s="33">
        <f t="shared" si="4"/>
        <v>-62040.000000000007</v>
      </c>
      <c r="T26" s="7">
        <f t="shared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si="2"/>
        <v>-0.47762998790810152</v>
      </c>
      <c r="R27" s="33">
        <f t="shared" si="3"/>
        <v>43.2</v>
      </c>
      <c r="S27" s="33">
        <f t="shared" si="4"/>
        <v>-293600</v>
      </c>
      <c r="T27" s="7">
        <f t="shared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si="2"/>
        <v>-0.10572259941804063</v>
      </c>
      <c r="R28" s="33">
        <f t="shared" si="3"/>
        <v>92.2</v>
      </c>
      <c r="S28" s="33">
        <f t="shared" si="4"/>
        <v>-38999.999999999949</v>
      </c>
      <c r="T28" s="7">
        <f t="shared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si="2"/>
        <v>0.19231685054369385</v>
      </c>
      <c r="R29" s="33">
        <f t="shared" si="3"/>
        <v>751.1</v>
      </c>
      <c r="S29" s="33">
        <f t="shared" si="4"/>
        <v>41634.999999999949</v>
      </c>
      <c r="T29" s="7">
        <f t="shared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si="2"/>
        <v>-0.21546529792457048</v>
      </c>
      <c r="R30" s="33">
        <f t="shared" si="3"/>
        <v>351.55</v>
      </c>
      <c r="S30" s="33">
        <f t="shared" si="4"/>
        <v>-57240.000000000007</v>
      </c>
      <c r="T30" s="7">
        <f t="shared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si="2"/>
        <v>-0.62967504598405888</v>
      </c>
      <c r="R31" s="33">
        <f t="shared" si="3"/>
        <v>90.6</v>
      </c>
      <c r="S31" s="33">
        <f t="shared" si="4"/>
        <v>-280200.00000000006</v>
      </c>
      <c r="T31" s="7">
        <f t="shared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si="2"/>
        <v>0.14729166666666682</v>
      </c>
      <c r="R32" s="33">
        <f t="shared" si="3"/>
        <v>275.35000000000002</v>
      </c>
      <c r="S32" s="33">
        <f t="shared" si="4"/>
        <v>17500</v>
      </c>
      <c r="T32" s="7">
        <f t="shared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si="2"/>
        <v>0.11495535714285721</v>
      </c>
      <c r="R33" s="33">
        <f t="shared" si="3"/>
        <v>49.95</v>
      </c>
      <c r="S33" s="33">
        <f t="shared" si="4"/>
        <v>28600.000000000029</v>
      </c>
      <c r="T33" s="7">
        <f t="shared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si="2"/>
        <v>0.12186490229266056</v>
      </c>
      <c r="R34" s="33">
        <f t="shared" si="3"/>
        <v>364.55</v>
      </c>
      <c r="S34" s="33">
        <f t="shared" si="4"/>
        <v>33210.000000000015</v>
      </c>
      <c r="T34" s="7">
        <f t="shared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si="2"/>
        <v>0.17172393588080181</v>
      </c>
      <c r="R35" s="33">
        <f t="shared" si="3"/>
        <v>1399.8</v>
      </c>
      <c r="S35" s="33">
        <f t="shared" si="4"/>
        <v>33674.999999999956</v>
      </c>
      <c r="T35" s="7">
        <f t="shared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si="9">R36/D36-1</f>
        <v>-0.94213381555153708</v>
      </c>
      <c r="R36" s="33">
        <f t="shared" ref="R36:R67" si="10">mrigxl_stockquote(C36)</f>
        <v>1.6</v>
      </c>
      <c r="S36" s="33">
        <f t="shared" ref="S36:S67" si="11">(MIN(F36,R36)-D36+G36)*E36</f>
        <v>-318499.99999999994</v>
      </c>
      <c r="T36" s="7">
        <f t="shared" ref="T36:T67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si="9"/>
        <v>-0.53214513049013368</v>
      </c>
      <c r="R37" s="33">
        <f t="shared" si="10"/>
        <v>73.5</v>
      </c>
      <c r="S37" s="33">
        <f t="shared" si="11"/>
        <v>-186479.99999999997</v>
      </c>
      <c r="T37" s="7">
        <f t="shared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si="9"/>
        <v>-0.47794373046196592</v>
      </c>
      <c r="R38" s="33">
        <f t="shared" si="10"/>
        <v>75.150000000000006</v>
      </c>
      <c r="S38" s="33">
        <f t="shared" si="11"/>
        <v>-154499.99999999997</v>
      </c>
      <c r="T38" s="7">
        <f t="shared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si="9"/>
        <v>-0.60614081524616203</v>
      </c>
      <c r="R39" s="33">
        <f t="shared" si="10"/>
        <v>334.8</v>
      </c>
      <c r="S39" s="33">
        <f t="shared" si="11"/>
        <v>-263202.5</v>
      </c>
      <c r="T39" s="7">
        <f t="shared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si="9"/>
        <v>-0.40088888888888885</v>
      </c>
      <c r="R40" s="33">
        <f t="shared" si="10"/>
        <v>67.400000000000006</v>
      </c>
      <c r="S40" s="33">
        <f t="shared" si="11"/>
        <v>-145249.99999999997</v>
      </c>
      <c r="T40" s="7">
        <f t="shared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si="9"/>
        <v>-3.849557522123892E-2</v>
      </c>
      <c r="R41" s="33">
        <f t="shared" si="10"/>
        <v>217.3</v>
      </c>
      <c r="S41" s="33">
        <f t="shared" si="11"/>
        <v>6772.5000000000182</v>
      </c>
      <c r="T41" s="7">
        <f t="shared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si="9"/>
        <v>-1.4367816091953589E-3</v>
      </c>
      <c r="R42" s="33">
        <f t="shared" si="10"/>
        <v>347.5</v>
      </c>
      <c r="S42" s="33">
        <f t="shared" si="11"/>
        <v>43862.5</v>
      </c>
      <c r="T42" s="7">
        <f t="shared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si="9"/>
        <v>3.8932146829810943E-3</v>
      </c>
      <c r="R43" s="33">
        <f t="shared" si="10"/>
        <v>90.25</v>
      </c>
      <c r="S43" s="33">
        <f t="shared" si="11"/>
        <v>27899.999999999964</v>
      </c>
      <c r="T43" s="7">
        <f t="shared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si="9"/>
        <v>0.11041990668740298</v>
      </c>
      <c r="R44" s="33">
        <f t="shared" si="10"/>
        <v>35.700000000000003</v>
      </c>
      <c r="S44" s="33">
        <f t="shared" si="11"/>
        <v>14850.000000000013</v>
      </c>
      <c r="T44" s="7">
        <f t="shared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si="9"/>
        <v>0.74083209998355515</v>
      </c>
      <c r="R45" s="33">
        <f t="shared" si="10"/>
        <v>529.29999999999995</v>
      </c>
      <c r="S45" s="33">
        <f t="shared" si="11"/>
        <v>26604.999999999978</v>
      </c>
      <c r="T45" s="7">
        <f t="shared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si="9"/>
        <v>-0.16193181818181823</v>
      </c>
      <c r="R46" s="33">
        <f t="shared" si="10"/>
        <v>368.75</v>
      </c>
      <c r="S46" s="33">
        <f t="shared" si="11"/>
        <v>-49000</v>
      </c>
      <c r="T46" s="7">
        <f t="shared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si="9"/>
        <v>-0.58355437665782506</v>
      </c>
      <c r="R47" s="33">
        <f t="shared" si="10"/>
        <v>15.7</v>
      </c>
      <c r="S47" s="33">
        <f t="shared" si="11"/>
        <v>-269280</v>
      </c>
      <c r="T47" s="7">
        <f t="shared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si="9"/>
        <v>0.11495535714285721</v>
      </c>
      <c r="R48" s="33">
        <f t="shared" si="10"/>
        <v>49.95</v>
      </c>
      <c r="S48" s="33">
        <f t="shared" si="11"/>
        <v>24750.000000000029</v>
      </c>
      <c r="T48" s="7">
        <f t="shared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si="9"/>
        <v>-0.10572259941804063</v>
      </c>
      <c r="R49" s="33">
        <f t="shared" si="10"/>
        <v>92.2</v>
      </c>
      <c r="S49" s="33">
        <f t="shared" si="11"/>
        <v>-30899.999999999949</v>
      </c>
      <c r="T49" s="7">
        <f t="shared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si="9"/>
        <v>-0.637029831387808</v>
      </c>
      <c r="R50" s="33">
        <f t="shared" si="10"/>
        <v>279.85000000000002</v>
      </c>
      <c r="S50" s="33">
        <f t="shared" si="11"/>
        <v>-369400</v>
      </c>
      <c r="T50" s="7">
        <f t="shared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si="9"/>
        <v>-0.76603911533540492</v>
      </c>
      <c r="R51" s="33">
        <f t="shared" si="10"/>
        <v>64</v>
      </c>
      <c r="S51" s="33">
        <f t="shared" si="11"/>
        <v>-296400.00000000006</v>
      </c>
      <c r="T51" s="7">
        <f t="shared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si="9"/>
        <v>-0.51760228353948623</v>
      </c>
      <c r="R52" s="33">
        <f t="shared" si="10"/>
        <v>50.7</v>
      </c>
      <c r="S52" s="33">
        <f t="shared" si="11"/>
        <v>-196799.99999999994</v>
      </c>
      <c r="T52" s="7">
        <f t="shared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si="9"/>
        <v>-0.39390454284071308</v>
      </c>
      <c r="R53" s="33">
        <f t="shared" si="10"/>
        <v>263.5</v>
      </c>
      <c r="S53" s="33">
        <f t="shared" si="11"/>
        <v>-171050</v>
      </c>
      <c r="T53" s="7">
        <f t="shared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si="9"/>
        <v>#VALUE!</v>
      </c>
      <c r="R54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si="11"/>
        <v>22949.999999999975</v>
      </c>
      <c r="T54" s="7">
        <f t="shared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si="9"/>
        <v>-0.48984063745019912</v>
      </c>
      <c r="R55" s="33">
        <f t="shared" si="10"/>
        <v>256.10000000000002</v>
      </c>
      <c r="S55" s="33">
        <f t="shared" si="11"/>
        <v>-201959.99999999997</v>
      </c>
      <c r="T55" s="7">
        <f t="shared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si="9"/>
        <v>-0.43071192052980134</v>
      </c>
      <c r="R56" s="33">
        <f t="shared" si="10"/>
        <v>343.85</v>
      </c>
      <c r="S56" s="33">
        <f t="shared" si="11"/>
        <v>-213569.99999999997</v>
      </c>
      <c r="T56" s="7">
        <f t="shared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si="9"/>
        <v>1.6001855287569589E-2</v>
      </c>
      <c r="R57" s="33">
        <f t="shared" si="10"/>
        <v>1095.25</v>
      </c>
      <c r="S57" s="33">
        <f t="shared" si="11"/>
        <v>37837.5</v>
      </c>
      <c r="T57" s="7">
        <f t="shared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si="9"/>
        <v>0.17172393588080181</v>
      </c>
      <c r="R58" s="33">
        <f t="shared" si="10"/>
        <v>1399.8</v>
      </c>
      <c r="S58" s="33">
        <f t="shared" si="11"/>
        <v>27499.999999999953</v>
      </c>
      <c r="T58" s="7">
        <f t="shared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si="9"/>
        <v>-0.34732824427480913</v>
      </c>
      <c r="R59" s="33">
        <f t="shared" si="10"/>
        <v>85.5</v>
      </c>
      <c r="S59" s="33">
        <f t="shared" si="11"/>
        <v>-123000</v>
      </c>
      <c r="T59" s="7">
        <f t="shared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si="9"/>
        <v>-0.48962655601659755</v>
      </c>
      <c r="R60" s="33">
        <f t="shared" si="10"/>
        <v>43.05</v>
      </c>
      <c r="S60" s="33">
        <f t="shared" si="11"/>
        <v>-209549.99999999997</v>
      </c>
      <c r="T60" s="7">
        <f t="shared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si="9"/>
        <v>-0.45554511278195498</v>
      </c>
      <c r="R61" s="33">
        <f t="shared" si="10"/>
        <v>289.64999999999998</v>
      </c>
      <c r="S61" s="33">
        <f t="shared" si="11"/>
        <v>-226350.00000000003</v>
      </c>
      <c r="T61" s="7">
        <f t="shared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si="9"/>
        <v>-0.46383182799136757</v>
      </c>
      <c r="R62" s="33">
        <f t="shared" si="10"/>
        <v>335.4</v>
      </c>
      <c r="S62" s="33">
        <f t="shared" si="11"/>
        <v>-266599.99999999994</v>
      </c>
      <c r="T62" s="7">
        <f t="shared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si="9"/>
        <v>-0.60614081524616203</v>
      </c>
      <c r="R63" s="33">
        <f t="shared" si="10"/>
        <v>334.8</v>
      </c>
      <c r="S63" s="33">
        <f t="shared" si="11"/>
        <v>-256987.5</v>
      </c>
      <c r="T63" s="7">
        <f t="shared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si="9"/>
        <v>-0.16485638426261162</v>
      </c>
      <c r="R64" s="33">
        <f t="shared" si="10"/>
        <v>173</v>
      </c>
      <c r="S64" s="33">
        <f t="shared" si="11"/>
        <v>-69625.000000000015</v>
      </c>
      <c r="T64" s="7">
        <f t="shared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si="9"/>
        <v>1.6001855287569589E-2</v>
      </c>
      <c r="R65" s="33">
        <f t="shared" si="10"/>
        <v>1095.25</v>
      </c>
      <c r="S65" s="33">
        <f t="shared" si="11"/>
        <v>35587.5</v>
      </c>
      <c r="T65" s="7">
        <f t="shared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si="9"/>
        <v>-0.5143939393939394</v>
      </c>
      <c r="R66" s="33">
        <f t="shared" si="10"/>
        <v>32.049999999999997</v>
      </c>
      <c r="S66" s="33">
        <f t="shared" si="11"/>
        <v>-165275.00000000003</v>
      </c>
      <c r="T66" s="7">
        <f t="shared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si="9"/>
        <v>-0.18614901794844674</v>
      </c>
      <c r="R67" s="33">
        <f t="shared" si="10"/>
        <v>1154</v>
      </c>
      <c r="S67" s="33">
        <f t="shared" si="11"/>
        <v>-73580.000000000015</v>
      </c>
      <c r="T67" s="7">
        <f t="shared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si="16">R68/D68-1</f>
        <v>-0.23722538649308378</v>
      </c>
      <c r="R68" s="33">
        <f t="shared" ref="R68:R99" si="17">mrigxl_stockquote(C68)</f>
        <v>937.45</v>
      </c>
      <c r="S68" s="33">
        <f t="shared" ref="S68:S99" si="18">(MIN(F68,R68)-D68+G68)*E68</f>
        <v>-174194.99999999997</v>
      </c>
      <c r="T68" s="7">
        <f t="shared" ref="T68:T99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si="16"/>
        <v>-0.94213381555153708</v>
      </c>
      <c r="R69" s="33">
        <f t="shared" si="17"/>
        <v>1.6</v>
      </c>
      <c r="S69" s="33">
        <f t="shared" si="18"/>
        <v>-323050</v>
      </c>
      <c r="T69" s="7">
        <f t="shared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si="16"/>
        <v>0.78373565492679065</v>
      </c>
      <c r="R70" s="33">
        <f t="shared" si="17"/>
        <v>450.75</v>
      </c>
      <c r="S70" s="33">
        <f t="shared" si="18"/>
        <v>29975.000000000029</v>
      </c>
      <c r="T70" s="7">
        <f t="shared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si="16"/>
        <v>-0.53214513049013368</v>
      </c>
      <c r="R71" s="33">
        <f t="shared" si="17"/>
        <v>73.5</v>
      </c>
      <c r="S71" s="33">
        <f t="shared" si="18"/>
        <v>-179520</v>
      </c>
      <c r="T71" s="7">
        <f t="shared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si="16"/>
        <v>-0.40088888888888885</v>
      </c>
      <c r="R72" s="33">
        <f t="shared" si="17"/>
        <v>67.400000000000006</v>
      </c>
      <c r="S72" s="33">
        <f t="shared" si="18"/>
        <v>-141224.99999999997</v>
      </c>
      <c r="T72" s="7">
        <f t="shared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si="16"/>
        <v>4.7721530831850156E-3</v>
      </c>
      <c r="R73" s="33">
        <f t="shared" si="17"/>
        <v>536.9</v>
      </c>
      <c r="S73" s="33">
        <f t="shared" si="18"/>
        <v>19449.999999999953</v>
      </c>
      <c r="T73" s="7">
        <f t="shared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si="16"/>
        <v>-0.37529411764705889</v>
      </c>
      <c r="R74" s="33">
        <f t="shared" si="17"/>
        <v>690.3</v>
      </c>
      <c r="S74" s="33">
        <f t="shared" si="18"/>
        <v>-218370.00000000003</v>
      </c>
      <c r="T74" s="7">
        <f t="shared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si="16"/>
        <v>-0.56957773512476007</v>
      </c>
      <c r="R75" s="33">
        <f t="shared" si="17"/>
        <v>44.85</v>
      </c>
      <c r="S75" s="33">
        <f t="shared" si="18"/>
        <v>-251775</v>
      </c>
      <c r="T75" s="7">
        <f t="shared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si="16"/>
        <v>0.1947398955714561</v>
      </c>
      <c r="R76" s="33">
        <f t="shared" si="17"/>
        <v>1235.5999999999999</v>
      </c>
      <c r="S76" s="33">
        <f t="shared" si="18"/>
        <v>22439.999999999975</v>
      </c>
      <c r="T76" s="7">
        <f t="shared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si="16"/>
        <v>-0.60604713205869276</v>
      </c>
      <c r="R77" s="33">
        <f t="shared" si="17"/>
        <v>88.6</v>
      </c>
      <c r="S77" s="33">
        <f t="shared" si="18"/>
        <v>-382950</v>
      </c>
      <c r="T77" s="7">
        <f t="shared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si="16"/>
        <v>-0.35062675471548899</v>
      </c>
      <c r="R78" s="33">
        <f t="shared" si="17"/>
        <v>821.1</v>
      </c>
      <c r="S78" s="33">
        <f t="shared" si="18"/>
        <v>-135817.5</v>
      </c>
      <c r="T78" s="7">
        <f t="shared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si="16"/>
        <v>3.8932146829810943E-3</v>
      </c>
      <c r="R79" s="33">
        <f t="shared" si="17"/>
        <v>90.25</v>
      </c>
      <c r="S79" s="33">
        <f t="shared" si="18"/>
        <v>20699.999999999964</v>
      </c>
      <c r="T79" s="7">
        <f t="shared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si="16"/>
        <v>-0.43071192052980134</v>
      </c>
      <c r="R80" s="33">
        <f t="shared" si="17"/>
        <v>343.85</v>
      </c>
      <c r="S80" s="33">
        <f t="shared" si="18"/>
        <v>-210059.99999999997</v>
      </c>
      <c r="T80" s="7">
        <f t="shared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si="16"/>
        <v>-0.25828533266549802</v>
      </c>
      <c r="R81" s="33">
        <f t="shared" si="17"/>
        <v>444.25</v>
      </c>
      <c r="S81" s="33">
        <f t="shared" si="18"/>
        <v>-159840.00000000006</v>
      </c>
      <c r="T81" s="7">
        <f t="shared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si="16"/>
        <v>-0.637029831387808</v>
      </c>
      <c r="R82" s="33">
        <f t="shared" si="17"/>
        <v>279.85000000000002</v>
      </c>
      <c r="S82" s="33">
        <f t="shared" si="18"/>
        <v>-361039.99999999994</v>
      </c>
      <c r="T82" s="7">
        <f t="shared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si="16"/>
        <v>-0.44916226761533162</v>
      </c>
      <c r="R83" s="33">
        <f t="shared" si="17"/>
        <v>120</v>
      </c>
      <c r="S83" s="33">
        <f t="shared" si="18"/>
        <v>-313774.99999999994</v>
      </c>
      <c r="T83" s="7">
        <f t="shared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si="16"/>
        <v>-0.21956834532374103</v>
      </c>
      <c r="R84" s="33">
        <f t="shared" si="17"/>
        <v>542.4</v>
      </c>
      <c r="S84" s="33">
        <f t="shared" si="18"/>
        <v>-155160</v>
      </c>
      <c r="T84" s="7">
        <f t="shared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si="16"/>
        <v>0.64299931365820173</v>
      </c>
      <c r="R85" s="33">
        <f t="shared" si="17"/>
        <v>2393.85</v>
      </c>
      <c r="S85" s="33">
        <f t="shared" si="18"/>
        <v>22920</v>
      </c>
      <c r="T85" s="7">
        <f t="shared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si="16"/>
        <v>-0.48984063745019912</v>
      </c>
      <c r="R86" s="33">
        <f t="shared" si="17"/>
        <v>256.10000000000002</v>
      </c>
      <c r="S86" s="33">
        <f t="shared" si="18"/>
        <v>-207539.99999999997</v>
      </c>
      <c r="T86" s="7">
        <f t="shared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si="16"/>
        <v>-0.31676342525399126</v>
      </c>
      <c r="R87" s="33">
        <f t="shared" si="17"/>
        <v>188.3</v>
      </c>
      <c r="S87" s="33">
        <f t="shared" si="18"/>
        <v>-231300.00000000003</v>
      </c>
      <c r="T87" s="7">
        <f t="shared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si="16"/>
        <v>-0.42079999999999995</v>
      </c>
      <c r="R88" s="33">
        <f t="shared" si="17"/>
        <v>144.80000000000001</v>
      </c>
      <c r="S88" s="33">
        <f t="shared" si="18"/>
        <v>-193200</v>
      </c>
      <c r="T88" s="7">
        <f t="shared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si="16"/>
        <v>0.78373565492679065</v>
      </c>
      <c r="R89" s="33">
        <f t="shared" si="17"/>
        <v>450.75</v>
      </c>
      <c r="S89" s="33">
        <f t="shared" si="18"/>
        <v>23512.500000000033</v>
      </c>
      <c r="T89" s="7">
        <f t="shared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si="16"/>
        <v>0.19654841802492817</v>
      </c>
      <c r="R90" s="33">
        <f t="shared" si="17"/>
        <v>312</v>
      </c>
      <c r="S90" s="33">
        <f t="shared" si="18"/>
        <v>33150</v>
      </c>
      <c r="T90" s="7">
        <f t="shared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si="16"/>
        <v>4.7721530831850156E-3</v>
      </c>
      <c r="R91" s="33">
        <f t="shared" si="17"/>
        <v>536.9</v>
      </c>
      <c r="S91" s="33">
        <f t="shared" si="18"/>
        <v>17299.999999999975</v>
      </c>
      <c r="T91" s="7">
        <f t="shared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si="16"/>
        <v>-0.35062675471548899</v>
      </c>
      <c r="R92" s="33">
        <f t="shared" si="17"/>
        <v>821.1</v>
      </c>
      <c r="S92" s="33">
        <f t="shared" si="18"/>
        <v>-138775</v>
      </c>
      <c r="T92" s="7">
        <f t="shared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si="16"/>
        <v>-0.62695268704686447</v>
      </c>
      <c r="R93" s="33">
        <f t="shared" si="17"/>
        <v>249.55</v>
      </c>
      <c r="S93" s="33">
        <f t="shared" si="18"/>
        <v>-299475</v>
      </c>
      <c r="T93" s="7">
        <f t="shared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si="16"/>
        <v>0.4568319454958365</v>
      </c>
      <c r="R94" s="33">
        <f t="shared" si="17"/>
        <v>3848.95</v>
      </c>
      <c r="S94" s="33">
        <f t="shared" si="18"/>
        <v>20662.5</v>
      </c>
      <c r="T94" s="7">
        <f t="shared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si="16"/>
        <v>-0.62695268704686447</v>
      </c>
      <c r="R95" s="33">
        <f t="shared" si="17"/>
        <v>249.55</v>
      </c>
      <c r="S95" s="33">
        <f t="shared" si="18"/>
        <v>-293550</v>
      </c>
      <c r="T95" s="7">
        <f t="shared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si="16"/>
        <v>#VALUE!</v>
      </c>
      <c r="R96" s="33" t="str">
        <f t="shared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si="18"/>
        <v>13387.499999999975</v>
      </c>
      <c r="T96" s="7">
        <f t="shared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si="16"/>
        <v>-0.4242424242424242</v>
      </c>
      <c r="R97" s="33">
        <f t="shared" si="17"/>
        <v>190</v>
      </c>
      <c r="S97" s="33">
        <f t="shared" si="18"/>
        <v>-301920</v>
      </c>
      <c r="T97" s="7">
        <f t="shared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si="16"/>
        <v>-1.4367816091953589E-3</v>
      </c>
      <c r="R98" s="33">
        <f t="shared" si="17"/>
        <v>347.5</v>
      </c>
      <c r="S98" s="33">
        <f t="shared" si="18"/>
        <v>25437.5</v>
      </c>
      <c r="T98" s="7">
        <f t="shared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si="16"/>
        <v>0.19654841802492817</v>
      </c>
      <c r="R99" s="33">
        <f t="shared" si="17"/>
        <v>312</v>
      </c>
      <c r="S99" s="33">
        <f t="shared" si="18"/>
        <v>42150</v>
      </c>
      <c r="T99" s="7">
        <f t="shared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si="23">R100/D100-1</f>
        <v>-0.21956834532374103</v>
      </c>
      <c r="R100" s="33">
        <f t="shared" ref="R100:R121" si="24">mrigxl_stockquote(C100)</f>
        <v>542.4</v>
      </c>
      <c r="S100" s="33">
        <f t="shared" ref="S100:S121" si="25">(MIN(F100,R100)-D100+G100)*E100</f>
        <v>-144660.00000000003</v>
      </c>
      <c r="T100" s="7">
        <f t="shared" ref="T100:T12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si="23"/>
        <v>0.33509856977193664</v>
      </c>
      <c r="R101" s="33">
        <f t="shared" si="24"/>
        <v>1726.95</v>
      </c>
      <c r="S101" s="33">
        <f t="shared" si="25"/>
        <v>18090</v>
      </c>
      <c r="T101" s="7">
        <f t="shared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si="23"/>
        <v>-0.60604713205869276</v>
      </c>
      <c r="R102" s="33">
        <f t="shared" si="24"/>
        <v>88.6</v>
      </c>
      <c r="S102" s="33">
        <f t="shared" si="25"/>
        <v>-378900.00000000006</v>
      </c>
      <c r="T102" s="7">
        <f t="shared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si="23"/>
        <v>-0.3307639166636368</v>
      </c>
      <c r="R103" s="33">
        <f t="shared" si="24"/>
        <v>920.3</v>
      </c>
      <c r="S103" s="33">
        <f t="shared" si="25"/>
        <v>-153431.25000000006</v>
      </c>
      <c r="T103" s="7">
        <f t="shared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si="23"/>
        <v>0.4568319454958365</v>
      </c>
      <c r="R104" s="33">
        <f t="shared" si="24"/>
        <v>3848.95</v>
      </c>
      <c r="S104" s="33">
        <f t="shared" si="25"/>
        <v>26637.5</v>
      </c>
      <c r="T104" s="7">
        <f t="shared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si="23"/>
        <v>-0.27788805081381496</v>
      </c>
      <c r="R105" s="33">
        <f t="shared" si="24"/>
        <v>727.6</v>
      </c>
      <c r="S105" s="33">
        <f t="shared" si="25"/>
        <v>-97600</v>
      </c>
      <c r="T105" s="7">
        <f t="shared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si="23"/>
        <v>-0.4242424242424242</v>
      </c>
      <c r="R106" s="33">
        <f t="shared" si="24"/>
        <v>190</v>
      </c>
      <c r="S106" s="33">
        <f t="shared" si="25"/>
        <v>-311640</v>
      </c>
      <c r="T106" s="7">
        <f t="shared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si="23"/>
        <v>8.5116840176935771E-2</v>
      </c>
      <c r="R107" s="33">
        <f t="shared" si="24"/>
        <v>1214.3</v>
      </c>
      <c r="S107" s="33">
        <f t="shared" si="25"/>
        <v>33875.000000000022</v>
      </c>
      <c r="T107" s="7">
        <f t="shared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si="23"/>
        <v>-0.93148714260025178</v>
      </c>
      <c r="R108" s="33">
        <f t="shared" si="24"/>
        <v>19.05</v>
      </c>
      <c r="S108" s="33">
        <f t="shared" si="25"/>
        <v>-275400</v>
      </c>
      <c r="T108" s="7">
        <f t="shared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si="23"/>
        <v>8.5116840176935771E-2</v>
      </c>
      <c r="R109" s="33">
        <f t="shared" si="24"/>
        <v>1214.3</v>
      </c>
      <c r="S109" s="33">
        <f t="shared" si="25"/>
        <v>18475.000000000022</v>
      </c>
      <c r="T109" s="7">
        <f t="shared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si="23"/>
        <v>-0.53194180898165722</v>
      </c>
      <c r="R110" s="33">
        <f t="shared" si="24"/>
        <v>37</v>
      </c>
      <c r="S110" s="33">
        <f t="shared" si="25"/>
        <v>-355500</v>
      </c>
      <c r="T110" s="7">
        <f t="shared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si="23"/>
        <v>-9.7964824120603033E-2</v>
      </c>
      <c r="R111" s="33">
        <f t="shared" si="24"/>
        <v>1795.05</v>
      </c>
      <c r="S111" s="33">
        <f t="shared" si="25"/>
        <v>-31475.000000000011</v>
      </c>
      <c r="T111" s="7">
        <f t="shared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si="23"/>
        <v>-0.93148714260025178</v>
      </c>
      <c r="R112" s="33">
        <f t="shared" si="24"/>
        <v>19.05</v>
      </c>
      <c r="S112" s="33">
        <f t="shared" si="25"/>
        <v>-281820</v>
      </c>
      <c r="T112" s="7">
        <f t="shared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si="23"/>
        <v>-0.95718654434250761</v>
      </c>
      <c r="R113" s="33">
        <f t="shared" si="24"/>
        <v>0.7</v>
      </c>
      <c r="S113" s="33">
        <f t="shared" si="25"/>
        <v>-382200.00000000006</v>
      </c>
      <c r="T113" s="7">
        <f t="shared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si="23"/>
        <v>-0.2922830867652938</v>
      </c>
      <c r="R114" s="33">
        <f t="shared" si="24"/>
        <v>531</v>
      </c>
      <c r="S114" s="33">
        <f t="shared" si="25"/>
        <v>-189999.99999999994</v>
      </c>
      <c r="T114" s="7">
        <f t="shared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si="23"/>
        <v>-0.13683063511830629</v>
      </c>
      <c r="R115" s="33">
        <f t="shared" si="24"/>
        <v>554.5</v>
      </c>
      <c r="S115" s="33">
        <f t="shared" si="25"/>
        <v>-75624.999999999971</v>
      </c>
      <c r="T115" s="7">
        <f t="shared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si="23"/>
        <v>-0.48652902509026941</v>
      </c>
      <c r="R116" s="33">
        <f t="shared" si="24"/>
        <v>277.3</v>
      </c>
      <c r="S116" s="33">
        <f t="shared" si="25"/>
        <v>-367124.99999999994</v>
      </c>
      <c r="T116" s="7">
        <f t="shared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si="23"/>
        <v>-0.70980140935297886</v>
      </c>
      <c r="R117" s="33">
        <f t="shared" si="24"/>
        <v>135.9</v>
      </c>
      <c r="S117" s="33">
        <f t="shared" si="25"/>
        <v>-399879.99999999994</v>
      </c>
      <c r="T117" s="7">
        <f t="shared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si="23"/>
        <v>-0.13683063511830629</v>
      </c>
      <c r="R118" s="33">
        <f t="shared" si="24"/>
        <v>554.5</v>
      </c>
      <c r="S118" s="33">
        <f t="shared" si="25"/>
        <v>-82374.999999999971</v>
      </c>
      <c r="T118" s="7">
        <f t="shared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si="23"/>
        <v>-0.70980140935297886</v>
      </c>
      <c r="R119" s="33">
        <f t="shared" si="24"/>
        <v>135.9</v>
      </c>
      <c r="S119" s="33">
        <f t="shared" si="25"/>
        <v>-409564.99999999994</v>
      </c>
      <c r="T119" s="7">
        <f t="shared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si="23"/>
        <v>-0.95718654434250761</v>
      </c>
      <c r="R120" s="33">
        <f t="shared" si="24"/>
        <v>0.7</v>
      </c>
      <c r="S120" s="33">
        <f t="shared" si="25"/>
        <v>-394800.00000000006</v>
      </c>
      <c r="T120" s="7">
        <f t="shared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si="23"/>
        <v>-0.53143675606262653</v>
      </c>
      <c r="R121" s="33">
        <f t="shared" si="24"/>
        <v>474.35</v>
      </c>
      <c r="S121" s="33">
        <f t="shared" si="25"/>
        <v>-351890</v>
      </c>
      <c r="T121" s="7">
        <f t="shared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abSelected="1" zoomScale="80" zoomScaleNormal="80" workbookViewId="0">
      <pane ySplit="3" topLeftCell="A4" activePane="bottomLeft" state="frozen"/>
      <selection pane="bottomLeft" activeCell="B10" sqref="B10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64" t="s">
        <v>1892</v>
      </c>
      <c r="B1" s="59" t="s">
        <v>1852</v>
      </c>
      <c r="C1" s="59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1</v>
      </c>
      <c r="B2" s="60"/>
      <c r="C2" s="6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1" t="s">
        <v>1851</v>
      </c>
      <c r="U2" s="63"/>
      <c r="V2" s="61" t="s">
        <v>1849</v>
      </c>
      <c r="W2" s="62"/>
      <c r="X2" s="62"/>
      <c r="Y2" s="63"/>
      <c r="Z2" s="61" t="s">
        <v>1850</v>
      </c>
      <c r="AA2" s="62"/>
      <c r="AB2" s="62"/>
      <c r="AC2" s="63"/>
      <c r="AD2" s="1"/>
      <c r="AE2" s="1"/>
      <c r="AM2" s="11"/>
    </row>
    <row r="3" spans="1:39" ht="47.25" customHeight="1" x14ac:dyDescent="0.25">
      <c r="A3" s="1"/>
      <c r="B3" s="66" t="s">
        <v>1803</v>
      </c>
      <c r="C3" s="66" t="s">
        <v>1838</v>
      </c>
      <c r="D3" s="66" t="s">
        <v>1839</v>
      </c>
      <c r="E3" s="66" t="s">
        <v>1840</v>
      </c>
      <c r="F3" s="66" t="s">
        <v>1854</v>
      </c>
      <c r="G3" s="66" t="s">
        <v>1855</v>
      </c>
      <c r="H3" s="66" t="s">
        <v>1837</v>
      </c>
      <c r="I3" s="66" t="s">
        <v>1819</v>
      </c>
      <c r="J3" s="66" t="s">
        <v>1822</v>
      </c>
      <c r="K3" s="66" t="s">
        <v>1815</v>
      </c>
      <c r="L3" s="66" t="s">
        <v>1816</v>
      </c>
      <c r="M3" s="66" t="s">
        <v>1817</v>
      </c>
      <c r="N3" s="66" t="s">
        <v>1818</v>
      </c>
      <c r="O3" s="5"/>
      <c r="P3" s="66" t="s">
        <v>1826</v>
      </c>
      <c r="Q3" s="66" t="s">
        <v>1827</v>
      </c>
      <c r="R3" s="66" t="s">
        <v>1856</v>
      </c>
      <c r="S3" s="66" t="s">
        <v>1857</v>
      </c>
      <c r="T3" s="67" t="s">
        <v>1824</v>
      </c>
      <c r="U3" s="68" t="s">
        <v>1829</v>
      </c>
      <c r="V3" s="67" t="s">
        <v>1831</v>
      </c>
      <c r="W3" s="66" t="s">
        <v>1825</v>
      </c>
      <c r="X3" s="66" t="s">
        <v>1830</v>
      </c>
      <c r="Y3" s="68" t="s">
        <v>1832</v>
      </c>
      <c r="Z3" s="67" t="s">
        <v>1847</v>
      </c>
      <c r="AA3" s="66" t="s">
        <v>1848</v>
      </c>
      <c r="AB3" s="66" t="s">
        <v>1832</v>
      </c>
      <c r="AC3" s="68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43951</v>
      </c>
      <c r="C4" s="10" t="s">
        <v>1530</v>
      </c>
      <c r="D4" s="1">
        <v>476.95</v>
      </c>
      <c r="E4" s="30">
        <v>1250</v>
      </c>
      <c r="F4" s="1">
        <v>440</v>
      </c>
      <c r="G4" s="1">
        <v>14</v>
      </c>
      <c r="H4" s="1">
        <v>310</v>
      </c>
      <c r="I4" s="1">
        <v>0.85</v>
      </c>
      <c r="J4" s="1">
        <v>40000</v>
      </c>
      <c r="K4" s="1">
        <v>2500</v>
      </c>
      <c r="L4" s="1">
        <v>0.6</v>
      </c>
      <c r="M4" s="1">
        <v>0.85</v>
      </c>
      <c r="N4" s="1">
        <v>1250</v>
      </c>
      <c r="O4" s="9"/>
      <c r="P4" s="7">
        <f t="shared" ref="P4:P67" ca="1" si="0">($G4-$I4)/($F4-$H4)</f>
        <v>0.10115384615384615</v>
      </c>
      <c r="Q4" s="7">
        <f t="shared" ref="Q4:Q32" ca="1" si="1">P4/($B4-TODAY())</f>
        <v>7.2252747252747251E-3</v>
      </c>
      <c r="R4" s="33">
        <f t="shared" ref="R4:R67" ca="1" si="2">$E4*($G4-$I4)</f>
        <v>16437.5</v>
      </c>
      <c r="S4" s="33">
        <f t="shared" ref="S4:S67" ca="1" si="3">-(($F4-$H4)*$E4-$R4)</f>
        <v>-146062.5</v>
      </c>
      <c r="T4" s="33">
        <f t="shared" ref="T4:T32" ca="1" si="4">R4</f>
        <v>16437.5</v>
      </c>
      <c r="U4" s="7">
        <f t="shared" ref="U4:U67" ca="1" si="5">ABS($T4/$S4)</f>
        <v>0.11253744116388532</v>
      </c>
      <c r="V4" s="7">
        <f t="shared" ref="V4:V67" ca="1" si="6">mrigxl_max_drawdown($C4,INT($B4-TODAY()))</f>
        <v>-0.18647083662403016</v>
      </c>
      <c r="W4" s="33">
        <f t="shared" ref="W4:W32" ca="1" si="7">-(MAX(($F4-MAX($D4*(1+V4),$H4)),0)*$E4-$R4)</f>
        <v>-48546.581909788998</v>
      </c>
      <c r="X4" s="7">
        <f t="shared" ref="X4:X32" ca="1" si="8">W4/ABS($S4)</f>
        <v>-0.33236855393950532</v>
      </c>
      <c r="Y4" s="7">
        <f t="shared" ref="Y4:Y32" ca="1" si="9">$U4+X4</f>
        <v>-0.21983111277562001</v>
      </c>
      <c r="Z4" s="7">
        <f t="shared" ref="Z4:Z67" ca="1" si="10">mrigxl_avg_drawdown($C4,INT($B4-TODAY()))</f>
        <v>-6.367187417701746E-2</v>
      </c>
      <c r="AA4" s="33">
        <f t="shared" ref="AA4:AA32" ca="1" si="11">-(MAX(($F4-MAX($D4*(1+Z4),$H4)),0)*$E4-$R4)</f>
        <v>16437.5</v>
      </c>
      <c r="AB4" s="7">
        <f t="shared" ref="AB4:AB32" ca="1" si="12">AA4/$R4</f>
        <v>1</v>
      </c>
      <c r="AC4" s="7">
        <f ca="1">AVERAGE($U4,AB4)</f>
        <v>0.55626872058194266</v>
      </c>
      <c r="AD4" s="40"/>
      <c r="AE4" s="42"/>
      <c r="AF4" s="34"/>
      <c r="AH4" s="34"/>
    </row>
    <row r="5" spans="1:39" x14ac:dyDescent="0.25">
      <c r="A5" s="3"/>
      <c r="B5" s="25">
        <v>43951</v>
      </c>
      <c r="C5" s="10" t="s">
        <v>1530</v>
      </c>
      <c r="D5" s="1">
        <v>476.95</v>
      </c>
      <c r="E5" s="30">
        <v>1250</v>
      </c>
      <c r="F5" s="1">
        <v>440</v>
      </c>
      <c r="G5" s="1">
        <v>14</v>
      </c>
      <c r="H5" s="1">
        <v>320</v>
      </c>
      <c r="I5" s="1">
        <v>1</v>
      </c>
      <c r="J5" s="1">
        <v>117500</v>
      </c>
      <c r="K5" s="1">
        <v>1250</v>
      </c>
      <c r="L5" s="1">
        <v>1</v>
      </c>
      <c r="M5" s="1">
        <v>1.3</v>
      </c>
      <c r="N5" s="1">
        <v>1250</v>
      </c>
      <c r="O5" s="9"/>
      <c r="P5" s="7">
        <f t="shared" ca="1" si="0"/>
        <v>0.10833333333333334</v>
      </c>
      <c r="Q5" s="7">
        <f t="shared" ca="1" si="1"/>
        <v>7.7380952380952384E-3</v>
      </c>
      <c r="R5" s="33">
        <f t="shared" ca="1" si="2"/>
        <v>16250</v>
      </c>
      <c r="S5" s="33">
        <f t="shared" ca="1" si="3"/>
        <v>-133750</v>
      </c>
      <c r="T5" s="33">
        <f t="shared" ca="1" si="4"/>
        <v>16250</v>
      </c>
      <c r="U5" s="7">
        <f t="shared" ca="1" si="5"/>
        <v>0.12149532710280374</v>
      </c>
      <c r="V5" s="7">
        <f t="shared" ca="1" si="6"/>
        <v>-0.18647083662403016</v>
      </c>
      <c r="W5" s="33">
        <f t="shared" ca="1" si="7"/>
        <v>-48734.081909788998</v>
      </c>
      <c r="X5" s="7">
        <f t="shared" ca="1" si="8"/>
        <v>-0.36436696754982428</v>
      </c>
      <c r="Y5" s="7">
        <f t="shared" ca="1" si="9"/>
        <v>-0.24287164044702053</v>
      </c>
      <c r="Z5" s="7">
        <f t="shared" ca="1" si="10"/>
        <v>-6.367187417701746E-2</v>
      </c>
      <c r="AA5" s="33">
        <f t="shared" ca="1" si="11"/>
        <v>16250</v>
      </c>
      <c r="AB5" s="7">
        <f t="shared" ca="1" si="12"/>
        <v>1</v>
      </c>
      <c r="AC5" s="7">
        <f t="shared" ref="AC5:AC68" ca="1" si="13">AVERAGE($U5,AB5)</f>
        <v>0.56074766355140182</v>
      </c>
      <c r="AD5" s="1"/>
      <c r="AE5" s="1"/>
    </row>
    <row r="6" spans="1:39" x14ac:dyDescent="0.25">
      <c r="A6" s="3"/>
      <c r="B6" s="25">
        <v>43951</v>
      </c>
      <c r="C6" s="10" t="s">
        <v>1530</v>
      </c>
      <c r="D6" s="1">
        <v>476.95</v>
      </c>
      <c r="E6" s="30">
        <v>1250</v>
      </c>
      <c r="F6" s="1">
        <v>440</v>
      </c>
      <c r="G6" s="1">
        <v>14</v>
      </c>
      <c r="H6" s="1">
        <v>330</v>
      </c>
      <c r="I6" s="1">
        <v>0.9</v>
      </c>
      <c r="J6" s="1">
        <v>166250</v>
      </c>
      <c r="K6" s="1">
        <v>2500</v>
      </c>
      <c r="L6" s="1">
        <v>0.8</v>
      </c>
      <c r="M6" s="1">
        <v>1.35</v>
      </c>
      <c r="N6" s="1">
        <v>1250</v>
      </c>
      <c r="O6" s="9"/>
      <c r="P6" s="7">
        <f t="shared" ca="1" si="0"/>
        <v>0.11909090909090909</v>
      </c>
      <c r="Q6" s="7">
        <f t="shared" ca="1" si="1"/>
        <v>8.5064935064935072E-3</v>
      </c>
      <c r="R6" s="33">
        <f t="shared" ca="1" si="2"/>
        <v>16375</v>
      </c>
      <c r="S6" s="33">
        <f t="shared" ca="1" si="3"/>
        <v>-121125</v>
      </c>
      <c r="T6" s="33">
        <f t="shared" ca="1" si="4"/>
        <v>16375</v>
      </c>
      <c r="U6" s="7">
        <f t="shared" ca="1" si="5"/>
        <v>0.13519091847265222</v>
      </c>
      <c r="V6" s="7">
        <f t="shared" ca="1" si="6"/>
        <v>-0.18647083662403016</v>
      </c>
      <c r="W6" s="33">
        <f t="shared" ca="1" si="7"/>
        <v>-48609.081909788998</v>
      </c>
      <c r="X6" s="7">
        <f t="shared" ca="1" si="8"/>
        <v>-0.40131336974026005</v>
      </c>
      <c r="Y6" s="7">
        <f t="shared" ca="1" si="9"/>
        <v>-0.26612245126760781</v>
      </c>
      <c r="Z6" s="7">
        <f t="shared" ca="1" si="10"/>
        <v>-6.367187417701746E-2</v>
      </c>
      <c r="AA6" s="33">
        <f t="shared" ca="1" si="11"/>
        <v>16375</v>
      </c>
      <c r="AB6" s="7">
        <f t="shared" ca="1" si="12"/>
        <v>1</v>
      </c>
      <c r="AC6" s="7">
        <f t="shared" ca="1" si="13"/>
        <v>0.56759545923632615</v>
      </c>
      <c r="AD6" s="1"/>
      <c r="AE6" s="1"/>
    </row>
    <row r="7" spans="1:39" x14ac:dyDescent="0.25">
      <c r="A7" s="3"/>
      <c r="B7" s="25">
        <v>43951</v>
      </c>
      <c r="C7" s="10" t="s">
        <v>1530</v>
      </c>
      <c r="D7" s="1">
        <v>476.95</v>
      </c>
      <c r="E7" s="30">
        <v>1250</v>
      </c>
      <c r="F7" s="1">
        <v>440</v>
      </c>
      <c r="G7" s="1">
        <v>14</v>
      </c>
      <c r="H7" s="1">
        <v>340</v>
      </c>
      <c r="I7" s="1">
        <v>1.1499999999999999</v>
      </c>
      <c r="J7" s="1">
        <v>273750</v>
      </c>
      <c r="K7" s="1">
        <v>1250</v>
      </c>
      <c r="L7" s="1">
        <v>1.1000000000000001</v>
      </c>
      <c r="M7" s="1">
        <v>1.25</v>
      </c>
      <c r="N7" s="1">
        <v>1250</v>
      </c>
      <c r="O7" s="9"/>
      <c r="P7" s="7">
        <f t="shared" ca="1" si="0"/>
        <v>0.1285</v>
      </c>
      <c r="Q7" s="7">
        <f t="shared" ca="1" si="1"/>
        <v>9.1785714285714283E-3</v>
      </c>
      <c r="R7" s="33">
        <f t="shared" ca="1" si="2"/>
        <v>16062.5</v>
      </c>
      <c r="S7" s="33">
        <f t="shared" ca="1" si="3"/>
        <v>-108937.5</v>
      </c>
      <c r="T7" s="33">
        <f t="shared" ca="1" si="4"/>
        <v>16062.5</v>
      </c>
      <c r="U7" s="7">
        <f t="shared" ca="1" si="5"/>
        <v>0.14744693057946071</v>
      </c>
      <c r="V7" s="7">
        <f t="shared" ca="1" si="6"/>
        <v>-0.18647083662403016</v>
      </c>
      <c r="W7" s="33">
        <f t="shared" ca="1" si="7"/>
        <v>-48921.581909788998</v>
      </c>
      <c r="X7" s="7">
        <f t="shared" ca="1" si="8"/>
        <v>-0.44907935201183247</v>
      </c>
      <c r="Y7" s="7">
        <f t="shared" ca="1" si="9"/>
        <v>-0.30163242143237179</v>
      </c>
      <c r="Z7" s="7">
        <f t="shared" ca="1" si="10"/>
        <v>-6.367187417701746E-2</v>
      </c>
      <c r="AA7" s="33">
        <f t="shared" ca="1" si="11"/>
        <v>16062.5</v>
      </c>
      <c r="AB7" s="7">
        <f t="shared" ca="1" si="12"/>
        <v>1</v>
      </c>
      <c r="AC7" s="7">
        <f t="shared" ca="1" si="13"/>
        <v>0.57372346528973039</v>
      </c>
      <c r="AD7" s="1"/>
      <c r="AE7" s="1"/>
    </row>
    <row r="8" spans="1:39" x14ac:dyDescent="0.25">
      <c r="A8" s="3"/>
      <c r="B8" s="25">
        <v>43951</v>
      </c>
      <c r="C8" s="10" t="s">
        <v>1530</v>
      </c>
      <c r="D8" s="1">
        <v>476.95</v>
      </c>
      <c r="E8" s="30">
        <v>1250</v>
      </c>
      <c r="F8" s="1">
        <v>440</v>
      </c>
      <c r="G8" s="1">
        <v>14</v>
      </c>
      <c r="H8" s="1">
        <v>350</v>
      </c>
      <c r="I8" s="1">
        <v>1.3</v>
      </c>
      <c r="J8" s="1">
        <v>446250</v>
      </c>
      <c r="K8" s="1">
        <v>1250</v>
      </c>
      <c r="L8" s="1">
        <v>1.3</v>
      </c>
      <c r="M8" s="1">
        <v>1.35</v>
      </c>
      <c r="N8" s="1">
        <v>1250</v>
      </c>
      <c r="O8" s="9"/>
      <c r="P8" s="7">
        <f t="shared" ca="1" si="0"/>
        <v>0.1411111111111111</v>
      </c>
      <c r="Q8" s="7">
        <f t="shared" ca="1" si="1"/>
        <v>1.0079365079365079E-2</v>
      </c>
      <c r="R8" s="33">
        <f t="shared" ca="1" si="2"/>
        <v>15875</v>
      </c>
      <c r="S8" s="33">
        <f t="shared" ca="1" si="3"/>
        <v>-96625</v>
      </c>
      <c r="T8" s="33">
        <f t="shared" ca="1" si="4"/>
        <v>15875</v>
      </c>
      <c r="U8" s="7">
        <f t="shared" ca="1" si="5"/>
        <v>0.16429495472186287</v>
      </c>
      <c r="V8" s="7">
        <f t="shared" ca="1" si="6"/>
        <v>-0.18647083662403016</v>
      </c>
      <c r="W8" s="33">
        <f t="shared" ca="1" si="7"/>
        <v>-49109.081909788998</v>
      </c>
      <c r="X8" s="7">
        <f t="shared" ca="1" si="8"/>
        <v>-0.50824405598746702</v>
      </c>
      <c r="Y8" s="7">
        <f t="shared" ca="1" si="9"/>
        <v>-0.34394910126560418</v>
      </c>
      <c r="Z8" s="7">
        <f t="shared" ca="1" si="10"/>
        <v>-6.367187417701746E-2</v>
      </c>
      <c r="AA8" s="33">
        <f t="shared" ca="1" si="11"/>
        <v>15875</v>
      </c>
      <c r="AB8" s="7">
        <f t="shared" ca="1" si="12"/>
        <v>1</v>
      </c>
      <c r="AC8" s="7">
        <f t="shared" ca="1" si="13"/>
        <v>0.58214747736093142</v>
      </c>
      <c r="AD8" s="1"/>
      <c r="AE8" s="1"/>
    </row>
    <row r="9" spans="1:39" x14ac:dyDescent="0.25">
      <c r="A9" s="3"/>
      <c r="B9" s="25">
        <v>43951</v>
      </c>
      <c r="C9" s="10" t="s">
        <v>1530</v>
      </c>
      <c r="D9" s="1">
        <v>476.95</v>
      </c>
      <c r="E9" s="30">
        <v>1250</v>
      </c>
      <c r="F9" s="1">
        <v>440</v>
      </c>
      <c r="G9" s="1">
        <v>14</v>
      </c>
      <c r="H9" s="1">
        <v>360</v>
      </c>
      <c r="I9" s="1">
        <v>1.65</v>
      </c>
      <c r="J9" s="1">
        <v>206250</v>
      </c>
      <c r="K9" s="1">
        <v>1250</v>
      </c>
      <c r="L9" s="1">
        <v>1.55</v>
      </c>
      <c r="M9" s="1">
        <v>1.75</v>
      </c>
      <c r="N9" s="1">
        <v>2500</v>
      </c>
      <c r="O9" s="9"/>
      <c r="P9" s="7">
        <f t="shared" ca="1" si="0"/>
        <v>0.15437499999999998</v>
      </c>
      <c r="Q9" s="7">
        <f t="shared" ca="1" si="1"/>
        <v>1.1026785714285713E-2</v>
      </c>
      <c r="R9" s="33">
        <f t="shared" ca="1" si="2"/>
        <v>15437.5</v>
      </c>
      <c r="S9" s="33">
        <f t="shared" ca="1" si="3"/>
        <v>-84562.5</v>
      </c>
      <c r="T9" s="33">
        <f t="shared" ca="1" si="4"/>
        <v>15437.5</v>
      </c>
      <c r="U9" s="7">
        <f t="shared" ca="1" si="5"/>
        <v>0.18255728011825573</v>
      </c>
      <c r="V9" s="7">
        <f t="shared" ca="1" si="6"/>
        <v>-0.18647083662403016</v>
      </c>
      <c r="W9" s="33">
        <f t="shared" ca="1" si="7"/>
        <v>-49546.581909788998</v>
      </c>
      <c r="X9" s="7">
        <f t="shared" ca="1" si="8"/>
        <v>-0.58591671142396451</v>
      </c>
      <c r="Y9" s="7">
        <f t="shared" ca="1" si="9"/>
        <v>-0.40335943130570878</v>
      </c>
      <c r="Z9" s="7">
        <f t="shared" ca="1" si="10"/>
        <v>-6.367187417701746E-2</v>
      </c>
      <c r="AA9" s="33">
        <f t="shared" ca="1" si="11"/>
        <v>15437.5</v>
      </c>
      <c r="AB9" s="7">
        <f t="shared" ca="1" si="12"/>
        <v>1</v>
      </c>
      <c r="AC9" s="7">
        <f t="shared" ca="1" si="13"/>
        <v>0.59127864005912789</v>
      </c>
      <c r="AD9" s="1"/>
      <c r="AE9" s="1"/>
    </row>
    <row r="10" spans="1:39" x14ac:dyDescent="0.25">
      <c r="A10" s="3"/>
      <c r="B10" s="25">
        <v>43951</v>
      </c>
      <c r="C10" s="10" t="s">
        <v>1530</v>
      </c>
      <c r="D10" s="1">
        <v>476.95</v>
      </c>
      <c r="E10" s="30">
        <v>1250</v>
      </c>
      <c r="F10" s="1">
        <v>440</v>
      </c>
      <c r="G10" s="1">
        <v>14</v>
      </c>
      <c r="H10" s="1">
        <v>370</v>
      </c>
      <c r="I10" s="1">
        <v>1.95</v>
      </c>
      <c r="J10" s="1">
        <v>220000</v>
      </c>
      <c r="K10" s="1">
        <v>2500</v>
      </c>
      <c r="L10" s="1">
        <v>1.75</v>
      </c>
      <c r="M10" s="1">
        <v>2.0499999999999998</v>
      </c>
      <c r="N10" s="1">
        <v>2500</v>
      </c>
      <c r="O10" s="9"/>
      <c r="P10" s="7">
        <f t="shared" ca="1" si="0"/>
        <v>0.17214285714285715</v>
      </c>
      <c r="Q10" s="7">
        <f t="shared" ca="1" si="1"/>
        <v>1.2295918367346939E-2</v>
      </c>
      <c r="R10" s="33">
        <f t="shared" ca="1" si="2"/>
        <v>15062.5</v>
      </c>
      <c r="S10" s="33">
        <f t="shared" ca="1" si="3"/>
        <v>-72437.5</v>
      </c>
      <c r="T10" s="33">
        <f t="shared" ca="1" si="4"/>
        <v>15062.5</v>
      </c>
      <c r="U10" s="7">
        <f t="shared" ca="1" si="5"/>
        <v>0.2079378774805867</v>
      </c>
      <c r="V10" s="7">
        <f t="shared" ca="1" si="6"/>
        <v>-0.18647083662403016</v>
      </c>
      <c r="W10" s="33">
        <f t="shared" ca="1" si="7"/>
        <v>-49921.581909788998</v>
      </c>
      <c r="X10" s="7">
        <f t="shared" ca="1" si="8"/>
        <v>-0.68916765362952892</v>
      </c>
      <c r="Y10" s="7">
        <f t="shared" ca="1" si="9"/>
        <v>-0.48122977614894225</v>
      </c>
      <c r="Z10" s="7">
        <f t="shared" ca="1" si="10"/>
        <v>-6.367187417701746E-2</v>
      </c>
      <c r="AA10" s="33">
        <f t="shared" ca="1" si="11"/>
        <v>15062.5</v>
      </c>
      <c r="AB10" s="7">
        <f t="shared" ca="1" si="12"/>
        <v>1</v>
      </c>
      <c r="AC10" s="7">
        <f t="shared" ca="1" si="13"/>
        <v>0.60396893874029334</v>
      </c>
      <c r="AD10" s="1"/>
      <c r="AE10" s="1"/>
    </row>
    <row r="11" spans="1:39" x14ac:dyDescent="0.25">
      <c r="A11" s="3"/>
      <c r="B11" s="25">
        <v>43951</v>
      </c>
      <c r="C11" s="10" t="s">
        <v>1530</v>
      </c>
      <c r="D11" s="1">
        <v>476.95</v>
      </c>
      <c r="E11" s="30">
        <v>1250</v>
      </c>
      <c r="F11" s="1">
        <v>440</v>
      </c>
      <c r="G11" s="1">
        <v>14</v>
      </c>
      <c r="H11" s="1">
        <v>380</v>
      </c>
      <c r="I11" s="1">
        <v>2.65</v>
      </c>
      <c r="J11" s="1">
        <v>226250</v>
      </c>
      <c r="K11" s="1">
        <v>1250</v>
      </c>
      <c r="L11" s="1">
        <v>2.4500000000000002</v>
      </c>
      <c r="M11" s="1">
        <v>2.75</v>
      </c>
      <c r="N11" s="1">
        <v>3750</v>
      </c>
      <c r="O11" s="9"/>
      <c r="P11" s="7">
        <f t="shared" ca="1" si="0"/>
        <v>0.18916666666666665</v>
      </c>
      <c r="Q11" s="7">
        <f t="shared" ca="1" si="1"/>
        <v>1.3511904761904761E-2</v>
      </c>
      <c r="R11" s="33">
        <f t="shared" ca="1" si="2"/>
        <v>14187.5</v>
      </c>
      <c r="S11" s="33">
        <f t="shared" ca="1" si="3"/>
        <v>-60812.5</v>
      </c>
      <c r="T11" s="33">
        <f t="shared" ca="1" si="4"/>
        <v>14187.5</v>
      </c>
      <c r="U11" s="7">
        <f t="shared" ca="1" si="5"/>
        <v>0.23329907502569372</v>
      </c>
      <c r="V11" s="7">
        <f t="shared" ca="1" si="6"/>
        <v>-0.18647083662403016</v>
      </c>
      <c r="W11" s="33">
        <f t="shared" ca="1" si="7"/>
        <v>-50796.581909788998</v>
      </c>
      <c r="X11" s="7">
        <f t="shared" ca="1" si="8"/>
        <v>-0.83529836645079547</v>
      </c>
      <c r="Y11" s="7">
        <f t="shared" ca="1" si="9"/>
        <v>-0.60199929142510178</v>
      </c>
      <c r="Z11" s="7">
        <f t="shared" ca="1" si="10"/>
        <v>-6.367187417701746E-2</v>
      </c>
      <c r="AA11" s="33">
        <f t="shared" ca="1" si="11"/>
        <v>14187.5</v>
      </c>
      <c r="AB11" s="7">
        <f t="shared" ca="1" si="12"/>
        <v>1</v>
      </c>
      <c r="AC11" s="7">
        <f t="shared" ca="1" si="13"/>
        <v>0.6166495375128469</v>
      </c>
      <c r="AD11" s="1"/>
      <c r="AE11" s="1"/>
    </row>
    <row r="12" spans="1:39" x14ac:dyDescent="0.25">
      <c r="A12" s="3"/>
      <c r="B12" s="25">
        <v>43951</v>
      </c>
      <c r="C12" s="10" t="s">
        <v>1530</v>
      </c>
      <c r="D12" s="1">
        <v>476.95</v>
      </c>
      <c r="E12" s="30">
        <v>1250</v>
      </c>
      <c r="F12" s="1">
        <v>440</v>
      </c>
      <c r="G12" s="42">
        <v>14</v>
      </c>
      <c r="H12" s="1">
        <v>390</v>
      </c>
      <c r="I12" s="1">
        <v>3.6</v>
      </c>
      <c r="J12" s="1">
        <v>247500</v>
      </c>
      <c r="K12" s="1">
        <v>1250</v>
      </c>
      <c r="L12" s="1">
        <v>3.05</v>
      </c>
      <c r="M12" s="1">
        <v>3.65</v>
      </c>
      <c r="N12" s="1">
        <v>1250</v>
      </c>
      <c r="O12" s="9"/>
      <c r="P12" s="7">
        <f t="shared" ca="1" si="0"/>
        <v>0.20800000000000002</v>
      </c>
      <c r="Q12" s="7">
        <f t="shared" ca="1" si="1"/>
        <v>1.4857142857142859E-2</v>
      </c>
      <c r="R12" s="33">
        <f t="shared" ca="1" si="2"/>
        <v>13000</v>
      </c>
      <c r="S12" s="33">
        <f t="shared" ca="1" si="3"/>
        <v>-49500</v>
      </c>
      <c r="T12" s="33">
        <f t="shared" ca="1" si="4"/>
        <v>13000</v>
      </c>
      <c r="U12" s="7">
        <f t="shared" ca="1" si="5"/>
        <v>0.26262626262626265</v>
      </c>
      <c r="V12" s="7">
        <f t="shared" ca="1" si="6"/>
        <v>-0.18647083662403016</v>
      </c>
      <c r="W12" s="33">
        <f t="shared" ca="1" si="7"/>
        <v>-49500</v>
      </c>
      <c r="X12" s="7">
        <f t="shared" ca="1" si="8"/>
        <v>-1</v>
      </c>
      <c r="Y12" s="7">
        <f t="shared" ca="1" si="9"/>
        <v>-0.73737373737373735</v>
      </c>
      <c r="Z12" s="7">
        <f t="shared" ca="1" si="10"/>
        <v>-6.367187417701746E-2</v>
      </c>
      <c r="AA12" s="33">
        <f t="shared" ca="1" si="11"/>
        <v>13000</v>
      </c>
      <c r="AB12" s="7">
        <f t="shared" ca="1" si="12"/>
        <v>1</v>
      </c>
      <c r="AC12" s="7">
        <f t="shared" ca="1" si="13"/>
        <v>0.63131313131313127</v>
      </c>
      <c r="AD12" s="1"/>
      <c r="AE12" s="1"/>
    </row>
    <row r="13" spans="1:39" x14ac:dyDescent="0.25">
      <c r="A13" s="3"/>
      <c r="B13" s="25">
        <v>43951</v>
      </c>
      <c r="C13" s="10" t="s">
        <v>1530</v>
      </c>
      <c r="D13" s="1">
        <v>476.95</v>
      </c>
      <c r="E13" s="30">
        <v>1250</v>
      </c>
      <c r="F13" s="1">
        <v>440</v>
      </c>
      <c r="G13" s="1">
        <v>14</v>
      </c>
      <c r="H13" s="1">
        <v>400</v>
      </c>
      <c r="I13" s="1">
        <v>4.55</v>
      </c>
      <c r="J13" s="1">
        <v>925000</v>
      </c>
      <c r="K13" s="1">
        <v>1250</v>
      </c>
      <c r="L13" s="1">
        <v>4.55</v>
      </c>
      <c r="M13" s="1">
        <v>4.5999999999999996</v>
      </c>
      <c r="N13" s="1">
        <v>1250</v>
      </c>
      <c r="O13" s="9"/>
      <c r="P13" s="7">
        <f t="shared" ca="1" si="0"/>
        <v>0.23624999999999999</v>
      </c>
      <c r="Q13" s="7">
        <f t="shared" ca="1" si="1"/>
        <v>1.6874999999999998E-2</v>
      </c>
      <c r="R13" s="33">
        <f t="shared" ca="1" si="2"/>
        <v>11812.5</v>
      </c>
      <c r="S13" s="33">
        <f t="shared" ca="1" si="3"/>
        <v>-38187.5</v>
      </c>
      <c r="T13" s="33">
        <f t="shared" ca="1" si="4"/>
        <v>11812.5</v>
      </c>
      <c r="U13" s="7">
        <f t="shared" ca="1" si="5"/>
        <v>0.30932896890343697</v>
      </c>
      <c r="V13" s="7">
        <f t="shared" ca="1" si="6"/>
        <v>-0.18647083662403016</v>
      </c>
      <c r="W13" s="33">
        <f t="shared" ca="1" si="7"/>
        <v>-38187.5</v>
      </c>
      <c r="X13" s="7">
        <f t="shared" ca="1" si="8"/>
        <v>-1</v>
      </c>
      <c r="Y13" s="7">
        <f t="shared" ca="1" si="9"/>
        <v>-0.69067103109656303</v>
      </c>
      <c r="Z13" s="7">
        <f t="shared" ca="1" si="10"/>
        <v>-6.367187417701746E-2</v>
      </c>
      <c r="AA13" s="33">
        <f t="shared" ca="1" si="11"/>
        <v>11812.5</v>
      </c>
      <c r="AB13" s="7">
        <f t="shared" ca="1" si="12"/>
        <v>1</v>
      </c>
      <c r="AC13" s="7">
        <f t="shared" ca="1" si="13"/>
        <v>0.65466448445171843</v>
      </c>
      <c r="AD13" s="1"/>
      <c r="AE13" s="1"/>
    </row>
    <row r="14" spans="1:39" x14ac:dyDescent="0.25">
      <c r="A14" s="3"/>
      <c r="B14" s="25">
        <v>43951</v>
      </c>
      <c r="C14" s="10" t="s">
        <v>1530</v>
      </c>
      <c r="D14" s="1">
        <v>476.95</v>
      </c>
      <c r="E14" s="30">
        <v>1250</v>
      </c>
      <c r="F14" s="1">
        <v>440</v>
      </c>
      <c r="G14" s="1">
        <v>14</v>
      </c>
      <c r="H14" s="1">
        <v>410</v>
      </c>
      <c r="I14" s="1">
        <v>4.05</v>
      </c>
      <c r="J14" s="1">
        <v>143750</v>
      </c>
      <c r="K14" s="1">
        <v>33750</v>
      </c>
      <c r="L14" s="1">
        <v>2.4</v>
      </c>
      <c r="M14" s="1">
        <v>6.2</v>
      </c>
      <c r="N14" s="1">
        <v>1250</v>
      </c>
      <c r="O14" s="9"/>
      <c r="P14" s="7">
        <f t="shared" ca="1" si="0"/>
        <v>0.33166666666666667</v>
      </c>
      <c r="Q14" s="7">
        <f t="shared" ca="1" si="1"/>
        <v>2.3690476190476189E-2</v>
      </c>
      <c r="R14" s="33">
        <f t="shared" ca="1" si="2"/>
        <v>12437.5</v>
      </c>
      <c r="S14" s="33">
        <f t="shared" ca="1" si="3"/>
        <v>-25062.5</v>
      </c>
      <c r="T14" s="33">
        <f t="shared" ca="1" si="4"/>
        <v>12437.5</v>
      </c>
      <c r="U14" s="7">
        <f t="shared" ca="1" si="5"/>
        <v>0.49625935162094764</v>
      </c>
      <c r="V14" s="7">
        <f t="shared" ca="1" si="6"/>
        <v>-0.18647083662403016</v>
      </c>
      <c r="W14" s="33">
        <f t="shared" ca="1" si="7"/>
        <v>-25062.5</v>
      </c>
      <c r="X14" s="7">
        <f t="shared" ca="1" si="8"/>
        <v>-1</v>
      </c>
      <c r="Y14" s="7">
        <f t="shared" ca="1" si="9"/>
        <v>-0.5037406483790523</v>
      </c>
      <c r="Z14" s="7">
        <f t="shared" ca="1" si="10"/>
        <v>-6.367187417701746E-2</v>
      </c>
      <c r="AA14" s="33">
        <f t="shared" ca="1" si="11"/>
        <v>12437.5</v>
      </c>
      <c r="AB14" s="7">
        <f t="shared" ca="1" si="12"/>
        <v>1</v>
      </c>
      <c r="AC14" s="7">
        <f t="shared" ca="1" si="13"/>
        <v>0.74812967581047385</v>
      </c>
      <c r="AD14" s="1"/>
      <c r="AE14" s="1"/>
    </row>
    <row r="15" spans="1:39" x14ac:dyDescent="0.25">
      <c r="A15" s="3"/>
      <c r="B15" s="25">
        <v>43951</v>
      </c>
      <c r="C15" s="10" t="s">
        <v>1530</v>
      </c>
      <c r="D15" s="1">
        <v>476.95</v>
      </c>
      <c r="E15" s="30">
        <v>1250</v>
      </c>
      <c r="F15" s="1">
        <v>440</v>
      </c>
      <c r="G15" s="1">
        <v>14</v>
      </c>
      <c r="H15" s="1">
        <v>420</v>
      </c>
      <c r="I15" s="1">
        <v>8</v>
      </c>
      <c r="J15" s="1">
        <v>451250</v>
      </c>
      <c r="K15" s="1">
        <v>1250</v>
      </c>
      <c r="L15" s="1">
        <v>7.7</v>
      </c>
      <c r="M15" s="1">
        <v>7.95</v>
      </c>
      <c r="N15" s="1">
        <v>1250</v>
      </c>
      <c r="O15" s="9"/>
      <c r="P15" s="7">
        <f t="shared" ca="1" si="0"/>
        <v>0.3</v>
      </c>
      <c r="Q15" s="7">
        <f t="shared" ca="1" si="1"/>
        <v>2.1428571428571429E-2</v>
      </c>
      <c r="R15" s="33">
        <f t="shared" ca="1" si="2"/>
        <v>7500</v>
      </c>
      <c r="S15" s="33">
        <f t="shared" ca="1" si="3"/>
        <v>-17500</v>
      </c>
      <c r="T15" s="33">
        <f t="shared" ca="1" si="4"/>
        <v>7500</v>
      </c>
      <c r="U15" s="7">
        <f t="shared" ca="1" si="5"/>
        <v>0.42857142857142855</v>
      </c>
      <c r="V15" s="7">
        <f t="shared" ca="1" si="6"/>
        <v>-0.18647083662403016</v>
      </c>
      <c r="W15" s="33">
        <f t="shared" ca="1" si="7"/>
        <v>-17500</v>
      </c>
      <c r="X15" s="7">
        <f t="shared" ca="1" si="8"/>
        <v>-1</v>
      </c>
      <c r="Y15" s="7">
        <f t="shared" ca="1" si="9"/>
        <v>-0.5714285714285714</v>
      </c>
      <c r="Z15" s="7">
        <f t="shared" ca="1" si="10"/>
        <v>-6.367187417701746E-2</v>
      </c>
      <c r="AA15" s="33">
        <f t="shared" ca="1" si="11"/>
        <v>7500</v>
      </c>
      <c r="AB15" s="7">
        <f t="shared" ca="1" si="12"/>
        <v>1</v>
      </c>
      <c r="AC15" s="7">
        <f t="shared" ca="1" si="13"/>
        <v>0.7142857142857143</v>
      </c>
      <c r="AD15" s="1"/>
      <c r="AE15" s="1"/>
    </row>
    <row r="16" spans="1:39" x14ac:dyDescent="0.25">
      <c r="A16" s="3"/>
      <c r="B16" s="25">
        <v>43951</v>
      </c>
      <c r="C16" s="10" t="s">
        <v>1530</v>
      </c>
      <c r="D16" s="1">
        <v>476.95</v>
      </c>
      <c r="E16" s="30">
        <v>1250</v>
      </c>
      <c r="F16" s="1">
        <v>440</v>
      </c>
      <c r="G16" s="1">
        <v>14</v>
      </c>
      <c r="H16" s="1">
        <v>430</v>
      </c>
      <c r="I16" s="1">
        <v>10.85</v>
      </c>
      <c r="J16" s="1">
        <v>195000</v>
      </c>
      <c r="K16" s="1">
        <v>1250</v>
      </c>
      <c r="L16" s="1">
        <v>10.3</v>
      </c>
      <c r="M16" s="1">
        <v>10.85</v>
      </c>
      <c r="N16" s="1">
        <v>1250</v>
      </c>
      <c r="O16" s="9"/>
      <c r="P16" s="7">
        <f t="shared" ca="1" si="0"/>
        <v>0.31500000000000006</v>
      </c>
      <c r="Q16" s="7">
        <f t="shared" ca="1" si="1"/>
        <v>2.2500000000000003E-2</v>
      </c>
      <c r="R16" s="33">
        <f t="shared" ca="1" si="2"/>
        <v>3937.5000000000005</v>
      </c>
      <c r="S16" s="33">
        <f t="shared" ca="1" si="3"/>
        <v>-8562.5</v>
      </c>
      <c r="T16" s="33">
        <f t="shared" ca="1" si="4"/>
        <v>3937.5000000000005</v>
      </c>
      <c r="U16" s="7">
        <f t="shared" ca="1" si="5"/>
        <v>0.4598540145985402</v>
      </c>
      <c r="V16" s="7">
        <f t="shared" ca="1" si="6"/>
        <v>-0.18647083662403016</v>
      </c>
      <c r="W16" s="33">
        <f t="shared" ca="1" si="7"/>
        <v>-8562.5</v>
      </c>
      <c r="X16" s="7">
        <f t="shared" ca="1" si="8"/>
        <v>-1</v>
      </c>
      <c r="Y16" s="7">
        <f t="shared" ca="1" si="9"/>
        <v>-0.54014598540145986</v>
      </c>
      <c r="Z16" s="7">
        <f t="shared" ca="1" si="10"/>
        <v>-6.367187417701746E-2</v>
      </c>
      <c r="AA16" s="33">
        <f t="shared" ca="1" si="11"/>
        <v>3937.5000000000005</v>
      </c>
      <c r="AB16" s="7">
        <f t="shared" ca="1" si="12"/>
        <v>1</v>
      </c>
      <c r="AC16" s="7">
        <f t="shared" ca="1" si="13"/>
        <v>0.72992700729927007</v>
      </c>
      <c r="AD16" s="1"/>
      <c r="AE16" s="1"/>
    </row>
    <row r="17" spans="1:31" x14ac:dyDescent="0.25">
      <c r="A17" s="3"/>
      <c r="B17" s="25">
        <v>43951</v>
      </c>
      <c r="C17" s="10" t="s">
        <v>409</v>
      </c>
      <c r="D17" s="1">
        <v>3848.95</v>
      </c>
      <c r="E17" s="30">
        <v>250</v>
      </c>
      <c r="F17" s="1">
        <v>3450</v>
      </c>
      <c r="G17" s="1">
        <v>93.85</v>
      </c>
      <c r="H17" s="1">
        <v>2600</v>
      </c>
      <c r="I17" s="1">
        <v>3</v>
      </c>
      <c r="J17" s="1">
        <v>2000</v>
      </c>
      <c r="K17" s="1">
        <v>2000</v>
      </c>
      <c r="L17" s="1">
        <v>1.05</v>
      </c>
      <c r="M17" s="1">
        <v>3</v>
      </c>
      <c r="N17" s="1">
        <v>250</v>
      </c>
      <c r="O17" s="9"/>
      <c r="P17" s="7">
        <f t="shared" ca="1" si="0"/>
        <v>0.10688235294117647</v>
      </c>
      <c r="Q17" s="7">
        <f t="shared" ca="1" si="1"/>
        <v>7.6344537815126049E-3</v>
      </c>
      <c r="R17" s="33">
        <f t="shared" ca="1" si="2"/>
        <v>22712.5</v>
      </c>
      <c r="S17" s="33">
        <f t="shared" ca="1" si="3"/>
        <v>-189787.5</v>
      </c>
      <c r="T17" s="33">
        <f t="shared" ca="1" si="4"/>
        <v>22712.5</v>
      </c>
      <c r="U17" s="7">
        <f t="shared" ca="1" si="5"/>
        <v>0.11967331884344333</v>
      </c>
      <c r="V17" s="7">
        <f t="shared" ca="1" si="6"/>
        <v>-0.15873789989731096</v>
      </c>
      <c r="W17" s="33">
        <f t="shared" ca="1" si="7"/>
        <v>-30293.559952438816</v>
      </c>
      <c r="X17" s="7">
        <f t="shared" ca="1" si="8"/>
        <v>-0.1596183097013176</v>
      </c>
      <c r="Y17" s="7">
        <f t="shared" ca="1" si="9"/>
        <v>-3.9944990857874271E-2</v>
      </c>
      <c r="Z17" s="7">
        <f t="shared" ca="1" si="10"/>
        <v>-4.3306560246757587E-2</v>
      </c>
      <c r="AA17" s="33">
        <f t="shared" ca="1" si="11"/>
        <v>22712.5</v>
      </c>
      <c r="AB17" s="7">
        <f t="shared" ca="1" si="12"/>
        <v>1</v>
      </c>
      <c r="AC17" s="7">
        <f t="shared" ca="1" si="13"/>
        <v>0.55983665942172167</v>
      </c>
      <c r="AD17" s="1"/>
      <c r="AE17" s="1"/>
    </row>
    <row r="18" spans="1:31" x14ac:dyDescent="0.25">
      <c r="A18" s="3"/>
      <c r="B18" s="25">
        <v>43951</v>
      </c>
      <c r="C18" s="10" t="s">
        <v>409</v>
      </c>
      <c r="D18" s="1">
        <v>3848.95</v>
      </c>
      <c r="E18" s="30">
        <v>250</v>
      </c>
      <c r="F18" s="1">
        <v>3450</v>
      </c>
      <c r="G18" s="1">
        <v>93.85</v>
      </c>
      <c r="H18" s="1">
        <v>2700</v>
      </c>
      <c r="I18" s="1">
        <v>5</v>
      </c>
      <c r="J18" s="1">
        <v>7250</v>
      </c>
      <c r="K18" s="1">
        <v>250</v>
      </c>
      <c r="L18" s="1">
        <v>2.25</v>
      </c>
      <c r="M18" s="1">
        <v>6</v>
      </c>
      <c r="N18" s="1">
        <v>250</v>
      </c>
      <c r="O18" s="9"/>
      <c r="P18" s="7">
        <f t="shared" ca="1" si="0"/>
        <v>0.11846666666666666</v>
      </c>
      <c r="Q18" s="7">
        <f t="shared" ca="1" si="1"/>
        <v>8.4619047619047625E-3</v>
      </c>
      <c r="R18" s="33">
        <f t="shared" ca="1" si="2"/>
        <v>22212.5</v>
      </c>
      <c r="S18" s="33">
        <f t="shared" ca="1" si="3"/>
        <v>-165287.5</v>
      </c>
      <c r="T18" s="33">
        <f t="shared" ca="1" si="4"/>
        <v>22212.5</v>
      </c>
      <c r="U18" s="7">
        <f t="shared" ca="1" si="5"/>
        <v>0.13438705286243666</v>
      </c>
      <c r="V18" s="7">
        <f t="shared" ca="1" si="6"/>
        <v>-0.15873789989731096</v>
      </c>
      <c r="W18" s="33">
        <f t="shared" ca="1" si="7"/>
        <v>-30793.559952438816</v>
      </c>
      <c r="X18" s="7">
        <f t="shared" ca="1" si="8"/>
        <v>-0.18630301718181239</v>
      </c>
      <c r="Y18" s="7">
        <f t="shared" ca="1" si="9"/>
        <v>-5.1915964319375729E-2</v>
      </c>
      <c r="Z18" s="7">
        <f t="shared" ca="1" si="10"/>
        <v>-4.3306560246757587E-2</v>
      </c>
      <c r="AA18" s="33">
        <f t="shared" ca="1" si="11"/>
        <v>22212.5</v>
      </c>
      <c r="AB18" s="7">
        <f t="shared" ca="1" si="12"/>
        <v>1</v>
      </c>
      <c r="AC18" s="7">
        <f t="shared" ca="1" si="13"/>
        <v>0.56719352643121834</v>
      </c>
      <c r="AD18" s="1"/>
      <c r="AE18" s="1"/>
    </row>
    <row r="19" spans="1:31" ht="15" customHeight="1" x14ac:dyDescent="0.25">
      <c r="A19" s="3"/>
      <c r="B19" s="25">
        <v>43951</v>
      </c>
      <c r="C19" s="10" t="s">
        <v>409</v>
      </c>
      <c r="D19" s="1">
        <v>3848.95</v>
      </c>
      <c r="E19" s="30">
        <v>250</v>
      </c>
      <c r="F19" s="1">
        <v>3450</v>
      </c>
      <c r="G19" s="1">
        <v>93.85</v>
      </c>
      <c r="H19" s="1">
        <v>2800</v>
      </c>
      <c r="I19" s="1">
        <v>5.35</v>
      </c>
      <c r="J19" s="1">
        <v>10250</v>
      </c>
      <c r="K19" s="1">
        <v>250</v>
      </c>
      <c r="L19" s="1">
        <v>3.2</v>
      </c>
      <c r="M19" s="1">
        <v>5.95</v>
      </c>
      <c r="N19" s="1">
        <v>250</v>
      </c>
      <c r="O19" s="9"/>
      <c r="P19" s="7">
        <f t="shared" ca="1" si="0"/>
        <v>0.13615384615384615</v>
      </c>
      <c r="Q19" s="7">
        <f t="shared" ca="1" si="1"/>
        <v>9.7252747252747247E-3</v>
      </c>
      <c r="R19" s="33">
        <f t="shared" ca="1" si="2"/>
        <v>22125</v>
      </c>
      <c r="S19" s="33">
        <f t="shared" ca="1" si="3"/>
        <v>-140375</v>
      </c>
      <c r="T19" s="33">
        <f t="shared" ca="1" si="4"/>
        <v>22125</v>
      </c>
      <c r="U19" s="7">
        <f t="shared" ca="1" si="5"/>
        <v>0.15761353517364202</v>
      </c>
      <c r="V19" s="7">
        <f t="shared" ca="1" si="6"/>
        <v>-0.15873789989731096</v>
      </c>
      <c r="W19" s="33">
        <f t="shared" ca="1" si="7"/>
        <v>-30881.059952438816</v>
      </c>
      <c r="X19" s="7">
        <f t="shared" ca="1" si="8"/>
        <v>-0.21998974142431926</v>
      </c>
      <c r="Y19" s="7">
        <f t="shared" ca="1" si="9"/>
        <v>-6.2376206250677246E-2</v>
      </c>
      <c r="Z19" s="7">
        <f t="shared" ca="1" si="10"/>
        <v>-4.3306560246757587E-2</v>
      </c>
      <c r="AA19" s="33">
        <f t="shared" ca="1" si="11"/>
        <v>22125</v>
      </c>
      <c r="AB19" s="7">
        <f t="shared" ca="1" si="12"/>
        <v>1</v>
      </c>
      <c r="AC19" s="7">
        <f t="shared" ca="1" si="13"/>
        <v>0.57880676758682104</v>
      </c>
      <c r="AD19" s="1"/>
      <c r="AE19" s="1"/>
    </row>
    <row r="20" spans="1:31" ht="15" customHeight="1" x14ac:dyDescent="0.25">
      <c r="A20" s="3"/>
      <c r="B20" s="25">
        <v>43951</v>
      </c>
      <c r="C20" s="10" t="s">
        <v>409</v>
      </c>
      <c r="D20" s="1">
        <v>3848.95</v>
      </c>
      <c r="E20" s="30">
        <v>250</v>
      </c>
      <c r="F20" s="1">
        <v>3450</v>
      </c>
      <c r="G20" s="1">
        <v>93.85</v>
      </c>
      <c r="H20" s="1">
        <v>2900</v>
      </c>
      <c r="I20" s="1">
        <v>8</v>
      </c>
      <c r="J20" s="1">
        <v>8000</v>
      </c>
      <c r="K20" s="1">
        <v>250</v>
      </c>
      <c r="L20" s="1">
        <v>5.45</v>
      </c>
      <c r="M20" s="1">
        <v>6.95</v>
      </c>
      <c r="N20" s="1">
        <v>500</v>
      </c>
      <c r="O20" s="9"/>
      <c r="P20" s="7">
        <f t="shared" ca="1" si="0"/>
        <v>0.15609090909090909</v>
      </c>
      <c r="Q20" s="7">
        <f t="shared" ca="1" si="1"/>
        <v>1.1149350649350648E-2</v>
      </c>
      <c r="R20" s="33">
        <f t="shared" ca="1" si="2"/>
        <v>21462.5</v>
      </c>
      <c r="S20" s="33">
        <f t="shared" ca="1" si="3"/>
        <v>-116037.5</v>
      </c>
      <c r="T20" s="33">
        <f t="shared" ca="1" si="4"/>
        <v>21462.5</v>
      </c>
      <c r="U20" s="7">
        <f t="shared" ca="1" si="5"/>
        <v>0.18496175805235376</v>
      </c>
      <c r="V20" s="7">
        <f t="shared" ca="1" si="6"/>
        <v>-0.15873789989731096</v>
      </c>
      <c r="W20" s="33">
        <f t="shared" ca="1" si="7"/>
        <v>-31543.559952438816</v>
      </c>
      <c r="X20" s="7">
        <f t="shared" ca="1" si="8"/>
        <v>-0.27183936186524887</v>
      </c>
      <c r="Y20" s="7">
        <f t="shared" ca="1" si="9"/>
        <v>-8.687760381289511E-2</v>
      </c>
      <c r="Z20" s="7">
        <f t="shared" ca="1" si="10"/>
        <v>-4.3306560246757587E-2</v>
      </c>
      <c r="AA20" s="33">
        <f t="shared" ca="1" si="11"/>
        <v>21462.5</v>
      </c>
      <c r="AB20" s="7">
        <f t="shared" ca="1" si="12"/>
        <v>1</v>
      </c>
      <c r="AC20" s="7">
        <f t="shared" ca="1" si="13"/>
        <v>0.59248087902617685</v>
      </c>
      <c r="AD20" s="1"/>
      <c r="AE20" s="1"/>
    </row>
    <row r="21" spans="1:31" x14ac:dyDescent="0.25">
      <c r="A21" s="3"/>
      <c r="B21" s="25">
        <v>43951</v>
      </c>
      <c r="C21" s="10" t="s">
        <v>409</v>
      </c>
      <c r="D21" s="1">
        <v>3848.95</v>
      </c>
      <c r="E21" s="30">
        <v>250</v>
      </c>
      <c r="F21" s="1">
        <v>3450</v>
      </c>
      <c r="G21" s="1">
        <v>93.85</v>
      </c>
      <c r="H21" s="1">
        <v>2950</v>
      </c>
      <c r="I21" s="1">
        <v>15</v>
      </c>
      <c r="J21" s="1">
        <v>1250</v>
      </c>
      <c r="K21" s="1">
        <v>1750</v>
      </c>
      <c r="L21" s="1">
        <v>1.05</v>
      </c>
      <c r="M21" s="1">
        <v>30</v>
      </c>
      <c r="N21" s="1">
        <v>750</v>
      </c>
      <c r="O21" s="9"/>
      <c r="P21" s="7">
        <f t="shared" ca="1" si="0"/>
        <v>0.15769999999999998</v>
      </c>
      <c r="Q21" s="7">
        <f t="shared" ca="1" si="1"/>
        <v>1.1264285714285713E-2</v>
      </c>
      <c r="R21" s="33">
        <f t="shared" ca="1" si="2"/>
        <v>19712.5</v>
      </c>
      <c r="S21" s="33">
        <f t="shared" ca="1" si="3"/>
        <v>-105287.5</v>
      </c>
      <c r="T21" s="33">
        <f t="shared" ca="1" si="4"/>
        <v>19712.5</v>
      </c>
      <c r="U21" s="7">
        <f t="shared" ca="1" si="5"/>
        <v>0.1872254541137362</v>
      </c>
      <c r="V21" s="7">
        <f t="shared" ca="1" si="6"/>
        <v>-0.15873789989731096</v>
      </c>
      <c r="W21" s="33">
        <f t="shared" ca="1" si="7"/>
        <v>-33293.559952438816</v>
      </c>
      <c r="X21" s="7">
        <f t="shared" ca="1" si="8"/>
        <v>-0.31621569466877658</v>
      </c>
      <c r="Y21" s="7">
        <f t="shared" ca="1" si="9"/>
        <v>-0.12899024055504038</v>
      </c>
      <c r="Z21" s="7">
        <f t="shared" ca="1" si="10"/>
        <v>-4.3306560246757587E-2</v>
      </c>
      <c r="AA21" s="33">
        <f t="shared" ca="1" si="11"/>
        <v>19712.5</v>
      </c>
      <c r="AB21" s="7">
        <f t="shared" ca="1" si="12"/>
        <v>1</v>
      </c>
      <c r="AC21" s="7">
        <f t="shared" ca="1" si="13"/>
        <v>0.59361272705686807</v>
      </c>
      <c r="AD21" s="1"/>
      <c r="AE21" s="1"/>
    </row>
    <row r="22" spans="1:31" x14ac:dyDescent="0.25">
      <c r="A22" s="3"/>
      <c r="B22" s="25">
        <v>43951</v>
      </c>
      <c r="C22" s="10" t="s">
        <v>409</v>
      </c>
      <c r="D22" s="1">
        <v>3848.95</v>
      </c>
      <c r="E22" s="30">
        <v>250</v>
      </c>
      <c r="F22" s="1">
        <v>3450</v>
      </c>
      <c r="G22" s="1">
        <v>93.85</v>
      </c>
      <c r="H22" s="1">
        <v>3000</v>
      </c>
      <c r="I22" s="1">
        <v>11.75</v>
      </c>
      <c r="J22" s="1">
        <v>55000</v>
      </c>
      <c r="K22" s="1">
        <v>250</v>
      </c>
      <c r="L22" s="1">
        <v>11</v>
      </c>
      <c r="M22" s="1">
        <v>11.8</v>
      </c>
      <c r="N22" s="1">
        <v>250</v>
      </c>
      <c r="O22" s="9"/>
      <c r="P22" s="7">
        <f t="shared" ca="1" si="0"/>
        <v>0.18244444444444444</v>
      </c>
      <c r="Q22" s="7">
        <f t="shared" ca="1" si="1"/>
        <v>1.3031746031746031E-2</v>
      </c>
      <c r="R22" s="33">
        <f t="shared" ca="1" si="2"/>
        <v>20525</v>
      </c>
      <c r="S22" s="33">
        <f t="shared" ca="1" si="3"/>
        <v>-91975</v>
      </c>
      <c r="T22" s="33">
        <f t="shared" ca="1" si="4"/>
        <v>20525</v>
      </c>
      <c r="U22" s="7">
        <f t="shared" ca="1" si="5"/>
        <v>0.22315846697472139</v>
      </c>
      <c r="V22" s="7">
        <f t="shared" ca="1" si="6"/>
        <v>-0.15873789989731096</v>
      </c>
      <c r="W22" s="33">
        <f t="shared" ca="1" si="7"/>
        <v>-32481.059952438816</v>
      </c>
      <c r="X22" s="7">
        <f t="shared" ca="1" si="8"/>
        <v>-0.35315096441901406</v>
      </c>
      <c r="Y22" s="7">
        <f t="shared" ca="1" si="9"/>
        <v>-0.12999249744429267</v>
      </c>
      <c r="Z22" s="7">
        <f t="shared" ca="1" si="10"/>
        <v>-4.3306560246757587E-2</v>
      </c>
      <c r="AA22" s="33">
        <f t="shared" ca="1" si="11"/>
        <v>20525</v>
      </c>
      <c r="AB22" s="7">
        <f t="shared" ca="1" si="12"/>
        <v>1</v>
      </c>
      <c r="AC22" s="7">
        <f t="shared" ca="1" si="13"/>
        <v>0.61157923348736065</v>
      </c>
      <c r="AD22" s="1"/>
      <c r="AE22" s="1"/>
    </row>
    <row r="23" spans="1:31" x14ac:dyDescent="0.25">
      <c r="A23" s="3"/>
      <c r="B23" s="25">
        <v>43951</v>
      </c>
      <c r="C23" s="10" t="s">
        <v>409</v>
      </c>
      <c r="D23" s="1">
        <v>3848.95</v>
      </c>
      <c r="E23" s="30">
        <v>250</v>
      </c>
      <c r="F23" s="1">
        <v>3450</v>
      </c>
      <c r="G23" s="1">
        <v>93.85</v>
      </c>
      <c r="H23" s="1">
        <v>3050</v>
      </c>
      <c r="I23" s="1">
        <v>21.2</v>
      </c>
      <c r="J23" s="1">
        <v>2750</v>
      </c>
      <c r="K23" s="1">
        <v>250</v>
      </c>
      <c r="L23" s="1">
        <v>1.1000000000000001</v>
      </c>
      <c r="M23" s="1">
        <v>23.05</v>
      </c>
      <c r="N23" s="1">
        <v>5750</v>
      </c>
      <c r="O23" s="9"/>
      <c r="P23" s="7">
        <f t="shared" ca="1" si="0"/>
        <v>0.18162499999999998</v>
      </c>
      <c r="Q23" s="7">
        <f t="shared" ca="1" si="1"/>
        <v>1.2973214285714284E-2</v>
      </c>
      <c r="R23" s="33">
        <f t="shared" ca="1" si="2"/>
        <v>18162.499999999996</v>
      </c>
      <c r="S23" s="33">
        <f t="shared" ca="1" si="3"/>
        <v>-81837.5</v>
      </c>
      <c r="T23" s="33">
        <f t="shared" ca="1" si="4"/>
        <v>18162.499999999996</v>
      </c>
      <c r="U23" s="7">
        <f t="shared" ca="1" si="5"/>
        <v>0.22193371009622723</v>
      </c>
      <c r="V23" s="7">
        <f t="shared" ca="1" si="6"/>
        <v>-0.15873789989731096</v>
      </c>
      <c r="W23" s="33">
        <f t="shared" ca="1" si="7"/>
        <v>-34843.559952438824</v>
      </c>
      <c r="X23" s="7">
        <f t="shared" ca="1" si="8"/>
        <v>-0.42576520485643898</v>
      </c>
      <c r="Y23" s="7">
        <f t="shared" ca="1" si="9"/>
        <v>-0.20383149476021176</v>
      </c>
      <c r="Z23" s="7">
        <f t="shared" ca="1" si="10"/>
        <v>-4.3306560246757587E-2</v>
      </c>
      <c r="AA23" s="33">
        <f t="shared" ca="1" si="11"/>
        <v>18162.499999999996</v>
      </c>
      <c r="AB23" s="7">
        <f t="shared" ca="1" si="12"/>
        <v>1</v>
      </c>
      <c r="AC23" s="7">
        <f t="shared" ca="1" si="13"/>
        <v>0.61096685504811366</v>
      </c>
      <c r="AD23" s="1"/>
      <c r="AE23" s="1"/>
    </row>
    <row r="24" spans="1:31" x14ac:dyDescent="0.25">
      <c r="A24" s="3"/>
      <c r="B24" s="25">
        <v>43951</v>
      </c>
      <c r="C24" s="10" t="s">
        <v>409</v>
      </c>
      <c r="D24" s="1">
        <v>3848.95</v>
      </c>
      <c r="E24" s="30">
        <v>250</v>
      </c>
      <c r="F24" s="1">
        <v>3450</v>
      </c>
      <c r="G24" s="1">
        <v>93.85</v>
      </c>
      <c r="H24" s="1">
        <v>3100</v>
      </c>
      <c r="I24" s="1">
        <v>18.899999999999999</v>
      </c>
      <c r="J24" s="1">
        <v>17000</v>
      </c>
      <c r="K24" s="1">
        <v>250</v>
      </c>
      <c r="L24" s="1">
        <v>15.05</v>
      </c>
      <c r="M24" s="1">
        <v>18</v>
      </c>
      <c r="N24" s="1">
        <v>250</v>
      </c>
      <c r="O24" s="9"/>
      <c r="P24" s="7">
        <f t="shared" ca="1" si="0"/>
        <v>0.21414285714285711</v>
      </c>
      <c r="Q24" s="7">
        <f t="shared" ca="1" si="1"/>
        <v>1.5295918367346936E-2</v>
      </c>
      <c r="R24" s="33">
        <f t="shared" ca="1" si="2"/>
        <v>18737.499999999996</v>
      </c>
      <c r="S24" s="33">
        <f t="shared" ca="1" si="3"/>
        <v>-68762.5</v>
      </c>
      <c r="T24" s="33">
        <f t="shared" ca="1" si="4"/>
        <v>18737.499999999996</v>
      </c>
      <c r="U24" s="7">
        <f t="shared" ca="1" si="5"/>
        <v>0.2724959098345755</v>
      </c>
      <c r="V24" s="7">
        <f t="shared" ca="1" si="6"/>
        <v>-0.15873789989731096</v>
      </c>
      <c r="W24" s="33">
        <f t="shared" ca="1" si="7"/>
        <v>-34268.559952438824</v>
      </c>
      <c r="X24" s="7">
        <f t="shared" ca="1" si="8"/>
        <v>-0.49836117000456387</v>
      </c>
      <c r="Y24" s="7">
        <f t="shared" ca="1" si="9"/>
        <v>-0.22586526016998837</v>
      </c>
      <c r="Z24" s="7">
        <f t="shared" ca="1" si="10"/>
        <v>-4.3306560246757587E-2</v>
      </c>
      <c r="AA24" s="33">
        <f t="shared" ca="1" si="11"/>
        <v>18737.499999999996</v>
      </c>
      <c r="AB24" s="7">
        <f t="shared" ca="1" si="12"/>
        <v>1</v>
      </c>
      <c r="AC24" s="7">
        <f t="shared" ca="1" si="13"/>
        <v>0.63624795491728769</v>
      </c>
      <c r="AD24" s="1"/>
      <c r="AE24" s="1"/>
    </row>
    <row r="25" spans="1:31" x14ac:dyDescent="0.25">
      <c r="A25" s="3"/>
      <c r="B25" s="25">
        <v>43951</v>
      </c>
      <c r="C25" s="10" t="s">
        <v>409</v>
      </c>
      <c r="D25" s="1">
        <v>3848.95</v>
      </c>
      <c r="E25" s="30">
        <v>250</v>
      </c>
      <c r="F25" s="1">
        <v>3450</v>
      </c>
      <c r="G25" s="1">
        <v>93.85</v>
      </c>
      <c r="H25" s="1">
        <v>3150</v>
      </c>
      <c r="I25" s="1">
        <v>40</v>
      </c>
      <c r="J25" s="1">
        <v>1250</v>
      </c>
      <c r="K25" s="1">
        <v>250</v>
      </c>
      <c r="L25" s="1">
        <v>2.1</v>
      </c>
      <c r="M25" s="1">
        <v>43.3</v>
      </c>
      <c r="N25" s="1">
        <v>2500</v>
      </c>
      <c r="O25" s="9"/>
      <c r="P25" s="7">
        <f t="shared" ca="1" si="0"/>
        <v>0.17949999999999999</v>
      </c>
      <c r="Q25" s="7">
        <f t="shared" ca="1" si="1"/>
        <v>1.282142857142857E-2</v>
      </c>
      <c r="R25" s="33">
        <f t="shared" ca="1" si="2"/>
        <v>13462.499999999998</v>
      </c>
      <c r="S25" s="33">
        <f t="shared" ca="1" si="3"/>
        <v>-61537.5</v>
      </c>
      <c r="T25" s="33">
        <f t="shared" ca="1" si="4"/>
        <v>13462.499999999998</v>
      </c>
      <c r="U25" s="7">
        <f t="shared" ca="1" si="5"/>
        <v>0.21876904326630101</v>
      </c>
      <c r="V25" s="7">
        <f t="shared" ca="1" si="6"/>
        <v>-0.15873789989731096</v>
      </c>
      <c r="W25" s="33">
        <f t="shared" ca="1" si="7"/>
        <v>-39543.559952438816</v>
      </c>
      <c r="X25" s="7">
        <f t="shared" ca="1" si="8"/>
        <v>-0.64259288974103301</v>
      </c>
      <c r="Y25" s="7">
        <f t="shared" ca="1" si="9"/>
        <v>-0.42382384647473204</v>
      </c>
      <c r="Z25" s="7">
        <f t="shared" ca="1" si="10"/>
        <v>-4.3306560246757587E-2</v>
      </c>
      <c r="AA25" s="33">
        <f t="shared" ca="1" si="11"/>
        <v>13462.499999999998</v>
      </c>
      <c r="AB25" s="7">
        <f t="shared" ca="1" si="12"/>
        <v>1</v>
      </c>
      <c r="AC25" s="7">
        <f t="shared" ca="1" si="13"/>
        <v>0.60938452163315049</v>
      </c>
      <c r="AD25" s="1"/>
      <c r="AE25" s="1"/>
    </row>
    <row r="26" spans="1:31" x14ac:dyDescent="0.25">
      <c r="A26" s="3"/>
      <c r="B26" s="25">
        <v>43951</v>
      </c>
      <c r="C26" s="10" t="s">
        <v>409</v>
      </c>
      <c r="D26" s="1">
        <v>3848.95</v>
      </c>
      <c r="E26" s="30">
        <v>250</v>
      </c>
      <c r="F26" s="1">
        <v>3450</v>
      </c>
      <c r="G26" s="1">
        <v>93.85</v>
      </c>
      <c r="H26" s="1">
        <v>3200</v>
      </c>
      <c r="I26" s="1">
        <v>19.350000000000001</v>
      </c>
      <c r="J26" s="1">
        <v>24750</v>
      </c>
      <c r="K26" s="1">
        <v>250</v>
      </c>
      <c r="L26" s="1">
        <v>18.55</v>
      </c>
      <c r="M26" s="1">
        <v>21.95</v>
      </c>
      <c r="N26" s="1">
        <v>250</v>
      </c>
      <c r="O26" s="9"/>
      <c r="P26" s="7">
        <f t="shared" ca="1" si="0"/>
        <v>0.29799999999999999</v>
      </c>
      <c r="Q26" s="7">
        <f t="shared" ca="1" si="1"/>
        <v>2.1285714285714286E-2</v>
      </c>
      <c r="R26" s="33">
        <f t="shared" ca="1" si="2"/>
        <v>18625</v>
      </c>
      <c r="S26" s="33">
        <f t="shared" ca="1" si="3"/>
        <v>-43875</v>
      </c>
      <c r="T26" s="33">
        <f t="shared" ca="1" si="4"/>
        <v>18625</v>
      </c>
      <c r="U26" s="7">
        <f t="shared" ca="1" si="5"/>
        <v>0.42450142450142453</v>
      </c>
      <c r="V26" s="7">
        <f t="shared" ca="1" si="6"/>
        <v>-0.15873789989731096</v>
      </c>
      <c r="W26" s="33">
        <f t="shared" ca="1" si="7"/>
        <v>-34381.059952438816</v>
      </c>
      <c r="X26" s="7">
        <f t="shared" ca="1" si="8"/>
        <v>-0.78361390204988757</v>
      </c>
      <c r="Y26" s="7">
        <f t="shared" ca="1" si="9"/>
        <v>-0.35911247754846304</v>
      </c>
      <c r="Z26" s="7">
        <f t="shared" ca="1" si="10"/>
        <v>-4.3306560246757587E-2</v>
      </c>
      <c r="AA26" s="33">
        <f t="shared" ca="1" si="11"/>
        <v>18625</v>
      </c>
      <c r="AB26" s="7">
        <f t="shared" ca="1" si="12"/>
        <v>1</v>
      </c>
      <c r="AC26" s="7">
        <f t="shared" ca="1" si="13"/>
        <v>0.71225071225071224</v>
      </c>
      <c r="AD26" s="1"/>
      <c r="AE26" s="1"/>
    </row>
    <row r="27" spans="1:31" x14ac:dyDescent="0.25">
      <c r="A27" s="3"/>
      <c r="B27" s="25">
        <v>43951</v>
      </c>
      <c r="C27" s="10" t="s">
        <v>409</v>
      </c>
      <c r="D27" s="1">
        <v>3848.95</v>
      </c>
      <c r="E27" s="30">
        <v>250</v>
      </c>
      <c r="F27" s="1">
        <v>3450</v>
      </c>
      <c r="G27" s="1">
        <v>93.85</v>
      </c>
      <c r="H27" s="1">
        <v>3250</v>
      </c>
      <c r="I27" s="1">
        <v>51</v>
      </c>
      <c r="J27" s="1">
        <v>1750</v>
      </c>
      <c r="K27" s="1">
        <v>250</v>
      </c>
      <c r="L27" s="1">
        <v>6.55</v>
      </c>
      <c r="M27" s="1">
        <v>55.25</v>
      </c>
      <c r="N27" s="1">
        <v>3000</v>
      </c>
      <c r="O27" s="9"/>
      <c r="P27" s="7">
        <f t="shared" ca="1" si="0"/>
        <v>0.21424999999999997</v>
      </c>
      <c r="Q27" s="7">
        <f t="shared" ca="1" si="1"/>
        <v>1.5303571428571427E-2</v>
      </c>
      <c r="R27" s="33">
        <f t="shared" ca="1" si="2"/>
        <v>10712.499999999998</v>
      </c>
      <c r="S27" s="33">
        <f t="shared" ca="1" si="3"/>
        <v>-39287.5</v>
      </c>
      <c r="T27" s="33">
        <f t="shared" ca="1" si="4"/>
        <v>10712.499999999998</v>
      </c>
      <c r="U27" s="7">
        <f t="shared" ca="1" si="5"/>
        <v>0.27266942411708556</v>
      </c>
      <c r="V27" s="7">
        <f t="shared" ca="1" si="6"/>
        <v>-0.15873789989731096</v>
      </c>
      <c r="W27" s="33">
        <f t="shared" ca="1" si="7"/>
        <v>-39287.5</v>
      </c>
      <c r="X27" s="7">
        <f t="shared" ca="1" si="8"/>
        <v>-1</v>
      </c>
      <c r="Y27" s="7">
        <f t="shared" ca="1" si="9"/>
        <v>-0.7273305758829145</v>
      </c>
      <c r="Z27" s="7">
        <f t="shared" ca="1" si="10"/>
        <v>-4.3306560246757587E-2</v>
      </c>
      <c r="AA27" s="33">
        <f t="shared" ca="1" si="11"/>
        <v>10712.499999999998</v>
      </c>
      <c r="AB27" s="7">
        <f t="shared" ca="1" si="12"/>
        <v>1</v>
      </c>
      <c r="AC27" s="7">
        <f t="shared" ca="1" si="13"/>
        <v>0.63633471205854275</v>
      </c>
      <c r="AD27" s="1"/>
      <c r="AE27" s="1"/>
    </row>
    <row r="28" spans="1:31" x14ac:dyDescent="0.25">
      <c r="A28" s="3"/>
      <c r="B28" s="25">
        <v>43951</v>
      </c>
      <c r="C28" s="10" t="s">
        <v>409</v>
      </c>
      <c r="D28" s="1">
        <v>3848.95</v>
      </c>
      <c r="E28" s="30">
        <v>250</v>
      </c>
      <c r="F28" s="1">
        <v>3450</v>
      </c>
      <c r="G28" s="1">
        <v>93.85</v>
      </c>
      <c r="H28" s="1">
        <v>3300</v>
      </c>
      <c r="I28" s="1">
        <v>25</v>
      </c>
      <c r="J28" s="1">
        <v>14750</v>
      </c>
      <c r="K28" s="1">
        <v>250</v>
      </c>
      <c r="L28" s="1">
        <v>22.05</v>
      </c>
      <c r="M28" s="1">
        <v>24.95</v>
      </c>
      <c r="N28" s="1">
        <v>250</v>
      </c>
      <c r="O28" s="9"/>
      <c r="P28" s="7">
        <f t="shared" ca="1" si="0"/>
        <v>0.45899999999999996</v>
      </c>
      <c r="Q28" s="7">
        <f t="shared" ca="1" si="1"/>
        <v>3.2785714285714286E-2</v>
      </c>
      <c r="R28" s="33">
        <f t="shared" ca="1" si="2"/>
        <v>17212.5</v>
      </c>
      <c r="S28" s="33">
        <f t="shared" ca="1" si="3"/>
        <v>-20287.5</v>
      </c>
      <c r="T28" s="33">
        <f t="shared" ca="1" si="4"/>
        <v>17212.5</v>
      </c>
      <c r="U28" s="7">
        <f t="shared" ca="1" si="5"/>
        <v>0.84842883548983361</v>
      </c>
      <c r="V28" s="7">
        <f t="shared" ca="1" si="6"/>
        <v>-0.15873789989731096</v>
      </c>
      <c r="W28" s="33">
        <f t="shared" ca="1" si="7"/>
        <v>-20287.5</v>
      </c>
      <c r="X28" s="7">
        <f t="shared" ca="1" si="8"/>
        <v>-1</v>
      </c>
      <c r="Y28" s="7">
        <f t="shared" ca="1" si="9"/>
        <v>-0.15157116451016639</v>
      </c>
      <c r="Z28" s="7">
        <f t="shared" ca="1" si="10"/>
        <v>-4.3306560246757587E-2</v>
      </c>
      <c r="AA28" s="33">
        <f t="shared" ca="1" si="11"/>
        <v>17212.5</v>
      </c>
      <c r="AB28" s="7">
        <f t="shared" ca="1" si="12"/>
        <v>1</v>
      </c>
      <c r="AC28" s="7">
        <f t="shared" ca="1" si="13"/>
        <v>0.92421441774491675</v>
      </c>
      <c r="AD28" s="1"/>
      <c r="AE28" s="1"/>
    </row>
    <row r="29" spans="1:31" x14ac:dyDescent="0.25">
      <c r="A29" s="3"/>
      <c r="B29" s="25">
        <v>43951</v>
      </c>
      <c r="C29" s="10" t="s">
        <v>409</v>
      </c>
      <c r="D29" s="1">
        <v>3848.95</v>
      </c>
      <c r="E29" s="30">
        <v>250</v>
      </c>
      <c r="F29" s="1">
        <v>3450</v>
      </c>
      <c r="G29" s="1">
        <v>93.85</v>
      </c>
      <c r="H29" s="1">
        <v>3350</v>
      </c>
      <c r="I29" s="1">
        <v>39</v>
      </c>
      <c r="J29" s="1">
        <v>1000</v>
      </c>
      <c r="K29" s="1">
        <v>500</v>
      </c>
      <c r="L29" s="1">
        <v>14.3</v>
      </c>
      <c r="M29" s="1">
        <v>40</v>
      </c>
      <c r="N29" s="1">
        <v>750</v>
      </c>
      <c r="O29" s="9"/>
      <c r="P29" s="7">
        <f t="shared" ca="1" si="0"/>
        <v>0.54849999999999999</v>
      </c>
      <c r="Q29" s="7">
        <f t="shared" ca="1" si="1"/>
        <v>3.9178571428571431E-2</v>
      </c>
      <c r="R29" s="33">
        <f t="shared" ca="1" si="2"/>
        <v>13712.499999999998</v>
      </c>
      <c r="S29" s="33">
        <f t="shared" ca="1" si="3"/>
        <v>-11287.500000000002</v>
      </c>
      <c r="T29" s="33">
        <f t="shared" ca="1" si="4"/>
        <v>13712.499999999998</v>
      </c>
      <c r="U29" s="7">
        <f t="shared" ca="1" si="5"/>
        <v>1.2148394241417493</v>
      </c>
      <c r="V29" s="7">
        <f t="shared" ca="1" si="6"/>
        <v>-0.15873789989731096</v>
      </c>
      <c r="W29" s="33">
        <f t="shared" ca="1" si="7"/>
        <v>-11287.500000000002</v>
      </c>
      <c r="X29" s="7">
        <f t="shared" ca="1" si="8"/>
        <v>-1</v>
      </c>
      <c r="Y29" s="7">
        <f t="shared" ca="1" si="9"/>
        <v>0.21483942414174928</v>
      </c>
      <c r="Z29" s="7">
        <f t="shared" ca="1" si="10"/>
        <v>-4.3306560246757587E-2</v>
      </c>
      <c r="AA29" s="33">
        <f t="shared" ca="1" si="11"/>
        <v>13712.499999999998</v>
      </c>
      <c r="AB29" s="7">
        <f t="shared" ca="1" si="12"/>
        <v>1</v>
      </c>
      <c r="AC29" s="7">
        <f t="shared" ca="1" si="13"/>
        <v>1.1074197120708746</v>
      </c>
      <c r="AD29" s="1"/>
      <c r="AE29" s="1"/>
    </row>
    <row r="30" spans="1:31" x14ac:dyDescent="0.25">
      <c r="A30" s="3"/>
      <c r="B30" s="25">
        <v>43951</v>
      </c>
      <c r="C30" s="10" t="s">
        <v>409</v>
      </c>
      <c r="D30" s="1">
        <v>3848.95</v>
      </c>
      <c r="E30" s="30">
        <v>250</v>
      </c>
      <c r="F30" s="1">
        <v>3450</v>
      </c>
      <c r="G30" s="1">
        <v>93.85</v>
      </c>
      <c r="H30" s="1">
        <v>3400</v>
      </c>
      <c r="I30" s="1">
        <v>38</v>
      </c>
      <c r="J30" s="1">
        <v>13750</v>
      </c>
      <c r="K30" s="1">
        <v>250</v>
      </c>
      <c r="L30" s="1">
        <v>30.65</v>
      </c>
      <c r="M30" s="1">
        <v>40</v>
      </c>
      <c r="N30" s="1">
        <v>250</v>
      </c>
      <c r="O30" s="9"/>
      <c r="P30" s="7">
        <f t="shared" ca="1" si="0"/>
        <v>1.117</v>
      </c>
      <c r="Q30" s="7">
        <f t="shared" ca="1" si="1"/>
        <v>7.9785714285714279E-2</v>
      </c>
      <c r="R30" s="33">
        <f t="shared" ca="1" si="2"/>
        <v>13962.499999999998</v>
      </c>
      <c r="S30" s="33">
        <f t="shared" ca="1" si="3"/>
        <v>1462.4999999999982</v>
      </c>
      <c r="T30" s="33">
        <f t="shared" ca="1" si="4"/>
        <v>13962.499999999998</v>
      </c>
      <c r="U30" s="7">
        <f t="shared" ca="1" si="5"/>
        <v>9.5470085470085575</v>
      </c>
      <c r="V30" s="7">
        <f t="shared" ca="1" si="6"/>
        <v>-0.15873789989731096</v>
      </c>
      <c r="W30" s="33">
        <f t="shared" ca="1" si="7"/>
        <v>1462.4999999999982</v>
      </c>
      <c r="X30" s="7">
        <f t="shared" ca="1" si="8"/>
        <v>1</v>
      </c>
      <c r="Y30" s="7">
        <f t="shared" ca="1" si="9"/>
        <v>10.547008547008557</v>
      </c>
      <c r="Z30" s="7">
        <f t="shared" ca="1" si="10"/>
        <v>-4.3306560246757587E-2</v>
      </c>
      <c r="AA30" s="33">
        <f t="shared" ca="1" si="11"/>
        <v>13962.499999999998</v>
      </c>
      <c r="AB30" s="7">
        <f t="shared" ca="1" si="12"/>
        <v>1</v>
      </c>
      <c r="AC30" s="7">
        <f t="shared" ca="1" si="13"/>
        <v>5.2735042735042787</v>
      </c>
      <c r="AD30" s="1"/>
      <c r="AE30" s="1"/>
    </row>
    <row r="31" spans="1:31" x14ac:dyDescent="0.25">
      <c r="A31" s="3"/>
      <c r="B31" s="25">
        <v>43951</v>
      </c>
      <c r="C31" s="10" t="s">
        <v>409</v>
      </c>
      <c r="D31" s="1">
        <v>3848.95</v>
      </c>
      <c r="E31" s="30">
        <v>250</v>
      </c>
      <c r="F31" s="1">
        <v>3450</v>
      </c>
      <c r="G31" s="1">
        <v>93.85</v>
      </c>
      <c r="H31" s="1">
        <v>3500</v>
      </c>
      <c r="I31" s="1">
        <v>54</v>
      </c>
      <c r="J31" s="1">
        <v>28250</v>
      </c>
      <c r="K31" s="1">
        <v>250</v>
      </c>
      <c r="L31" s="1">
        <v>50.2</v>
      </c>
      <c r="M31" s="1">
        <v>53.95</v>
      </c>
      <c r="N31" s="1">
        <v>500</v>
      </c>
      <c r="O31" s="9"/>
      <c r="P31" s="7">
        <f t="shared" ca="1" si="0"/>
        <v>-0.79699999999999993</v>
      </c>
      <c r="Q31" s="7">
        <f t="shared" ca="1" si="1"/>
        <v>-5.6928571428571426E-2</v>
      </c>
      <c r="R31" s="33">
        <f t="shared" ca="1" si="2"/>
        <v>9962.4999999999982</v>
      </c>
      <c r="S31" s="33">
        <f t="shared" ca="1" si="3"/>
        <v>22462.5</v>
      </c>
      <c r="T31" s="33">
        <f t="shared" ca="1" si="4"/>
        <v>9962.4999999999982</v>
      </c>
      <c r="U31" s="7">
        <f t="shared" ca="1" si="5"/>
        <v>0.44351697273233159</v>
      </c>
      <c r="V31" s="7">
        <f t="shared" ca="1" si="6"/>
        <v>-0.15873789989731096</v>
      </c>
      <c r="W31" s="33">
        <f t="shared" ca="1" si="7"/>
        <v>9962.4999999999982</v>
      </c>
      <c r="X31" s="7">
        <f t="shared" ca="1" si="8"/>
        <v>0.44351697273233159</v>
      </c>
      <c r="Y31" s="7">
        <f t="shared" ca="1" si="9"/>
        <v>0.88703394546466319</v>
      </c>
      <c r="Z31" s="7">
        <f t="shared" ca="1" si="10"/>
        <v>-4.3306560246757587E-2</v>
      </c>
      <c r="AA31" s="33">
        <f t="shared" ca="1" si="11"/>
        <v>9962.4999999999982</v>
      </c>
      <c r="AB31" s="7">
        <f t="shared" ca="1" si="12"/>
        <v>1</v>
      </c>
      <c r="AC31" s="7">
        <f t="shared" ca="1" si="13"/>
        <v>0.7217584863661658</v>
      </c>
      <c r="AD31" s="1"/>
      <c r="AE31" s="1"/>
    </row>
    <row r="32" spans="1:31" x14ac:dyDescent="0.25">
      <c r="A32" s="3"/>
      <c r="B32" s="25">
        <v>43951</v>
      </c>
      <c r="C32" s="10" t="s">
        <v>409</v>
      </c>
      <c r="D32" s="1">
        <v>3848.95</v>
      </c>
      <c r="E32" s="30">
        <v>250</v>
      </c>
      <c r="F32" s="1">
        <v>3450</v>
      </c>
      <c r="G32" s="1">
        <v>93.85</v>
      </c>
      <c r="H32" s="1">
        <v>3550</v>
      </c>
      <c r="I32" s="1">
        <v>64.2</v>
      </c>
      <c r="J32" s="1">
        <v>1250</v>
      </c>
      <c r="K32" s="1">
        <v>3000</v>
      </c>
      <c r="L32" s="1">
        <v>40.5</v>
      </c>
      <c r="M32" s="1">
        <v>68</v>
      </c>
      <c r="N32" s="1">
        <v>250</v>
      </c>
      <c r="O32" s="9"/>
      <c r="P32" s="7">
        <f t="shared" ca="1" si="0"/>
        <v>-0.29649999999999993</v>
      </c>
      <c r="Q32" s="7">
        <f t="shared" ca="1" si="1"/>
        <v>-2.1178571428571425E-2</v>
      </c>
      <c r="R32" s="33">
        <f t="shared" ca="1" si="2"/>
        <v>7412.4999999999982</v>
      </c>
      <c r="S32" s="33">
        <f t="shared" ca="1" si="3"/>
        <v>32412.5</v>
      </c>
      <c r="T32" s="33">
        <f t="shared" ca="1" si="4"/>
        <v>7412.4999999999982</v>
      </c>
      <c r="U32" s="7">
        <f t="shared" ca="1" si="5"/>
        <v>0.22869263401465478</v>
      </c>
      <c r="V32" s="7">
        <f t="shared" ca="1" si="6"/>
        <v>-0.15873789989731096</v>
      </c>
      <c r="W32" s="33">
        <f t="shared" ca="1" si="7"/>
        <v>7412.4999999999982</v>
      </c>
      <c r="X32" s="7">
        <f t="shared" ca="1" si="8"/>
        <v>0.22869263401465478</v>
      </c>
      <c r="Y32" s="7">
        <f t="shared" ca="1" si="9"/>
        <v>0.45738526802930957</v>
      </c>
      <c r="Z32" s="7">
        <f t="shared" ca="1" si="10"/>
        <v>-4.3306560246757587E-2</v>
      </c>
      <c r="AA32" s="33">
        <f t="shared" ca="1" si="11"/>
        <v>7412.4999999999982</v>
      </c>
      <c r="AB32" s="7">
        <f t="shared" ca="1" si="12"/>
        <v>1</v>
      </c>
      <c r="AC32" s="7">
        <f t="shared" ca="1" si="13"/>
        <v>0.61434631700732734</v>
      </c>
      <c r="AD32" s="1"/>
      <c r="AE32" s="1"/>
    </row>
    <row r="33" spans="1:31" x14ac:dyDescent="0.25">
      <c r="A33" s="3"/>
      <c r="B33" s="25">
        <v>43951</v>
      </c>
      <c r="C33" s="10" t="s">
        <v>644</v>
      </c>
      <c r="D33" s="1">
        <v>2470.65</v>
      </c>
      <c r="E33" s="30">
        <v>300</v>
      </c>
      <c r="F33" s="1">
        <v>2220</v>
      </c>
      <c r="G33" s="1">
        <v>45.95</v>
      </c>
      <c r="H33" s="1">
        <v>1900</v>
      </c>
      <c r="I33" s="1">
        <v>6.9</v>
      </c>
      <c r="J33" s="1">
        <v>57900</v>
      </c>
      <c r="K33" s="1">
        <v>5400</v>
      </c>
      <c r="L33" s="1">
        <v>6.25</v>
      </c>
      <c r="M33" s="1">
        <v>7.55</v>
      </c>
      <c r="N33" s="1">
        <v>300</v>
      </c>
      <c r="O33" s="9"/>
      <c r="P33" s="7">
        <f t="shared" ca="1" si="0"/>
        <v>0.12203125000000001</v>
      </c>
      <c r="Q33" s="7">
        <f t="shared" ref="Q33:Q90" ca="1" si="14">P33/($B33-TODAY())</f>
        <v>8.7165178571428584E-3</v>
      </c>
      <c r="R33" s="33">
        <f t="shared" ca="1" si="2"/>
        <v>11715.000000000002</v>
      </c>
      <c r="S33" s="33">
        <f t="shared" ca="1" si="3"/>
        <v>-84285</v>
      </c>
      <c r="T33" s="33">
        <f t="shared" ref="T33:T90" ca="1" si="15">R33</f>
        <v>11715.000000000002</v>
      </c>
      <c r="U33" s="7">
        <f t="shared" ca="1" si="5"/>
        <v>0.13899270332799432</v>
      </c>
      <c r="V33" s="7">
        <f t="shared" ca="1" si="6"/>
        <v>-0.19593676522444173</v>
      </c>
      <c r="W33" s="33">
        <f t="shared" ref="W33:W90" ca="1" si="16">-(MAX(($F33-MAX($D33*(1+V33),$H33)),0)*$E33-$R33)</f>
        <v>-58317.350700530063</v>
      </c>
      <c r="X33" s="7">
        <f t="shared" ref="X33:X90" ca="1" si="17">W33/ABS($S33)</f>
        <v>-0.69190663463878588</v>
      </c>
      <c r="Y33" s="7">
        <f t="shared" ref="Y33:Y90" ca="1" si="18">$U33+X33</f>
        <v>-0.55291393131079158</v>
      </c>
      <c r="Z33" s="7">
        <f t="shared" ca="1" si="10"/>
        <v>-3.9721881206456616E-2</v>
      </c>
      <c r="AA33" s="33">
        <f t="shared" ref="AA33:AA90" ca="1" si="19">-(MAX(($F33-MAX($D33*(1+Z33),$H33)),0)*$E33-$R33)</f>
        <v>11715.000000000002</v>
      </c>
      <c r="AB33" s="7">
        <f t="shared" ref="AB33:AB90" ca="1" si="20">AA33/$R33</f>
        <v>1</v>
      </c>
      <c r="AC33" s="7">
        <f t="shared" ca="1" si="13"/>
        <v>0.56949635166399715</v>
      </c>
      <c r="AD33" s="1"/>
      <c r="AE33" s="1"/>
    </row>
    <row r="34" spans="1:31" x14ac:dyDescent="0.25">
      <c r="A34" s="3"/>
      <c r="B34" s="25">
        <v>43951</v>
      </c>
      <c r="C34" s="10" t="s">
        <v>644</v>
      </c>
      <c r="D34" s="1">
        <v>2470.65</v>
      </c>
      <c r="E34" s="30">
        <v>300</v>
      </c>
      <c r="F34" s="1">
        <v>2220</v>
      </c>
      <c r="G34" s="1">
        <v>45.95</v>
      </c>
      <c r="H34" s="1">
        <v>1960</v>
      </c>
      <c r="I34" s="1">
        <v>9</v>
      </c>
      <c r="J34" s="1">
        <v>1200</v>
      </c>
      <c r="K34" s="1">
        <v>300</v>
      </c>
      <c r="L34" s="1">
        <v>6.55</v>
      </c>
      <c r="M34" s="1">
        <v>22.3</v>
      </c>
      <c r="N34" s="1">
        <v>600</v>
      </c>
      <c r="O34" s="9"/>
      <c r="P34" s="7">
        <f t="shared" ca="1" si="0"/>
        <v>0.14211538461538462</v>
      </c>
      <c r="Q34" s="7">
        <f t="shared" ca="1" si="14"/>
        <v>1.0151098901098901E-2</v>
      </c>
      <c r="R34" s="33">
        <f t="shared" ca="1" si="2"/>
        <v>11085</v>
      </c>
      <c r="S34" s="33">
        <f t="shared" ca="1" si="3"/>
        <v>-66915</v>
      </c>
      <c r="T34" s="33">
        <f t="shared" ca="1" si="15"/>
        <v>11085</v>
      </c>
      <c r="U34" s="7">
        <f t="shared" ca="1" si="5"/>
        <v>0.16565792423223494</v>
      </c>
      <c r="V34" s="7">
        <f t="shared" ca="1" si="6"/>
        <v>-0.19593676522444173</v>
      </c>
      <c r="W34" s="33">
        <f t="shared" ca="1" si="16"/>
        <v>-58947.350700530063</v>
      </c>
      <c r="X34" s="7">
        <f t="shared" ca="1" si="17"/>
        <v>-0.88092880072524937</v>
      </c>
      <c r="Y34" s="7">
        <f t="shared" ca="1" si="18"/>
        <v>-0.71527087649301446</v>
      </c>
      <c r="Z34" s="7">
        <f t="shared" ca="1" si="10"/>
        <v>-3.9721881206456616E-2</v>
      </c>
      <c r="AA34" s="33">
        <f t="shared" ca="1" si="19"/>
        <v>11085</v>
      </c>
      <c r="AB34" s="7">
        <f t="shared" ca="1" si="20"/>
        <v>1</v>
      </c>
      <c r="AC34" s="7">
        <f t="shared" ca="1" si="13"/>
        <v>0.58282896211611745</v>
      </c>
      <c r="AD34" s="1"/>
      <c r="AE34" s="1"/>
    </row>
    <row r="35" spans="1:31" x14ac:dyDescent="0.25">
      <c r="A35" s="3"/>
      <c r="B35" s="25">
        <v>43951</v>
      </c>
      <c r="C35" s="10" t="s">
        <v>644</v>
      </c>
      <c r="D35" s="1">
        <v>2470.65</v>
      </c>
      <c r="E35" s="30">
        <v>300</v>
      </c>
      <c r="F35" s="1">
        <v>2220</v>
      </c>
      <c r="G35" s="1">
        <v>45.95</v>
      </c>
      <c r="H35" s="1">
        <v>2000</v>
      </c>
      <c r="I35" s="1">
        <v>11.55</v>
      </c>
      <c r="J35" s="1">
        <v>221100</v>
      </c>
      <c r="K35" s="1">
        <v>300</v>
      </c>
      <c r="L35" s="1">
        <v>12</v>
      </c>
      <c r="M35" s="1">
        <v>12.5</v>
      </c>
      <c r="N35" s="1">
        <v>300</v>
      </c>
      <c r="O35" s="9"/>
      <c r="P35" s="7">
        <f t="shared" ca="1" si="0"/>
        <v>0.1563636363636364</v>
      </c>
      <c r="Q35" s="7">
        <f t="shared" ca="1" si="14"/>
        <v>1.1168831168831172E-2</v>
      </c>
      <c r="R35" s="33">
        <f t="shared" ca="1" si="2"/>
        <v>10320.000000000002</v>
      </c>
      <c r="S35" s="33">
        <f t="shared" ca="1" si="3"/>
        <v>-55680</v>
      </c>
      <c r="T35" s="33">
        <f t="shared" ca="1" si="15"/>
        <v>10320.000000000002</v>
      </c>
      <c r="U35" s="7">
        <f t="shared" ca="1" si="5"/>
        <v>0.18534482758620693</v>
      </c>
      <c r="V35" s="7">
        <f t="shared" ca="1" si="6"/>
        <v>-0.19593676522444173</v>
      </c>
      <c r="W35" s="33">
        <f t="shared" ca="1" si="16"/>
        <v>-55680</v>
      </c>
      <c r="X35" s="7">
        <f t="shared" ca="1" si="17"/>
        <v>-1</v>
      </c>
      <c r="Y35" s="7">
        <f t="shared" ca="1" si="18"/>
        <v>-0.81465517241379304</v>
      </c>
      <c r="Z35" s="7">
        <f t="shared" ca="1" si="10"/>
        <v>-3.9721881206456616E-2</v>
      </c>
      <c r="AA35" s="33">
        <f t="shared" ca="1" si="19"/>
        <v>10320.000000000002</v>
      </c>
      <c r="AB35" s="7">
        <f t="shared" ca="1" si="20"/>
        <v>1</v>
      </c>
      <c r="AC35" s="7">
        <f t="shared" ca="1" si="13"/>
        <v>0.59267241379310343</v>
      </c>
      <c r="AD35" s="1"/>
      <c r="AE35" s="1"/>
    </row>
    <row r="36" spans="1:31" x14ac:dyDescent="0.25">
      <c r="A36" s="3"/>
      <c r="B36" s="25">
        <v>43951</v>
      </c>
      <c r="C36" s="10" t="s">
        <v>644</v>
      </c>
      <c r="D36" s="1">
        <v>2470.65</v>
      </c>
      <c r="E36" s="30">
        <v>300</v>
      </c>
      <c r="F36" s="1">
        <v>2220</v>
      </c>
      <c r="G36" s="1">
        <v>45.95</v>
      </c>
      <c r="H36" s="1">
        <v>2040</v>
      </c>
      <c r="I36" s="1">
        <v>16</v>
      </c>
      <c r="J36" s="1">
        <v>1800</v>
      </c>
      <c r="K36" s="1">
        <v>300</v>
      </c>
      <c r="L36" s="1">
        <v>6.1</v>
      </c>
      <c r="M36" s="1">
        <v>25</v>
      </c>
      <c r="N36" s="1">
        <v>300</v>
      </c>
      <c r="O36" s="9"/>
      <c r="P36" s="7">
        <f t="shared" ca="1" si="0"/>
        <v>0.16638888888888889</v>
      </c>
      <c r="Q36" s="7">
        <f t="shared" ca="1" si="14"/>
        <v>1.1884920634920635E-2</v>
      </c>
      <c r="R36" s="33">
        <f t="shared" ca="1" si="2"/>
        <v>8985</v>
      </c>
      <c r="S36" s="33">
        <f t="shared" ca="1" si="3"/>
        <v>-45015</v>
      </c>
      <c r="T36" s="33">
        <f t="shared" ca="1" si="15"/>
        <v>8985</v>
      </c>
      <c r="U36" s="7">
        <f t="shared" ca="1" si="5"/>
        <v>0.19960013328890369</v>
      </c>
      <c r="V36" s="7">
        <f t="shared" ca="1" si="6"/>
        <v>-0.19593676522444173</v>
      </c>
      <c r="W36" s="33">
        <f t="shared" ca="1" si="16"/>
        <v>-45015</v>
      </c>
      <c r="X36" s="7">
        <f t="shared" ca="1" si="17"/>
        <v>-1</v>
      </c>
      <c r="Y36" s="7">
        <f t="shared" ca="1" si="18"/>
        <v>-0.80039986671109631</v>
      </c>
      <c r="Z36" s="7">
        <f t="shared" ca="1" si="10"/>
        <v>-3.9721881206456616E-2</v>
      </c>
      <c r="AA36" s="33">
        <f t="shared" ca="1" si="19"/>
        <v>8985</v>
      </c>
      <c r="AB36" s="7">
        <f t="shared" ca="1" si="20"/>
        <v>1</v>
      </c>
      <c r="AC36" s="7">
        <f t="shared" ca="1" si="13"/>
        <v>0.59980006664445185</v>
      </c>
      <c r="AD36" s="1"/>
      <c r="AE36" s="1"/>
    </row>
    <row r="37" spans="1:31" x14ac:dyDescent="0.25">
      <c r="A37" s="3"/>
      <c r="B37" s="25">
        <v>43951</v>
      </c>
      <c r="C37" s="10" t="s">
        <v>644</v>
      </c>
      <c r="D37" s="1">
        <v>2470.65</v>
      </c>
      <c r="E37" s="30">
        <v>300</v>
      </c>
      <c r="F37" s="1">
        <v>2220</v>
      </c>
      <c r="G37" s="1">
        <v>45.95</v>
      </c>
      <c r="H37" s="1">
        <v>2080</v>
      </c>
      <c r="I37" s="1">
        <v>14.45</v>
      </c>
      <c r="J37" s="1">
        <v>4500</v>
      </c>
      <c r="K37" s="1">
        <v>600</v>
      </c>
      <c r="L37" s="1">
        <v>9.0500000000000007</v>
      </c>
      <c r="M37" s="1">
        <v>30.15</v>
      </c>
      <c r="N37" s="1">
        <v>1200</v>
      </c>
      <c r="O37" s="9"/>
      <c r="P37" s="7">
        <f t="shared" ca="1" si="0"/>
        <v>0.22500000000000003</v>
      </c>
      <c r="Q37" s="7">
        <f t="shared" ca="1" si="14"/>
        <v>1.6071428571428573E-2</v>
      </c>
      <c r="R37" s="33">
        <f t="shared" ca="1" si="2"/>
        <v>9450.0000000000018</v>
      </c>
      <c r="S37" s="33">
        <f t="shared" ca="1" si="3"/>
        <v>-32550</v>
      </c>
      <c r="T37" s="33">
        <f t="shared" ca="1" si="15"/>
        <v>9450.0000000000018</v>
      </c>
      <c r="U37" s="7">
        <f t="shared" ca="1" si="5"/>
        <v>0.29032258064516137</v>
      </c>
      <c r="V37" s="7">
        <f t="shared" ca="1" si="6"/>
        <v>-0.19593676522444173</v>
      </c>
      <c r="W37" s="33">
        <f t="shared" ca="1" si="16"/>
        <v>-32550</v>
      </c>
      <c r="X37" s="7">
        <f t="shared" ca="1" si="17"/>
        <v>-1</v>
      </c>
      <c r="Y37" s="7">
        <f t="shared" ca="1" si="18"/>
        <v>-0.70967741935483863</v>
      </c>
      <c r="Z37" s="7">
        <f t="shared" ca="1" si="10"/>
        <v>-3.9721881206456616E-2</v>
      </c>
      <c r="AA37" s="33">
        <f t="shared" ca="1" si="19"/>
        <v>9450.0000000000018</v>
      </c>
      <c r="AB37" s="7">
        <f t="shared" ca="1" si="20"/>
        <v>1</v>
      </c>
      <c r="AC37" s="7">
        <f t="shared" ca="1" si="13"/>
        <v>0.64516129032258074</v>
      </c>
      <c r="AD37" s="1"/>
      <c r="AE37" s="1"/>
    </row>
    <row r="38" spans="1:31" x14ac:dyDescent="0.25">
      <c r="A38" s="3"/>
      <c r="B38" s="25">
        <v>43951</v>
      </c>
      <c r="C38" s="10" t="s">
        <v>644</v>
      </c>
      <c r="D38" s="1">
        <v>2470.65</v>
      </c>
      <c r="E38" s="30">
        <v>300</v>
      </c>
      <c r="F38" s="1">
        <v>2220</v>
      </c>
      <c r="G38" s="1">
        <v>45.95</v>
      </c>
      <c r="H38" s="1">
        <v>2100</v>
      </c>
      <c r="I38" s="1">
        <v>17</v>
      </c>
      <c r="J38" s="1">
        <v>93900</v>
      </c>
      <c r="K38" s="1">
        <v>300</v>
      </c>
      <c r="L38" s="1">
        <v>16.05</v>
      </c>
      <c r="M38" s="1">
        <v>17.7</v>
      </c>
      <c r="N38" s="1">
        <v>300</v>
      </c>
      <c r="O38" s="9"/>
      <c r="P38" s="7">
        <f t="shared" ca="1" si="0"/>
        <v>0.24125000000000002</v>
      </c>
      <c r="Q38" s="7">
        <f t="shared" ca="1" si="14"/>
        <v>1.7232142857142859E-2</v>
      </c>
      <c r="R38" s="33">
        <f t="shared" ca="1" si="2"/>
        <v>8685</v>
      </c>
      <c r="S38" s="33">
        <f t="shared" ca="1" si="3"/>
        <v>-27315</v>
      </c>
      <c r="T38" s="33">
        <f t="shared" ca="1" si="15"/>
        <v>8685</v>
      </c>
      <c r="U38" s="7">
        <f t="shared" ca="1" si="5"/>
        <v>0.31795716639209226</v>
      </c>
      <c r="V38" s="7">
        <f t="shared" ca="1" si="6"/>
        <v>-0.19593676522444173</v>
      </c>
      <c r="W38" s="33">
        <f t="shared" ca="1" si="16"/>
        <v>-27315</v>
      </c>
      <c r="X38" s="7">
        <f t="shared" ca="1" si="17"/>
        <v>-1</v>
      </c>
      <c r="Y38" s="7">
        <f t="shared" ca="1" si="18"/>
        <v>-0.68204283360790774</v>
      </c>
      <c r="Z38" s="7">
        <f t="shared" ca="1" si="10"/>
        <v>-3.9721881206456616E-2</v>
      </c>
      <c r="AA38" s="33">
        <f t="shared" ca="1" si="19"/>
        <v>8685</v>
      </c>
      <c r="AB38" s="7">
        <f t="shared" ca="1" si="20"/>
        <v>1</v>
      </c>
      <c r="AC38" s="7">
        <f t="shared" ca="1" si="13"/>
        <v>0.65897858319604619</v>
      </c>
      <c r="AD38" s="1"/>
      <c r="AE38" s="1"/>
    </row>
    <row r="39" spans="1:31" x14ac:dyDescent="0.25">
      <c r="A39" s="3"/>
      <c r="B39" s="25">
        <v>43951</v>
      </c>
      <c r="C39" s="10" t="s">
        <v>644</v>
      </c>
      <c r="D39" s="1">
        <v>2470.65</v>
      </c>
      <c r="E39" s="30">
        <v>300</v>
      </c>
      <c r="F39" s="1">
        <v>2220</v>
      </c>
      <c r="G39" s="1">
        <v>45.95</v>
      </c>
      <c r="H39" s="1">
        <v>2120</v>
      </c>
      <c r="I39" s="1">
        <v>30</v>
      </c>
      <c r="J39" s="1">
        <v>6000</v>
      </c>
      <c r="K39" s="1">
        <v>300</v>
      </c>
      <c r="L39" s="1">
        <v>13</v>
      </c>
      <c r="M39" s="1">
        <v>34.799999999999997</v>
      </c>
      <c r="N39" s="1">
        <v>1800</v>
      </c>
      <c r="O39" s="9"/>
      <c r="P39" s="7">
        <f t="shared" ca="1" si="0"/>
        <v>0.15950000000000003</v>
      </c>
      <c r="Q39" s="7">
        <f t="shared" ca="1" si="14"/>
        <v>1.1392857142857146E-2</v>
      </c>
      <c r="R39" s="33">
        <f t="shared" ca="1" si="2"/>
        <v>4785.0000000000009</v>
      </c>
      <c r="S39" s="33">
        <f t="shared" ca="1" si="3"/>
        <v>-25215</v>
      </c>
      <c r="T39" s="33">
        <f t="shared" ca="1" si="15"/>
        <v>4785.0000000000009</v>
      </c>
      <c r="U39" s="7">
        <f t="shared" ca="1" si="5"/>
        <v>0.18976799524092805</v>
      </c>
      <c r="V39" s="7">
        <f t="shared" ca="1" si="6"/>
        <v>-0.19593676522444173</v>
      </c>
      <c r="W39" s="33">
        <f t="shared" ca="1" si="16"/>
        <v>-25215</v>
      </c>
      <c r="X39" s="7">
        <f t="shared" ca="1" si="17"/>
        <v>-1</v>
      </c>
      <c r="Y39" s="7">
        <f t="shared" ca="1" si="18"/>
        <v>-0.81023200475907198</v>
      </c>
      <c r="Z39" s="7">
        <f t="shared" ca="1" si="10"/>
        <v>-3.9721881206456616E-2</v>
      </c>
      <c r="AA39" s="33">
        <f t="shared" ca="1" si="19"/>
        <v>4785.0000000000009</v>
      </c>
      <c r="AB39" s="7">
        <f t="shared" ca="1" si="20"/>
        <v>1</v>
      </c>
      <c r="AC39" s="7">
        <f t="shared" ca="1" si="13"/>
        <v>0.59488399762046407</v>
      </c>
      <c r="AD39" s="1"/>
      <c r="AE39" s="1"/>
    </row>
    <row r="40" spans="1:31" x14ac:dyDescent="0.25">
      <c r="A40" s="3"/>
      <c r="B40" s="25">
        <v>43951</v>
      </c>
      <c r="C40" s="10" t="s">
        <v>644</v>
      </c>
      <c r="D40" s="1">
        <v>2470.65</v>
      </c>
      <c r="E40" s="30">
        <v>300</v>
      </c>
      <c r="F40" s="1">
        <v>2220</v>
      </c>
      <c r="G40" s="1">
        <v>45.95</v>
      </c>
      <c r="H40" s="1">
        <v>2140</v>
      </c>
      <c r="I40" s="1">
        <v>19</v>
      </c>
      <c r="J40" s="1">
        <v>9600</v>
      </c>
      <c r="K40" s="1">
        <v>300</v>
      </c>
      <c r="L40" s="1">
        <v>15.05</v>
      </c>
      <c r="M40" s="1">
        <v>27.95</v>
      </c>
      <c r="N40" s="1">
        <v>300</v>
      </c>
      <c r="O40" s="9"/>
      <c r="P40" s="7">
        <f t="shared" ca="1" si="0"/>
        <v>0.33687500000000004</v>
      </c>
      <c r="Q40" s="7">
        <f t="shared" ca="1" si="14"/>
        <v>2.4062500000000004E-2</v>
      </c>
      <c r="R40" s="33">
        <f t="shared" ca="1" si="2"/>
        <v>8085.0000000000009</v>
      </c>
      <c r="S40" s="33">
        <f t="shared" ca="1" si="3"/>
        <v>-15915</v>
      </c>
      <c r="T40" s="33">
        <f t="shared" ca="1" si="15"/>
        <v>8085.0000000000009</v>
      </c>
      <c r="U40" s="7">
        <f t="shared" ca="1" si="5"/>
        <v>0.5080113100848257</v>
      </c>
      <c r="V40" s="7">
        <f t="shared" ca="1" si="6"/>
        <v>-0.19593676522444173</v>
      </c>
      <c r="W40" s="33">
        <f t="shared" ca="1" si="16"/>
        <v>-15915</v>
      </c>
      <c r="X40" s="7">
        <f t="shared" ca="1" si="17"/>
        <v>-1</v>
      </c>
      <c r="Y40" s="7">
        <f t="shared" ca="1" si="18"/>
        <v>-0.4919886899151743</v>
      </c>
      <c r="Z40" s="7">
        <f t="shared" ca="1" si="10"/>
        <v>-3.9721881206456616E-2</v>
      </c>
      <c r="AA40" s="33">
        <f t="shared" ca="1" si="19"/>
        <v>8085.0000000000009</v>
      </c>
      <c r="AB40" s="7">
        <f t="shared" ca="1" si="20"/>
        <v>1</v>
      </c>
      <c r="AC40" s="7">
        <f t="shared" ca="1" si="13"/>
        <v>0.75400565504241279</v>
      </c>
      <c r="AD40" s="1"/>
      <c r="AE40" s="1"/>
    </row>
    <row r="41" spans="1:31" x14ac:dyDescent="0.25">
      <c r="A41" s="3"/>
      <c r="B41" s="25">
        <v>43951</v>
      </c>
      <c r="C41" s="10" t="s">
        <v>644</v>
      </c>
      <c r="D41" s="1">
        <v>2470.65</v>
      </c>
      <c r="E41" s="30">
        <v>300</v>
      </c>
      <c r="F41" s="1">
        <v>2220</v>
      </c>
      <c r="G41" s="1">
        <v>45.95</v>
      </c>
      <c r="H41" s="1">
        <v>2160</v>
      </c>
      <c r="I41" s="1">
        <v>21.95</v>
      </c>
      <c r="J41" s="1">
        <v>9300</v>
      </c>
      <c r="K41" s="1">
        <v>300</v>
      </c>
      <c r="L41" s="1">
        <v>19.350000000000001</v>
      </c>
      <c r="M41" s="1">
        <v>25.95</v>
      </c>
      <c r="N41" s="1">
        <v>600</v>
      </c>
      <c r="O41" s="9"/>
      <c r="P41" s="7">
        <f t="shared" ca="1" si="0"/>
        <v>0.40000000000000008</v>
      </c>
      <c r="Q41" s="7">
        <f t="shared" ca="1" si="14"/>
        <v>2.8571428571428577E-2</v>
      </c>
      <c r="R41" s="33">
        <f t="shared" ca="1" si="2"/>
        <v>7200.0000000000009</v>
      </c>
      <c r="S41" s="33">
        <f t="shared" ca="1" si="3"/>
        <v>-10800</v>
      </c>
      <c r="T41" s="33">
        <f t="shared" ca="1" si="15"/>
        <v>7200.0000000000009</v>
      </c>
      <c r="U41" s="7">
        <f t="shared" ca="1" si="5"/>
        <v>0.66666666666666674</v>
      </c>
      <c r="V41" s="7">
        <f t="shared" ca="1" si="6"/>
        <v>-0.19593676522444173</v>
      </c>
      <c r="W41" s="33">
        <f t="shared" ca="1" si="16"/>
        <v>-10800</v>
      </c>
      <c r="X41" s="7">
        <f t="shared" ca="1" si="17"/>
        <v>-1</v>
      </c>
      <c r="Y41" s="7">
        <f t="shared" ca="1" si="18"/>
        <v>-0.33333333333333326</v>
      </c>
      <c r="Z41" s="7">
        <f t="shared" ca="1" si="10"/>
        <v>-3.9721881206456616E-2</v>
      </c>
      <c r="AA41" s="33">
        <f t="shared" ca="1" si="19"/>
        <v>7200.0000000000009</v>
      </c>
      <c r="AB41" s="7">
        <f t="shared" ca="1" si="20"/>
        <v>1</v>
      </c>
      <c r="AC41" s="7">
        <f t="shared" ca="1" si="13"/>
        <v>0.83333333333333337</v>
      </c>
      <c r="AD41" s="1"/>
      <c r="AE41" s="1"/>
    </row>
    <row r="42" spans="1:31" x14ac:dyDescent="0.25">
      <c r="A42" s="3"/>
      <c r="B42" s="25">
        <v>43951</v>
      </c>
      <c r="C42" s="10" t="s">
        <v>644</v>
      </c>
      <c r="D42" s="1">
        <v>2470.65</v>
      </c>
      <c r="E42" s="30">
        <v>300</v>
      </c>
      <c r="F42" s="1">
        <v>2220</v>
      </c>
      <c r="G42" s="1">
        <v>45.95</v>
      </c>
      <c r="H42" s="1">
        <v>2180</v>
      </c>
      <c r="I42" s="1">
        <v>41.1</v>
      </c>
      <c r="J42" s="1">
        <v>7500</v>
      </c>
      <c r="K42" s="1">
        <v>600</v>
      </c>
      <c r="L42" s="1">
        <v>23.25</v>
      </c>
      <c r="M42" s="1">
        <v>35.950000000000003</v>
      </c>
      <c r="N42" s="1">
        <v>6900</v>
      </c>
      <c r="O42" s="9"/>
      <c r="P42" s="7">
        <f t="shared" ca="1" si="0"/>
        <v>0.12125000000000004</v>
      </c>
      <c r="Q42" s="7">
        <f t="shared" ca="1" si="14"/>
        <v>8.6607142857142889E-3</v>
      </c>
      <c r="R42" s="33">
        <f t="shared" ca="1" si="2"/>
        <v>1455.0000000000005</v>
      </c>
      <c r="S42" s="33">
        <f t="shared" ca="1" si="3"/>
        <v>-10545</v>
      </c>
      <c r="T42" s="33">
        <f t="shared" ca="1" si="15"/>
        <v>1455.0000000000005</v>
      </c>
      <c r="U42" s="7">
        <f t="shared" ca="1" si="5"/>
        <v>0.13798008534850645</v>
      </c>
      <c r="V42" s="7">
        <f t="shared" ca="1" si="6"/>
        <v>-0.19593676522444173</v>
      </c>
      <c r="W42" s="33">
        <f t="shared" ca="1" si="16"/>
        <v>-10545</v>
      </c>
      <c r="X42" s="7">
        <f t="shared" ca="1" si="17"/>
        <v>-1</v>
      </c>
      <c r="Y42" s="7">
        <f t="shared" ca="1" si="18"/>
        <v>-0.86201991465149352</v>
      </c>
      <c r="Z42" s="7">
        <f t="shared" ca="1" si="10"/>
        <v>-3.9721881206456616E-2</v>
      </c>
      <c r="AA42" s="33">
        <f t="shared" ca="1" si="19"/>
        <v>1455.0000000000005</v>
      </c>
      <c r="AB42" s="7">
        <f t="shared" ca="1" si="20"/>
        <v>1</v>
      </c>
      <c r="AC42" s="7">
        <f t="shared" ca="1" si="13"/>
        <v>0.56899004267425324</v>
      </c>
      <c r="AD42" s="1"/>
      <c r="AE42" s="1"/>
    </row>
    <row r="43" spans="1:31" x14ac:dyDescent="0.25">
      <c r="A43" s="3"/>
      <c r="B43" s="25">
        <v>43951</v>
      </c>
      <c r="C43" s="10" t="s">
        <v>644</v>
      </c>
      <c r="D43" s="1">
        <v>2470.65</v>
      </c>
      <c r="E43" s="30">
        <v>300</v>
      </c>
      <c r="F43" s="1">
        <v>2220</v>
      </c>
      <c r="G43" s="1">
        <v>45.95</v>
      </c>
      <c r="H43" s="1">
        <v>2200</v>
      </c>
      <c r="I43" s="1">
        <v>25.7</v>
      </c>
      <c r="J43" s="1">
        <v>171600</v>
      </c>
      <c r="K43" s="1">
        <v>300</v>
      </c>
      <c r="L43" s="1">
        <v>26</v>
      </c>
      <c r="M43" s="1">
        <v>26.65</v>
      </c>
      <c r="N43" s="1">
        <v>600</v>
      </c>
      <c r="O43" s="9"/>
      <c r="P43" s="7">
        <f t="shared" ca="1" si="0"/>
        <v>1.0125000000000002</v>
      </c>
      <c r="Q43" s="7">
        <f t="shared" ca="1" si="14"/>
        <v>7.2321428571428578E-2</v>
      </c>
      <c r="R43" s="33">
        <f t="shared" ca="1" si="2"/>
        <v>6075.0000000000009</v>
      </c>
      <c r="S43" s="33">
        <f t="shared" ca="1" si="3"/>
        <v>75.000000000000909</v>
      </c>
      <c r="T43" s="33">
        <f t="shared" ca="1" si="15"/>
        <v>6075.0000000000009</v>
      </c>
      <c r="U43" s="7">
        <f t="shared" ca="1" si="5"/>
        <v>80.999999999999034</v>
      </c>
      <c r="V43" s="7">
        <f t="shared" ca="1" si="6"/>
        <v>-0.19593676522444173</v>
      </c>
      <c r="W43" s="33">
        <f t="shared" ca="1" si="16"/>
        <v>75.000000000000909</v>
      </c>
      <c r="X43" s="7">
        <f t="shared" ca="1" si="17"/>
        <v>1</v>
      </c>
      <c r="Y43" s="7">
        <f t="shared" ca="1" si="18"/>
        <v>81.999999999999034</v>
      </c>
      <c r="Z43" s="7">
        <f t="shared" ca="1" si="10"/>
        <v>-3.9721881206456616E-2</v>
      </c>
      <c r="AA43" s="33">
        <f t="shared" ca="1" si="19"/>
        <v>6075.0000000000009</v>
      </c>
      <c r="AB43" s="7">
        <f t="shared" ca="1" si="20"/>
        <v>1</v>
      </c>
      <c r="AC43" s="7">
        <f t="shared" ca="1" si="13"/>
        <v>40.999999999999517</v>
      </c>
      <c r="AD43" s="1"/>
      <c r="AE43" s="1"/>
    </row>
    <row r="44" spans="1:31" x14ac:dyDescent="0.25">
      <c r="A44" s="3"/>
      <c r="B44" s="25">
        <v>43951</v>
      </c>
      <c r="C44" s="10" t="s">
        <v>644</v>
      </c>
      <c r="D44" s="1">
        <v>2470.65</v>
      </c>
      <c r="E44" s="30">
        <v>300</v>
      </c>
      <c r="F44" s="1">
        <v>2220</v>
      </c>
      <c r="G44" s="1">
        <v>45.95</v>
      </c>
      <c r="H44" s="1">
        <v>2240</v>
      </c>
      <c r="I44" s="1">
        <v>33</v>
      </c>
      <c r="J44" s="1">
        <v>7500</v>
      </c>
      <c r="K44" s="1">
        <v>900</v>
      </c>
      <c r="L44" s="1">
        <v>20.05</v>
      </c>
      <c r="M44" s="1">
        <v>44</v>
      </c>
      <c r="N44" s="1">
        <v>300</v>
      </c>
      <c r="O44" s="9"/>
      <c r="P44" s="7">
        <f t="shared" ca="1" si="0"/>
        <v>-0.64750000000000019</v>
      </c>
      <c r="Q44" s="7">
        <f t="shared" ca="1" si="14"/>
        <v>-4.6250000000000013E-2</v>
      </c>
      <c r="R44" s="33">
        <f t="shared" ca="1" si="2"/>
        <v>3885.0000000000009</v>
      </c>
      <c r="S44" s="33">
        <f t="shared" ca="1" si="3"/>
        <v>9885</v>
      </c>
      <c r="T44" s="33">
        <f t="shared" ca="1" si="15"/>
        <v>3885.0000000000009</v>
      </c>
      <c r="U44" s="7">
        <f t="shared" ca="1" si="5"/>
        <v>0.39301972685887721</v>
      </c>
      <c r="V44" s="7">
        <f t="shared" ca="1" si="6"/>
        <v>-0.19593676522444173</v>
      </c>
      <c r="W44" s="33">
        <f t="shared" ca="1" si="16"/>
        <v>3885.0000000000009</v>
      </c>
      <c r="X44" s="7">
        <f t="shared" ca="1" si="17"/>
        <v>0.39301972685887721</v>
      </c>
      <c r="Y44" s="7">
        <f t="shared" ca="1" si="18"/>
        <v>0.78603945371775441</v>
      </c>
      <c r="Z44" s="7">
        <f t="shared" ca="1" si="10"/>
        <v>-3.9721881206456616E-2</v>
      </c>
      <c r="AA44" s="33">
        <f t="shared" ca="1" si="19"/>
        <v>3885.0000000000009</v>
      </c>
      <c r="AB44" s="7">
        <f t="shared" ca="1" si="20"/>
        <v>1</v>
      </c>
      <c r="AC44" s="7">
        <f t="shared" ca="1" si="13"/>
        <v>0.69650986342943866</v>
      </c>
      <c r="AD44" s="1"/>
      <c r="AE44" s="1"/>
    </row>
    <row r="45" spans="1:31" x14ac:dyDescent="0.25">
      <c r="A45" s="3"/>
      <c r="B45" s="25">
        <v>43951</v>
      </c>
      <c r="C45" s="10" t="s">
        <v>644</v>
      </c>
      <c r="D45" s="1">
        <v>2470.65</v>
      </c>
      <c r="E45" s="30">
        <v>300</v>
      </c>
      <c r="F45" s="1">
        <v>2220</v>
      </c>
      <c r="G45" s="1">
        <v>45.95</v>
      </c>
      <c r="H45" s="1">
        <v>2260</v>
      </c>
      <c r="I45" s="1">
        <v>35.450000000000003</v>
      </c>
      <c r="J45" s="1">
        <v>11400</v>
      </c>
      <c r="K45" s="1">
        <v>1500</v>
      </c>
      <c r="L45" s="1">
        <v>21.05</v>
      </c>
      <c r="M45" s="1">
        <v>42.15</v>
      </c>
      <c r="N45" s="1">
        <v>600</v>
      </c>
      <c r="O45" s="9"/>
      <c r="P45" s="7">
        <f t="shared" ca="1" si="0"/>
        <v>-0.26250000000000001</v>
      </c>
      <c r="Q45" s="7">
        <f t="shared" ca="1" si="14"/>
        <v>-1.8749999999999999E-2</v>
      </c>
      <c r="R45" s="33">
        <f t="shared" ca="1" si="2"/>
        <v>3150</v>
      </c>
      <c r="S45" s="33">
        <f t="shared" ca="1" si="3"/>
        <v>15150</v>
      </c>
      <c r="T45" s="33">
        <f t="shared" ca="1" si="15"/>
        <v>3150</v>
      </c>
      <c r="U45" s="7">
        <f t="shared" ca="1" si="5"/>
        <v>0.20792079207920791</v>
      </c>
      <c r="V45" s="7">
        <f t="shared" ca="1" si="6"/>
        <v>-0.19593676522444173</v>
      </c>
      <c r="W45" s="33">
        <f t="shared" ca="1" si="16"/>
        <v>3150</v>
      </c>
      <c r="X45" s="7">
        <f t="shared" ca="1" si="17"/>
        <v>0.20792079207920791</v>
      </c>
      <c r="Y45" s="7">
        <f t="shared" ca="1" si="18"/>
        <v>0.41584158415841582</v>
      </c>
      <c r="Z45" s="7">
        <f t="shared" ca="1" si="10"/>
        <v>-3.9721881206456616E-2</v>
      </c>
      <c r="AA45" s="33">
        <f t="shared" ca="1" si="19"/>
        <v>3150</v>
      </c>
      <c r="AB45" s="7">
        <f t="shared" ca="1" si="20"/>
        <v>1</v>
      </c>
      <c r="AC45" s="7">
        <f t="shared" ca="1" si="13"/>
        <v>0.60396039603960394</v>
      </c>
      <c r="AD45" s="1"/>
      <c r="AE45" s="1"/>
    </row>
    <row r="46" spans="1:31" x14ac:dyDescent="0.25">
      <c r="A46" s="3"/>
      <c r="B46" s="25">
        <v>43951</v>
      </c>
      <c r="C46" s="10" t="s">
        <v>283</v>
      </c>
      <c r="D46" s="1">
        <v>351.05</v>
      </c>
      <c r="E46" s="30">
        <v>2200</v>
      </c>
      <c r="F46" s="1">
        <v>320</v>
      </c>
      <c r="G46" s="1">
        <v>13.65</v>
      </c>
      <c r="H46" s="1">
        <v>190</v>
      </c>
      <c r="I46" s="1">
        <v>0.3</v>
      </c>
      <c r="J46" s="1">
        <v>2200</v>
      </c>
      <c r="K46" s="1">
        <v>2200</v>
      </c>
      <c r="L46" s="1">
        <v>0.1</v>
      </c>
      <c r="M46" s="1">
        <v>0.45</v>
      </c>
      <c r="N46" s="1">
        <v>2200</v>
      </c>
      <c r="O46" s="9"/>
      <c r="P46" s="7">
        <f t="shared" ca="1" si="0"/>
        <v>0.10269230769230769</v>
      </c>
      <c r="Q46" s="7">
        <f t="shared" ca="1" si="14"/>
        <v>7.3351648351648356E-3</v>
      </c>
      <c r="R46" s="33">
        <f t="shared" ca="1" si="2"/>
        <v>29370</v>
      </c>
      <c r="S46" s="33">
        <f t="shared" ca="1" si="3"/>
        <v>-256630</v>
      </c>
      <c r="T46" s="33">
        <f t="shared" ca="1" si="15"/>
        <v>29370</v>
      </c>
      <c r="U46" s="7">
        <f t="shared" ca="1" si="5"/>
        <v>0.11444492070295756</v>
      </c>
      <c r="V46" s="7">
        <f t="shared" ca="1" si="6"/>
        <v>-0.29749080608810924</v>
      </c>
      <c r="W46" s="33">
        <f t="shared" ca="1" si="16"/>
        <v>-132075.1244499076</v>
      </c>
      <c r="X46" s="7">
        <f t="shared" ca="1" si="17"/>
        <v>-0.51465192865178511</v>
      </c>
      <c r="Y46" s="7">
        <f t="shared" ca="1" si="18"/>
        <v>-0.40020700794882758</v>
      </c>
      <c r="Z46" s="7">
        <f t="shared" ca="1" si="10"/>
        <v>-6.2092879062044866E-2</v>
      </c>
      <c r="AA46" s="33">
        <f t="shared" ca="1" si="19"/>
        <v>29370</v>
      </c>
      <c r="AB46" s="7">
        <f t="shared" ca="1" si="20"/>
        <v>1</v>
      </c>
      <c r="AC46" s="7">
        <f t="shared" ca="1" si="13"/>
        <v>0.55722246035147882</v>
      </c>
      <c r="AD46" s="1"/>
      <c r="AE46" s="1"/>
    </row>
    <row r="47" spans="1:31" x14ac:dyDescent="0.25">
      <c r="A47" s="3"/>
      <c r="B47" s="25">
        <v>43951</v>
      </c>
      <c r="C47" s="10" t="s">
        <v>283</v>
      </c>
      <c r="D47" s="1">
        <v>351.05</v>
      </c>
      <c r="E47" s="30">
        <v>2200</v>
      </c>
      <c r="F47" s="1">
        <v>320</v>
      </c>
      <c r="G47" s="1">
        <v>13.65</v>
      </c>
      <c r="H47" s="1">
        <v>230</v>
      </c>
      <c r="I47" s="1">
        <v>1.3</v>
      </c>
      <c r="J47" s="1">
        <v>4400</v>
      </c>
      <c r="K47" s="1">
        <v>2200</v>
      </c>
      <c r="L47" s="1">
        <v>0.1</v>
      </c>
      <c r="M47" s="1">
        <v>1.25</v>
      </c>
      <c r="N47" s="1">
        <v>2200</v>
      </c>
      <c r="O47" s="9"/>
      <c r="P47" s="7">
        <f t="shared" ca="1" si="0"/>
        <v>0.13722222222222222</v>
      </c>
      <c r="Q47" s="7">
        <f t="shared" ca="1" si="14"/>
        <v>9.8015873015873008E-3</v>
      </c>
      <c r="R47" s="33">
        <f t="shared" ca="1" si="2"/>
        <v>27170</v>
      </c>
      <c r="S47" s="33">
        <f t="shared" ca="1" si="3"/>
        <v>-170830</v>
      </c>
      <c r="T47" s="33">
        <f t="shared" ca="1" si="15"/>
        <v>27170</v>
      </c>
      <c r="U47" s="7">
        <f t="shared" ca="1" si="5"/>
        <v>0.15904700579523504</v>
      </c>
      <c r="V47" s="7">
        <f t="shared" ca="1" si="6"/>
        <v>-0.29749080608810924</v>
      </c>
      <c r="W47" s="33">
        <f t="shared" ca="1" si="16"/>
        <v>-134275.1244499076</v>
      </c>
      <c r="X47" s="7">
        <f t="shared" ca="1" si="17"/>
        <v>-0.7860160653861008</v>
      </c>
      <c r="Y47" s="7">
        <f t="shared" ca="1" si="18"/>
        <v>-0.6269690595908658</v>
      </c>
      <c r="Z47" s="7">
        <f t="shared" ca="1" si="10"/>
        <v>-6.2092879062044866E-2</v>
      </c>
      <c r="AA47" s="33">
        <f t="shared" ca="1" si="19"/>
        <v>27170</v>
      </c>
      <c r="AB47" s="7">
        <f t="shared" ca="1" si="20"/>
        <v>1</v>
      </c>
      <c r="AC47" s="7">
        <f t="shared" ca="1" si="13"/>
        <v>0.57952350289761756</v>
      </c>
      <c r="AD47" s="1"/>
      <c r="AE47" s="1"/>
    </row>
    <row r="48" spans="1:31" x14ac:dyDescent="0.25">
      <c r="A48" s="3"/>
      <c r="B48" s="25">
        <v>43951</v>
      </c>
      <c r="C48" s="10" t="s">
        <v>283</v>
      </c>
      <c r="D48" s="1">
        <v>351.05</v>
      </c>
      <c r="E48" s="30">
        <v>2200</v>
      </c>
      <c r="F48" s="1">
        <v>320</v>
      </c>
      <c r="G48" s="1">
        <v>13.65</v>
      </c>
      <c r="H48" s="1">
        <v>240</v>
      </c>
      <c r="I48" s="1">
        <v>0.7</v>
      </c>
      <c r="J48" s="1">
        <v>15400</v>
      </c>
      <c r="K48" s="1">
        <v>4400</v>
      </c>
      <c r="L48" s="1">
        <v>0.75</v>
      </c>
      <c r="M48" s="1">
        <v>1.95</v>
      </c>
      <c r="N48" s="1">
        <v>2200</v>
      </c>
      <c r="O48" s="9"/>
      <c r="P48" s="7">
        <f t="shared" ca="1" si="0"/>
        <v>0.16187500000000002</v>
      </c>
      <c r="Q48" s="7">
        <f t="shared" ca="1" si="14"/>
        <v>1.1562500000000002E-2</v>
      </c>
      <c r="R48" s="33">
        <f t="shared" ca="1" si="2"/>
        <v>28490.000000000004</v>
      </c>
      <c r="S48" s="33">
        <f t="shared" ca="1" si="3"/>
        <v>-147510</v>
      </c>
      <c r="T48" s="33">
        <f t="shared" ca="1" si="15"/>
        <v>28490.000000000004</v>
      </c>
      <c r="U48" s="7">
        <f t="shared" ca="1" si="5"/>
        <v>0.19313944817300524</v>
      </c>
      <c r="V48" s="7">
        <f t="shared" ca="1" si="6"/>
        <v>-0.29749080608810924</v>
      </c>
      <c r="W48" s="33">
        <f t="shared" ca="1" si="16"/>
        <v>-132955.1244499076</v>
      </c>
      <c r="X48" s="7">
        <f t="shared" ca="1" si="17"/>
        <v>-0.90132956714736356</v>
      </c>
      <c r="Y48" s="7">
        <f t="shared" ca="1" si="18"/>
        <v>-0.70819011897435835</v>
      </c>
      <c r="Z48" s="7">
        <f t="shared" ca="1" si="10"/>
        <v>-6.2092879062044866E-2</v>
      </c>
      <c r="AA48" s="33">
        <f t="shared" ca="1" si="19"/>
        <v>28490.000000000004</v>
      </c>
      <c r="AB48" s="7">
        <f t="shared" ca="1" si="20"/>
        <v>1</v>
      </c>
      <c r="AC48" s="7">
        <f t="shared" ca="1" si="13"/>
        <v>0.59656972408650266</v>
      </c>
      <c r="AD48" s="1"/>
      <c r="AE48" s="1"/>
    </row>
    <row r="49" spans="1:31" x14ac:dyDescent="0.25">
      <c r="A49" s="3"/>
      <c r="B49" s="25">
        <v>43951</v>
      </c>
      <c r="C49" s="10" t="s">
        <v>283</v>
      </c>
      <c r="D49" s="1">
        <v>351.05</v>
      </c>
      <c r="E49" s="30">
        <v>2200</v>
      </c>
      <c r="F49" s="1">
        <v>320</v>
      </c>
      <c r="G49" s="1">
        <v>13.65</v>
      </c>
      <c r="H49" s="1">
        <v>250</v>
      </c>
      <c r="I49" s="1">
        <v>1.1499999999999999</v>
      </c>
      <c r="J49" s="1">
        <v>66000</v>
      </c>
      <c r="K49" s="1">
        <v>2200</v>
      </c>
      <c r="L49" s="1">
        <v>0.7</v>
      </c>
      <c r="M49" s="1">
        <v>1.4</v>
      </c>
      <c r="N49" s="1">
        <v>2200</v>
      </c>
      <c r="O49" s="9"/>
      <c r="P49" s="7">
        <f t="shared" ca="1" si="0"/>
        <v>0.17857142857142858</v>
      </c>
      <c r="Q49" s="7">
        <f t="shared" ca="1" si="14"/>
        <v>1.2755102040816327E-2</v>
      </c>
      <c r="R49" s="33">
        <f t="shared" ca="1" si="2"/>
        <v>27500</v>
      </c>
      <c r="S49" s="33">
        <f t="shared" ca="1" si="3"/>
        <v>-126500</v>
      </c>
      <c r="T49" s="33">
        <f t="shared" ca="1" si="15"/>
        <v>27500</v>
      </c>
      <c r="U49" s="7">
        <f t="shared" ca="1" si="5"/>
        <v>0.21739130434782608</v>
      </c>
      <c r="V49" s="7">
        <f t="shared" ca="1" si="6"/>
        <v>-0.29749080608810924</v>
      </c>
      <c r="W49" s="33">
        <f t="shared" ca="1" si="16"/>
        <v>-126500</v>
      </c>
      <c r="X49" s="7">
        <f t="shared" ca="1" si="17"/>
        <v>-1</v>
      </c>
      <c r="Y49" s="7">
        <f t="shared" ca="1" si="18"/>
        <v>-0.78260869565217395</v>
      </c>
      <c r="Z49" s="7">
        <f t="shared" ca="1" si="10"/>
        <v>-6.2092879062044866E-2</v>
      </c>
      <c r="AA49" s="33">
        <f t="shared" ca="1" si="19"/>
        <v>27500</v>
      </c>
      <c r="AB49" s="7">
        <f t="shared" ca="1" si="20"/>
        <v>1</v>
      </c>
      <c r="AC49" s="7">
        <f t="shared" ca="1" si="13"/>
        <v>0.60869565217391308</v>
      </c>
      <c r="AD49" s="1"/>
      <c r="AE49" s="1"/>
    </row>
    <row r="50" spans="1:31" x14ac:dyDescent="0.25">
      <c r="A50" s="3"/>
      <c r="B50" s="25">
        <v>43951</v>
      </c>
      <c r="C50" s="10" t="s">
        <v>283</v>
      </c>
      <c r="D50" s="1">
        <v>351.05</v>
      </c>
      <c r="E50" s="30">
        <v>2200</v>
      </c>
      <c r="F50" s="1">
        <v>320</v>
      </c>
      <c r="G50" s="1">
        <v>13.65</v>
      </c>
      <c r="H50" s="1">
        <v>260</v>
      </c>
      <c r="I50" s="1">
        <v>4</v>
      </c>
      <c r="J50" s="1">
        <v>13200</v>
      </c>
      <c r="K50" s="1">
        <v>2200</v>
      </c>
      <c r="L50" s="1">
        <v>1.3</v>
      </c>
      <c r="M50" s="1">
        <v>4</v>
      </c>
      <c r="N50" s="1">
        <v>2200</v>
      </c>
      <c r="O50" s="9"/>
      <c r="P50" s="7">
        <f t="shared" ca="1" si="0"/>
        <v>0.16083333333333333</v>
      </c>
      <c r="Q50" s="7">
        <f t="shared" ca="1" si="14"/>
        <v>1.1488095238095238E-2</v>
      </c>
      <c r="R50" s="33">
        <f t="shared" ca="1" si="2"/>
        <v>21230</v>
      </c>
      <c r="S50" s="33">
        <f t="shared" ca="1" si="3"/>
        <v>-110770</v>
      </c>
      <c r="T50" s="33">
        <f t="shared" ca="1" si="15"/>
        <v>21230</v>
      </c>
      <c r="U50" s="7">
        <f t="shared" ca="1" si="5"/>
        <v>0.19165839126117179</v>
      </c>
      <c r="V50" s="7">
        <f t="shared" ca="1" si="6"/>
        <v>-0.29749080608810924</v>
      </c>
      <c r="W50" s="33">
        <f t="shared" ca="1" si="16"/>
        <v>-110770</v>
      </c>
      <c r="X50" s="7">
        <f t="shared" ca="1" si="17"/>
        <v>-1</v>
      </c>
      <c r="Y50" s="7">
        <f t="shared" ca="1" si="18"/>
        <v>-0.80834160873882821</v>
      </c>
      <c r="Z50" s="7">
        <f t="shared" ca="1" si="10"/>
        <v>-6.2092879062044866E-2</v>
      </c>
      <c r="AA50" s="33">
        <f t="shared" ca="1" si="19"/>
        <v>21230</v>
      </c>
      <c r="AB50" s="7">
        <f t="shared" ca="1" si="20"/>
        <v>1</v>
      </c>
      <c r="AC50" s="7">
        <f t="shared" ca="1" si="13"/>
        <v>0.59582919563058589</v>
      </c>
      <c r="AD50" s="1"/>
      <c r="AE50" s="1"/>
    </row>
    <row r="51" spans="1:31" x14ac:dyDescent="0.25">
      <c r="A51" s="3"/>
      <c r="B51" s="25">
        <v>43951</v>
      </c>
      <c r="C51" s="10" t="s">
        <v>283</v>
      </c>
      <c r="D51" s="1">
        <v>351.05</v>
      </c>
      <c r="E51" s="30">
        <v>2200</v>
      </c>
      <c r="F51" s="1">
        <v>320</v>
      </c>
      <c r="G51" s="1">
        <v>13.65</v>
      </c>
      <c r="H51" s="1">
        <v>265</v>
      </c>
      <c r="I51" s="1">
        <v>4.5</v>
      </c>
      <c r="J51" s="1">
        <v>2200</v>
      </c>
      <c r="K51" s="1">
        <v>6600</v>
      </c>
      <c r="L51" s="1">
        <v>0.8</v>
      </c>
      <c r="M51" s="1">
        <v>6.1</v>
      </c>
      <c r="N51" s="1">
        <v>17600</v>
      </c>
      <c r="O51" s="9"/>
      <c r="P51" s="7">
        <f t="shared" ca="1" si="0"/>
        <v>0.16636363636363638</v>
      </c>
      <c r="Q51" s="7">
        <f t="shared" ca="1" si="14"/>
        <v>1.1883116883116884E-2</v>
      </c>
      <c r="R51" s="33">
        <f t="shared" ca="1" si="2"/>
        <v>20130</v>
      </c>
      <c r="S51" s="33">
        <f t="shared" ca="1" si="3"/>
        <v>-100870</v>
      </c>
      <c r="T51" s="33">
        <f t="shared" ca="1" si="15"/>
        <v>20130</v>
      </c>
      <c r="U51" s="7">
        <f t="shared" ca="1" si="5"/>
        <v>0.19956379498364232</v>
      </c>
      <c r="V51" s="7">
        <f t="shared" ca="1" si="6"/>
        <v>-0.29749080608810924</v>
      </c>
      <c r="W51" s="33">
        <f t="shared" ca="1" si="16"/>
        <v>-100870</v>
      </c>
      <c r="X51" s="7">
        <f t="shared" ca="1" si="17"/>
        <v>-1</v>
      </c>
      <c r="Y51" s="7">
        <f t="shared" ca="1" si="18"/>
        <v>-0.8004362050163577</v>
      </c>
      <c r="Z51" s="7">
        <f t="shared" ca="1" si="10"/>
        <v>-6.2092879062044866E-2</v>
      </c>
      <c r="AA51" s="33">
        <f t="shared" ca="1" si="19"/>
        <v>20130</v>
      </c>
      <c r="AB51" s="7">
        <f t="shared" ca="1" si="20"/>
        <v>1</v>
      </c>
      <c r="AC51" s="7">
        <f t="shared" ca="1" si="13"/>
        <v>0.5997818974918212</v>
      </c>
      <c r="AD51" s="1"/>
      <c r="AE51" s="1"/>
    </row>
    <row r="52" spans="1:31" x14ac:dyDescent="0.25">
      <c r="A52" s="3"/>
      <c r="B52" s="25">
        <v>43951</v>
      </c>
      <c r="C52" s="10" t="s">
        <v>283</v>
      </c>
      <c r="D52" s="1">
        <v>351.05</v>
      </c>
      <c r="E52" s="30">
        <v>2200</v>
      </c>
      <c r="F52" s="1">
        <v>320</v>
      </c>
      <c r="G52" s="1">
        <v>13.65</v>
      </c>
      <c r="H52" s="1">
        <v>270</v>
      </c>
      <c r="I52" s="1">
        <v>4</v>
      </c>
      <c r="J52" s="1">
        <v>28600</v>
      </c>
      <c r="K52" s="1">
        <v>2200</v>
      </c>
      <c r="L52" s="1">
        <v>2.1</v>
      </c>
      <c r="M52" s="1">
        <v>4.75</v>
      </c>
      <c r="N52" s="1">
        <v>2200</v>
      </c>
      <c r="O52" s="9"/>
      <c r="P52" s="7">
        <f t="shared" ca="1" si="0"/>
        <v>0.193</v>
      </c>
      <c r="Q52" s="7">
        <f t="shared" ca="1" si="14"/>
        <v>1.3785714285714287E-2</v>
      </c>
      <c r="R52" s="33">
        <f t="shared" ca="1" si="2"/>
        <v>21230</v>
      </c>
      <c r="S52" s="33">
        <f t="shared" ca="1" si="3"/>
        <v>-88770</v>
      </c>
      <c r="T52" s="33">
        <f t="shared" ca="1" si="15"/>
        <v>21230</v>
      </c>
      <c r="U52" s="7">
        <f t="shared" ca="1" si="5"/>
        <v>0.23915737298636927</v>
      </c>
      <c r="V52" s="7">
        <f t="shared" ca="1" si="6"/>
        <v>-0.29749080608810924</v>
      </c>
      <c r="W52" s="33">
        <f t="shared" ca="1" si="16"/>
        <v>-88770</v>
      </c>
      <c r="X52" s="7">
        <f t="shared" ca="1" si="17"/>
        <v>-1</v>
      </c>
      <c r="Y52" s="7">
        <f t="shared" ca="1" si="18"/>
        <v>-0.7608426270136307</v>
      </c>
      <c r="Z52" s="7">
        <f t="shared" ca="1" si="10"/>
        <v>-6.2092879062044866E-2</v>
      </c>
      <c r="AA52" s="33">
        <f t="shared" ca="1" si="19"/>
        <v>21230</v>
      </c>
      <c r="AB52" s="7">
        <f t="shared" ca="1" si="20"/>
        <v>1</v>
      </c>
      <c r="AC52" s="7">
        <f t="shared" ca="1" si="13"/>
        <v>0.61957868649318459</v>
      </c>
      <c r="AD52" s="1"/>
      <c r="AE52" s="1"/>
    </row>
    <row r="53" spans="1:31" x14ac:dyDescent="0.25">
      <c r="A53" s="3"/>
      <c r="B53" s="25">
        <v>43951</v>
      </c>
      <c r="C53" s="10" t="s">
        <v>283</v>
      </c>
      <c r="D53" s="1">
        <v>351.05</v>
      </c>
      <c r="E53" s="30">
        <v>2200</v>
      </c>
      <c r="F53" s="1">
        <v>320</v>
      </c>
      <c r="G53" s="1">
        <v>13.65</v>
      </c>
      <c r="H53" s="1">
        <v>280</v>
      </c>
      <c r="I53" s="1">
        <v>4.25</v>
      </c>
      <c r="J53" s="1">
        <v>96800</v>
      </c>
      <c r="K53" s="1">
        <v>2200</v>
      </c>
      <c r="L53" s="1">
        <v>4.5</v>
      </c>
      <c r="M53" s="1">
        <v>4.95</v>
      </c>
      <c r="N53" s="1">
        <v>2200</v>
      </c>
      <c r="O53" s="9"/>
      <c r="P53" s="7">
        <f t="shared" ca="1" si="0"/>
        <v>0.23500000000000001</v>
      </c>
      <c r="Q53" s="7">
        <f t="shared" ca="1" si="14"/>
        <v>1.6785714285714286E-2</v>
      </c>
      <c r="R53" s="33">
        <f t="shared" ca="1" si="2"/>
        <v>20680</v>
      </c>
      <c r="S53" s="33">
        <f t="shared" ca="1" si="3"/>
        <v>-67320</v>
      </c>
      <c r="T53" s="33">
        <f t="shared" ca="1" si="15"/>
        <v>20680</v>
      </c>
      <c r="U53" s="7">
        <f t="shared" ca="1" si="5"/>
        <v>0.30718954248366015</v>
      </c>
      <c r="V53" s="7">
        <f t="shared" ca="1" si="6"/>
        <v>-0.29749080608810924</v>
      </c>
      <c r="W53" s="33">
        <f t="shared" ca="1" si="16"/>
        <v>-67320</v>
      </c>
      <c r="X53" s="7">
        <f t="shared" ca="1" si="17"/>
        <v>-1</v>
      </c>
      <c r="Y53" s="7">
        <f t="shared" ca="1" si="18"/>
        <v>-0.69281045751633985</v>
      </c>
      <c r="Z53" s="7">
        <f t="shared" ca="1" si="10"/>
        <v>-6.2092879062044866E-2</v>
      </c>
      <c r="AA53" s="33">
        <f t="shared" ca="1" si="19"/>
        <v>20680</v>
      </c>
      <c r="AB53" s="7">
        <f t="shared" ca="1" si="20"/>
        <v>1</v>
      </c>
      <c r="AC53" s="7">
        <f t="shared" ca="1" si="13"/>
        <v>0.65359477124183007</v>
      </c>
      <c r="AD53" s="1"/>
      <c r="AE53" s="1"/>
    </row>
    <row r="54" spans="1:31" x14ac:dyDescent="0.25">
      <c r="A54" s="3"/>
      <c r="B54" s="25">
        <v>43951</v>
      </c>
      <c r="C54" s="10" t="s">
        <v>283</v>
      </c>
      <c r="D54" s="1">
        <v>351.05</v>
      </c>
      <c r="E54" s="30">
        <v>2200</v>
      </c>
      <c r="F54" s="1">
        <v>320</v>
      </c>
      <c r="G54" s="1">
        <v>13.65</v>
      </c>
      <c r="H54" s="1">
        <v>300</v>
      </c>
      <c r="I54" s="1">
        <v>8</v>
      </c>
      <c r="J54" s="1">
        <v>215600</v>
      </c>
      <c r="K54" s="1">
        <v>2200</v>
      </c>
      <c r="L54" s="1">
        <v>7.75</v>
      </c>
      <c r="M54" s="1">
        <v>8.35</v>
      </c>
      <c r="N54" s="1">
        <v>2200</v>
      </c>
      <c r="O54" s="9"/>
      <c r="P54" s="7">
        <f t="shared" ca="1" si="0"/>
        <v>0.28250000000000003</v>
      </c>
      <c r="Q54" s="7">
        <f t="shared" ca="1" si="14"/>
        <v>2.0178571428571431E-2</v>
      </c>
      <c r="R54" s="33">
        <f t="shared" ca="1" si="2"/>
        <v>12430</v>
      </c>
      <c r="S54" s="33">
        <f t="shared" ca="1" si="3"/>
        <v>-31570</v>
      </c>
      <c r="T54" s="33">
        <f t="shared" ca="1" si="15"/>
        <v>12430</v>
      </c>
      <c r="U54" s="7">
        <f t="shared" ca="1" si="5"/>
        <v>0.39372822299651566</v>
      </c>
      <c r="V54" s="7">
        <f t="shared" ca="1" si="6"/>
        <v>-0.29749080608810924</v>
      </c>
      <c r="W54" s="33">
        <f t="shared" ca="1" si="16"/>
        <v>-31570</v>
      </c>
      <c r="X54" s="7">
        <f t="shared" ca="1" si="17"/>
        <v>-1</v>
      </c>
      <c r="Y54" s="7">
        <f t="shared" ca="1" si="18"/>
        <v>-0.60627177700348434</v>
      </c>
      <c r="Z54" s="7">
        <f t="shared" ca="1" si="10"/>
        <v>-6.2092879062044866E-2</v>
      </c>
      <c r="AA54" s="33">
        <f t="shared" ca="1" si="19"/>
        <v>12430</v>
      </c>
      <c r="AB54" s="7">
        <f t="shared" ca="1" si="20"/>
        <v>1</v>
      </c>
      <c r="AC54" s="7">
        <f t="shared" ca="1" si="13"/>
        <v>0.69686411149825789</v>
      </c>
      <c r="AD54" s="1"/>
      <c r="AE54" s="1"/>
    </row>
    <row r="55" spans="1:31" x14ac:dyDescent="0.25">
      <c r="A55" s="3"/>
      <c r="B55" s="25">
        <v>43951</v>
      </c>
      <c r="C55" s="10" t="s">
        <v>283</v>
      </c>
      <c r="D55" s="1">
        <v>351.05</v>
      </c>
      <c r="E55" s="30">
        <v>2200</v>
      </c>
      <c r="F55" s="1">
        <v>320</v>
      </c>
      <c r="G55" s="1">
        <v>13.65</v>
      </c>
      <c r="H55" s="1">
        <v>310</v>
      </c>
      <c r="I55" s="1">
        <v>11</v>
      </c>
      <c r="J55" s="1">
        <v>11000</v>
      </c>
      <c r="K55" s="1">
        <v>4400</v>
      </c>
      <c r="L55" s="1">
        <v>9.8000000000000007</v>
      </c>
      <c r="M55" s="1">
        <v>11.85</v>
      </c>
      <c r="N55" s="1">
        <v>4400</v>
      </c>
      <c r="O55" s="9"/>
      <c r="P55" s="7">
        <f t="shared" ca="1" si="0"/>
        <v>0.26500000000000001</v>
      </c>
      <c r="Q55" s="7">
        <f t="shared" ca="1" si="14"/>
        <v>1.892857142857143E-2</v>
      </c>
      <c r="R55" s="33">
        <f t="shared" ca="1" si="2"/>
        <v>5830.0000000000009</v>
      </c>
      <c r="S55" s="33">
        <f t="shared" ca="1" si="3"/>
        <v>-16170</v>
      </c>
      <c r="T55" s="33">
        <f t="shared" ca="1" si="15"/>
        <v>5830.0000000000009</v>
      </c>
      <c r="U55" s="7">
        <f t="shared" ca="1" si="5"/>
        <v>0.3605442176870749</v>
      </c>
      <c r="V55" s="7">
        <f t="shared" ca="1" si="6"/>
        <v>-0.29749080608810924</v>
      </c>
      <c r="W55" s="33">
        <f t="shared" ca="1" si="16"/>
        <v>-16170</v>
      </c>
      <c r="X55" s="7">
        <f t="shared" ca="1" si="17"/>
        <v>-1</v>
      </c>
      <c r="Y55" s="7">
        <f t="shared" ca="1" si="18"/>
        <v>-0.6394557823129251</v>
      </c>
      <c r="Z55" s="7">
        <f t="shared" ca="1" si="10"/>
        <v>-6.2092879062044866E-2</v>
      </c>
      <c r="AA55" s="33">
        <f t="shared" ca="1" si="19"/>
        <v>5830.0000000000009</v>
      </c>
      <c r="AB55" s="7">
        <f t="shared" ca="1" si="20"/>
        <v>1</v>
      </c>
      <c r="AC55" s="7">
        <f t="shared" ca="1" si="13"/>
        <v>0.6802721088435375</v>
      </c>
      <c r="AD55" s="1"/>
      <c r="AE55" s="1"/>
    </row>
    <row r="56" spans="1:31" x14ac:dyDescent="0.25">
      <c r="A56" s="3"/>
      <c r="B56" s="25">
        <v>43951</v>
      </c>
      <c r="C56" s="10" t="s">
        <v>247</v>
      </c>
      <c r="D56" s="1">
        <v>343.85</v>
      </c>
      <c r="E56" s="30">
        <v>2300</v>
      </c>
      <c r="F56" s="1">
        <v>315</v>
      </c>
      <c r="G56" s="1">
        <v>11.45</v>
      </c>
      <c r="H56" s="1">
        <v>230</v>
      </c>
      <c r="I56" s="1">
        <v>1.5</v>
      </c>
      <c r="J56" s="1">
        <v>4600</v>
      </c>
      <c r="K56" s="1">
        <v>2300</v>
      </c>
      <c r="L56" s="1">
        <v>0.3</v>
      </c>
      <c r="M56" s="1">
        <v>1.5</v>
      </c>
      <c r="N56" s="1">
        <v>2300</v>
      </c>
      <c r="O56" s="9"/>
      <c r="P56" s="7">
        <f t="shared" ca="1" si="0"/>
        <v>0.11705882352941176</v>
      </c>
      <c r="Q56" s="7">
        <f t="shared" ca="1" si="14"/>
        <v>8.3613445378151255E-3</v>
      </c>
      <c r="R56" s="33">
        <f t="shared" ca="1" si="2"/>
        <v>22885</v>
      </c>
      <c r="S56" s="33">
        <f t="shared" ca="1" si="3"/>
        <v>-172615</v>
      </c>
      <c r="T56" s="33">
        <f t="shared" ca="1" si="15"/>
        <v>22885</v>
      </c>
      <c r="U56" s="7">
        <f t="shared" ca="1" si="5"/>
        <v>0.13257828114590273</v>
      </c>
      <c r="V56" s="7">
        <f t="shared" ca="1" si="6"/>
        <v>-0.19510024720689637</v>
      </c>
      <c r="W56" s="33">
        <f t="shared" ca="1" si="16"/>
        <v>-65056.006004809984</v>
      </c>
      <c r="X56" s="7">
        <f t="shared" ca="1" si="17"/>
        <v>-0.37688501002120317</v>
      </c>
      <c r="Y56" s="7">
        <f t="shared" ca="1" si="18"/>
        <v>-0.24430672887530044</v>
      </c>
      <c r="Z56" s="7">
        <f t="shared" ca="1" si="10"/>
        <v>-6.5087475671695955E-2</v>
      </c>
      <c r="AA56" s="33">
        <f t="shared" ca="1" si="19"/>
        <v>22885</v>
      </c>
      <c r="AB56" s="7">
        <f t="shared" ca="1" si="20"/>
        <v>1</v>
      </c>
      <c r="AC56" s="7">
        <f t="shared" ca="1" si="13"/>
        <v>0.56628914057295132</v>
      </c>
      <c r="AD56" s="1"/>
      <c r="AE56" s="1"/>
    </row>
    <row r="57" spans="1:31" x14ac:dyDescent="0.25">
      <c r="A57" s="3"/>
      <c r="B57" s="25">
        <v>43951</v>
      </c>
      <c r="C57" s="10" t="s">
        <v>247</v>
      </c>
      <c r="D57" s="1">
        <v>343.85</v>
      </c>
      <c r="E57" s="30">
        <v>2300</v>
      </c>
      <c r="F57" s="1">
        <v>315</v>
      </c>
      <c r="G57" s="1">
        <v>11.45</v>
      </c>
      <c r="H57" s="1">
        <v>240</v>
      </c>
      <c r="I57" s="1">
        <v>1.2</v>
      </c>
      <c r="J57" s="1">
        <v>23000</v>
      </c>
      <c r="K57" s="1">
        <v>2300</v>
      </c>
      <c r="L57" s="1">
        <v>0.5</v>
      </c>
      <c r="M57" s="1">
        <v>1.75</v>
      </c>
      <c r="N57" s="1">
        <v>2300</v>
      </c>
      <c r="O57" s="41"/>
      <c r="P57" s="7">
        <f t="shared" ca="1" si="0"/>
        <v>0.13666666666666666</v>
      </c>
      <c r="Q57" s="7">
        <f t="shared" ca="1" si="14"/>
        <v>9.7619047619047616E-3</v>
      </c>
      <c r="R57" s="33">
        <f t="shared" ca="1" si="2"/>
        <v>23575</v>
      </c>
      <c r="S57" s="33">
        <f t="shared" ca="1" si="3"/>
        <v>-148925</v>
      </c>
      <c r="T57" s="33">
        <f t="shared" ca="1" si="15"/>
        <v>23575</v>
      </c>
      <c r="U57" s="7">
        <f t="shared" ca="1" si="5"/>
        <v>0.15830115830115829</v>
      </c>
      <c r="V57" s="7">
        <f t="shared" ca="1" si="6"/>
        <v>-0.19510024720689637</v>
      </c>
      <c r="W57" s="33">
        <f t="shared" ca="1" si="16"/>
        <v>-64366.006004809984</v>
      </c>
      <c r="X57" s="7">
        <f t="shared" ca="1" si="17"/>
        <v>-0.43220416991646793</v>
      </c>
      <c r="Y57" s="7">
        <f t="shared" ca="1" si="18"/>
        <v>-0.27390301161530961</v>
      </c>
      <c r="Z57" s="7">
        <f t="shared" ca="1" si="10"/>
        <v>-6.5087475671695955E-2</v>
      </c>
      <c r="AA57" s="33">
        <f t="shared" ca="1" si="19"/>
        <v>23575</v>
      </c>
      <c r="AB57" s="7">
        <f t="shared" ca="1" si="20"/>
        <v>1</v>
      </c>
      <c r="AC57" s="7">
        <f t="shared" ca="1" si="13"/>
        <v>0.5791505791505791</v>
      </c>
      <c r="AD57" s="1"/>
      <c r="AE57" s="1"/>
    </row>
    <row r="58" spans="1:31" x14ac:dyDescent="0.25">
      <c r="A58" s="3"/>
      <c r="B58" s="25">
        <v>43951</v>
      </c>
      <c r="C58" s="10" t="s">
        <v>247</v>
      </c>
      <c r="D58" s="1">
        <v>343.85</v>
      </c>
      <c r="E58" s="30">
        <v>2300</v>
      </c>
      <c r="F58" s="1">
        <v>315</v>
      </c>
      <c r="G58" s="1">
        <v>11.45</v>
      </c>
      <c r="H58" s="1">
        <v>250</v>
      </c>
      <c r="I58" s="1">
        <v>1.1000000000000001</v>
      </c>
      <c r="J58" s="1">
        <v>27600</v>
      </c>
      <c r="K58" s="1">
        <v>2300</v>
      </c>
      <c r="L58" s="1">
        <v>0.6</v>
      </c>
      <c r="M58" s="1">
        <v>1.5</v>
      </c>
      <c r="N58" s="1">
        <v>2300</v>
      </c>
      <c r="O58" s="9"/>
      <c r="P58" s="7">
        <f t="shared" ca="1" si="0"/>
        <v>0.15923076923076923</v>
      </c>
      <c r="Q58" s="7">
        <f t="shared" ca="1" si="14"/>
        <v>1.1373626373626374E-2</v>
      </c>
      <c r="R58" s="33">
        <f t="shared" ca="1" si="2"/>
        <v>23805</v>
      </c>
      <c r="S58" s="33">
        <f t="shared" ca="1" si="3"/>
        <v>-125695</v>
      </c>
      <c r="T58" s="33">
        <f t="shared" ca="1" si="15"/>
        <v>23805</v>
      </c>
      <c r="U58" s="7">
        <f t="shared" ca="1" si="5"/>
        <v>0.18938700823421775</v>
      </c>
      <c r="V58" s="7">
        <f t="shared" ca="1" si="6"/>
        <v>-0.19510024720689637</v>
      </c>
      <c r="W58" s="33">
        <f t="shared" ca="1" si="16"/>
        <v>-64136.006004809984</v>
      </c>
      <c r="X58" s="7">
        <f t="shared" ca="1" si="17"/>
        <v>-0.5102510521883129</v>
      </c>
      <c r="Y58" s="7">
        <f t="shared" ca="1" si="18"/>
        <v>-0.32086404395409518</v>
      </c>
      <c r="Z58" s="7">
        <f t="shared" ca="1" si="10"/>
        <v>-6.5087475671695955E-2</v>
      </c>
      <c r="AA58" s="33">
        <f t="shared" ca="1" si="19"/>
        <v>23805</v>
      </c>
      <c r="AB58" s="7">
        <f t="shared" ca="1" si="20"/>
        <v>1</v>
      </c>
      <c r="AC58" s="7">
        <f t="shared" ca="1" si="13"/>
        <v>0.59469350411710886</v>
      </c>
      <c r="AD58" s="1"/>
      <c r="AE58" s="1"/>
    </row>
    <row r="59" spans="1:31" x14ac:dyDescent="0.25">
      <c r="A59" s="3"/>
      <c r="B59" s="25">
        <v>43951</v>
      </c>
      <c r="C59" s="10" t="s">
        <v>247</v>
      </c>
      <c r="D59" s="1">
        <v>343.85</v>
      </c>
      <c r="E59" s="30">
        <v>2300</v>
      </c>
      <c r="F59" s="1">
        <v>315</v>
      </c>
      <c r="G59" s="1">
        <v>11.45</v>
      </c>
      <c r="H59" s="1">
        <v>260</v>
      </c>
      <c r="I59" s="1">
        <v>1.75</v>
      </c>
      <c r="J59" s="1">
        <v>69000</v>
      </c>
      <c r="K59" s="1">
        <v>2300</v>
      </c>
      <c r="L59" s="1">
        <v>0.75</v>
      </c>
      <c r="M59" s="1">
        <v>2</v>
      </c>
      <c r="N59" s="1">
        <v>4600</v>
      </c>
      <c r="O59" s="9"/>
      <c r="P59" s="7">
        <f t="shared" ca="1" si="0"/>
        <v>0.17636363636363636</v>
      </c>
      <c r="Q59" s="7">
        <f t="shared" ca="1" si="14"/>
        <v>1.2597402597402597E-2</v>
      </c>
      <c r="R59" s="33">
        <f t="shared" ca="1" si="2"/>
        <v>22310</v>
      </c>
      <c r="S59" s="33">
        <f t="shared" ca="1" si="3"/>
        <v>-104190</v>
      </c>
      <c r="T59" s="33">
        <f t="shared" ca="1" si="15"/>
        <v>22310</v>
      </c>
      <c r="U59" s="7">
        <f t="shared" ca="1" si="5"/>
        <v>0.21412803532008831</v>
      </c>
      <c r="V59" s="7">
        <f t="shared" ca="1" si="6"/>
        <v>-0.19510024720689637</v>
      </c>
      <c r="W59" s="33">
        <f t="shared" ca="1" si="16"/>
        <v>-65631.006004809984</v>
      </c>
      <c r="X59" s="7">
        <f t="shared" ca="1" si="17"/>
        <v>-0.62991655633755628</v>
      </c>
      <c r="Y59" s="7">
        <f t="shared" ca="1" si="18"/>
        <v>-0.41578852101746799</v>
      </c>
      <c r="Z59" s="7">
        <f t="shared" ca="1" si="10"/>
        <v>-6.5087475671695955E-2</v>
      </c>
      <c r="AA59" s="33">
        <f t="shared" ca="1" si="19"/>
        <v>22310</v>
      </c>
      <c r="AB59" s="7">
        <f t="shared" ca="1" si="20"/>
        <v>1</v>
      </c>
      <c r="AC59" s="7">
        <f t="shared" ca="1" si="13"/>
        <v>0.60706401766004414</v>
      </c>
      <c r="AD59" s="1"/>
      <c r="AE59" s="1"/>
    </row>
    <row r="60" spans="1:31" x14ac:dyDescent="0.25">
      <c r="A60" s="3"/>
      <c r="B60" s="25">
        <v>43951</v>
      </c>
      <c r="C60" s="10" t="s">
        <v>247</v>
      </c>
      <c r="D60" s="1">
        <v>343.85</v>
      </c>
      <c r="E60" s="30">
        <v>2300</v>
      </c>
      <c r="F60" s="1">
        <v>315</v>
      </c>
      <c r="G60" s="1">
        <v>11.45</v>
      </c>
      <c r="H60" s="1">
        <v>270</v>
      </c>
      <c r="I60" s="1">
        <v>1.3</v>
      </c>
      <c r="J60" s="1">
        <v>36800</v>
      </c>
      <c r="K60" s="1">
        <v>4600</v>
      </c>
      <c r="L60" s="1">
        <v>1.3</v>
      </c>
      <c r="M60" s="1">
        <v>2.95</v>
      </c>
      <c r="N60" s="1">
        <v>2300</v>
      </c>
      <c r="O60" s="9"/>
      <c r="P60" s="7">
        <f t="shared" ca="1" si="0"/>
        <v>0.22555555555555554</v>
      </c>
      <c r="Q60" s="7">
        <f t="shared" ca="1" si="14"/>
        <v>1.6111111111111111E-2</v>
      </c>
      <c r="R60" s="33">
        <f t="shared" ca="1" si="2"/>
        <v>23344.999999999996</v>
      </c>
      <c r="S60" s="33">
        <f t="shared" ca="1" si="3"/>
        <v>-80155</v>
      </c>
      <c r="T60" s="33">
        <f t="shared" ca="1" si="15"/>
        <v>23344.999999999996</v>
      </c>
      <c r="U60" s="7">
        <f t="shared" ca="1" si="5"/>
        <v>0.29124820659971301</v>
      </c>
      <c r="V60" s="7">
        <f t="shared" ca="1" si="6"/>
        <v>-0.19510024720689637</v>
      </c>
      <c r="W60" s="33">
        <f t="shared" ca="1" si="16"/>
        <v>-64596.006004809984</v>
      </c>
      <c r="X60" s="7">
        <f t="shared" ca="1" si="17"/>
        <v>-0.80588866577019502</v>
      </c>
      <c r="Y60" s="7">
        <f t="shared" ca="1" si="18"/>
        <v>-0.51464045917048207</v>
      </c>
      <c r="Z60" s="7">
        <f t="shared" ca="1" si="10"/>
        <v>-6.5087475671695955E-2</v>
      </c>
      <c r="AA60" s="33">
        <f t="shared" ca="1" si="19"/>
        <v>23344.999999999996</v>
      </c>
      <c r="AB60" s="7">
        <f t="shared" ca="1" si="20"/>
        <v>1</v>
      </c>
      <c r="AC60" s="7">
        <f t="shared" ca="1" si="13"/>
        <v>0.64562410329985653</v>
      </c>
      <c r="AD60" s="1"/>
      <c r="AE60" s="1"/>
    </row>
    <row r="61" spans="1:31" x14ac:dyDescent="0.25">
      <c r="A61" s="3"/>
      <c r="B61" s="25">
        <v>43951</v>
      </c>
      <c r="C61" s="10" t="s">
        <v>247</v>
      </c>
      <c r="D61" s="1">
        <v>343.85</v>
      </c>
      <c r="E61" s="30">
        <v>2300</v>
      </c>
      <c r="F61" s="1">
        <v>315</v>
      </c>
      <c r="G61" s="1">
        <v>11.45</v>
      </c>
      <c r="H61" s="1">
        <v>280</v>
      </c>
      <c r="I61" s="1">
        <v>2.2999999999999998</v>
      </c>
      <c r="J61" s="1">
        <v>87400</v>
      </c>
      <c r="K61" s="1">
        <v>2300</v>
      </c>
      <c r="L61" s="1">
        <v>2.2999999999999998</v>
      </c>
      <c r="M61" s="1">
        <v>2.7</v>
      </c>
      <c r="N61" s="1">
        <v>2300</v>
      </c>
      <c r="O61" s="9"/>
      <c r="P61" s="7">
        <f t="shared" ca="1" si="0"/>
        <v>0.2614285714285714</v>
      </c>
      <c r="Q61" s="7">
        <f t="shared" ca="1" si="14"/>
        <v>1.86734693877551E-2</v>
      </c>
      <c r="R61" s="33">
        <f t="shared" ca="1" si="2"/>
        <v>21044.999999999996</v>
      </c>
      <c r="S61" s="33">
        <f t="shared" ca="1" si="3"/>
        <v>-59455</v>
      </c>
      <c r="T61" s="33">
        <f t="shared" ca="1" si="15"/>
        <v>21044.999999999996</v>
      </c>
      <c r="U61" s="7">
        <f t="shared" ca="1" si="5"/>
        <v>0.35396518375241776</v>
      </c>
      <c r="V61" s="7">
        <f t="shared" ca="1" si="6"/>
        <v>-0.19510024720689637</v>
      </c>
      <c r="W61" s="33">
        <f t="shared" ca="1" si="16"/>
        <v>-59455</v>
      </c>
      <c r="X61" s="7">
        <f t="shared" ca="1" si="17"/>
        <v>-1</v>
      </c>
      <c r="Y61" s="7">
        <f t="shared" ca="1" si="18"/>
        <v>-0.64603481624758219</v>
      </c>
      <c r="Z61" s="7">
        <f t="shared" ca="1" si="10"/>
        <v>-6.5087475671695955E-2</v>
      </c>
      <c r="AA61" s="33">
        <f t="shared" ca="1" si="19"/>
        <v>21044.999999999996</v>
      </c>
      <c r="AB61" s="7">
        <f t="shared" ca="1" si="20"/>
        <v>1</v>
      </c>
      <c r="AC61" s="7">
        <f t="shared" ca="1" si="13"/>
        <v>0.67698259187620891</v>
      </c>
      <c r="AD61" s="1"/>
      <c r="AE61" s="1"/>
    </row>
    <row r="62" spans="1:31" x14ac:dyDescent="0.25">
      <c r="A62" s="3"/>
      <c r="B62" s="25">
        <v>43951</v>
      </c>
      <c r="C62" s="10" t="s">
        <v>247</v>
      </c>
      <c r="D62" s="1">
        <v>343.85</v>
      </c>
      <c r="E62" s="30">
        <v>2300</v>
      </c>
      <c r="F62" s="1">
        <v>315</v>
      </c>
      <c r="G62" s="1">
        <v>11.45</v>
      </c>
      <c r="H62" s="1">
        <v>290</v>
      </c>
      <c r="I62" s="1">
        <v>3.9</v>
      </c>
      <c r="J62" s="1">
        <v>110400</v>
      </c>
      <c r="K62" s="1">
        <v>2300</v>
      </c>
      <c r="L62" s="1">
        <v>3.05</v>
      </c>
      <c r="M62" s="1">
        <v>4.55</v>
      </c>
      <c r="N62" s="1">
        <v>4600</v>
      </c>
      <c r="O62" s="9"/>
      <c r="P62" s="7">
        <f t="shared" ca="1" si="0"/>
        <v>0.30199999999999994</v>
      </c>
      <c r="Q62" s="7">
        <f t="shared" ca="1" si="14"/>
        <v>2.1571428571428568E-2</v>
      </c>
      <c r="R62" s="33">
        <f t="shared" ca="1" si="2"/>
        <v>17364.999999999996</v>
      </c>
      <c r="S62" s="33">
        <f t="shared" ca="1" si="3"/>
        <v>-40135</v>
      </c>
      <c r="T62" s="33">
        <f t="shared" ca="1" si="15"/>
        <v>17364.999999999996</v>
      </c>
      <c r="U62" s="7">
        <f t="shared" ca="1" si="5"/>
        <v>0.43266475644699132</v>
      </c>
      <c r="V62" s="7">
        <f t="shared" ca="1" si="6"/>
        <v>-0.19510024720689637</v>
      </c>
      <c r="W62" s="33">
        <f t="shared" ca="1" si="16"/>
        <v>-40135</v>
      </c>
      <c r="X62" s="7">
        <f t="shared" ca="1" si="17"/>
        <v>-1</v>
      </c>
      <c r="Y62" s="7">
        <f t="shared" ca="1" si="18"/>
        <v>-0.56733524355300868</v>
      </c>
      <c r="Z62" s="7">
        <f t="shared" ca="1" si="10"/>
        <v>-6.5087475671695955E-2</v>
      </c>
      <c r="AA62" s="33">
        <f t="shared" ca="1" si="19"/>
        <v>17364.999999999996</v>
      </c>
      <c r="AB62" s="7">
        <f t="shared" ca="1" si="20"/>
        <v>1</v>
      </c>
      <c r="AC62" s="7">
        <f t="shared" ca="1" si="13"/>
        <v>0.7163323782234956</v>
      </c>
      <c r="AD62" s="1"/>
      <c r="AE62" s="1"/>
    </row>
    <row r="63" spans="1:31" x14ac:dyDescent="0.25">
      <c r="A63" s="3"/>
      <c r="B63" s="25">
        <v>43951</v>
      </c>
      <c r="C63" s="10" t="s">
        <v>247</v>
      </c>
      <c r="D63" s="1">
        <v>343.85</v>
      </c>
      <c r="E63" s="30">
        <v>2300</v>
      </c>
      <c r="F63" s="1">
        <v>315</v>
      </c>
      <c r="G63" s="1">
        <v>11.45</v>
      </c>
      <c r="H63" s="1">
        <v>300</v>
      </c>
      <c r="I63" s="1">
        <v>5</v>
      </c>
      <c r="J63" s="1">
        <v>296700</v>
      </c>
      <c r="K63" s="1">
        <v>2300</v>
      </c>
      <c r="L63" s="1">
        <v>4.9000000000000004</v>
      </c>
      <c r="M63" s="1">
        <v>5</v>
      </c>
      <c r="N63" s="1">
        <v>2300</v>
      </c>
      <c r="O63" s="9"/>
      <c r="P63" s="7">
        <f t="shared" ca="1" si="0"/>
        <v>0.42999999999999994</v>
      </c>
      <c r="Q63" s="7">
        <f t="shared" ca="1" si="14"/>
        <v>3.0714285714285711E-2</v>
      </c>
      <c r="R63" s="33">
        <f t="shared" ca="1" si="2"/>
        <v>14834.999999999998</v>
      </c>
      <c r="S63" s="33">
        <f t="shared" ca="1" si="3"/>
        <v>-19665</v>
      </c>
      <c r="T63" s="33">
        <f t="shared" ca="1" si="15"/>
        <v>14834.999999999998</v>
      </c>
      <c r="U63" s="7">
        <f t="shared" ca="1" si="5"/>
        <v>0.7543859649122806</v>
      </c>
      <c r="V63" s="7">
        <f t="shared" ca="1" si="6"/>
        <v>-0.19510024720689637</v>
      </c>
      <c r="W63" s="33">
        <f t="shared" ca="1" si="16"/>
        <v>-19665</v>
      </c>
      <c r="X63" s="7">
        <f t="shared" ca="1" si="17"/>
        <v>-1</v>
      </c>
      <c r="Y63" s="7">
        <f t="shared" ca="1" si="18"/>
        <v>-0.2456140350877194</v>
      </c>
      <c r="Z63" s="7">
        <f t="shared" ca="1" si="10"/>
        <v>-6.5087475671695955E-2</v>
      </c>
      <c r="AA63" s="33">
        <f t="shared" ca="1" si="19"/>
        <v>14834.999999999998</v>
      </c>
      <c r="AB63" s="7">
        <f t="shared" ca="1" si="20"/>
        <v>1</v>
      </c>
      <c r="AC63" s="7">
        <f t="shared" ca="1" si="13"/>
        <v>0.8771929824561403</v>
      </c>
      <c r="AD63" s="1"/>
      <c r="AE63" s="1"/>
    </row>
    <row r="64" spans="1:31" x14ac:dyDescent="0.25">
      <c r="A64" s="3"/>
      <c r="B64" s="25">
        <v>43951</v>
      </c>
      <c r="C64" s="10" t="s">
        <v>247</v>
      </c>
      <c r="D64" s="1">
        <v>343.85</v>
      </c>
      <c r="E64" s="30">
        <v>2300</v>
      </c>
      <c r="F64" s="1">
        <v>315</v>
      </c>
      <c r="G64" s="1">
        <v>11.45</v>
      </c>
      <c r="H64" s="1">
        <v>310</v>
      </c>
      <c r="I64" s="1">
        <v>7.4</v>
      </c>
      <c r="J64" s="1">
        <v>34500</v>
      </c>
      <c r="K64" s="1">
        <v>2300</v>
      </c>
      <c r="L64" s="1">
        <v>5.55</v>
      </c>
      <c r="M64" s="1">
        <v>9.0500000000000007</v>
      </c>
      <c r="N64" s="1">
        <v>2300</v>
      </c>
      <c r="O64" s="9"/>
      <c r="P64" s="7">
        <f t="shared" ca="1" si="0"/>
        <v>0.80999999999999983</v>
      </c>
      <c r="Q64" s="7">
        <f t="shared" ca="1" si="14"/>
        <v>5.7857142857142843E-2</v>
      </c>
      <c r="R64" s="33">
        <f t="shared" ca="1" si="2"/>
        <v>9314.9999999999982</v>
      </c>
      <c r="S64" s="33">
        <f t="shared" ca="1" si="3"/>
        <v>-2185.0000000000018</v>
      </c>
      <c r="T64" s="33">
        <f t="shared" ca="1" si="15"/>
        <v>9314.9999999999982</v>
      </c>
      <c r="U64" s="7">
        <f t="shared" ca="1" si="5"/>
        <v>4.263157894736838</v>
      </c>
      <c r="V64" s="7">
        <f t="shared" ca="1" si="6"/>
        <v>-0.19510024720689637</v>
      </c>
      <c r="W64" s="33">
        <f t="shared" ca="1" si="16"/>
        <v>-2185.0000000000018</v>
      </c>
      <c r="X64" s="7">
        <f t="shared" ca="1" si="17"/>
        <v>-1</v>
      </c>
      <c r="Y64" s="7">
        <f t="shared" ca="1" si="18"/>
        <v>3.263157894736838</v>
      </c>
      <c r="Z64" s="7">
        <f t="shared" ca="1" si="10"/>
        <v>-6.5087475671695955E-2</v>
      </c>
      <c r="AA64" s="33">
        <f t="shared" ca="1" si="19"/>
        <v>9314.9999999999982</v>
      </c>
      <c r="AB64" s="7">
        <f t="shared" ca="1" si="20"/>
        <v>1</v>
      </c>
      <c r="AC64" s="7">
        <f t="shared" ca="1" si="13"/>
        <v>2.631578947368419</v>
      </c>
      <c r="AD64" s="1"/>
      <c r="AE64" s="1"/>
    </row>
    <row r="65" spans="1:31" x14ac:dyDescent="0.25">
      <c r="A65" s="3"/>
      <c r="B65" s="25">
        <v>43951</v>
      </c>
      <c r="C65" s="10" t="s">
        <v>247</v>
      </c>
      <c r="D65" s="1">
        <v>343.85</v>
      </c>
      <c r="E65" s="30">
        <v>2300</v>
      </c>
      <c r="F65" s="1">
        <v>315</v>
      </c>
      <c r="G65" s="1">
        <v>11.45</v>
      </c>
      <c r="H65" s="1">
        <v>320</v>
      </c>
      <c r="I65" s="1">
        <v>10</v>
      </c>
      <c r="J65" s="1">
        <v>110400</v>
      </c>
      <c r="K65" s="1">
        <v>2300</v>
      </c>
      <c r="L65" s="1">
        <v>9.9499999999999993</v>
      </c>
      <c r="M65" s="1">
        <v>10.35</v>
      </c>
      <c r="N65" s="1">
        <v>2300</v>
      </c>
      <c r="O65" s="9"/>
      <c r="P65" s="7">
        <f t="shared" ca="1" si="0"/>
        <v>-0.28999999999999987</v>
      </c>
      <c r="Q65" s="7">
        <f t="shared" ca="1" si="14"/>
        <v>-2.0714285714285706E-2</v>
      </c>
      <c r="R65" s="33">
        <f t="shared" ca="1" si="2"/>
        <v>3334.9999999999982</v>
      </c>
      <c r="S65" s="33">
        <f t="shared" ca="1" si="3"/>
        <v>14834.999999999998</v>
      </c>
      <c r="T65" s="33">
        <f t="shared" ca="1" si="15"/>
        <v>3334.9999999999982</v>
      </c>
      <c r="U65" s="7">
        <f t="shared" ca="1" si="5"/>
        <v>0.2248062015503875</v>
      </c>
      <c r="V65" s="7">
        <f t="shared" ca="1" si="6"/>
        <v>-0.19510024720689637</v>
      </c>
      <c r="W65" s="33">
        <f t="shared" ca="1" si="16"/>
        <v>3334.9999999999982</v>
      </c>
      <c r="X65" s="7">
        <f t="shared" ca="1" si="17"/>
        <v>0.2248062015503875</v>
      </c>
      <c r="Y65" s="7">
        <f t="shared" ca="1" si="18"/>
        <v>0.44961240310077499</v>
      </c>
      <c r="Z65" s="7">
        <f t="shared" ca="1" si="10"/>
        <v>-6.5087475671695955E-2</v>
      </c>
      <c r="AA65" s="33">
        <f t="shared" ca="1" si="19"/>
        <v>3334.9999999999982</v>
      </c>
      <c r="AB65" s="7">
        <f t="shared" ca="1" si="20"/>
        <v>1</v>
      </c>
      <c r="AC65" s="7">
        <f t="shared" ca="1" si="13"/>
        <v>0.61240310077519378</v>
      </c>
      <c r="AD65" s="1"/>
      <c r="AE65" s="1"/>
    </row>
    <row r="66" spans="1:31" x14ac:dyDescent="0.25">
      <c r="A66" s="3"/>
      <c r="B66" s="25">
        <v>43951</v>
      </c>
      <c r="C66" s="10" t="s">
        <v>327</v>
      </c>
      <c r="D66" s="1">
        <v>608.79999999999995</v>
      </c>
      <c r="E66" s="30">
        <v>1150</v>
      </c>
      <c r="F66" s="1">
        <v>550</v>
      </c>
      <c r="G66" s="1">
        <v>12.5</v>
      </c>
      <c r="H66" s="1">
        <v>440</v>
      </c>
      <c r="I66" s="1">
        <v>0.9</v>
      </c>
      <c r="J66" s="1">
        <v>142600</v>
      </c>
      <c r="K66" s="1">
        <v>2300</v>
      </c>
      <c r="L66" s="1">
        <v>0.85</v>
      </c>
      <c r="M66" s="1">
        <v>1.05</v>
      </c>
      <c r="N66" s="1">
        <v>1150</v>
      </c>
      <c r="O66" s="9"/>
      <c r="P66" s="7">
        <f t="shared" ca="1" si="0"/>
        <v>0.10545454545454545</v>
      </c>
      <c r="Q66" s="7">
        <f t="shared" ca="1" si="14"/>
        <v>7.532467532467532E-3</v>
      </c>
      <c r="R66" s="33">
        <f t="shared" ca="1" si="2"/>
        <v>13340</v>
      </c>
      <c r="S66" s="33">
        <f t="shared" ca="1" si="3"/>
        <v>-113160</v>
      </c>
      <c r="T66" s="33">
        <f t="shared" ca="1" si="15"/>
        <v>13340</v>
      </c>
      <c r="U66" s="7">
        <f t="shared" ca="1" si="5"/>
        <v>0.11788617886178862</v>
      </c>
      <c r="V66" s="7">
        <f t="shared" ca="1" si="6"/>
        <v>-0.14778578206489221</v>
      </c>
      <c r="W66" s="33">
        <f t="shared" ca="1" si="16"/>
        <v>-22507.781739272417</v>
      </c>
      <c r="X66" s="7">
        <f t="shared" ca="1" si="17"/>
        <v>-0.19890227765352084</v>
      </c>
      <c r="Y66" s="7">
        <f t="shared" ca="1" si="18"/>
        <v>-8.1016098791732216E-2</v>
      </c>
      <c r="Z66" s="7">
        <f t="shared" ca="1" si="10"/>
        <v>-4.7597961276022317E-2</v>
      </c>
      <c r="AA66" s="33">
        <f t="shared" ca="1" si="19"/>
        <v>13340</v>
      </c>
      <c r="AB66" s="7">
        <f t="shared" ca="1" si="20"/>
        <v>1</v>
      </c>
      <c r="AC66" s="7">
        <f t="shared" ca="1" si="13"/>
        <v>0.55894308943089432</v>
      </c>
      <c r="AD66" s="1"/>
      <c r="AE66" s="1"/>
    </row>
    <row r="67" spans="1:31" x14ac:dyDescent="0.25">
      <c r="A67" s="3"/>
      <c r="B67" s="25">
        <v>43951</v>
      </c>
      <c r="C67" s="10" t="s">
        <v>327</v>
      </c>
      <c r="D67" s="1">
        <v>608.79999999999995</v>
      </c>
      <c r="E67" s="30">
        <v>1150</v>
      </c>
      <c r="F67" s="1">
        <v>550</v>
      </c>
      <c r="G67" s="1">
        <v>12.5</v>
      </c>
      <c r="H67" s="1">
        <v>450</v>
      </c>
      <c r="I67" s="1">
        <v>1.1000000000000001</v>
      </c>
      <c r="J67" s="1">
        <v>226550</v>
      </c>
      <c r="K67" s="1">
        <v>1150</v>
      </c>
      <c r="L67" s="1">
        <v>1</v>
      </c>
      <c r="M67" s="1">
        <v>1.1000000000000001</v>
      </c>
      <c r="N67" s="1">
        <v>2300</v>
      </c>
      <c r="O67" s="9"/>
      <c r="P67" s="7">
        <f t="shared" ca="1" si="0"/>
        <v>0.114</v>
      </c>
      <c r="Q67" s="7">
        <f t="shared" ca="1" si="14"/>
        <v>8.1428571428571427E-3</v>
      </c>
      <c r="R67" s="33">
        <f t="shared" ca="1" si="2"/>
        <v>13110</v>
      </c>
      <c r="S67" s="33">
        <f t="shared" ca="1" si="3"/>
        <v>-101890</v>
      </c>
      <c r="T67" s="33">
        <f t="shared" ca="1" si="15"/>
        <v>13110</v>
      </c>
      <c r="U67" s="7">
        <f t="shared" ca="1" si="5"/>
        <v>0.12866817155756208</v>
      </c>
      <c r="V67" s="7">
        <f t="shared" ca="1" si="6"/>
        <v>-0.14778578206489221</v>
      </c>
      <c r="W67" s="33">
        <f t="shared" ca="1" si="16"/>
        <v>-22737.781739272417</v>
      </c>
      <c r="X67" s="7">
        <f t="shared" ca="1" si="17"/>
        <v>-0.22316009166034367</v>
      </c>
      <c r="Y67" s="7">
        <f t="shared" ca="1" si="18"/>
        <v>-9.4491920102781596E-2</v>
      </c>
      <c r="Z67" s="7">
        <f t="shared" ca="1" si="10"/>
        <v>-4.7597961276022317E-2</v>
      </c>
      <c r="AA67" s="33">
        <f t="shared" ca="1" si="19"/>
        <v>13110</v>
      </c>
      <c r="AB67" s="7">
        <f t="shared" ca="1" si="20"/>
        <v>1</v>
      </c>
      <c r="AC67" s="7">
        <f t="shared" ca="1" si="13"/>
        <v>0.56433408577878108</v>
      </c>
      <c r="AD67" s="1"/>
      <c r="AE67" s="1"/>
    </row>
    <row r="68" spans="1:31" x14ac:dyDescent="0.25">
      <c r="A68" s="3"/>
      <c r="B68" s="25">
        <v>43951</v>
      </c>
      <c r="C68" s="10" t="s">
        <v>327</v>
      </c>
      <c r="D68" s="1">
        <v>608.79999999999995</v>
      </c>
      <c r="E68" s="30">
        <v>1150</v>
      </c>
      <c r="F68" s="1">
        <v>550</v>
      </c>
      <c r="G68" s="1">
        <v>12.5</v>
      </c>
      <c r="H68" s="1">
        <v>460</v>
      </c>
      <c r="I68" s="1">
        <v>1.3</v>
      </c>
      <c r="J68" s="1">
        <v>221950</v>
      </c>
      <c r="K68" s="1">
        <v>5750</v>
      </c>
      <c r="L68" s="1">
        <v>1.1499999999999999</v>
      </c>
      <c r="M68" s="1">
        <v>1.35</v>
      </c>
      <c r="N68" s="1">
        <v>1150</v>
      </c>
      <c r="O68" s="9"/>
      <c r="P68" s="7">
        <f t="shared" ref="P68:P90" ca="1" si="21">($G68-$I68)/($F68-$H68)</f>
        <v>0.12444444444444444</v>
      </c>
      <c r="Q68" s="7">
        <f t="shared" ca="1" si="14"/>
        <v>8.8888888888888889E-3</v>
      </c>
      <c r="R68" s="33">
        <f t="shared" ref="R68:R90" ca="1" si="22">$E68*($G68-$I68)</f>
        <v>12880</v>
      </c>
      <c r="S68" s="33">
        <f t="shared" ref="S68:S90" ca="1" si="23">-(($F68-$H68)*$E68-$R68)</f>
        <v>-90620</v>
      </c>
      <c r="T68" s="33">
        <f t="shared" ca="1" si="15"/>
        <v>12880</v>
      </c>
      <c r="U68" s="7">
        <f t="shared" ref="U68:U90" ca="1" si="24">ABS($T68/$S68)</f>
        <v>0.14213197969543148</v>
      </c>
      <c r="V68" s="7">
        <f t="shared" ref="V68:V90" ca="1" si="25">mrigxl_max_drawdown($C68,INT($B68-TODAY()))</f>
        <v>-0.14778578206489221</v>
      </c>
      <c r="W68" s="33">
        <f t="shared" ca="1" si="16"/>
        <v>-22967.781739272417</v>
      </c>
      <c r="X68" s="7">
        <f t="shared" ca="1" si="17"/>
        <v>-0.2534515751409448</v>
      </c>
      <c r="Y68" s="7">
        <f t="shared" ca="1" si="18"/>
        <v>-0.11131959544551331</v>
      </c>
      <c r="Z68" s="7">
        <f t="shared" ref="Z68:Z90" ca="1" si="26">mrigxl_avg_drawdown($C68,INT($B68-TODAY()))</f>
        <v>-4.7597961276022317E-2</v>
      </c>
      <c r="AA68" s="33">
        <f t="shared" ca="1" si="19"/>
        <v>12880</v>
      </c>
      <c r="AB68" s="7">
        <f t="shared" ca="1" si="20"/>
        <v>1</v>
      </c>
      <c r="AC68" s="7">
        <f t="shared" ca="1" si="13"/>
        <v>0.57106598984771573</v>
      </c>
      <c r="AD68" s="1"/>
      <c r="AE68" s="1"/>
    </row>
    <row r="69" spans="1:31" x14ac:dyDescent="0.25">
      <c r="A69" s="3"/>
      <c r="B69" s="25">
        <v>43951</v>
      </c>
      <c r="C69" s="10" t="s">
        <v>327</v>
      </c>
      <c r="D69" s="1">
        <v>608.79999999999995</v>
      </c>
      <c r="E69" s="30">
        <v>1150</v>
      </c>
      <c r="F69" s="1">
        <v>550</v>
      </c>
      <c r="G69" s="1">
        <v>12.5</v>
      </c>
      <c r="H69" s="1">
        <v>470</v>
      </c>
      <c r="I69" s="1">
        <v>1.75</v>
      </c>
      <c r="J69" s="1">
        <v>41400</v>
      </c>
      <c r="K69" s="1">
        <v>1150</v>
      </c>
      <c r="L69" s="1">
        <v>1.5</v>
      </c>
      <c r="M69" s="1">
        <v>1.95</v>
      </c>
      <c r="N69" s="1">
        <v>1150</v>
      </c>
      <c r="O69" s="9"/>
      <c r="P69" s="7">
        <f t="shared" ca="1" si="21"/>
        <v>0.13437499999999999</v>
      </c>
      <c r="Q69" s="7">
        <f t="shared" ca="1" si="14"/>
        <v>9.5982142857142846E-3</v>
      </c>
      <c r="R69" s="33">
        <f t="shared" ca="1" si="22"/>
        <v>12362.5</v>
      </c>
      <c r="S69" s="33">
        <f t="shared" ca="1" si="23"/>
        <v>-79637.5</v>
      </c>
      <c r="T69" s="33">
        <f t="shared" ca="1" si="15"/>
        <v>12362.5</v>
      </c>
      <c r="U69" s="7">
        <f t="shared" ca="1" si="24"/>
        <v>0.1552346570397112</v>
      </c>
      <c r="V69" s="7">
        <f t="shared" ca="1" si="25"/>
        <v>-0.14778578206489221</v>
      </c>
      <c r="W69" s="33">
        <f t="shared" ca="1" si="16"/>
        <v>-23485.281739272417</v>
      </c>
      <c r="X69" s="7">
        <f t="shared" ca="1" si="17"/>
        <v>-0.29490229777771049</v>
      </c>
      <c r="Y69" s="7">
        <f t="shared" ca="1" si="18"/>
        <v>-0.13966764073799928</v>
      </c>
      <c r="Z69" s="7">
        <f t="shared" ca="1" si="26"/>
        <v>-4.7597961276022317E-2</v>
      </c>
      <c r="AA69" s="33">
        <f t="shared" ca="1" si="19"/>
        <v>12362.5</v>
      </c>
      <c r="AB69" s="7">
        <f t="shared" ca="1" si="20"/>
        <v>1</v>
      </c>
      <c r="AC69" s="7">
        <f t="shared" ref="AC69:AC90" ca="1" si="27">AVERAGE($U69,AB69)</f>
        <v>0.57761732851985559</v>
      </c>
      <c r="AD69" s="1"/>
      <c r="AE69" s="1"/>
    </row>
    <row r="70" spans="1:31" x14ac:dyDescent="0.25">
      <c r="A70" s="3"/>
      <c r="B70" s="25">
        <v>43951</v>
      </c>
      <c r="C70" s="10" t="s">
        <v>327</v>
      </c>
      <c r="D70" s="1">
        <v>608.79999999999995</v>
      </c>
      <c r="E70" s="30">
        <v>1150</v>
      </c>
      <c r="F70" s="1">
        <v>550</v>
      </c>
      <c r="G70" s="1">
        <v>12.5</v>
      </c>
      <c r="H70" s="1">
        <v>480</v>
      </c>
      <c r="I70" s="1">
        <v>2.5</v>
      </c>
      <c r="J70" s="1">
        <v>117300</v>
      </c>
      <c r="K70" s="1">
        <v>1150</v>
      </c>
      <c r="L70" s="1">
        <v>2.2999999999999998</v>
      </c>
      <c r="M70" s="1">
        <v>2.85</v>
      </c>
      <c r="N70" s="1">
        <v>1150</v>
      </c>
      <c r="O70" s="9"/>
      <c r="P70" s="7">
        <f t="shared" ca="1" si="21"/>
        <v>0.14285714285714285</v>
      </c>
      <c r="Q70" s="7">
        <f t="shared" ca="1" si="14"/>
        <v>1.020408163265306E-2</v>
      </c>
      <c r="R70" s="33">
        <f t="shared" ca="1" si="22"/>
        <v>11500</v>
      </c>
      <c r="S70" s="33">
        <f t="shared" ca="1" si="23"/>
        <v>-69000</v>
      </c>
      <c r="T70" s="33">
        <f t="shared" ca="1" si="15"/>
        <v>11500</v>
      </c>
      <c r="U70" s="7">
        <f t="shared" ca="1" si="24"/>
        <v>0.16666666666666666</v>
      </c>
      <c r="V70" s="7">
        <f t="shared" ca="1" si="25"/>
        <v>-0.14778578206489221</v>
      </c>
      <c r="W70" s="33">
        <f t="shared" ca="1" si="16"/>
        <v>-24347.781739272417</v>
      </c>
      <c r="X70" s="7">
        <f t="shared" ca="1" si="17"/>
        <v>-0.35286640201844083</v>
      </c>
      <c r="Y70" s="7">
        <f t="shared" ca="1" si="18"/>
        <v>-0.18619973535177417</v>
      </c>
      <c r="Z70" s="7">
        <f t="shared" ca="1" si="26"/>
        <v>-4.7597961276022317E-2</v>
      </c>
      <c r="AA70" s="33">
        <f t="shared" ca="1" si="19"/>
        <v>11500</v>
      </c>
      <c r="AB70" s="7">
        <f t="shared" ca="1" si="20"/>
        <v>1</v>
      </c>
      <c r="AC70" s="7">
        <f t="shared" ca="1" si="27"/>
        <v>0.58333333333333337</v>
      </c>
      <c r="AD70" s="1"/>
      <c r="AE70" s="1"/>
    </row>
    <row r="71" spans="1:31" x14ac:dyDescent="0.25">
      <c r="A71" s="3"/>
      <c r="B71" s="25">
        <v>43951</v>
      </c>
      <c r="C71" s="10" t="s">
        <v>327</v>
      </c>
      <c r="D71" s="1">
        <v>608.79999999999995</v>
      </c>
      <c r="E71" s="30">
        <v>1150</v>
      </c>
      <c r="F71" s="1">
        <v>550</v>
      </c>
      <c r="G71" s="1">
        <v>12.5</v>
      </c>
      <c r="H71" s="1">
        <v>490</v>
      </c>
      <c r="I71" s="1">
        <v>3.5</v>
      </c>
      <c r="J71" s="1">
        <v>36800</v>
      </c>
      <c r="K71" s="1">
        <v>1150</v>
      </c>
      <c r="L71" s="1">
        <v>2.15</v>
      </c>
      <c r="M71" s="1">
        <v>3.6</v>
      </c>
      <c r="N71" s="1">
        <v>1150</v>
      </c>
      <c r="O71" s="9"/>
      <c r="P71" s="7">
        <f t="shared" ca="1" si="21"/>
        <v>0.15</v>
      </c>
      <c r="Q71" s="7">
        <f t="shared" ca="1" si="14"/>
        <v>1.0714285714285714E-2</v>
      </c>
      <c r="R71" s="33">
        <f t="shared" ca="1" si="22"/>
        <v>10350</v>
      </c>
      <c r="S71" s="33">
        <f t="shared" ca="1" si="23"/>
        <v>-58650</v>
      </c>
      <c r="T71" s="33">
        <f t="shared" ca="1" si="15"/>
        <v>10350</v>
      </c>
      <c r="U71" s="7">
        <f t="shared" ca="1" si="24"/>
        <v>0.17647058823529413</v>
      </c>
      <c r="V71" s="7">
        <f t="shared" ca="1" si="25"/>
        <v>-0.14778578206489221</v>
      </c>
      <c r="W71" s="33">
        <f t="shared" ca="1" si="16"/>
        <v>-25497.781739272417</v>
      </c>
      <c r="X71" s="7">
        <f t="shared" ca="1" si="17"/>
        <v>-0.43474478668836175</v>
      </c>
      <c r="Y71" s="7">
        <f t="shared" ca="1" si="18"/>
        <v>-0.25827419845306765</v>
      </c>
      <c r="Z71" s="7">
        <f t="shared" ca="1" si="26"/>
        <v>-4.7597961276022317E-2</v>
      </c>
      <c r="AA71" s="33">
        <f t="shared" ca="1" si="19"/>
        <v>10350</v>
      </c>
      <c r="AB71" s="7">
        <f t="shared" ca="1" si="20"/>
        <v>1</v>
      </c>
      <c r="AC71" s="7">
        <f t="shared" ca="1" si="27"/>
        <v>0.58823529411764708</v>
      </c>
      <c r="AD71" s="1"/>
      <c r="AE71" s="1"/>
    </row>
    <row r="72" spans="1:31" x14ac:dyDescent="0.25">
      <c r="A72" s="3"/>
      <c r="B72" s="25">
        <v>43951</v>
      </c>
      <c r="C72" s="10" t="s">
        <v>327</v>
      </c>
      <c r="D72" s="1">
        <v>608.79999999999995</v>
      </c>
      <c r="E72" s="30">
        <v>1150</v>
      </c>
      <c r="F72" s="1">
        <v>550</v>
      </c>
      <c r="G72" s="1">
        <v>12.5</v>
      </c>
      <c r="H72" s="1">
        <v>500</v>
      </c>
      <c r="I72" s="1">
        <v>3.95</v>
      </c>
      <c r="J72" s="1">
        <v>313950</v>
      </c>
      <c r="K72" s="1">
        <v>1150</v>
      </c>
      <c r="L72" s="1">
        <v>3.8</v>
      </c>
      <c r="M72" s="1">
        <v>4</v>
      </c>
      <c r="N72" s="1">
        <v>3450</v>
      </c>
      <c r="O72" s="9"/>
      <c r="P72" s="7">
        <f t="shared" ca="1" si="21"/>
        <v>0.17100000000000001</v>
      </c>
      <c r="Q72" s="7">
        <f t="shared" ca="1" si="14"/>
        <v>1.2214285714285716E-2</v>
      </c>
      <c r="R72" s="33">
        <f t="shared" ca="1" si="22"/>
        <v>9832.5</v>
      </c>
      <c r="S72" s="33">
        <f t="shared" ca="1" si="23"/>
        <v>-47667.5</v>
      </c>
      <c r="T72" s="33">
        <f t="shared" ca="1" si="15"/>
        <v>9832.5</v>
      </c>
      <c r="U72" s="7">
        <f t="shared" ca="1" si="24"/>
        <v>0.20627261761158022</v>
      </c>
      <c r="V72" s="7">
        <f t="shared" ca="1" si="25"/>
        <v>-0.14778578206489221</v>
      </c>
      <c r="W72" s="33">
        <f t="shared" ca="1" si="16"/>
        <v>-26015.281739272417</v>
      </c>
      <c r="X72" s="7">
        <f t="shared" ca="1" si="17"/>
        <v>-0.54576560002669361</v>
      </c>
      <c r="Y72" s="7">
        <f t="shared" ca="1" si="18"/>
        <v>-0.33949298241511339</v>
      </c>
      <c r="Z72" s="7">
        <f t="shared" ca="1" si="26"/>
        <v>-4.7597961276022317E-2</v>
      </c>
      <c r="AA72" s="33">
        <f t="shared" ca="1" si="19"/>
        <v>9832.5</v>
      </c>
      <c r="AB72" s="7">
        <f t="shared" ca="1" si="20"/>
        <v>1</v>
      </c>
      <c r="AC72" s="7">
        <f t="shared" ca="1" si="27"/>
        <v>0.60313630880579017</v>
      </c>
      <c r="AD72" s="1"/>
      <c r="AE72" s="1"/>
    </row>
    <row r="73" spans="1:31" x14ac:dyDescent="0.25">
      <c r="A73" s="3"/>
      <c r="B73" s="25">
        <v>43951</v>
      </c>
      <c r="C73" s="10" t="s">
        <v>327</v>
      </c>
      <c r="D73" s="1">
        <v>608.79999999999995</v>
      </c>
      <c r="E73" s="30">
        <v>1150</v>
      </c>
      <c r="F73" s="1">
        <v>550</v>
      </c>
      <c r="G73" s="1">
        <v>12.5</v>
      </c>
      <c r="H73" s="1">
        <v>510</v>
      </c>
      <c r="I73" s="1">
        <v>5</v>
      </c>
      <c r="J73" s="1">
        <v>47150</v>
      </c>
      <c r="K73" s="1">
        <v>1150</v>
      </c>
      <c r="L73" s="1">
        <v>4.3</v>
      </c>
      <c r="M73" s="1">
        <v>7.65</v>
      </c>
      <c r="N73" s="1">
        <v>3450</v>
      </c>
      <c r="O73" s="9"/>
      <c r="P73" s="7">
        <f t="shared" ca="1" si="21"/>
        <v>0.1875</v>
      </c>
      <c r="Q73" s="7">
        <f t="shared" ca="1" si="14"/>
        <v>1.3392857142857142E-2</v>
      </c>
      <c r="R73" s="33">
        <f t="shared" ca="1" si="22"/>
        <v>8625</v>
      </c>
      <c r="S73" s="33">
        <f t="shared" ca="1" si="23"/>
        <v>-37375</v>
      </c>
      <c r="T73" s="33">
        <f t="shared" ca="1" si="15"/>
        <v>8625</v>
      </c>
      <c r="U73" s="7">
        <f t="shared" ca="1" si="24"/>
        <v>0.23076923076923078</v>
      </c>
      <c r="V73" s="7">
        <f t="shared" ca="1" si="25"/>
        <v>-0.14778578206489221</v>
      </c>
      <c r="W73" s="33">
        <f t="shared" ca="1" si="16"/>
        <v>-27222.781739272417</v>
      </c>
      <c r="X73" s="7">
        <f t="shared" ca="1" si="17"/>
        <v>-0.72836874218789072</v>
      </c>
      <c r="Y73" s="7">
        <f t="shared" ca="1" si="18"/>
        <v>-0.49759951141865993</v>
      </c>
      <c r="Z73" s="7">
        <f t="shared" ca="1" si="26"/>
        <v>-4.7597961276022317E-2</v>
      </c>
      <c r="AA73" s="33">
        <f t="shared" ca="1" si="19"/>
        <v>8625</v>
      </c>
      <c r="AB73" s="7">
        <f t="shared" ca="1" si="20"/>
        <v>1</v>
      </c>
      <c r="AC73" s="7">
        <f t="shared" ca="1" si="27"/>
        <v>0.61538461538461542</v>
      </c>
      <c r="AD73" s="1"/>
      <c r="AE73" s="1"/>
    </row>
    <row r="74" spans="1:31" x14ac:dyDescent="0.25">
      <c r="A74" s="3"/>
      <c r="B74" s="25">
        <v>43951</v>
      </c>
      <c r="C74" s="10" t="s">
        <v>327</v>
      </c>
      <c r="D74" s="1">
        <v>608.79999999999995</v>
      </c>
      <c r="E74" s="30">
        <v>1150</v>
      </c>
      <c r="F74" s="1">
        <v>550</v>
      </c>
      <c r="G74" s="1">
        <v>12.5</v>
      </c>
      <c r="H74" s="1">
        <v>520</v>
      </c>
      <c r="I74" s="1">
        <v>5.3</v>
      </c>
      <c r="J74" s="1">
        <v>141450</v>
      </c>
      <c r="K74" s="1">
        <v>1150</v>
      </c>
      <c r="L74" s="1">
        <v>5.2</v>
      </c>
      <c r="M74" s="1">
        <v>7.5</v>
      </c>
      <c r="N74" s="1">
        <v>1150</v>
      </c>
      <c r="O74" s="9"/>
      <c r="P74" s="7">
        <f t="shared" ca="1" si="21"/>
        <v>0.24000000000000002</v>
      </c>
      <c r="Q74" s="7">
        <f t="shared" ca="1" si="14"/>
        <v>1.7142857142857144E-2</v>
      </c>
      <c r="R74" s="33">
        <f t="shared" ca="1" si="22"/>
        <v>8280</v>
      </c>
      <c r="S74" s="33">
        <f t="shared" ca="1" si="23"/>
        <v>-26220</v>
      </c>
      <c r="T74" s="33">
        <f t="shared" ca="1" si="15"/>
        <v>8280</v>
      </c>
      <c r="U74" s="7">
        <f t="shared" ca="1" si="24"/>
        <v>0.31578947368421051</v>
      </c>
      <c r="V74" s="7">
        <f t="shared" ca="1" si="25"/>
        <v>-0.14778578206489221</v>
      </c>
      <c r="W74" s="33">
        <f t="shared" ca="1" si="16"/>
        <v>-26220</v>
      </c>
      <c r="X74" s="7">
        <f t="shared" ca="1" si="17"/>
        <v>-1</v>
      </c>
      <c r="Y74" s="7">
        <f t="shared" ca="1" si="18"/>
        <v>-0.68421052631578949</v>
      </c>
      <c r="Z74" s="7">
        <f t="shared" ca="1" si="26"/>
        <v>-4.7597961276022317E-2</v>
      </c>
      <c r="AA74" s="33">
        <f t="shared" ca="1" si="19"/>
        <v>8280</v>
      </c>
      <c r="AB74" s="7">
        <f t="shared" ca="1" si="20"/>
        <v>1</v>
      </c>
      <c r="AC74" s="7">
        <f t="shared" ca="1" si="27"/>
        <v>0.65789473684210531</v>
      </c>
      <c r="AD74" s="1"/>
      <c r="AE74" s="1"/>
    </row>
    <row r="75" spans="1:31" x14ac:dyDescent="0.25">
      <c r="A75" s="3"/>
      <c r="B75" s="25">
        <v>43951</v>
      </c>
      <c r="C75" s="10" t="s">
        <v>327</v>
      </c>
      <c r="D75" s="1">
        <v>608.79999999999995</v>
      </c>
      <c r="E75" s="30">
        <v>1150</v>
      </c>
      <c r="F75" s="1">
        <v>550</v>
      </c>
      <c r="G75" s="1">
        <v>12.5</v>
      </c>
      <c r="H75" s="1">
        <v>530</v>
      </c>
      <c r="I75" s="1">
        <v>7</v>
      </c>
      <c r="J75" s="1">
        <v>74750</v>
      </c>
      <c r="K75" s="1">
        <v>1150</v>
      </c>
      <c r="L75" s="1">
        <v>5.05</v>
      </c>
      <c r="M75" s="1">
        <v>8.5</v>
      </c>
      <c r="N75" s="1">
        <v>2300</v>
      </c>
      <c r="O75" s="9"/>
      <c r="P75" s="7">
        <f t="shared" ca="1" si="21"/>
        <v>0.27500000000000002</v>
      </c>
      <c r="Q75" s="7">
        <f t="shared" ca="1" si="14"/>
        <v>1.9642857142857146E-2</v>
      </c>
      <c r="R75" s="33">
        <f t="shared" ca="1" si="22"/>
        <v>6325</v>
      </c>
      <c r="S75" s="33">
        <f t="shared" ca="1" si="23"/>
        <v>-16675</v>
      </c>
      <c r="T75" s="33">
        <f t="shared" ca="1" si="15"/>
        <v>6325</v>
      </c>
      <c r="U75" s="7">
        <f t="shared" ca="1" si="24"/>
        <v>0.37931034482758619</v>
      </c>
      <c r="V75" s="7">
        <f t="shared" ca="1" si="25"/>
        <v>-0.14778578206489221</v>
      </c>
      <c r="W75" s="33">
        <f t="shared" ca="1" si="16"/>
        <v>-16675</v>
      </c>
      <c r="X75" s="7">
        <f t="shared" ca="1" si="17"/>
        <v>-1</v>
      </c>
      <c r="Y75" s="7">
        <f t="shared" ca="1" si="18"/>
        <v>-0.62068965517241381</v>
      </c>
      <c r="Z75" s="7">
        <f t="shared" ca="1" si="26"/>
        <v>-4.7597961276022317E-2</v>
      </c>
      <c r="AA75" s="33">
        <f t="shared" ca="1" si="19"/>
        <v>6325</v>
      </c>
      <c r="AB75" s="7">
        <f t="shared" ca="1" si="20"/>
        <v>1</v>
      </c>
      <c r="AC75" s="7">
        <f t="shared" ca="1" si="27"/>
        <v>0.68965517241379315</v>
      </c>
      <c r="AD75" s="1"/>
      <c r="AE75" s="1"/>
    </row>
    <row r="76" spans="1:31" x14ac:dyDescent="0.25">
      <c r="A76" s="3"/>
      <c r="B76" s="25">
        <v>43951</v>
      </c>
      <c r="C76" s="10" t="s">
        <v>327</v>
      </c>
      <c r="D76" s="1">
        <v>608.79999999999995</v>
      </c>
      <c r="E76" s="30">
        <v>1150</v>
      </c>
      <c r="F76" s="1">
        <v>550</v>
      </c>
      <c r="G76" s="1">
        <v>12.5</v>
      </c>
      <c r="H76" s="1">
        <v>540</v>
      </c>
      <c r="I76" s="1">
        <v>10.1</v>
      </c>
      <c r="J76" s="1">
        <v>56350</v>
      </c>
      <c r="K76" s="1">
        <v>1150</v>
      </c>
      <c r="L76" s="1">
        <v>9.0500000000000007</v>
      </c>
      <c r="M76" s="1">
        <v>10.75</v>
      </c>
      <c r="N76" s="1">
        <v>3450</v>
      </c>
      <c r="O76" s="9"/>
      <c r="P76" s="7">
        <f t="shared" ca="1" si="21"/>
        <v>0.24000000000000005</v>
      </c>
      <c r="Q76" s="7">
        <f t="shared" ca="1" si="14"/>
        <v>1.7142857142857147E-2</v>
      </c>
      <c r="R76" s="33">
        <f t="shared" ca="1" si="22"/>
        <v>2760.0000000000005</v>
      </c>
      <c r="S76" s="33">
        <f t="shared" ca="1" si="23"/>
        <v>-8740</v>
      </c>
      <c r="T76" s="33">
        <f t="shared" ca="1" si="15"/>
        <v>2760.0000000000005</v>
      </c>
      <c r="U76" s="7">
        <f t="shared" ca="1" si="24"/>
        <v>0.31578947368421056</v>
      </c>
      <c r="V76" s="7">
        <f t="shared" ca="1" si="25"/>
        <v>-0.14778578206489221</v>
      </c>
      <c r="W76" s="33">
        <f t="shared" ca="1" si="16"/>
        <v>-8740</v>
      </c>
      <c r="X76" s="7">
        <f t="shared" ca="1" si="17"/>
        <v>-1</v>
      </c>
      <c r="Y76" s="7">
        <f t="shared" ca="1" si="18"/>
        <v>-0.68421052631578938</v>
      </c>
      <c r="Z76" s="7">
        <f t="shared" ca="1" si="26"/>
        <v>-4.7597961276022317E-2</v>
      </c>
      <c r="AA76" s="33">
        <f t="shared" ca="1" si="19"/>
        <v>2760.0000000000005</v>
      </c>
      <c r="AB76" s="7">
        <f t="shared" ca="1" si="20"/>
        <v>1</v>
      </c>
      <c r="AC76" s="7">
        <f t="shared" ca="1" si="27"/>
        <v>0.65789473684210531</v>
      </c>
      <c r="AD76" s="1"/>
      <c r="AE76" s="1"/>
    </row>
    <row r="77" spans="1:31" x14ac:dyDescent="0.25">
      <c r="A77" s="3"/>
      <c r="B77" s="25">
        <v>43951</v>
      </c>
      <c r="C77" s="10" t="s">
        <v>336</v>
      </c>
      <c r="D77" s="1">
        <v>1402</v>
      </c>
      <c r="E77" s="30">
        <v>700</v>
      </c>
      <c r="F77" s="1">
        <v>1260</v>
      </c>
      <c r="G77" s="1">
        <v>11.4</v>
      </c>
      <c r="H77" s="1">
        <v>1200</v>
      </c>
      <c r="I77" s="1">
        <v>4</v>
      </c>
      <c r="J77" s="1">
        <v>25900</v>
      </c>
      <c r="K77" s="1">
        <v>700</v>
      </c>
      <c r="L77" s="1">
        <v>1.8</v>
      </c>
      <c r="M77" s="1">
        <v>3.95</v>
      </c>
      <c r="N77" s="1">
        <v>700</v>
      </c>
      <c r="O77" s="9"/>
      <c r="P77" s="7">
        <f t="shared" ca="1" si="21"/>
        <v>0.12333333333333334</v>
      </c>
      <c r="Q77" s="7">
        <f t="shared" ca="1" si="14"/>
        <v>8.8095238095238105E-3</v>
      </c>
      <c r="R77" s="33">
        <f t="shared" ca="1" si="22"/>
        <v>5180</v>
      </c>
      <c r="S77" s="33">
        <f t="shared" ca="1" si="23"/>
        <v>-36820</v>
      </c>
      <c r="T77" s="33">
        <f t="shared" ca="1" si="15"/>
        <v>5180</v>
      </c>
      <c r="U77" s="7">
        <f t="shared" ca="1" si="24"/>
        <v>0.14068441064638784</v>
      </c>
      <c r="V77" s="7">
        <f t="shared" ca="1" si="25"/>
        <v>-0.17536137295661439</v>
      </c>
      <c r="W77" s="33">
        <f t="shared" ca="1" si="16"/>
        <v>-36820</v>
      </c>
      <c r="X77" s="7">
        <f t="shared" ca="1" si="17"/>
        <v>-1</v>
      </c>
      <c r="Y77" s="7">
        <f t="shared" ca="1" si="18"/>
        <v>-0.85931558935361219</v>
      </c>
      <c r="Z77" s="7">
        <f t="shared" ca="1" si="26"/>
        <v>-5.2854725241912419E-2</v>
      </c>
      <c r="AA77" s="33">
        <f t="shared" ca="1" si="19"/>
        <v>5180</v>
      </c>
      <c r="AB77" s="7">
        <f t="shared" ca="1" si="20"/>
        <v>1</v>
      </c>
      <c r="AC77" s="7">
        <f t="shared" ca="1" si="27"/>
        <v>0.57034220532319391</v>
      </c>
      <c r="AD77" s="1"/>
      <c r="AE77" s="1"/>
    </row>
    <row r="78" spans="1:31" x14ac:dyDescent="0.25">
      <c r="A78" s="3"/>
      <c r="B78" s="25">
        <v>43951</v>
      </c>
      <c r="C78" s="10" t="s">
        <v>933</v>
      </c>
      <c r="D78" s="1">
        <v>846.15</v>
      </c>
      <c r="E78" s="30">
        <v>700</v>
      </c>
      <c r="F78" s="1">
        <v>760</v>
      </c>
      <c r="G78" s="1">
        <v>18.100000000000001</v>
      </c>
      <c r="H78" s="1">
        <v>600</v>
      </c>
      <c r="I78" s="1">
        <v>1.5</v>
      </c>
      <c r="J78" s="1">
        <v>77000</v>
      </c>
      <c r="K78" s="1">
        <v>2100</v>
      </c>
      <c r="L78" s="1">
        <v>1.1499999999999999</v>
      </c>
      <c r="M78" s="1">
        <v>1.35</v>
      </c>
      <c r="N78" s="1">
        <v>1400</v>
      </c>
      <c r="O78" s="7"/>
      <c r="P78" s="7">
        <f t="shared" ca="1" si="21"/>
        <v>0.10375000000000001</v>
      </c>
      <c r="Q78" s="7">
        <f t="shared" ca="1" si="14"/>
        <v>7.4107142857142861E-3</v>
      </c>
      <c r="R78" s="33">
        <f t="shared" ca="1" si="22"/>
        <v>11620.000000000002</v>
      </c>
      <c r="S78" s="33">
        <f t="shared" ca="1" si="23"/>
        <v>-100380</v>
      </c>
      <c r="T78" s="33">
        <f t="shared" ca="1" si="15"/>
        <v>11620.000000000002</v>
      </c>
      <c r="U78" s="7">
        <f t="shared" ca="1" si="24"/>
        <v>0.11576011157601118</v>
      </c>
      <c r="V78" s="7">
        <f t="shared" ca="1" si="25"/>
        <v>-0.21054860265758243</v>
      </c>
      <c r="W78" s="33">
        <f t="shared" ca="1" si="16"/>
        <v>-52783.990097099413</v>
      </c>
      <c r="X78" s="7">
        <f t="shared" ca="1" si="17"/>
        <v>-0.52584170250148843</v>
      </c>
      <c r="Y78" s="7">
        <f t="shared" ca="1" si="18"/>
        <v>-0.41008159092547725</v>
      </c>
      <c r="Z78" s="7">
        <f t="shared" ca="1" si="26"/>
        <v>-5.832413648398059E-2</v>
      </c>
      <c r="AA78" s="33">
        <f t="shared" ca="1" si="19"/>
        <v>11620.000000000002</v>
      </c>
      <c r="AB78" s="7">
        <f t="shared" ca="1" si="20"/>
        <v>1</v>
      </c>
      <c r="AC78" s="7">
        <f t="shared" ca="1" si="27"/>
        <v>0.55788005578800559</v>
      </c>
      <c r="AD78" s="1"/>
      <c r="AE78" s="1"/>
    </row>
    <row r="79" spans="1:31" x14ac:dyDescent="0.25">
      <c r="A79" s="3"/>
      <c r="B79" s="25">
        <v>43951</v>
      </c>
      <c r="C79" s="10" t="s">
        <v>933</v>
      </c>
      <c r="D79" s="1">
        <v>846.15</v>
      </c>
      <c r="E79" s="30">
        <v>700</v>
      </c>
      <c r="F79" s="1">
        <v>760</v>
      </c>
      <c r="G79" s="1">
        <v>18.100000000000001</v>
      </c>
      <c r="H79" s="1">
        <v>620</v>
      </c>
      <c r="I79" s="1">
        <v>1.7</v>
      </c>
      <c r="J79" s="1">
        <v>16100</v>
      </c>
      <c r="K79" s="1">
        <v>700</v>
      </c>
      <c r="L79" s="1">
        <v>1.6</v>
      </c>
      <c r="M79" s="1">
        <v>1.95</v>
      </c>
      <c r="N79" s="1">
        <v>700</v>
      </c>
      <c r="O79" s="9"/>
      <c r="P79" s="7">
        <f t="shared" ca="1" si="21"/>
        <v>0.11714285714285716</v>
      </c>
      <c r="Q79" s="7">
        <f t="shared" ca="1" si="14"/>
        <v>8.3673469387755117E-3</v>
      </c>
      <c r="R79" s="33">
        <f t="shared" ca="1" si="22"/>
        <v>11480.000000000002</v>
      </c>
      <c r="S79" s="33">
        <f t="shared" ca="1" si="23"/>
        <v>-86520</v>
      </c>
      <c r="T79" s="33">
        <f t="shared" ca="1" si="15"/>
        <v>11480.000000000002</v>
      </c>
      <c r="U79" s="7">
        <f t="shared" ca="1" si="24"/>
        <v>0.13268608414239486</v>
      </c>
      <c r="V79" s="7">
        <f t="shared" ca="1" si="25"/>
        <v>-0.21054860265758243</v>
      </c>
      <c r="W79" s="33">
        <f t="shared" ca="1" si="16"/>
        <v>-52923.990097099413</v>
      </c>
      <c r="X79" s="7">
        <f t="shared" ca="1" si="17"/>
        <v>-0.61169660306402462</v>
      </c>
      <c r="Y79" s="7">
        <f t="shared" ca="1" si="18"/>
        <v>-0.47901051892162977</v>
      </c>
      <c r="Z79" s="7">
        <f t="shared" ca="1" si="26"/>
        <v>-5.832413648398059E-2</v>
      </c>
      <c r="AA79" s="33">
        <f t="shared" ca="1" si="19"/>
        <v>11480.000000000002</v>
      </c>
      <c r="AB79" s="7">
        <f t="shared" ca="1" si="20"/>
        <v>1</v>
      </c>
      <c r="AC79" s="7">
        <f t="shared" ca="1" si="27"/>
        <v>0.56634304207119746</v>
      </c>
      <c r="AD79" s="1"/>
      <c r="AE79" s="1"/>
    </row>
    <row r="80" spans="1:31" x14ac:dyDescent="0.25">
      <c r="A80" s="3"/>
      <c r="B80" s="25">
        <v>43951</v>
      </c>
      <c r="C80" s="10" t="s">
        <v>933</v>
      </c>
      <c r="D80" s="1">
        <v>846.15</v>
      </c>
      <c r="E80" s="30">
        <v>700</v>
      </c>
      <c r="F80" s="1">
        <v>760</v>
      </c>
      <c r="G80" s="1">
        <v>18.100000000000001</v>
      </c>
      <c r="H80" s="1">
        <v>630</v>
      </c>
      <c r="I80" s="1">
        <v>2.9</v>
      </c>
      <c r="J80" s="1">
        <v>2800</v>
      </c>
      <c r="K80" s="1">
        <v>700</v>
      </c>
      <c r="L80" s="1">
        <v>0.8</v>
      </c>
      <c r="M80" s="1">
        <v>2</v>
      </c>
      <c r="N80" s="1">
        <v>700</v>
      </c>
      <c r="O80" s="9"/>
      <c r="P80" s="7">
        <f t="shared" ca="1" si="21"/>
        <v>0.11692307692307694</v>
      </c>
      <c r="Q80" s="7">
        <f t="shared" ca="1" si="14"/>
        <v>8.3516483516483525E-3</v>
      </c>
      <c r="R80" s="33">
        <f t="shared" ca="1" si="22"/>
        <v>10640</v>
      </c>
      <c r="S80" s="33">
        <f t="shared" ca="1" si="23"/>
        <v>-80360</v>
      </c>
      <c r="T80" s="33">
        <f t="shared" ca="1" si="15"/>
        <v>10640</v>
      </c>
      <c r="U80" s="7">
        <f t="shared" ca="1" si="24"/>
        <v>0.13240418118466898</v>
      </c>
      <c r="V80" s="7">
        <f t="shared" ca="1" si="25"/>
        <v>-0.21054860265758243</v>
      </c>
      <c r="W80" s="33">
        <f t="shared" ca="1" si="16"/>
        <v>-53763.990097099413</v>
      </c>
      <c r="X80" s="7">
        <f t="shared" ca="1" si="17"/>
        <v>-0.66903919981457705</v>
      </c>
      <c r="Y80" s="7">
        <f t="shared" ca="1" si="18"/>
        <v>-0.53663501862990803</v>
      </c>
      <c r="Z80" s="7">
        <f t="shared" ca="1" si="26"/>
        <v>-5.832413648398059E-2</v>
      </c>
      <c r="AA80" s="33">
        <f t="shared" ca="1" si="19"/>
        <v>10640</v>
      </c>
      <c r="AB80" s="7">
        <f t="shared" ca="1" si="20"/>
        <v>1</v>
      </c>
      <c r="AC80" s="7">
        <f t="shared" ca="1" si="27"/>
        <v>0.56620209059233451</v>
      </c>
      <c r="AD80" s="1"/>
      <c r="AE80" s="1"/>
    </row>
    <row r="81" spans="1:31" x14ac:dyDescent="0.25">
      <c r="A81" s="3"/>
      <c r="B81" s="25">
        <v>43951</v>
      </c>
      <c r="C81" s="10" t="s">
        <v>933</v>
      </c>
      <c r="D81" s="1">
        <v>846.15</v>
      </c>
      <c r="E81" s="30">
        <v>700</v>
      </c>
      <c r="F81" s="1">
        <v>760</v>
      </c>
      <c r="G81" s="1">
        <v>18.100000000000001</v>
      </c>
      <c r="H81" s="1">
        <v>640</v>
      </c>
      <c r="I81" s="1">
        <v>2</v>
      </c>
      <c r="J81" s="1">
        <v>28000</v>
      </c>
      <c r="K81" s="1">
        <v>700</v>
      </c>
      <c r="L81" s="1">
        <v>1.75</v>
      </c>
      <c r="M81" s="1">
        <v>2.65</v>
      </c>
      <c r="N81" s="1">
        <v>700</v>
      </c>
      <c r="O81" s="9"/>
      <c r="P81" s="7">
        <f t="shared" ca="1" si="21"/>
        <v>0.13416666666666668</v>
      </c>
      <c r="Q81" s="7">
        <f t="shared" ca="1" si="14"/>
        <v>9.5833333333333343E-3</v>
      </c>
      <c r="R81" s="33">
        <f t="shared" ca="1" si="22"/>
        <v>11270.000000000002</v>
      </c>
      <c r="S81" s="33">
        <f t="shared" ca="1" si="23"/>
        <v>-72730</v>
      </c>
      <c r="T81" s="33">
        <f t="shared" ca="1" si="15"/>
        <v>11270.000000000002</v>
      </c>
      <c r="U81" s="7">
        <f t="shared" ca="1" si="24"/>
        <v>0.15495668912415786</v>
      </c>
      <c r="V81" s="7">
        <f t="shared" ca="1" si="25"/>
        <v>-0.21054860265758243</v>
      </c>
      <c r="W81" s="33">
        <f t="shared" ca="1" si="16"/>
        <v>-53133.990097099413</v>
      </c>
      <c r="X81" s="7">
        <f t="shared" ca="1" si="17"/>
        <v>-0.73056496764883005</v>
      </c>
      <c r="Y81" s="7">
        <f t="shared" ca="1" si="18"/>
        <v>-0.57560827852467222</v>
      </c>
      <c r="Z81" s="7">
        <f t="shared" ca="1" si="26"/>
        <v>-5.832413648398059E-2</v>
      </c>
      <c r="AA81" s="33">
        <f t="shared" ca="1" si="19"/>
        <v>11270.000000000002</v>
      </c>
      <c r="AB81" s="7">
        <f t="shared" ca="1" si="20"/>
        <v>1</v>
      </c>
      <c r="AC81" s="7">
        <f t="shared" ca="1" si="27"/>
        <v>0.57747834456207892</v>
      </c>
      <c r="AD81" s="1"/>
      <c r="AE81" s="1"/>
    </row>
    <row r="82" spans="1:31" x14ac:dyDescent="0.25">
      <c r="A82" s="3"/>
      <c r="B82" s="25">
        <v>43951</v>
      </c>
      <c r="C82" s="10" t="s">
        <v>933</v>
      </c>
      <c r="D82" s="1">
        <v>846.15</v>
      </c>
      <c r="E82" s="30">
        <v>700</v>
      </c>
      <c r="F82" s="1">
        <v>760</v>
      </c>
      <c r="G82" s="1">
        <v>18.100000000000001</v>
      </c>
      <c r="H82" s="1">
        <v>650</v>
      </c>
      <c r="I82" s="1">
        <v>2</v>
      </c>
      <c r="J82" s="1">
        <v>38500</v>
      </c>
      <c r="K82" s="1">
        <v>2100</v>
      </c>
      <c r="L82" s="1">
        <v>2.0499999999999998</v>
      </c>
      <c r="M82" s="1">
        <v>2.75</v>
      </c>
      <c r="N82" s="1">
        <v>1400</v>
      </c>
      <c r="O82" s="9"/>
      <c r="P82" s="7">
        <f t="shared" ca="1" si="21"/>
        <v>0.14636363636363639</v>
      </c>
      <c r="Q82" s="7">
        <f t="shared" ca="1" si="14"/>
        <v>1.0454545454545456E-2</v>
      </c>
      <c r="R82" s="33">
        <f t="shared" ca="1" si="22"/>
        <v>11270.000000000002</v>
      </c>
      <c r="S82" s="33">
        <f t="shared" ca="1" si="23"/>
        <v>-65730</v>
      </c>
      <c r="T82" s="33">
        <f t="shared" ca="1" si="15"/>
        <v>11270.000000000002</v>
      </c>
      <c r="U82" s="7">
        <f t="shared" ca="1" si="24"/>
        <v>0.1714589989350373</v>
      </c>
      <c r="V82" s="7">
        <f t="shared" ca="1" si="25"/>
        <v>-0.21054860265758243</v>
      </c>
      <c r="W82" s="33">
        <f t="shared" ca="1" si="16"/>
        <v>-53133.990097099413</v>
      </c>
      <c r="X82" s="7">
        <f t="shared" ca="1" si="17"/>
        <v>-0.80836741361782161</v>
      </c>
      <c r="Y82" s="7">
        <f t="shared" ca="1" si="18"/>
        <v>-0.63690841468278436</v>
      </c>
      <c r="Z82" s="7">
        <f t="shared" ca="1" si="26"/>
        <v>-5.832413648398059E-2</v>
      </c>
      <c r="AA82" s="33">
        <f t="shared" ca="1" si="19"/>
        <v>11270.000000000002</v>
      </c>
      <c r="AB82" s="7">
        <f t="shared" ca="1" si="20"/>
        <v>1</v>
      </c>
      <c r="AC82" s="7">
        <f t="shared" ca="1" si="27"/>
        <v>0.58572949946751862</v>
      </c>
      <c r="AD82" s="1"/>
      <c r="AE82" s="1"/>
    </row>
    <row r="83" spans="1:31" x14ac:dyDescent="0.25">
      <c r="A83" s="3"/>
      <c r="B83" s="25">
        <v>43951</v>
      </c>
      <c r="C83" s="10" t="s">
        <v>933</v>
      </c>
      <c r="D83" s="1">
        <v>846.15</v>
      </c>
      <c r="E83" s="30">
        <v>700</v>
      </c>
      <c r="F83" s="1">
        <v>760</v>
      </c>
      <c r="G83" s="1">
        <v>18.100000000000001</v>
      </c>
      <c r="H83" s="1">
        <v>660</v>
      </c>
      <c r="I83" s="1">
        <v>3.5</v>
      </c>
      <c r="J83" s="1">
        <v>15400</v>
      </c>
      <c r="K83" s="1">
        <v>700</v>
      </c>
      <c r="L83" s="1">
        <v>2.7</v>
      </c>
      <c r="M83" s="1">
        <v>4.4000000000000004</v>
      </c>
      <c r="N83" s="1">
        <v>700</v>
      </c>
      <c r="O83" s="9"/>
      <c r="P83" s="7">
        <f t="shared" ca="1" si="21"/>
        <v>0.14600000000000002</v>
      </c>
      <c r="Q83" s="7">
        <f t="shared" ca="1" si="14"/>
        <v>1.0428571428571429E-2</v>
      </c>
      <c r="R83" s="33">
        <f t="shared" ca="1" si="22"/>
        <v>10220.000000000002</v>
      </c>
      <c r="S83" s="33">
        <f t="shared" ca="1" si="23"/>
        <v>-59780</v>
      </c>
      <c r="T83" s="33">
        <f t="shared" ca="1" si="15"/>
        <v>10220.000000000002</v>
      </c>
      <c r="U83" s="7">
        <f t="shared" ca="1" si="24"/>
        <v>0.17096018735363</v>
      </c>
      <c r="V83" s="7">
        <f t="shared" ca="1" si="25"/>
        <v>-0.21054860265758243</v>
      </c>
      <c r="W83" s="33">
        <f t="shared" ca="1" si="16"/>
        <v>-54183.990097099413</v>
      </c>
      <c r="X83" s="7">
        <f t="shared" ca="1" si="17"/>
        <v>-0.90638993136666801</v>
      </c>
      <c r="Y83" s="7">
        <f t="shared" ca="1" si="18"/>
        <v>-0.73542974401303796</v>
      </c>
      <c r="Z83" s="7">
        <f t="shared" ca="1" si="26"/>
        <v>-5.832413648398059E-2</v>
      </c>
      <c r="AA83" s="33">
        <f t="shared" ca="1" si="19"/>
        <v>10220.000000000002</v>
      </c>
      <c r="AB83" s="7">
        <f t="shared" ca="1" si="20"/>
        <v>1</v>
      </c>
      <c r="AC83" s="7">
        <f t="shared" ca="1" si="27"/>
        <v>0.58548009367681497</v>
      </c>
      <c r="AD83" s="1"/>
      <c r="AE83" s="1"/>
    </row>
    <row r="84" spans="1:31" x14ac:dyDescent="0.25">
      <c r="A84" s="3"/>
      <c r="B84" s="25">
        <v>43951</v>
      </c>
      <c r="C84" s="10" t="s">
        <v>933</v>
      </c>
      <c r="D84" s="1">
        <v>846.15</v>
      </c>
      <c r="E84" s="30">
        <v>700</v>
      </c>
      <c r="F84" s="1">
        <v>760</v>
      </c>
      <c r="G84" s="1">
        <v>18.100000000000001</v>
      </c>
      <c r="H84" s="1">
        <v>670</v>
      </c>
      <c r="I84" s="1">
        <v>8</v>
      </c>
      <c r="J84" s="1">
        <v>7000</v>
      </c>
      <c r="K84" s="1">
        <v>700</v>
      </c>
      <c r="L84" s="1">
        <v>2.2999999999999998</v>
      </c>
      <c r="M84" s="1">
        <v>4.1500000000000004</v>
      </c>
      <c r="N84" s="1">
        <v>700</v>
      </c>
      <c r="O84" s="9"/>
      <c r="P84" s="7">
        <f t="shared" ca="1" si="21"/>
        <v>0.11222222222222224</v>
      </c>
      <c r="Q84" s="7">
        <f t="shared" ca="1" si="14"/>
        <v>8.0158730158730162E-3</v>
      </c>
      <c r="R84" s="33">
        <f t="shared" ca="1" si="22"/>
        <v>7070.0000000000009</v>
      </c>
      <c r="S84" s="33">
        <f t="shared" ca="1" si="23"/>
        <v>-55930</v>
      </c>
      <c r="T84" s="33">
        <f t="shared" ca="1" si="15"/>
        <v>7070.0000000000009</v>
      </c>
      <c r="U84" s="7">
        <f t="shared" ca="1" si="24"/>
        <v>0.12640801001251567</v>
      </c>
      <c r="V84" s="7">
        <f t="shared" ca="1" si="25"/>
        <v>-0.21054860265758243</v>
      </c>
      <c r="W84" s="33">
        <f t="shared" ca="1" si="16"/>
        <v>-55930</v>
      </c>
      <c r="X84" s="7">
        <f t="shared" ca="1" si="17"/>
        <v>-1</v>
      </c>
      <c r="Y84" s="7">
        <f t="shared" ca="1" si="18"/>
        <v>-0.87359198998748433</v>
      </c>
      <c r="Z84" s="7">
        <f t="shared" ca="1" si="26"/>
        <v>-5.832413648398059E-2</v>
      </c>
      <c r="AA84" s="33">
        <f t="shared" ca="1" si="19"/>
        <v>7070.0000000000009</v>
      </c>
      <c r="AB84" s="7">
        <f t="shared" ca="1" si="20"/>
        <v>1</v>
      </c>
      <c r="AC84" s="7">
        <f t="shared" ca="1" si="27"/>
        <v>0.56320400500625789</v>
      </c>
      <c r="AD84" s="1"/>
      <c r="AE84" s="1"/>
    </row>
    <row r="85" spans="1:31" x14ac:dyDescent="0.25">
      <c r="A85" s="3"/>
      <c r="B85" s="25">
        <v>43951</v>
      </c>
      <c r="C85" s="10" t="s">
        <v>933</v>
      </c>
      <c r="D85" s="1">
        <v>846.15</v>
      </c>
      <c r="E85" s="30">
        <v>700</v>
      </c>
      <c r="F85" s="1">
        <v>760</v>
      </c>
      <c r="G85" s="1">
        <v>18.100000000000001</v>
      </c>
      <c r="H85" s="1">
        <v>680</v>
      </c>
      <c r="I85" s="1">
        <v>6</v>
      </c>
      <c r="J85" s="1">
        <v>14000</v>
      </c>
      <c r="K85" s="1">
        <v>700</v>
      </c>
      <c r="L85" s="1">
        <v>4.4000000000000004</v>
      </c>
      <c r="M85" s="1">
        <v>5.3</v>
      </c>
      <c r="N85" s="1">
        <v>700</v>
      </c>
      <c r="O85" s="9"/>
      <c r="P85" s="7">
        <f t="shared" ca="1" si="21"/>
        <v>0.15125000000000002</v>
      </c>
      <c r="Q85" s="7">
        <f t="shared" ca="1" si="14"/>
        <v>1.080357142857143E-2</v>
      </c>
      <c r="R85" s="33">
        <f t="shared" ca="1" si="22"/>
        <v>8470.0000000000018</v>
      </c>
      <c r="S85" s="33">
        <f t="shared" ca="1" si="23"/>
        <v>-47530</v>
      </c>
      <c r="T85" s="33">
        <f t="shared" ca="1" si="15"/>
        <v>8470.0000000000018</v>
      </c>
      <c r="U85" s="7">
        <f t="shared" ca="1" si="24"/>
        <v>0.1782032400589102</v>
      </c>
      <c r="V85" s="7">
        <f t="shared" ca="1" si="25"/>
        <v>-0.21054860265758243</v>
      </c>
      <c r="W85" s="33">
        <f t="shared" ca="1" si="16"/>
        <v>-47530</v>
      </c>
      <c r="X85" s="7">
        <f t="shared" ca="1" si="17"/>
        <v>-1</v>
      </c>
      <c r="Y85" s="7">
        <f t="shared" ca="1" si="18"/>
        <v>-0.8217967599410898</v>
      </c>
      <c r="Z85" s="7">
        <f t="shared" ca="1" si="26"/>
        <v>-5.832413648398059E-2</v>
      </c>
      <c r="AA85" s="33">
        <f t="shared" ca="1" si="19"/>
        <v>8470.0000000000018</v>
      </c>
      <c r="AB85" s="7">
        <f t="shared" ca="1" si="20"/>
        <v>1</v>
      </c>
      <c r="AC85" s="7">
        <f t="shared" ca="1" si="27"/>
        <v>0.5891016200294551</v>
      </c>
      <c r="AD85" s="1"/>
      <c r="AE85" s="1"/>
    </row>
    <row r="86" spans="1:31" x14ac:dyDescent="0.25">
      <c r="A86" s="3"/>
      <c r="B86" s="25">
        <v>43951</v>
      </c>
      <c r="C86" s="10" t="s">
        <v>933</v>
      </c>
      <c r="D86" s="1">
        <v>846.15</v>
      </c>
      <c r="E86" s="30">
        <v>700</v>
      </c>
      <c r="F86" s="1">
        <v>760</v>
      </c>
      <c r="G86" s="1">
        <v>18.100000000000001</v>
      </c>
      <c r="H86" s="1">
        <v>690</v>
      </c>
      <c r="I86" s="1">
        <v>7.9</v>
      </c>
      <c r="J86" s="1">
        <v>9800</v>
      </c>
      <c r="K86" s="1">
        <v>700</v>
      </c>
      <c r="L86" s="1">
        <v>5</v>
      </c>
      <c r="M86" s="1">
        <v>9.85</v>
      </c>
      <c r="N86" s="1">
        <v>700</v>
      </c>
      <c r="O86" s="9"/>
      <c r="P86" s="7">
        <f t="shared" ca="1" si="21"/>
        <v>0.14571428571428574</v>
      </c>
      <c r="Q86" s="7">
        <f t="shared" ca="1" si="14"/>
        <v>1.0408163265306124E-2</v>
      </c>
      <c r="R86" s="33">
        <f t="shared" ca="1" si="22"/>
        <v>7140.0000000000009</v>
      </c>
      <c r="S86" s="33">
        <f t="shared" ca="1" si="23"/>
        <v>-41860</v>
      </c>
      <c r="T86" s="33">
        <f t="shared" ca="1" si="15"/>
        <v>7140.0000000000009</v>
      </c>
      <c r="U86" s="7">
        <f t="shared" ca="1" si="24"/>
        <v>0.17056856187290972</v>
      </c>
      <c r="V86" s="7">
        <f t="shared" ca="1" si="25"/>
        <v>-0.21054860265758243</v>
      </c>
      <c r="W86" s="33">
        <f t="shared" ca="1" si="16"/>
        <v>-41860</v>
      </c>
      <c r="X86" s="7">
        <f t="shared" ca="1" si="17"/>
        <v>-1</v>
      </c>
      <c r="Y86" s="7">
        <f t="shared" ca="1" si="18"/>
        <v>-0.8294314381270903</v>
      </c>
      <c r="Z86" s="7">
        <f t="shared" ca="1" si="26"/>
        <v>-5.832413648398059E-2</v>
      </c>
      <c r="AA86" s="33">
        <f t="shared" ca="1" si="19"/>
        <v>7140.0000000000009</v>
      </c>
      <c r="AB86" s="7">
        <f t="shared" ca="1" si="20"/>
        <v>1</v>
      </c>
      <c r="AC86" s="7">
        <f t="shared" ca="1" si="27"/>
        <v>0.5852842809364549</v>
      </c>
      <c r="AD86" s="1"/>
      <c r="AE86" s="1"/>
    </row>
    <row r="87" spans="1:31" x14ac:dyDescent="0.25">
      <c r="A87" s="3"/>
      <c r="B87" s="25">
        <v>43951</v>
      </c>
      <c r="C87" s="10" t="s">
        <v>933</v>
      </c>
      <c r="D87" s="1">
        <v>846.15</v>
      </c>
      <c r="E87" s="30">
        <v>700</v>
      </c>
      <c r="F87" s="1">
        <v>760</v>
      </c>
      <c r="G87" s="1">
        <v>18.100000000000001</v>
      </c>
      <c r="H87" s="1">
        <v>700</v>
      </c>
      <c r="I87" s="1">
        <v>7</v>
      </c>
      <c r="J87" s="1">
        <v>73500</v>
      </c>
      <c r="K87" s="1">
        <v>700</v>
      </c>
      <c r="L87" s="1">
        <v>6.6</v>
      </c>
      <c r="M87" s="1">
        <v>7</v>
      </c>
      <c r="N87" s="1">
        <v>700</v>
      </c>
      <c r="O87" s="9"/>
      <c r="P87" s="7">
        <f t="shared" ca="1" si="21"/>
        <v>0.18500000000000003</v>
      </c>
      <c r="Q87" s="7">
        <f t="shared" ca="1" si="14"/>
        <v>1.3214285714285717E-2</v>
      </c>
      <c r="R87" s="33">
        <f t="shared" ca="1" si="22"/>
        <v>7770.0000000000009</v>
      </c>
      <c r="S87" s="33">
        <f t="shared" ca="1" si="23"/>
        <v>-34230</v>
      </c>
      <c r="T87" s="33">
        <f t="shared" ca="1" si="15"/>
        <v>7770.0000000000009</v>
      </c>
      <c r="U87" s="7">
        <f t="shared" ca="1" si="24"/>
        <v>0.22699386503067487</v>
      </c>
      <c r="V87" s="7">
        <f t="shared" ca="1" si="25"/>
        <v>-0.21054860265758243</v>
      </c>
      <c r="W87" s="33">
        <f t="shared" ca="1" si="16"/>
        <v>-34230</v>
      </c>
      <c r="X87" s="7">
        <f t="shared" ca="1" si="17"/>
        <v>-1</v>
      </c>
      <c r="Y87" s="7">
        <f t="shared" ca="1" si="18"/>
        <v>-0.77300613496932513</v>
      </c>
      <c r="Z87" s="7">
        <f t="shared" ca="1" si="26"/>
        <v>-5.832413648398059E-2</v>
      </c>
      <c r="AA87" s="33">
        <f t="shared" ca="1" si="19"/>
        <v>7770.0000000000009</v>
      </c>
      <c r="AB87" s="7">
        <f t="shared" ca="1" si="20"/>
        <v>1</v>
      </c>
      <c r="AC87" s="7">
        <f t="shared" ca="1" si="27"/>
        <v>0.61349693251533743</v>
      </c>
      <c r="AD87" s="1"/>
      <c r="AE87" s="1"/>
    </row>
    <row r="88" spans="1:31" x14ac:dyDescent="0.25">
      <c r="A88" s="3"/>
      <c r="B88" s="25">
        <v>43951</v>
      </c>
      <c r="C88" s="10" t="s">
        <v>933</v>
      </c>
      <c r="D88" s="1">
        <v>846.15</v>
      </c>
      <c r="E88" s="30">
        <v>700</v>
      </c>
      <c r="F88" s="1">
        <v>760</v>
      </c>
      <c r="G88" s="1">
        <v>18.100000000000001</v>
      </c>
      <c r="H88" s="1">
        <v>710</v>
      </c>
      <c r="I88" s="1">
        <v>8</v>
      </c>
      <c r="J88" s="1">
        <v>3500</v>
      </c>
      <c r="K88" s="1">
        <v>16100</v>
      </c>
      <c r="L88" s="1">
        <v>2.0499999999999998</v>
      </c>
      <c r="M88" s="1">
        <v>14</v>
      </c>
      <c r="N88" s="1">
        <v>1400</v>
      </c>
      <c r="O88" s="9"/>
      <c r="P88" s="7">
        <f t="shared" ca="1" si="21"/>
        <v>0.20200000000000004</v>
      </c>
      <c r="Q88" s="7">
        <f t="shared" ca="1" si="14"/>
        <v>1.4428571428571431E-2</v>
      </c>
      <c r="R88" s="33">
        <f t="shared" ca="1" si="22"/>
        <v>7070.0000000000009</v>
      </c>
      <c r="S88" s="33">
        <f t="shared" ca="1" si="23"/>
        <v>-27930</v>
      </c>
      <c r="T88" s="33">
        <f t="shared" ca="1" si="15"/>
        <v>7070.0000000000009</v>
      </c>
      <c r="U88" s="7">
        <f t="shared" ca="1" si="24"/>
        <v>0.25313283208020054</v>
      </c>
      <c r="V88" s="7">
        <f t="shared" ca="1" si="25"/>
        <v>-0.21054860265758243</v>
      </c>
      <c r="W88" s="33">
        <f t="shared" ca="1" si="16"/>
        <v>-27930</v>
      </c>
      <c r="X88" s="7">
        <f t="shared" ca="1" si="17"/>
        <v>-1</v>
      </c>
      <c r="Y88" s="7">
        <f t="shared" ca="1" si="18"/>
        <v>-0.74686716791979946</v>
      </c>
      <c r="Z88" s="7">
        <f t="shared" ca="1" si="26"/>
        <v>-5.832413648398059E-2</v>
      </c>
      <c r="AA88" s="33">
        <f t="shared" ca="1" si="19"/>
        <v>7070.0000000000009</v>
      </c>
      <c r="AB88" s="7">
        <f t="shared" ca="1" si="20"/>
        <v>1</v>
      </c>
      <c r="AC88" s="7">
        <f t="shared" ca="1" si="27"/>
        <v>0.62656641604010033</v>
      </c>
      <c r="AD88" s="1"/>
      <c r="AE88" s="1"/>
    </row>
    <row r="89" spans="1:31" x14ac:dyDescent="0.25">
      <c r="A89" s="3"/>
      <c r="B89" s="25">
        <v>43951</v>
      </c>
      <c r="C89" s="10" t="s">
        <v>933</v>
      </c>
      <c r="D89" s="1">
        <v>846.15</v>
      </c>
      <c r="E89" s="30">
        <v>700</v>
      </c>
      <c r="F89" s="1">
        <v>760</v>
      </c>
      <c r="G89" s="1">
        <v>18.100000000000001</v>
      </c>
      <c r="H89" s="1">
        <v>740</v>
      </c>
      <c r="I89" s="1">
        <v>13</v>
      </c>
      <c r="J89" s="1">
        <v>17500</v>
      </c>
      <c r="K89" s="1">
        <v>700</v>
      </c>
      <c r="L89" s="1">
        <v>9.25</v>
      </c>
      <c r="M89" s="1">
        <v>15.1</v>
      </c>
      <c r="N89" s="1">
        <v>1400</v>
      </c>
      <c r="O89" s="9"/>
      <c r="P89" s="7">
        <f t="shared" ca="1" si="21"/>
        <v>0.25500000000000006</v>
      </c>
      <c r="Q89" s="7">
        <f t="shared" ca="1" si="14"/>
        <v>1.8214285714285718E-2</v>
      </c>
      <c r="R89" s="33">
        <f t="shared" ca="1" si="22"/>
        <v>3570.0000000000009</v>
      </c>
      <c r="S89" s="33">
        <f t="shared" ca="1" si="23"/>
        <v>-10430</v>
      </c>
      <c r="T89" s="33">
        <f t="shared" ca="1" si="15"/>
        <v>3570.0000000000009</v>
      </c>
      <c r="U89" s="7">
        <f t="shared" ca="1" si="24"/>
        <v>0.34228187919463093</v>
      </c>
      <c r="V89" s="7">
        <f t="shared" ca="1" si="25"/>
        <v>-0.21054860265758243</v>
      </c>
      <c r="W89" s="33">
        <f t="shared" ca="1" si="16"/>
        <v>-10430</v>
      </c>
      <c r="X89" s="7">
        <f t="shared" ca="1" si="17"/>
        <v>-1</v>
      </c>
      <c r="Y89" s="7">
        <f t="shared" ca="1" si="18"/>
        <v>-0.65771812080536907</v>
      </c>
      <c r="Z89" s="7">
        <f t="shared" ca="1" si="26"/>
        <v>-5.832413648398059E-2</v>
      </c>
      <c r="AA89" s="33">
        <f t="shared" ca="1" si="19"/>
        <v>3570.0000000000009</v>
      </c>
      <c r="AB89" s="7">
        <f t="shared" ca="1" si="20"/>
        <v>1</v>
      </c>
      <c r="AC89" s="7">
        <f t="shared" ca="1" si="27"/>
        <v>0.67114093959731547</v>
      </c>
      <c r="AD89" s="1"/>
      <c r="AE89" s="1"/>
    </row>
    <row r="90" spans="1:31" x14ac:dyDescent="0.25">
      <c r="A90" s="3"/>
      <c r="B90" s="25">
        <v>43951</v>
      </c>
      <c r="C90" s="10" t="s">
        <v>933</v>
      </c>
      <c r="D90" s="1">
        <v>846.15</v>
      </c>
      <c r="E90" s="30">
        <v>700</v>
      </c>
      <c r="F90" s="1">
        <v>760</v>
      </c>
      <c r="G90" s="1">
        <v>18.100000000000001</v>
      </c>
      <c r="H90" s="1">
        <v>750</v>
      </c>
      <c r="I90" s="1">
        <v>15</v>
      </c>
      <c r="J90" s="1">
        <v>50400</v>
      </c>
      <c r="K90" s="1">
        <v>700</v>
      </c>
      <c r="L90" s="1">
        <v>14.4</v>
      </c>
      <c r="M90" s="1">
        <v>16.600000000000001</v>
      </c>
      <c r="N90" s="1">
        <v>700</v>
      </c>
      <c r="O90" s="9"/>
      <c r="P90" s="7">
        <f t="shared" ca="1" si="21"/>
        <v>0.31000000000000016</v>
      </c>
      <c r="Q90" s="7">
        <f t="shared" ca="1" si="14"/>
        <v>2.2142857142857155E-2</v>
      </c>
      <c r="R90" s="33">
        <f t="shared" ca="1" si="22"/>
        <v>2170.0000000000009</v>
      </c>
      <c r="S90" s="33">
        <f t="shared" ca="1" si="23"/>
        <v>-4829.9999999999991</v>
      </c>
      <c r="T90" s="33">
        <f t="shared" ca="1" si="15"/>
        <v>2170.0000000000009</v>
      </c>
      <c r="U90" s="7">
        <f t="shared" ca="1" si="24"/>
        <v>0.44927536231884085</v>
      </c>
      <c r="V90" s="7">
        <f t="shared" ca="1" si="25"/>
        <v>-0.21054860265758243</v>
      </c>
      <c r="W90" s="33">
        <f t="shared" ca="1" si="16"/>
        <v>-4829.9999999999991</v>
      </c>
      <c r="X90" s="7">
        <f t="shared" ca="1" si="17"/>
        <v>-1</v>
      </c>
      <c r="Y90" s="7">
        <f t="shared" ca="1" si="18"/>
        <v>-0.5507246376811592</v>
      </c>
      <c r="Z90" s="7">
        <f t="shared" ca="1" si="26"/>
        <v>-5.832413648398059E-2</v>
      </c>
      <c r="AA90" s="33">
        <f t="shared" ca="1" si="19"/>
        <v>2170.0000000000009</v>
      </c>
      <c r="AB90" s="7">
        <f t="shared" ca="1" si="20"/>
        <v>1</v>
      </c>
      <c r="AC90" s="7">
        <f t="shared" ca="1" si="27"/>
        <v>0.7246376811594204</v>
      </c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topLeftCell="G1" zoomScale="80" zoomScaleNormal="80" workbookViewId="0">
      <selection activeCell="O20" sqref="O20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59"/>
      <c r="C1" s="59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0"/>
      <c r="C2" s="6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si="2">R4/D4-1</f>
        <v>-0.22550335570469804</v>
      </c>
      <c r="R4" s="33">
        <f t="shared" ref="R4:R67" si="3">mrigxl_stockquote(C4)</f>
        <v>1154</v>
      </c>
      <c r="S4" s="33">
        <f t="shared" ref="S4:S67" si="4">(MIN(F4,R4)-D4+G4)*E4</f>
        <v>-132440</v>
      </c>
      <c r="T4" s="7">
        <f t="shared" ref="T4:T67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si="2"/>
        <v>7.303974221267473E-2</v>
      </c>
      <c r="R5" s="33">
        <f t="shared" si="3"/>
        <v>49.95</v>
      </c>
      <c r="S5" s="33">
        <f t="shared" si="4"/>
        <v>-76999.999999999971</v>
      </c>
      <c r="T5" s="7">
        <f t="shared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si="2"/>
        <v>7.303974221267473E-2</v>
      </c>
      <c r="R6" s="33">
        <f t="shared" si="3"/>
        <v>49.95</v>
      </c>
      <c r="S6" s="33">
        <f t="shared" si="4"/>
        <v>-64349.999999999964</v>
      </c>
      <c r="T6" s="7">
        <f t="shared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si="2"/>
        <v>-0.21488540957567503</v>
      </c>
      <c r="R7" s="33">
        <f t="shared" si="3"/>
        <v>173</v>
      </c>
      <c r="S7" s="33">
        <f t="shared" si="4"/>
        <v>-112124.99999999999</v>
      </c>
      <c r="T7" s="7">
        <f t="shared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si="2"/>
        <v>-0.21488540957567503</v>
      </c>
      <c r="R8" s="33">
        <f t="shared" si="3"/>
        <v>173</v>
      </c>
      <c r="S8" s="33">
        <f t="shared" si="4"/>
        <v>-111375</v>
      </c>
      <c r="T8" s="7">
        <f t="shared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si="2"/>
        <v>0.24267827588688196</v>
      </c>
      <c r="R9" s="33">
        <f t="shared" si="3"/>
        <v>1726.95</v>
      </c>
      <c r="S9" s="33">
        <f t="shared" si="4"/>
        <v>-74820.000000000029</v>
      </c>
      <c r="T9" s="7">
        <f t="shared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si="2"/>
        <v>0.24267827588688196</v>
      </c>
      <c r="R10" s="33">
        <f t="shared" si="3"/>
        <v>1726.95</v>
      </c>
      <c r="S10" s="33">
        <f t="shared" si="4"/>
        <v>-61620.000000000029</v>
      </c>
      <c r="T10" s="7">
        <f t="shared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si="2"/>
        <v>-0.26147426981919331</v>
      </c>
      <c r="R11" s="33">
        <f t="shared" si="3"/>
        <v>531</v>
      </c>
      <c r="S11" s="33">
        <f t="shared" si="4"/>
        <v>-182950</v>
      </c>
      <c r="T11" s="7">
        <f t="shared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si="2"/>
        <v>-0.26147426981919331</v>
      </c>
      <c r="R12" s="33">
        <f t="shared" si="3"/>
        <v>531</v>
      </c>
      <c r="S12" s="33">
        <f t="shared" si="4"/>
        <v>-182000</v>
      </c>
      <c r="T12" s="7">
        <f t="shared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si="2"/>
        <v>-0.26147426981919331</v>
      </c>
      <c r="R13" s="33">
        <f t="shared" si="3"/>
        <v>531</v>
      </c>
      <c r="S13" s="33">
        <f t="shared" si="4"/>
        <v>-178750</v>
      </c>
      <c r="T13" s="7">
        <f t="shared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si="2"/>
        <v>-0.28536958095391296</v>
      </c>
      <c r="R14" s="33">
        <f t="shared" si="3"/>
        <v>444.25</v>
      </c>
      <c r="S14" s="33">
        <f t="shared" si="4"/>
        <v>-208079.99999999997</v>
      </c>
      <c r="T14" s="7">
        <f t="shared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si="2"/>
        <v>-0.28536958095391296</v>
      </c>
      <c r="R15" s="33">
        <f t="shared" si="3"/>
        <v>444.25</v>
      </c>
      <c r="S15" s="33">
        <f t="shared" si="4"/>
        <v>-206879.99999999997</v>
      </c>
      <c r="T15" s="7">
        <f t="shared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si="2"/>
        <v>-0.28536958095391296</v>
      </c>
      <c r="R16" s="33">
        <f t="shared" si="3"/>
        <v>444.25</v>
      </c>
      <c r="S16" s="33">
        <f t="shared" si="4"/>
        <v>-205079.99999999997</v>
      </c>
      <c r="T16" s="7">
        <f t="shared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si="2"/>
        <v>-0.55932203389830504</v>
      </c>
      <c r="R17" s="33">
        <f t="shared" si="3"/>
        <v>50.7</v>
      </c>
      <c r="S17" s="33">
        <f t="shared" si="4"/>
        <v>-246999.99999999997</v>
      </c>
      <c r="T17" s="7">
        <f t="shared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si="2"/>
        <v>-0.55932203389830504</v>
      </c>
      <c r="R18" s="33">
        <f t="shared" si="3"/>
        <v>50.7</v>
      </c>
      <c r="S18" s="33">
        <f t="shared" si="4"/>
        <v>-251799.99999999997</v>
      </c>
      <c r="T18" s="7">
        <f t="shared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si="2"/>
        <v>-0.55932203389830504</v>
      </c>
      <c r="R19" s="33">
        <f t="shared" si="3"/>
        <v>50.7</v>
      </c>
      <c r="S19" s="33">
        <f t="shared" si="4"/>
        <v>-247599.99999999997</v>
      </c>
      <c r="T19" s="7">
        <f t="shared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si="2"/>
        <v>-0.6505840528186897</v>
      </c>
      <c r="R20" s="33">
        <f t="shared" si="3"/>
        <v>34.4</v>
      </c>
      <c r="S20" s="33">
        <f t="shared" si="4"/>
        <v>-373200.00000000006</v>
      </c>
      <c r="T20" s="7">
        <f t="shared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si="2"/>
        <v>-0.6505840528186897</v>
      </c>
      <c r="R21" s="33">
        <f t="shared" si="3"/>
        <v>34.4</v>
      </c>
      <c r="S21" s="33">
        <f t="shared" si="4"/>
        <v>-369300.00000000006</v>
      </c>
      <c r="T21" s="7">
        <f t="shared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si="2"/>
        <v>-0.6505840528186897</v>
      </c>
      <c r="R22" s="33">
        <f t="shared" si="3"/>
        <v>34.4</v>
      </c>
      <c r="S22" s="33">
        <f t="shared" si="4"/>
        <v>-374100.00000000006</v>
      </c>
      <c r="T22" s="7">
        <f t="shared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si="2"/>
        <v>-0.6505840528186897</v>
      </c>
      <c r="R23" s="33">
        <f t="shared" si="3"/>
        <v>34.4</v>
      </c>
      <c r="S23" s="33">
        <f t="shared" si="4"/>
        <v>-371100.00000000006</v>
      </c>
      <c r="T23" s="7">
        <f t="shared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si="2"/>
        <v>-0.6505840528186897</v>
      </c>
      <c r="R24" s="33">
        <f t="shared" si="3"/>
        <v>34.4</v>
      </c>
      <c r="S24" s="33">
        <f t="shared" si="4"/>
        <v>-367800.00000000006</v>
      </c>
      <c r="T24" s="7">
        <f t="shared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si="2"/>
        <v>0.11185098533249338</v>
      </c>
      <c r="R25" s="33">
        <f t="shared" si="3"/>
        <v>1235.5999999999999</v>
      </c>
      <c r="S25" s="33">
        <f t="shared" si="4"/>
        <v>-77879.999999999985</v>
      </c>
      <c r="T25" s="7">
        <f t="shared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si="2"/>
        <v>0.11185098533249338</v>
      </c>
      <c r="R26" s="33">
        <f t="shared" si="3"/>
        <v>1235.5999999999999</v>
      </c>
      <c r="S26" s="33">
        <f t="shared" si="4"/>
        <v>-54614.999999999978</v>
      </c>
      <c r="T26" s="7">
        <f t="shared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si="2"/>
        <v>-0.18047673098751416</v>
      </c>
      <c r="R27" s="33">
        <f t="shared" si="3"/>
        <v>72.2</v>
      </c>
      <c r="S27" s="33">
        <f t="shared" si="4"/>
        <v>-89999.999999999942</v>
      </c>
      <c r="T27" s="7">
        <f t="shared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si="2"/>
        <v>-0.18047673098751416</v>
      </c>
      <c r="R28" s="33">
        <f t="shared" si="3"/>
        <v>72.2</v>
      </c>
      <c r="S28" s="33">
        <f t="shared" si="4"/>
        <v>-85199.999999999956</v>
      </c>
      <c r="T28" s="7">
        <f t="shared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si="2"/>
        <v>-0.1847905744404984</v>
      </c>
      <c r="R29" s="33">
        <f t="shared" si="3"/>
        <v>723.05</v>
      </c>
      <c r="S29" s="33">
        <f t="shared" si="4"/>
        <v>-109130.00000000006</v>
      </c>
      <c r="T29" s="7">
        <f t="shared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si="2"/>
        <v>-0.1847905744404984</v>
      </c>
      <c r="R30" s="33">
        <f t="shared" si="3"/>
        <v>723.05</v>
      </c>
      <c r="S30" s="33">
        <f t="shared" si="4"/>
        <v>-99330.000000000058</v>
      </c>
      <c r="T30" s="7">
        <f t="shared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si="2"/>
        <v>0.56796628029504737</v>
      </c>
      <c r="R31" s="33">
        <f t="shared" si="3"/>
        <v>520.79999999999995</v>
      </c>
      <c r="S31" s="33">
        <f t="shared" si="4"/>
        <v>-88549.999999999956</v>
      </c>
      <c r="T31" s="7">
        <f t="shared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si="2"/>
        <v>0.56796628029504737</v>
      </c>
      <c r="R32" s="33">
        <f t="shared" si="3"/>
        <v>520.79999999999995</v>
      </c>
      <c r="S32" s="33">
        <f t="shared" si="4"/>
        <v>-64349.999999999956</v>
      </c>
      <c r="T32" s="7">
        <f t="shared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si="2"/>
        <v>0.72130081300812998</v>
      </c>
      <c r="R33" s="33">
        <f t="shared" si="3"/>
        <v>529.29999999999995</v>
      </c>
      <c r="S33" s="33">
        <f t="shared" si="4"/>
        <v>-70550</v>
      </c>
      <c r="T33" s="7">
        <f t="shared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si="2"/>
        <v>0.72130081300812998</v>
      </c>
      <c r="R34" s="33">
        <f t="shared" si="3"/>
        <v>529.29999999999995</v>
      </c>
      <c r="S34" s="33">
        <f t="shared" si="4"/>
        <v>-57800</v>
      </c>
      <c r="T34" s="7">
        <f t="shared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si="2"/>
        <v>-0.6752688172043011</v>
      </c>
      <c r="R35" s="33">
        <f t="shared" si="3"/>
        <v>22.65</v>
      </c>
      <c r="S35" s="33">
        <f t="shared" si="4"/>
        <v>-349500</v>
      </c>
      <c r="T35" s="7">
        <f t="shared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si="2"/>
        <v>-0.6752688172043011</v>
      </c>
      <c r="R36" s="33">
        <f t="shared" si="3"/>
        <v>22.65</v>
      </c>
      <c r="S36" s="33">
        <f t="shared" si="4"/>
        <v>-346875</v>
      </c>
      <c r="T36" s="7">
        <f t="shared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si="2"/>
        <v>-0.6752688172043011</v>
      </c>
      <c r="R37" s="33">
        <f t="shared" si="3"/>
        <v>22.65</v>
      </c>
      <c r="S37" s="33">
        <f t="shared" si="4"/>
        <v>-343125</v>
      </c>
      <c r="T37" s="7">
        <f t="shared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si="2"/>
        <v>-2.6178709763590269E-2</v>
      </c>
      <c r="R38" s="33">
        <f t="shared" si="3"/>
        <v>364.55</v>
      </c>
      <c r="S38" s="33">
        <f t="shared" si="4"/>
        <v>-92250.000000000044</v>
      </c>
      <c r="T38" s="7">
        <f t="shared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si="2"/>
        <v>-2.6178709763590269E-2</v>
      </c>
      <c r="R39" s="33">
        <f t="shared" si="3"/>
        <v>364.55</v>
      </c>
      <c r="S39" s="33">
        <f t="shared" si="4"/>
        <v>-70110.000000000044</v>
      </c>
      <c r="T39" s="7">
        <f t="shared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si="2"/>
        <v>-2.6178709763590269E-2</v>
      </c>
      <c r="R40" s="33">
        <f t="shared" si="3"/>
        <v>364.55</v>
      </c>
      <c r="S40" s="33">
        <f t="shared" si="4"/>
        <v>-47250.000000000036</v>
      </c>
      <c r="T40" s="7">
        <f t="shared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si="2"/>
        <v>-2.6178709763590269E-2</v>
      </c>
      <c r="R41" s="33">
        <f t="shared" si="3"/>
        <v>364.55</v>
      </c>
      <c r="S41" s="33">
        <f t="shared" si="4"/>
        <v>-25830.00000000004</v>
      </c>
      <c r="T41" s="7">
        <f t="shared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si="2"/>
        <v>2.8265963678969053E-2</v>
      </c>
      <c r="R42" s="33">
        <f t="shared" si="3"/>
        <v>351.05</v>
      </c>
      <c r="S42" s="33">
        <f t="shared" si="4"/>
        <v>-43999.999999999964</v>
      </c>
      <c r="T42" s="7">
        <f t="shared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si="2"/>
        <v>2.8265963678969053E-2</v>
      </c>
      <c r="R43" s="33">
        <f t="shared" si="3"/>
        <v>351.05</v>
      </c>
      <c r="S43" s="33">
        <f t="shared" si="4"/>
        <v>-25999.999999999967</v>
      </c>
      <c r="T43" s="7">
        <f t="shared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si="2"/>
        <v>-0.65971830985915503</v>
      </c>
      <c r="R44" s="33">
        <f t="shared" si="3"/>
        <v>90.6</v>
      </c>
      <c r="S44" s="33">
        <f t="shared" si="4"/>
        <v>-336200</v>
      </c>
      <c r="T44" s="7">
        <f t="shared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si="2"/>
        <v>-0.65971830985915503</v>
      </c>
      <c r="R45" s="33">
        <f t="shared" si="3"/>
        <v>90.6</v>
      </c>
      <c r="S45" s="33">
        <f t="shared" si="4"/>
        <v>-333500</v>
      </c>
      <c r="T45" s="7">
        <f t="shared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si="2"/>
        <v>-0.65971830985915503</v>
      </c>
      <c r="R46" s="33">
        <f t="shared" si="3"/>
        <v>90.6</v>
      </c>
      <c r="S46" s="33">
        <f t="shared" si="4"/>
        <v>-330500</v>
      </c>
      <c r="T46" s="7">
        <f t="shared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si="2"/>
        <v>-0.65971830985915503</v>
      </c>
      <c r="R47" s="33">
        <f t="shared" si="3"/>
        <v>90.6</v>
      </c>
      <c r="S47" s="33">
        <f t="shared" si="4"/>
        <v>-346800</v>
      </c>
      <c r="T47" s="7">
        <f t="shared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si="2"/>
        <v>-0.65971830985915503</v>
      </c>
      <c r="R48" s="33">
        <f t="shared" si="3"/>
        <v>90.6</v>
      </c>
      <c r="S48" s="33">
        <f t="shared" si="4"/>
        <v>-345300</v>
      </c>
      <c r="T48" s="7">
        <f t="shared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si="2"/>
        <v>-0.65971830985915503</v>
      </c>
      <c r="R49" s="33">
        <f t="shared" si="3"/>
        <v>90.6</v>
      </c>
      <c r="S49" s="33">
        <f t="shared" si="4"/>
        <v>-318700</v>
      </c>
      <c r="T49" s="7">
        <f t="shared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si="2"/>
        <v>-0.65971830985915503</v>
      </c>
      <c r="R50" s="33">
        <f t="shared" si="3"/>
        <v>90.6</v>
      </c>
      <c r="S50" s="33">
        <f t="shared" si="4"/>
        <v>-341100</v>
      </c>
      <c r="T50" s="7">
        <f t="shared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si="2"/>
        <v>-0.65971830985915503</v>
      </c>
      <c r="R51" s="33">
        <f t="shared" si="3"/>
        <v>90.6</v>
      </c>
      <c r="S51" s="33">
        <f t="shared" si="4"/>
        <v>-309700</v>
      </c>
      <c r="T51" s="7">
        <f t="shared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si="2"/>
        <v>-2.010676156583624E-2</v>
      </c>
      <c r="R52" s="33">
        <f t="shared" si="3"/>
        <v>275.35000000000002</v>
      </c>
      <c r="S52" s="33">
        <f t="shared" si="4"/>
        <v>-34375</v>
      </c>
      <c r="T52" s="7">
        <f t="shared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si="2"/>
        <v>-0.63319638455217753</v>
      </c>
      <c r="R53" s="33">
        <f t="shared" si="3"/>
        <v>334.8</v>
      </c>
      <c r="S53" s="33">
        <f t="shared" si="4"/>
        <v>-339270</v>
      </c>
      <c r="T53" s="7">
        <f t="shared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si="2"/>
        <v>5.6518462697814575E-2</v>
      </c>
      <c r="R54" s="33">
        <f t="shared" si="3"/>
        <v>1402</v>
      </c>
      <c r="S54" s="33">
        <f t="shared" si="4"/>
        <v>-62300</v>
      </c>
      <c r="T54" s="7">
        <f t="shared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si="2"/>
        <v>0.12887420237010039</v>
      </c>
      <c r="R55" s="33">
        <f t="shared" si="3"/>
        <v>495.35</v>
      </c>
      <c r="S55" s="33">
        <f t="shared" si="4"/>
        <v>-43625.000000000015</v>
      </c>
      <c r="T55" s="7">
        <f t="shared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si="2"/>
        <v>-0.47333333333333327</v>
      </c>
      <c r="R56" s="33">
        <f t="shared" si="3"/>
        <v>86.9</v>
      </c>
      <c r="S56" s="33">
        <f t="shared" si="4"/>
        <v>-339299.99999999994</v>
      </c>
      <c r="T56" s="7">
        <f t="shared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si="2"/>
        <v>0.61659238249594805</v>
      </c>
      <c r="R57" s="33">
        <f t="shared" si="3"/>
        <v>2393.85</v>
      </c>
      <c r="S57" s="33">
        <f t="shared" si="4"/>
        <v>-42319.999999999985</v>
      </c>
      <c r="T57" s="7">
        <f t="shared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si="2"/>
        <v>-0.24345269909139489</v>
      </c>
      <c r="R58" s="33">
        <f t="shared" si="3"/>
        <v>141.55000000000001</v>
      </c>
      <c r="S58" s="33">
        <f t="shared" si="4"/>
        <v>-113879.99999999996</v>
      </c>
      <c r="T58" s="7">
        <f t="shared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si="2"/>
        <v>-0.24345269909139489</v>
      </c>
      <c r="R59" s="33">
        <f t="shared" si="3"/>
        <v>141.55000000000001</v>
      </c>
      <c r="S59" s="33">
        <f t="shared" si="4"/>
        <v>-111539.99999999996</v>
      </c>
      <c r="T59" s="7">
        <f t="shared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si="2"/>
        <v>-0.24345269909139489</v>
      </c>
      <c r="R60" s="33">
        <f t="shared" si="3"/>
        <v>141.55000000000001</v>
      </c>
      <c r="S60" s="33">
        <f t="shared" si="4"/>
        <v>-107379.99999999996</v>
      </c>
      <c r="T60" s="7">
        <f t="shared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si="2"/>
        <v>0.47868764286674748</v>
      </c>
      <c r="R61" s="33">
        <f t="shared" si="3"/>
        <v>3848.95</v>
      </c>
      <c r="S61" s="33">
        <f t="shared" si="4"/>
        <v>-78424.999999999956</v>
      </c>
      <c r="T61" s="7">
        <f t="shared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si="2"/>
        <v>0.47868764286674748</v>
      </c>
      <c r="R62" s="33">
        <f t="shared" si="3"/>
        <v>3848.95</v>
      </c>
      <c r="S62" s="33">
        <f t="shared" si="4"/>
        <v>-71149.999999999942</v>
      </c>
      <c r="T62" s="7">
        <f t="shared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si="2"/>
        <v>0.47868764286674748</v>
      </c>
      <c r="R63" s="33">
        <f t="shared" si="3"/>
        <v>3848.95</v>
      </c>
      <c r="S63" s="33">
        <f t="shared" si="4"/>
        <v>-50737.499999999956</v>
      </c>
      <c r="T63" s="7">
        <f t="shared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si="2"/>
        <v>0.47868764286674748</v>
      </c>
      <c r="R64" s="33">
        <f t="shared" si="3"/>
        <v>3848.95</v>
      </c>
      <c r="S64" s="33">
        <f t="shared" si="4"/>
        <v>-41237.499999999956</v>
      </c>
      <c r="T64" s="7">
        <f t="shared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si="2"/>
        <v>-0.45203252032520325</v>
      </c>
      <c r="R65" s="33">
        <f t="shared" si="3"/>
        <v>67.400000000000006</v>
      </c>
      <c r="S65" s="33">
        <f t="shared" si="4"/>
        <v>-222219.99999999997</v>
      </c>
      <c r="T65" s="7">
        <f t="shared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si="2"/>
        <v>9.7698209718670048E-2</v>
      </c>
      <c r="R66" s="33">
        <f t="shared" si="3"/>
        <v>751.1</v>
      </c>
      <c r="S66" s="33">
        <f t="shared" si="4"/>
        <v>-111595</v>
      </c>
      <c r="T66" s="7">
        <f t="shared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si="2"/>
        <v>9.7698209718670048E-2</v>
      </c>
      <c r="R67" s="33">
        <f t="shared" si="3"/>
        <v>751.1</v>
      </c>
      <c r="S67" s="33">
        <f t="shared" si="4"/>
        <v>-82225</v>
      </c>
      <c r="T67" s="7">
        <f t="shared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si="9">R68/D68-1</f>
        <v>9.7698209718670048E-2</v>
      </c>
      <c r="R68" s="33">
        <f t="shared" ref="R68:R121" si="10">mrigxl_stockquote(C68)</f>
        <v>751.1</v>
      </c>
      <c r="S68" s="33">
        <f t="shared" ref="S68:S121" si="11">(MIN(F68,R68)-D68+G68)*E68</f>
        <v>-83985</v>
      </c>
      <c r="T68" s="7">
        <f t="shared" ref="T68:T12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si="9"/>
        <v>9.7698209718670048E-2</v>
      </c>
      <c r="R69" s="33">
        <f t="shared" si="10"/>
        <v>751.1</v>
      </c>
      <c r="S69" s="33">
        <f t="shared" si="11"/>
        <v>-59675</v>
      </c>
      <c r="T69" s="7">
        <f t="shared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si="9"/>
        <v>9.7698209718670048E-2</v>
      </c>
      <c r="R70" s="33">
        <f t="shared" si="10"/>
        <v>751.1</v>
      </c>
      <c r="S70" s="33">
        <f t="shared" si="11"/>
        <v>17654.999999999996</v>
      </c>
      <c r="T70" s="7">
        <f t="shared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si="9"/>
        <v>-0.53684776761699848</v>
      </c>
      <c r="R71" s="33">
        <f t="shared" si="10"/>
        <v>43.05</v>
      </c>
      <c r="S71" s="33">
        <f t="shared" si="11"/>
        <v>-344050.00000000006</v>
      </c>
      <c r="T71" s="7">
        <f t="shared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si="9"/>
        <v>-0.53684776761699848</v>
      </c>
      <c r="R72" s="33">
        <f t="shared" si="10"/>
        <v>43.05</v>
      </c>
      <c r="S72" s="33">
        <f t="shared" si="11"/>
        <v>-334600.00000000006</v>
      </c>
      <c r="T72" s="7">
        <f t="shared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si="9"/>
        <v>-0.74413892908827783</v>
      </c>
      <c r="R73" s="33">
        <f t="shared" si="10"/>
        <v>88.4</v>
      </c>
      <c r="S73" s="33">
        <f t="shared" si="11"/>
        <v>-680351.70000000007</v>
      </c>
      <c r="T73" s="7">
        <f t="shared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si="9"/>
        <v>-0.49988816819503468</v>
      </c>
      <c r="R74" s="33">
        <f t="shared" si="10"/>
        <v>335.4</v>
      </c>
      <c r="S74" s="33">
        <f t="shared" si="11"/>
        <v>-330000</v>
      </c>
      <c r="T74" s="7">
        <f t="shared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si="9"/>
        <v>-0.49988816819503468</v>
      </c>
      <c r="R75" s="33">
        <f t="shared" si="10"/>
        <v>335.4</v>
      </c>
      <c r="S75" s="33">
        <f t="shared" si="11"/>
        <v>-323500</v>
      </c>
      <c r="T75" s="7">
        <f t="shared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si="9"/>
        <v>0.10094637223974767</v>
      </c>
      <c r="R76" s="33">
        <f t="shared" si="10"/>
        <v>17.45</v>
      </c>
      <c r="S76" s="33">
        <f t="shared" si="11"/>
        <v>-74249.999999999985</v>
      </c>
      <c r="T76" s="7">
        <f t="shared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si="9"/>
        <v>-0.31188725490196079</v>
      </c>
      <c r="R77" s="33">
        <f t="shared" si="10"/>
        <v>561.5</v>
      </c>
      <c r="S77" s="33">
        <f t="shared" si="11"/>
        <v>-188250</v>
      </c>
      <c r="T77" s="7">
        <f t="shared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si="9"/>
        <v>-0.18249601853192421</v>
      </c>
      <c r="R78" s="33">
        <f t="shared" si="10"/>
        <v>564.65</v>
      </c>
      <c r="S78" s="33">
        <f t="shared" si="11"/>
        <v>-117050.00000000007</v>
      </c>
      <c r="T78" s="7">
        <f t="shared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si="9"/>
        <v>-0.46368715083798884</v>
      </c>
      <c r="R79" s="33">
        <f t="shared" si="10"/>
        <v>120</v>
      </c>
      <c r="S79" s="33">
        <f t="shared" si="11"/>
        <v>-358925</v>
      </c>
      <c r="T79" s="7">
        <f t="shared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si="9"/>
        <v>-0.46368715083798884</v>
      </c>
      <c r="R80" s="33">
        <f t="shared" si="10"/>
        <v>120</v>
      </c>
      <c r="S80" s="33">
        <f t="shared" si="11"/>
        <v>-356825</v>
      </c>
      <c r="T80" s="7">
        <f t="shared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si="9"/>
        <v>-0.46368715083798884</v>
      </c>
      <c r="R81" s="33">
        <f t="shared" si="10"/>
        <v>120</v>
      </c>
      <c r="S81" s="33">
        <f t="shared" si="11"/>
        <v>-354375</v>
      </c>
      <c r="T81" s="7">
        <f t="shared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si="9"/>
        <v>-0.13114754098360648</v>
      </c>
      <c r="R82" s="33">
        <f t="shared" si="10"/>
        <v>217.3</v>
      </c>
      <c r="S82" s="33">
        <f t="shared" si="11"/>
        <v>-116969.99999999999</v>
      </c>
      <c r="T82" s="7">
        <f t="shared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si="9"/>
        <v>-0.13114754098360648</v>
      </c>
      <c r="R83" s="33">
        <f t="shared" si="10"/>
        <v>217.3</v>
      </c>
      <c r="S83" s="33">
        <f t="shared" si="11"/>
        <v>-79694.999999999985</v>
      </c>
      <c r="T83" s="7">
        <f t="shared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si="9"/>
        <v>-0.13114754098360648</v>
      </c>
      <c r="R84" s="33">
        <f t="shared" si="10"/>
        <v>217.3</v>
      </c>
      <c r="S84" s="33">
        <f t="shared" si="11"/>
        <v>-46724.999999999985</v>
      </c>
      <c r="T84" s="7">
        <f t="shared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si="9"/>
        <v>-0.13114754098360648</v>
      </c>
      <c r="R85" s="33">
        <f t="shared" si="10"/>
        <v>217.3</v>
      </c>
      <c r="S85" s="33">
        <f t="shared" si="11"/>
        <v>-61004.999999999964</v>
      </c>
      <c r="T85" s="7">
        <f t="shared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si="9"/>
        <v>-0.13114754098360648</v>
      </c>
      <c r="R86" s="33">
        <f t="shared" si="10"/>
        <v>217.3</v>
      </c>
      <c r="S86" s="33">
        <f t="shared" si="11"/>
        <v>-57854.999999999964</v>
      </c>
      <c r="T86" s="7">
        <f t="shared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si="9"/>
        <v>-2.1264610618222823E-2</v>
      </c>
      <c r="R87" s="33">
        <f t="shared" si="10"/>
        <v>347.5</v>
      </c>
      <c r="S87" s="33">
        <f t="shared" si="11"/>
        <v>-104637.50000000003</v>
      </c>
      <c r="T87" s="7">
        <f t="shared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si="9"/>
        <v>-2.1264610618222823E-2</v>
      </c>
      <c r="R88" s="33">
        <f t="shared" si="10"/>
        <v>347.5</v>
      </c>
      <c r="S88" s="33">
        <f t="shared" si="11"/>
        <v>-88825.000000000029</v>
      </c>
      <c r="T88" s="7">
        <f t="shared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si="9"/>
        <v>-0.6585563665855636</v>
      </c>
      <c r="R89" s="33">
        <f t="shared" si="10"/>
        <v>21.05</v>
      </c>
      <c r="S89" s="33">
        <f t="shared" si="11"/>
        <v>-401999.99999999994</v>
      </c>
      <c r="T89" s="7">
        <f t="shared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si="9"/>
        <v>-0.6585563665855636</v>
      </c>
      <c r="R90" s="33">
        <f t="shared" si="10"/>
        <v>21.05</v>
      </c>
      <c r="S90" s="33">
        <f t="shared" si="11"/>
        <v>-401999.99999999994</v>
      </c>
      <c r="T90" s="7">
        <f t="shared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si="9"/>
        <v>-0.88466579292267367</v>
      </c>
      <c r="R91" s="33">
        <f t="shared" si="10"/>
        <v>4.4000000000000004</v>
      </c>
      <c r="S91" s="33">
        <f t="shared" si="11"/>
        <v>-399599.99999999994</v>
      </c>
      <c r="T91" s="7">
        <f t="shared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si="9"/>
        <v>-0.88466579292267367</v>
      </c>
      <c r="R92" s="33">
        <f t="shared" si="10"/>
        <v>4.4000000000000004</v>
      </c>
      <c r="S92" s="33">
        <f t="shared" si="11"/>
        <v>-398400.00000000006</v>
      </c>
      <c r="T92" s="7">
        <f t="shared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si="9"/>
        <v>-0.88466579292267367</v>
      </c>
      <c r="R93" s="33">
        <f t="shared" si="10"/>
        <v>4.4000000000000004</v>
      </c>
      <c r="S93" s="33">
        <f t="shared" si="11"/>
        <v>-397200</v>
      </c>
      <c r="T93" s="7">
        <f t="shared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si="9"/>
        <v>-0.88466579292267367</v>
      </c>
      <c r="R94" s="33">
        <f t="shared" si="10"/>
        <v>4.4000000000000004</v>
      </c>
      <c r="S94" s="33">
        <f t="shared" si="11"/>
        <v>-394200</v>
      </c>
      <c r="T94" s="7">
        <f t="shared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si="9"/>
        <v>-0.88466579292267367</v>
      </c>
      <c r="R95" s="33">
        <f t="shared" si="10"/>
        <v>4.4000000000000004</v>
      </c>
      <c r="S95" s="33">
        <f t="shared" si="11"/>
        <v>-390000</v>
      </c>
      <c r="T95" s="7">
        <f t="shared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si="9"/>
        <v>-0.63360560093348894</v>
      </c>
      <c r="R96" s="33">
        <f t="shared" si="10"/>
        <v>15.7</v>
      </c>
      <c r="S96" s="33">
        <f t="shared" si="11"/>
        <v>-350460</v>
      </c>
      <c r="T96" s="7">
        <f t="shared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si="9"/>
        <v>-0.63360560093348894</v>
      </c>
      <c r="R97" s="33">
        <f t="shared" si="10"/>
        <v>15.7</v>
      </c>
      <c r="S97" s="33">
        <f t="shared" si="11"/>
        <v>-349800.00000000006</v>
      </c>
      <c r="T97" s="7">
        <f t="shared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si="9"/>
        <v>-0.71134020618556704</v>
      </c>
      <c r="R98" s="33">
        <f t="shared" si="10"/>
        <v>4.2</v>
      </c>
      <c r="S98" s="33">
        <f t="shared" si="11"/>
        <v>-351750</v>
      </c>
      <c r="T98" s="7">
        <f t="shared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si="9"/>
        <v>0.73032629558541262</v>
      </c>
      <c r="R99" s="33">
        <f t="shared" si="10"/>
        <v>450.75</v>
      </c>
      <c r="S99" s="33">
        <f t="shared" si="11"/>
        <v>-48812.5</v>
      </c>
      <c r="T99" s="7">
        <f t="shared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si="9"/>
        <v>0.14942528735632177</v>
      </c>
      <c r="R100" s="33">
        <f t="shared" si="10"/>
        <v>110</v>
      </c>
      <c r="S100" s="33">
        <f t="shared" si="11"/>
        <v>-65700.000000000015</v>
      </c>
      <c r="T100" s="7">
        <f t="shared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si="9"/>
        <v>0.14942528735632177</v>
      </c>
      <c r="R101" s="33">
        <f t="shared" si="10"/>
        <v>110</v>
      </c>
      <c r="S101" s="33">
        <f t="shared" si="11"/>
        <v>-39600.000000000015</v>
      </c>
      <c r="T101" s="7">
        <f t="shared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si="9"/>
        <v>0.14942528735632177</v>
      </c>
      <c r="R102" s="33">
        <f t="shared" si="10"/>
        <v>110</v>
      </c>
      <c r="S102" s="33">
        <f t="shared" si="11"/>
        <v>-11250.000000000013</v>
      </c>
      <c r="T102" s="7">
        <f t="shared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si="9"/>
        <v>-0.80364626990779553</v>
      </c>
      <c r="R103" s="33">
        <f t="shared" si="10"/>
        <v>46.85</v>
      </c>
      <c r="S103" s="33">
        <f t="shared" si="11"/>
        <v>-379500</v>
      </c>
      <c r="T103" s="7">
        <f t="shared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si="9"/>
        <v>-0.80364626990779553</v>
      </c>
      <c r="R104" s="33">
        <f t="shared" si="10"/>
        <v>46.85</v>
      </c>
      <c r="S104" s="33">
        <f t="shared" si="11"/>
        <v>-375900</v>
      </c>
      <c r="T104" s="7">
        <f t="shared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si="9"/>
        <v>-0.38841201716738205</v>
      </c>
      <c r="R105" s="33">
        <f t="shared" si="10"/>
        <v>85.5</v>
      </c>
      <c r="S105" s="33">
        <f t="shared" si="11"/>
        <v>-186900.00000000006</v>
      </c>
      <c r="T105" s="7">
        <f t="shared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si="9"/>
        <v>-0.55134328358208951</v>
      </c>
      <c r="R106" s="33">
        <f t="shared" si="10"/>
        <v>75.150000000000006</v>
      </c>
      <c r="S106" s="33">
        <f t="shared" si="11"/>
        <v>-288960</v>
      </c>
      <c r="T106" s="7">
        <f t="shared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si="9"/>
        <v>-0.55134328358208951</v>
      </c>
      <c r="R107" s="33">
        <f t="shared" si="10"/>
        <v>75.150000000000006</v>
      </c>
      <c r="S107" s="33">
        <f t="shared" si="11"/>
        <v>-285920</v>
      </c>
      <c r="T107" s="7">
        <f t="shared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si="9"/>
        <v>-0.55134328358208951</v>
      </c>
      <c r="R108" s="33">
        <f t="shared" si="10"/>
        <v>75.150000000000006</v>
      </c>
      <c r="S108" s="33">
        <f t="shared" si="11"/>
        <v>-282560</v>
      </c>
      <c r="T108" s="7">
        <f t="shared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si="9"/>
        <v>-0.9241035856573705</v>
      </c>
      <c r="R109" s="33">
        <f t="shared" si="10"/>
        <v>19.05</v>
      </c>
      <c r="S109" s="33">
        <f t="shared" si="11"/>
        <v>-494890</v>
      </c>
      <c r="T109" s="7">
        <f t="shared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si="9"/>
        <v>-0.42835365853658536</v>
      </c>
      <c r="R110" s="33">
        <f t="shared" si="10"/>
        <v>93.75</v>
      </c>
      <c r="S110" s="33">
        <f t="shared" si="11"/>
        <v>-152437.5</v>
      </c>
      <c r="T110" s="7">
        <f t="shared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si="9"/>
        <v>-0.42835365853658536</v>
      </c>
      <c r="R111" s="33">
        <f t="shared" si="10"/>
        <v>93.75</v>
      </c>
      <c r="S111" s="33">
        <f t="shared" si="11"/>
        <v>-147825</v>
      </c>
      <c r="T111" s="7">
        <f t="shared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si="9"/>
        <v>-0.9376359680928209</v>
      </c>
      <c r="R112" s="33">
        <f t="shared" si="10"/>
        <v>4.3</v>
      </c>
      <c r="S112" s="33">
        <f t="shared" si="11"/>
        <v>-570600</v>
      </c>
      <c r="T112" s="7">
        <f t="shared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si="9"/>
        <v>-0.9376359680928209</v>
      </c>
      <c r="R113" s="33">
        <f t="shared" si="10"/>
        <v>4.3</v>
      </c>
      <c r="S113" s="33">
        <f t="shared" si="11"/>
        <v>-566100</v>
      </c>
      <c r="T113" s="7">
        <f t="shared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si="9"/>
        <v>-0.9376359680928209</v>
      </c>
      <c r="R114" s="33">
        <f t="shared" si="10"/>
        <v>4.3</v>
      </c>
      <c r="S114" s="33">
        <f t="shared" si="11"/>
        <v>-566100</v>
      </c>
      <c r="T114" s="7">
        <f t="shared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si="9"/>
        <v>-0.9376359680928209</v>
      </c>
      <c r="R115" s="33">
        <f t="shared" si="10"/>
        <v>4.3</v>
      </c>
      <c r="S115" s="33">
        <f t="shared" si="11"/>
        <v>-554850</v>
      </c>
      <c r="T115" s="7">
        <f t="shared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si="9"/>
        <v>1.624592833876215E-2</v>
      </c>
      <c r="R116" s="33">
        <f t="shared" si="10"/>
        <v>1247.95</v>
      </c>
      <c r="S116" s="33">
        <f t="shared" si="11"/>
        <v>-124800</v>
      </c>
      <c r="T116" s="7">
        <f t="shared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si="9"/>
        <v>1.624592833876215E-2</v>
      </c>
      <c r="R117" s="33">
        <f t="shared" si="10"/>
        <v>1247.95</v>
      </c>
      <c r="S117" s="33">
        <f t="shared" si="11"/>
        <v>-112040.00000000001</v>
      </c>
      <c r="T117" s="7">
        <f t="shared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si="9"/>
        <v>1.624592833876215E-2</v>
      </c>
      <c r="R118" s="33">
        <f t="shared" si="10"/>
        <v>1247.95</v>
      </c>
      <c r="S118" s="33">
        <f t="shared" si="11"/>
        <v>-94720</v>
      </c>
      <c r="T118" s="7">
        <f t="shared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si="9"/>
        <v>#VALUE!</v>
      </c>
      <c r="R119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si="11"/>
        <v>-47700.000000000022</v>
      </c>
      <c r="T119" s="7">
        <f t="shared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si="9"/>
        <v>-0.59002770083102496</v>
      </c>
      <c r="R120" s="33">
        <f t="shared" si="10"/>
        <v>44.4</v>
      </c>
      <c r="S120" s="33">
        <f t="shared" si="11"/>
        <v>-289755</v>
      </c>
      <c r="T120" s="7">
        <f t="shared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si="9"/>
        <v>-1.5761312085611379E-2</v>
      </c>
      <c r="R121" s="33">
        <f t="shared" si="10"/>
        <v>846.15</v>
      </c>
      <c r="S121" s="33">
        <f t="shared" si="11"/>
        <v>-80360.000000000029</v>
      </c>
      <c r="T121" s="7">
        <f t="shared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64" t="s">
        <v>1892</v>
      </c>
      <c r="B1" s="59" t="s">
        <v>1853</v>
      </c>
      <c r="C1" s="59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0</v>
      </c>
      <c r="B2" s="60"/>
      <c r="C2" s="6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1" t="s">
        <v>1851</v>
      </c>
      <c r="U2" s="63"/>
      <c r="V2" s="61" t="s">
        <v>1849</v>
      </c>
      <c r="W2" s="62"/>
      <c r="X2" s="62"/>
      <c r="Y2" s="63"/>
      <c r="Z2" s="61" t="s">
        <v>1850</v>
      </c>
      <c r="AA2" s="62"/>
      <c r="AB2" s="62"/>
      <c r="AC2" s="63"/>
      <c r="AD2" s="1"/>
      <c r="AE2" s="1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1858</v>
      </c>
      <c r="G3" s="19" t="s">
        <v>1859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1856</v>
      </c>
      <c r="S3" s="19" t="s">
        <v>1857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28" t="str">
        <f>B3</f>
        <v>Expiry</v>
      </c>
    </row>
    <row r="4" spans="1:39" x14ac:dyDescent="0.25">
      <c r="A4" s="1"/>
      <c r="B4" s="25">
        <v>43496</v>
      </c>
      <c r="C4" s="10" t="s">
        <v>48</v>
      </c>
      <c r="D4" s="1">
        <v>149</v>
      </c>
      <c r="E4" s="30">
        <v>4000</v>
      </c>
      <c r="F4" s="1">
        <v>160</v>
      </c>
      <c r="G4" s="1">
        <v>4.2</v>
      </c>
      <c r="H4" s="1">
        <v>165</v>
      </c>
      <c r="I4" s="1">
        <v>3</v>
      </c>
      <c r="J4" s="1">
        <v>280000</v>
      </c>
      <c r="K4" s="1">
        <v>4000</v>
      </c>
      <c r="L4" s="1">
        <v>2.9</v>
      </c>
      <c r="M4" s="1">
        <v>3.45</v>
      </c>
      <c r="N4" s="1">
        <v>16000</v>
      </c>
      <c r="O4" s="9"/>
      <c r="P4" s="7">
        <f>($G4-$I4)/($F4-$H4)</f>
        <v>-0.24000000000000005</v>
      </c>
      <c r="Q4" s="7">
        <f t="shared" ref="Q4" ca="1" si="0">P4/($B4-TODAY())</f>
        <v>5.4421768707483002E-4</v>
      </c>
      <c r="R4" s="33">
        <f t="shared" ref="R4:R39" si="1">$E4*($G4-$I4)</f>
        <v>4800.0000000000009</v>
      </c>
      <c r="S4" s="33">
        <f t="shared" ref="S4:S39" si="2">-(($H4-$F4)*$E4-$R4)</f>
        <v>-15200</v>
      </c>
      <c r="T4" s="33">
        <f t="shared" ref="T4" si="3">R4</f>
        <v>4800.0000000000009</v>
      </c>
      <c r="U4" s="7">
        <f t="shared" ref="U4:U39" si="4">ABS($T4/$S4)</f>
        <v>0.31578947368421056</v>
      </c>
      <c r="V4" s="7" t="str">
        <f t="shared" ref="V4:V39" ca="1" si="5">mrigxl_max_drawdown($C4,INT($B4-TODAY()))</f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" s="33" t="e">
        <f t="shared" ref="W4" ca="1" si="6">-(MAX(($F4-MAX($D4*(1+V4),$H4)),0)*$E4-$R4)</f>
        <v>#VALUE!</v>
      </c>
      <c r="X4" s="7" t="e">
        <f t="shared" ref="X4" ca="1" si="7">W4/$R4</f>
        <v>#VALUE!</v>
      </c>
      <c r="Y4" s="7" t="e">
        <f t="shared" ref="Y4" ca="1" si="8">$U4+X4</f>
        <v>#VALUE!</v>
      </c>
      <c r="Z4" s="7" t="str">
        <f t="shared" ref="Z4:Z39" ca="1" si="9">mrigxl_avg_drawdown($C4,INT($B4-TODAY()))</f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" s="33" t="e">
        <f t="shared" ref="AA4" ca="1" si="10">-(MAX(($F4-MAX($D4*(1+Z4),$H4)),0)*$E4-$R4)</f>
        <v>#VALUE!</v>
      </c>
      <c r="AB4" s="7" t="e">
        <f t="shared" ref="AB4" ca="1" si="11">AA4/$R4</f>
        <v>#VALUE!</v>
      </c>
      <c r="AC4" s="7" t="e">
        <f t="shared" ref="AC4" ca="1" si="12">$U4+AB4</f>
        <v>#VALUE!</v>
      </c>
      <c r="AD4" s="40"/>
      <c r="AE4" s="40" t="s">
        <v>1860</v>
      </c>
      <c r="AF4" s="34"/>
      <c r="AH4" s="34"/>
    </row>
    <row r="5" spans="1:39" x14ac:dyDescent="0.25">
      <c r="A5" s="3"/>
      <c r="B5" s="25">
        <v>43496</v>
      </c>
      <c r="C5" s="10" t="s">
        <v>48</v>
      </c>
      <c r="D5" s="1">
        <v>149</v>
      </c>
      <c r="E5" s="30">
        <v>4000</v>
      </c>
      <c r="F5" s="1">
        <v>160</v>
      </c>
      <c r="G5" s="1">
        <v>4.2</v>
      </c>
      <c r="H5" s="1">
        <v>170</v>
      </c>
      <c r="I5" s="1">
        <v>1.85</v>
      </c>
      <c r="J5" s="1">
        <v>604000</v>
      </c>
      <c r="K5" s="1">
        <v>4000</v>
      </c>
      <c r="L5" s="1">
        <v>1.8</v>
      </c>
      <c r="M5" s="1">
        <v>2</v>
      </c>
      <c r="N5" s="1">
        <v>4000</v>
      </c>
      <c r="O5" s="9"/>
      <c r="P5" s="7">
        <f t="shared" ref="P5:P39" si="13">($G5-$I5)/($F5-$H5)</f>
        <v>-0.23500000000000001</v>
      </c>
      <c r="Q5" s="7">
        <f t="shared" ref="Q5:Q39" ca="1" si="14">P5/($B5-TODAY())</f>
        <v>5.3287981859410439E-4</v>
      </c>
      <c r="R5" s="33">
        <f t="shared" si="1"/>
        <v>9400</v>
      </c>
      <c r="S5" s="33">
        <f t="shared" si="2"/>
        <v>-30600</v>
      </c>
      <c r="T5" s="33">
        <f t="shared" ref="T5:T39" si="15">R5</f>
        <v>9400</v>
      </c>
      <c r="U5" s="7">
        <f t="shared" si="4"/>
        <v>0.30718954248366015</v>
      </c>
      <c r="V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33" t="e">
        <f t="shared" ref="W5:W39" ca="1" si="16">-(MAX(($F5-MAX($D5*(1+V5),$H5)),0)*$E5-$R5)</f>
        <v>#VALUE!</v>
      </c>
      <c r="X5" s="7" t="e">
        <f t="shared" ref="X5:X39" ca="1" si="17">W5/$R5</f>
        <v>#VALUE!</v>
      </c>
      <c r="Y5" s="7" t="e">
        <f t="shared" ref="Y5:Y39" ca="1" si="18">$U5+X5</f>
        <v>#VALUE!</v>
      </c>
      <c r="Z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" s="33" t="e">
        <f t="shared" ref="AA5:AA39" ca="1" si="19">-(MAX(($F5-MAX($D5*(1+Z5),$H5)),0)*$E5-$R5)</f>
        <v>#VALUE!</v>
      </c>
      <c r="AB5" s="7" t="e">
        <f t="shared" ref="AB5:AB39" ca="1" si="20">AA5/$R5</f>
        <v>#VALUE!</v>
      </c>
      <c r="AC5" s="7" t="e">
        <f t="shared" ref="AC5:AC39" ca="1" si="21">$U5+AB5</f>
        <v>#VALUE!</v>
      </c>
      <c r="AD5" s="1"/>
      <c r="AE5" s="1"/>
    </row>
    <row r="6" spans="1:39" x14ac:dyDescent="0.25">
      <c r="A6" s="3"/>
      <c r="B6" s="25">
        <v>43496</v>
      </c>
      <c r="C6" s="10" t="s">
        <v>48</v>
      </c>
      <c r="D6" s="1">
        <v>149</v>
      </c>
      <c r="E6" s="30">
        <v>4000</v>
      </c>
      <c r="F6" s="1">
        <v>160</v>
      </c>
      <c r="G6" s="1">
        <v>4.2</v>
      </c>
      <c r="H6" s="1">
        <v>175</v>
      </c>
      <c r="I6" s="1">
        <v>1.25</v>
      </c>
      <c r="J6" s="1">
        <v>120000</v>
      </c>
      <c r="K6" s="1">
        <v>12000</v>
      </c>
      <c r="L6" s="1">
        <v>1.1499999999999999</v>
      </c>
      <c r="M6" s="1">
        <v>1.8</v>
      </c>
      <c r="N6" s="1">
        <v>16000</v>
      </c>
      <c r="O6" s="9"/>
      <c r="P6" s="7">
        <f t="shared" si="13"/>
        <v>-0.19666666666666668</v>
      </c>
      <c r="Q6" s="7">
        <f t="shared" ca="1" si="14"/>
        <v>4.4595616024187458E-4</v>
      </c>
      <c r="R6" s="33">
        <f t="shared" si="1"/>
        <v>11800</v>
      </c>
      <c r="S6" s="33">
        <f t="shared" si="2"/>
        <v>-48200</v>
      </c>
      <c r="T6" s="33">
        <f t="shared" si="15"/>
        <v>11800</v>
      </c>
      <c r="U6" s="7">
        <f t="shared" si="4"/>
        <v>0.24481327800829875</v>
      </c>
      <c r="V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" s="33" t="e">
        <f t="shared" ca="1" si="16"/>
        <v>#VALUE!</v>
      </c>
      <c r="X6" s="7" t="e">
        <f t="shared" ca="1" si="17"/>
        <v>#VALUE!</v>
      </c>
      <c r="Y6" s="7" t="e">
        <f t="shared" ca="1" si="18"/>
        <v>#VALUE!</v>
      </c>
      <c r="Z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" s="33" t="e">
        <f t="shared" ca="1" si="19"/>
        <v>#VALUE!</v>
      </c>
      <c r="AB6" s="7" t="e">
        <f t="shared" ca="1" si="20"/>
        <v>#VALUE!</v>
      </c>
      <c r="AC6" s="7" t="e">
        <f t="shared" ca="1" si="21"/>
        <v>#VALUE!</v>
      </c>
      <c r="AD6" s="1"/>
      <c r="AE6" s="1"/>
    </row>
    <row r="7" spans="1:39" x14ac:dyDescent="0.25">
      <c r="A7" s="3"/>
      <c r="B7" s="25">
        <v>43496</v>
      </c>
      <c r="C7" s="10" t="s">
        <v>48</v>
      </c>
      <c r="D7" s="1">
        <v>149</v>
      </c>
      <c r="E7" s="30">
        <v>4000</v>
      </c>
      <c r="F7" s="1">
        <v>160</v>
      </c>
      <c r="G7" s="1">
        <v>4.2</v>
      </c>
      <c r="H7" s="1">
        <v>180</v>
      </c>
      <c r="I7" s="1">
        <v>0.85</v>
      </c>
      <c r="J7" s="1">
        <v>560000</v>
      </c>
      <c r="K7" s="1">
        <v>8000</v>
      </c>
      <c r="L7" s="1">
        <v>0.8</v>
      </c>
      <c r="M7" s="1">
        <v>0.9</v>
      </c>
      <c r="N7" s="1">
        <v>8000</v>
      </c>
      <c r="O7" s="9"/>
      <c r="P7" s="7">
        <f t="shared" si="13"/>
        <v>-0.16750000000000001</v>
      </c>
      <c r="Q7" s="7">
        <f t="shared" ca="1" si="14"/>
        <v>3.7981859410430842E-4</v>
      </c>
      <c r="R7" s="33">
        <f t="shared" si="1"/>
        <v>13400</v>
      </c>
      <c r="S7" s="33">
        <f t="shared" si="2"/>
        <v>-66600</v>
      </c>
      <c r="T7" s="33">
        <f t="shared" si="15"/>
        <v>13400</v>
      </c>
      <c r="U7" s="7">
        <f t="shared" si="4"/>
        <v>0.20120120120120119</v>
      </c>
      <c r="V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" s="33" t="e">
        <f t="shared" ca="1" si="16"/>
        <v>#VALUE!</v>
      </c>
      <c r="X7" s="7" t="e">
        <f t="shared" ca="1" si="17"/>
        <v>#VALUE!</v>
      </c>
      <c r="Y7" s="7" t="e">
        <f t="shared" ca="1" si="18"/>
        <v>#VALUE!</v>
      </c>
      <c r="Z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" s="33" t="e">
        <f t="shared" ca="1" si="19"/>
        <v>#VALUE!</v>
      </c>
      <c r="AB7" s="7" t="e">
        <f t="shared" ca="1" si="20"/>
        <v>#VALUE!</v>
      </c>
      <c r="AC7" s="7" t="e">
        <f t="shared" ca="1" si="21"/>
        <v>#VALUE!</v>
      </c>
      <c r="AD7" s="1"/>
      <c r="AE7" s="1"/>
    </row>
    <row r="8" spans="1:39" x14ac:dyDescent="0.25">
      <c r="A8" s="3"/>
      <c r="B8" s="25">
        <v>43496</v>
      </c>
      <c r="C8" s="10" t="s">
        <v>48</v>
      </c>
      <c r="D8" s="1">
        <v>149</v>
      </c>
      <c r="E8" s="30">
        <v>4000</v>
      </c>
      <c r="F8" s="1">
        <v>160</v>
      </c>
      <c r="G8" s="1">
        <v>4.2</v>
      </c>
      <c r="H8" s="1">
        <v>185</v>
      </c>
      <c r="I8" s="1">
        <v>0.8</v>
      </c>
      <c r="J8" s="1">
        <v>36000</v>
      </c>
      <c r="K8" s="1">
        <v>28000</v>
      </c>
      <c r="L8" s="1">
        <v>0.4</v>
      </c>
      <c r="M8" s="1">
        <v>0.9</v>
      </c>
      <c r="N8" s="1">
        <v>4000</v>
      </c>
      <c r="O8" s="9"/>
      <c r="P8" s="7">
        <f t="shared" si="13"/>
        <v>-0.13600000000000001</v>
      </c>
      <c r="Q8" s="7">
        <f t="shared" ca="1" si="14"/>
        <v>3.0839002267573696E-4</v>
      </c>
      <c r="R8" s="33">
        <f t="shared" si="1"/>
        <v>13600.000000000002</v>
      </c>
      <c r="S8" s="33">
        <f t="shared" si="2"/>
        <v>-86400</v>
      </c>
      <c r="T8" s="33">
        <f t="shared" si="15"/>
        <v>13600.000000000002</v>
      </c>
      <c r="U8" s="7">
        <f t="shared" si="4"/>
        <v>0.15740740740740744</v>
      </c>
      <c r="V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" s="33" t="e">
        <f t="shared" ca="1" si="16"/>
        <v>#VALUE!</v>
      </c>
      <c r="X8" s="7" t="e">
        <f t="shared" ca="1" si="17"/>
        <v>#VALUE!</v>
      </c>
      <c r="Y8" s="7" t="e">
        <f t="shared" ca="1" si="18"/>
        <v>#VALUE!</v>
      </c>
      <c r="Z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" s="33" t="e">
        <f t="shared" ca="1" si="19"/>
        <v>#VALUE!</v>
      </c>
      <c r="AB8" s="7" t="e">
        <f t="shared" ca="1" si="20"/>
        <v>#VALUE!</v>
      </c>
      <c r="AC8" s="7" t="e">
        <f t="shared" ca="1" si="21"/>
        <v>#VALUE!</v>
      </c>
      <c r="AD8" s="1"/>
      <c r="AE8" s="1"/>
    </row>
    <row r="9" spans="1:39" x14ac:dyDescent="0.25">
      <c r="A9" s="3"/>
      <c r="B9" s="25">
        <v>43496</v>
      </c>
      <c r="C9" s="10" t="s">
        <v>48</v>
      </c>
      <c r="D9" s="1">
        <v>149</v>
      </c>
      <c r="E9" s="30">
        <v>4000</v>
      </c>
      <c r="F9" s="1">
        <v>160</v>
      </c>
      <c r="G9" s="1">
        <v>4.2</v>
      </c>
      <c r="H9" s="1">
        <v>190</v>
      </c>
      <c r="I9" s="1">
        <v>0.4</v>
      </c>
      <c r="J9" s="1">
        <v>292000</v>
      </c>
      <c r="K9" s="1">
        <v>20000</v>
      </c>
      <c r="L9" s="1">
        <v>0.35</v>
      </c>
      <c r="M9" s="1">
        <v>0.45</v>
      </c>
      <c r="N9" s="1">
        <v>4000</v>
      </c>
      <c r="O9" s="9"/>
      <c r="P9" s="7">
        <f t="shared" si="13"/>
        <v>-0.12666666666666668</v>
      </c>
      <c r="Q9" s="7">
        <f t="shared" ca="1" si="14"/>
        <v>2.8722600151171585E-4</v>
      </c>
      <c r="R9" s="33">
        <f t="shared" si="1"/>
        <v>15200.000000000002</v>
      </c>
      <c r="S9" s="33">
        <f t="shared" si="2"/>
        <v>-104800</v>
      </c>
      <c r="T9" s="33">
        <f t="shared" si="15"/>
        <v>15200.000000000002</v>
      </c>
      <c r="U9" s="7">
        <f t="shared" si="4"/>
        <v>0.14503816793893132</v>
      </c>
      <c r="V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" s="33" t="e">
        <f t="shared" ca="1" si="16"/>
        <v>#VALUE!</v>
      </c>
      <c r="X9" s="7" t="e">
        <f t="shared" ca="1" si="17"/>
        <v>#VALUE!</v>
      </c>
      <c r="Y9" s="7" t="e">
        <f t="shared" ca="1" si="18"/>
        <v>#VALUE!</v>
      </c>
      <c r="Z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" s="33" t="e">
        <f t="shared" ca="1" si="19"/>
        <v>#VALUE!</v>
      </c>
      <c r="AB9" s="7" t="e">
        <f t="shared" ca="1" si="20"/>
        <v>#VALUE!</v>
      </c>
      <c r="AC9" s="7" t="e">
        <f t="shared" ca="1" si="21"/>
        <v>#VALUE!</v>
      </c>
      <c r="AD9" s="1"/>
      <c r="AE9" s="1"/>
    </row>
    <row r="10" spans="1:39" x14ac:dyDescent="0.25">
      <c r="A10" s="3"/>
      <c r="B10" s="25">
        <v>43496</v>
      </c>
      <c r="C10" s="10" t="s">
        <v>48</v>
      </c>
      <c r="D10" s="1">
        <v>149</v>
      </c>
      <c r="E10" s="30">
        <v>4000</v>
      </c>
      <c r="F10" s="1">
        <v>160</v>
      </c>
      <c r="G10" s="1">
        <v>4.2</v>
      </c>
      <c r="H10" s="1">
        <v>195</v>
      </c>
      <c r="I10" s="1">
        <v>0.5</v>
      </c>
      <c r="J10" s="1">
        <v>60000</v>
      </c>
      <c r="K10" s="1">
        <v>8000</v>
      </c>
      <c r="L10" s="1">
        <v>0.2</v>
      </c>
      <c r="M10" s="1">
        <v>0.5</v>
      </c>
      <c r="N10" s="1">
        <v>16000</v>
      </c>
      <c r="O10" s="9"/>
      <c r="P10" s="7">
        <f t="shared" si="13"/>
        <v>-0.10571428571428572</v>
      </c>
      <c r="Q10" s="7">
        <f t="shared" ca="1" si="14"/>
        <v>2.3971493359248463E-4</v>
      </c>
      <c r="R10" s="33">
        <f t="shared" si="1"/>
        <v>14800</v>
      </c>
      <c r="S10" s="33">
        <f t="shared" si="2"/>
        <v>-125200</v>
      </c>
      <c r="T10" s="33">
        <f t="shared" si="15"/>
        <v>14800</v>
      </c>
      <c r="U10" s="7">
        <f t="shared" si="4"/>
        <v>0.1182108626198083</v>
      </c>
      <c r="V1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" s="33" t="e">
        <f t="shared" ca="1" si="16"/>
        <v>#VALUE!</v>
      </c>
      <c r="X10" s="7" t="e">
        <f t="shared" ca="1" si="17"/>
        <v>#VALUE!</v>
      </c>
      <c r="Y10" s="7" t="e">
        <f t="shared" ca="1" si="18"/>
        <v>#VALUE!</v>
      </c>
      <c r="Z1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" s="33" t="e">
        <f t="shared" ca="1" si="19"/>
        <v>#VALUE!</v>
      </c>
      <c r="AB10" s="7" t="e">
        <f t="shared" ca="1" si="20"/>
        <v>#VALUE!</v>
      </c>
      <c r="AC10" s="7" t="e">
        <f t="shared" ca="1" si="21"/>
        <v>#VALUE!</v>
      </c>
      <c r="AD10" s="1"/>
      <c r="AE10" s="1"/>
    </row>
    <row r="11" spans="1:39" x14ac:dyDescent="0.25">
      <c r="A11" s="3"/>
      <c r="B11" s="25">
        <v>43496</v>
      </c>
      <c r="C11" s="10" t="s">
        <v>152</v>
      </c>
      <c r="D11" s="1">
        <v>94.55</v>
      </c>
      <c r="E11" s="30">
        <v>4000</v>
      </c>
      <c r="F11" s="1">
        <v>102.5</v>
      </c>
      <c r="G11" s="1">
        <v>1</v>
      </c>
      <c r="H11" s="1">
        <v>105</v>
      </c>
      <c r="I11" s="1">
        <v>0.65</v>
      </c>
      <c r="J11" s="1">
        <v>7576000</v>
      </c>
      <c r="K11" s="1">
        <v>296000</v>
      </c>
      <c r="L11" s="1">
        <v>0.65</v>
      </c>
      <c r="M11" s="1">
        <v>0.7</v>
      </c>
      <c r="N11" s="1">
        <v>608000</v>
      </c>
      <c r="O11" s="9"/>
      <c r="P11" s="7">
        <f t="shared" si="13"/>
        <v>-0.13999999999999999</v>
      </c>
      <c r="Q11" s="7">
        <f t="shared" ca="1" si="14"/>
        <v>3.1746031746031741E-4</v>
      </c>
      <c r="R11" s="33">
        <f t="shared" si="1"/>
        <v>1400</v>
      </c>
      <c r="S11" s="33">
        <f t="shared" si="2"/>
        <v>-8600</v>
      </c>
      <c r="T11" s="33">
        <f t="shared" si="15"/>
        <v>1400</v>
      </c>
      <c r="U11" s="7">
        <f t="shared" si="4"/>
        <v>0.16279069767441862</v>
      </c>
      <c r="V1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" s="33" t="e">
        <f t="shared" ca="1" si="16"/>
        <v>#VALUE!</v>
      </c>
      <c r="X11" s="7" t="e">
        <f t="shared" ca="1" si="17"/>
        <v>#VALUE!</v>
      </c>
      <c r="Y11" s="7" t="e">
        <f t="shared" ca="1" si="18"/>
        <v>#VALUE!</v>
      </c>
      <c r="Z1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" s="33" t="e">
        <f t="shared" ca="1" si="19"/>
        <v>#VALUE!</v>
      </c>
      <c r="AB11" s="7" t="e">
        <f t="shared" ca="1" si="20"/>
        <v>#VALUE!</v>
      </c>
      <c r="AC11" s="7" t="e">
        <f t="shared" ca="1" si="21"/>
        <v>#VALUE!</v>
      </c>
      <c r="AD11" s="1"/>
      <c r="AE11" s="1"/>
    </row>
    <row r="12" spans="1:39" x14ac:dyDescent="0.25">
      <c r="A12" s="3"/>
      <c r="B12" s="25">
        <v>43496</v>
      </c>
      <c r="C12" s="10" t="s">
        <v>152</v>
      </c>
      <c r="D12" s="1">
        <v>94.55</v>
      </c>
      <c r="E12" s="30">
        <v>4000</v>
      </c>
      <c r="F12" s="1">
        <v>102.5</v>
      </c>
      <c r="G12" s="1">
        <v>1</v>
      </c>
      <c r="H12" s="1">
        <v>107.5</v>
      </c>
      <c r="I12" s="1">
        <v>0.45</v>
      </c>
      <c r="J12" s="1">
        <v>736000</v>
      </c>
      <c r="K12" s="1">
        <v>32000</v>
      </c>
      <c r="L12" s="1">
        <v>0.4</v>
      </c>
      <c r="M12" s="1">
        <v>0.5</v>
      </c>
      <c r="N12" s="1">
        <v>48000</v>
      </c>
      <c r="O12" s="9"/>
      <c r="P12" s="7">
        <f t="shared" si="13"/>
        <v>-0.11000000000000001</v>
      </c>
      <c r="Q12" s="7">
        <f t="shared" ca="1" si="14"/>
        <v>2.4943310657596373E-4</v>
      </c>
      <c r="R12" s="33">
        <f t="shared" si="1"/>
        <v>2200</v>
      </c>
      <c r="S12" s="33">
        <f t="shared" si="2"/>
        <v>-17800</v>
      </c>
      <c r="T12" s="33">
        <f t="shared" si="15"/>
        <v>2200</v>
      </c>
      <c r="U12" s="7">
        <f t="shared" si="4"/>
        <v>0.12359550561797752</v>
      </c>
      <c r="V1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" s="33" t="e">
        <f t="shared" ca="1" si="16"/>
        <v>#VALUE!</v>
      </c>
      <c r="X12" s="7" t="e">
        <f t="shared" ca="1" si="17"/>
        <v>#VALUE!</v>
      </c>
      <c r="Y12" s="7" t="e">
        <f t="shared" ca="1" si="18"/>
        <v>#VALUE!</v>
      </c>
      <c r="Z1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" s="33" t="e">
        <f t="shared" ca="1" si="19"/>
        <v>#VALUE!</v>
      </c>
      <c r="AB12" s="7" t="e">
        <f t="shared" ca="1" si="20"/>
        <v>#VALUE!</v>
      </c>
      <c r="AC12" s="7" t="e">
        <f t="shared" ca="1" si="21"/>
        <v>#VALUE!</v>
      </c>
      <c r="AD12" s="1"/>
      <c r="AE12" s="1"/>
    </row>
    <row r="13" spans="1:39" x14ac:dyDescent="0.25">
      <c r="A13" s="3"/>
      <c r="B13" s="25">
        <v>43496</v>
      </c>
      <c r="C13" s="10" t="s">
        <v>16</v>
      </c>
      <c r="D13" s="1">
        <v>756.85</v>
      </c>
      <c r="E13" s="30">
        <v>1000</v>
      </c>
      <c r="F13" s="1">
        <v>800</v>
      </c>
      <c r="G13" s="1">
        <v>6.25</v>
      </c>
      <c r="H13" s="1">
        <v>820</v>
      </c>
      <c r="I13" s="1">
        <v>3.25</v>
      </c>
      <c r="J13" s="1">
        <v>120000</v>
      </c>
      <c r="K13" s="1">
        <v>1000</v>
      </c>
      <c r="L13" s="1">
        <v>3.1</v>
      </c>
      <c r="M13" s="1">
        <v>3.25</v>
      </c>
      <c r="N13" s="1">
        <v>1000</v>
      </c>
      <c r="O13" s="9"/>
      <c r="P13" s="7">
        <f t="shared" si="13"/>
        <v>-0.15</v>
      </c>
      <c r="Q13" s="7">
        <f t="shared" ca="1" si="14"/>
        <v>3.4013605442176868E-4</v>
      </c>
      <c r="R13" s="33">
        <f t="shared" si="1"/>
        <v>3000</v>
      </c>
      <c r="S13" s="33">
        <f t="shared" si="2"/>
        <v>-17000</v>
      </c>
      <c r="T13" s="33">
        <f t="shared" si="15"/>
        <v>3000</v>
      </c>
      <c r="U13" s="7">
        <f t="shared" si="4"/>
        <v>0.17647058823529413</v>
      </c>
      <c r="V1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" s="33" t="e">
        <f t="shared" ca="1" si="16"/>
        <v>#VALUE!</v>
      </c>
      <c r="X13" s="7" t="e">
        <f t="shared" ca="1" si="17"/>
        <v>#VALUE!</v>
      </c>
      <c r="Y13" s="7" t="e">
        <f t="shared" ca="1" si="18"/>
        <v>#VALUE!</v>
      </c>
      <c r="Z1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" s="33" t="e">
        <f t="shared" ca="1" si="19"/>
        <v>#VALUE!</v>
      </c>
      <c r="AB13" s="7" t="e">
        <f t="shared" ca="1" si="20"/>
        <v>#VALUE!</v>
      </c>
      <c r="AC13" s="7" t="e">
        <f t="shared" ca="1" si="21"/>
        <v>#VALUE!</v>
      </c>
      <c r="AD13" s="1"/>
      <c r="AE13" s="1"/>
    </row>
    <row r="14" spans="1:39" x14ac:dyDescent="0.25">
      <c r="A14" s="3"/>
      <c r="B14" s="25">
        <v>43496</v>
      </c>
      <c r="C14" s="10" t="s">
        <v>16</v>
      </c>
      <c r="D14" s="1">
        <v>756.85</v>
      </c>
      <c r="E14" s="30">
        <v>1000</v>
      </c>
      <c r="F14" s="1">
        <v>800</v>
      </c>
      <c r="G14" s="1">
        <v>6.25</v>
      </c>
      <c r="H14" s="1">
        <v>840</v>
      </c>
      <c r="I14" s="1">
        <v>1.75</v>
      </c>
      <c r="J14" s="1">
        <v>65000</v>
      </c>
      <c r="K14" s="1">
        <v>1000</v>
      </c>
      <c r="L14" s="1">
        <v>1.7</v>
      </c>
      <c r="M14" s="1">
        <v>1.9</v>
      </c>
      <c r="N14" s="1">
        <v>1000</v>
      </c>
      <c r="O14" s="9"/>
      <c r="P14" s="7">
        <f t="shared" si="13"/>
        <v>-0.1125</v>
      </c>
      <c r="Q14" s="7">
        <f t="shared" ca="1" si="14"/>
        <v>2.5510204081632655E-4</v>
      </c>
      <c r="R14" s="33">
        <f t="shared" si="1"/>
        <v>4500</v>
      </c>
      <c r="S14" s="33">
        <f t="shared" si="2"/>
        <v>-35500</v>
      </c>
      <c r="T14" s="33">
        <f t="shared" si="15"/>
        <v>4500</v>
      </c>
      <c r="U14" s="7">
        <f t="shared" si="4"/>
        <v>0.12676056338028169</v>
      </c>
      <c r="V1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" s="33" t="e">
        <f t="shared" ca="1" si="16"/>
        <v>#VALUE!</v>
      </c>
      <c r="X14" s="7" t="e">
        <f t="shared" ca="1" si="17"/>
        <v>#VALUE!</v>
      </c>
      <c r="Y14" s="7" t="e">
        <f t="shared" ca="1" si="18"/>
        <v>#VALUE!</v>
      </c>
      <c r="Z1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" s="33" t="e">
        <f t="shared" ca="1" si="19"/>
        <v>#VALUE!</v>
      </c>
      <c r="AB14" s="7" t="e">
        <f t="shared" ca="1" si="20"/>
        <v>#VALUE!</v>
      </c>
      <c r="AC14" s="7" t="e">
        <f t="shared" ca="1" si="21"/>
        <v>#VALUE!</v>
      </c>
      <c r="AD14" s="1"/>
      <c r="AE14" s="1"/>
    </row>
    <row r="15" spans="1:39" x14ac:dyDescent="0.25">
      <c r="A15" s="3"/>
      <c r="B15" s="25">
        <v>43496</v>
      </c>
      <c r="C15" s="10" t="s">
        <v>220</v>
      </c>
      <c r="D15" s="1">
        <v>91.9</v>
      </c>
      <c r="E15" s="30">
        <v>6000</v>
      </c>
      <c r="F15" s="1">
        <v>97.5</v>
      </c>
      <c r="G15" s="1">
        <v>1.3</v>
      </c>
      <c r="H15" s="1">
        <v>100</v>
      </c>
      <c r="I15" s="1">
        <v>0.85</v>
      </c>
      <c r="J15" s="1">
        <v>1530000</v>
      </c>
      <c r="K15" s="1">
        <v>30000</v>
      </c>
      <c r="L15" s="1">
        <v>0.8</v>
      </c>
      <c r="M15" s="1">
        <v>0.9</v>
      </c>
      <c r="N15" s="1">
        <v>12000</v>
      </c>
      <c r="O15" s="9"/>
      <c r="P15" s="7">
        <f t="shared" si="13"/>
        <v>-0.18000000000000002</v>
      </c>
      <c r="Q15" s="7">
        <f t="shared" ca="1" si="14"/>
        <v>4.0816326530612252E-4</v>
      </c>
      <c r="R15" s="33">
        <f t="shared" si="1"/>
        <v>2700.0000000000005</v>
      </c>
      <c r="S15" s="33">
        <f t="shared" si="2"/>
        <v>-12300</v>
      </c>
      <c r="T15" s="33">
        <f t="shared" si="15"/>
        <v>2700.0000000000005</v>
      </c>
      <c r="U15" s="7">
        <f t="shared" si="4"/>
        <v>0.21951219512195125</v>
      </c>
      <c r="V1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" s="33" t="e">
        <f t="shared" ca="1" si="16"/>
        <v>#VALUE!</v>
      </c>
      <c r="X15" s="7" t="e">
        <f t="shared" ca="1" si="17"/>
        <v>#VALUE!</v>
      </c>
      <c r="Y15" s="7" t="e">
        <f t="shared" ca="1" si="18"/>
        <v>#VALUE!</v>
      </c>
      <c r="Z1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" s="33" t="e">
        <f t="shared" ca="1" si="19"/>
        <v>#VALUE!</v>
      </c>
      <c r="AB15" s="7" t="e">
        <f t="shared" ca="1" si="20"/>
        <v>#VALUE!</v>
      </c>
      <c r="AC15" s="7" t="e">
        <f t="shared" ca="1" si="21"/>
        <v>#VALUE!</v>
      </c>
      <c r="AD15" s="1"/>
      <c r="AE15" s="1"/>
    </row>
    <row r="16" spans="1:39" x14ac:dyDescent="0.25">
      <c r="A16" s="3"/>
      <c r="B16" s="25">
        <v>43496</v>
      </c>
      <c r="C16" s="10" t="s">
        <v>220</v>
      </c>
      <c r="D16" s="1">
        <v>91.9</v>
      </c>
      <c r="E16" s="30">
        <v>6000</v>
      </c>
      <c r="F16" s="1">
        <v>97.5</v>
      </c>
      <c r="G16" s="1">
        <v>1.3</v>
      </c>
      <c r="H16" s="1">
        <v>102.5</v>
      </c>
      <c r="I16" s="1">
        <v>0.55000000000000004</v>
      </c>
      <c r="J16" s="1">
        <v>66000</v>
      </c>
      <c r="K16" s="1">
        <v>6000</v>
      </c>
      <c r="L16" s="1">
        <v>0.45</v>
      </c>
      <c r="M16" s="1">
        <v>0.65</v>
      </c>
      <c r="N16" s="1">
        <v>12000</v>
      </c>
      <c r="O16" s="9"/>
      <c r="P16" s="7">
        <f t="shared" si="13"/>
        <v>-0.15</v>
      </c>
      <c r="Q16" s="7">
        <f t="shared" ca="1" si="14"/>
        <v>3.4013605442176868E-4</v>
      </c>
      <c r="R16" s="33">
        <f t="shared" si="1"/>
        <v>4500</v>
      </c>
      <c r="S16" s="33">
        <f t="shared" si="2"/>
        <v>-25500</v>
      </c>
      <c r="T16" s="33">
        <f t="shared" si="15"/>
        <v>4500</v>
      </c>
      <c r="U16" s="7">
        <f t="shared" si="4"/>
        <v>0.17647058823529413</v>
      </c>
      <c r="V1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" s="33" t="e">
        <f t="shared" ca="1" si="16"/>
        <v>#VALUE!</v>
      </c>
      <c r="X16" s="7" t="e">
        <f t="shared" ca="1" si="17"/>
        <v>#VALUE!</v>
      </c>
      <c r="Y16" s="7" t="e">
        <f t="shared" ca="1" si="18"/>
        <v>#VALUE!</v>
      </c>
      <c r="Z1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" s="33" t="e">
        <f t="shared" ca="1" si="19"/>
        <v>#VALUE!</v>
      </c>
      <c r="AB16" s="7" t="e">
        <f t="shared" ca="1" si="20"/>
        <v>#VALUE!</v>
      </c>
      <c r="AC16" s="7" t="e">
        <f t="shared" ca="1" si="21"/>
        <v>#VALUE!</v>
      </c>
      <c r="AD16" s="1"/>
      <c r="AE16" s="1"/>
    </row>
    <row r="17" spans="1:31" x14ac:dyDescent="0.25">
      <c r="A17" s="3"/>
      <c r="B17" s="25">
        <v>43496</v>
      </c>
      <c r="C17" s="10" t="s">
        <v>220</v>
      </c>
      <c r="D17" s="1">
        <v>91.9</v>
      </c>
      <c r="E17" s="30">
        <v>6000</v>
      </c>
      <c r="F17" s="1">
        <v>97.5</v>
      </c>
      <c r="G17" s="1">
        <v>1.3</v>
      </c>
      <c r="H17" s="1">
        <v>105</v>
      </c>
      <c r="I17" s="1">
        <v>0.4</v>
      </c>
      <c r="J17" s="1">
        <v>246000</v>
      </c>
      <c r="K17" s="1">
        <v>6000</v>
      </c>
      <c r="L17" s="1">
        <v>0.4</v>
      </c>
      <c r="M17" s="1">
        <v>0.55000000000000004</v>
      </c>
      <c r="N17" s="1">
        <v>18000</v>
      </c>
      <c r="O17" s="9"/>
      <c r="P17" s="7">
        <f t="shared" si="13"/>
        <v>-0.12000000000000001</v>
      </c>
      <c r="Q17" s="7">
        <f t="shared" ca="1" si="14"/>
        <v>2.7210884353741501E-4</v>
      </c>
      <c r="R17" s="33">
        <f t="shared" si="1"/>
        <v>5400</v>
      </c>
      <c r="S17" s="33">
        <f t="shared" si="2"/>
        <v>-39600</v>
      </c>
      <c r="T17" s="33">
        <f t="shared" si="15"/>
        <v>5400</v>
      </c>
      <c r="U17" s="7">
        <f t="shared" si="4"/>
        <v>0.13636363636363635</v>
      </c>
      <c r="V1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" s="33" t="e">
        <f t="shared" ca="1" si="16"/>
        <v>#VALUE!</v>
      </c>
      <c r="X17" s="7" t="e">
        <f t="shared" ca="1" si="17"/>
        <v>#VALUE!</v>
      </c>
      <c r="Y17" s="7" t="e">
        <f t="shared" ca="1" si="18"/>
        <v>#VALUE!</v>
      </c>
      <c r="Z1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" s="33" t="e">
        <f t="shared" ca="1" si="19"/>
        <v>#VALUE!</v>
      </c>
      <c r="AB17" s="7" t="e">
        <f t="shared" ca="1" si="20"/>
        <v>#VALUE!</v>
      </c>
      <c r="AC17" s="7" t="e">
        <f t="shared" ca="1" si="21"/>
        <v>#VALUE!</v>
      </c>
      <c r="AD17" s="1"/>
      <c r="AE17" s="1"/>
    </row>
    <row r="18" spans="1:31" x14ac:dyDescent="0.25">
      <c r="A18" s="3"/>
      <c r="B18" s="25">
        <v>43496</v>
      </c>
      <c r="C18" s="10" t="s">
        <v>220</v>
      </c>
      <c r="D18" s="1">
        <v>91.9</v>
      </c>
      <c r="E18" s="30">
        <v>6000</v>
      </c>
      <c r="F18" s="1">
        <v>97.5</v>
      </c>
      <c r="G18" s="1">
        <v>1.3</v>
      </c>
      <c r="H18" s="1">
        <v>107.5</v>
      </c>
      <c r="I18" s="1">
        <v>0.25</v>
      </c>
      <c r="J18" s="1">
        <v>90000</v>
      </c>
      <c r="K18" s="1">
        <v>6000</v>
      </c>
      <c r="L18" s="1">
        <v>0.2</v>
      </c>
      <c r="M18" s="1">
        <v>0.3</v>
      </c>
      <c r="N18" s="1">
        <v>6000</v>
      </c>
      <c r="O18" s="9"/>
      <c r="P18" s="7">
        <f t="shared" si="13"/>
        <v>-0.10500000000000001</v>
      </c>
      <c r="Q18" s="7">
        <f t="shared" ca="1" si="14"/>
        <v>2.3809523809523812E-4</v>
      </c>
      <c r="R18" s="33">
        <f t="shared" si="1"/>
        <v>6300</v>
      </c>
      <c r="S18" s="33">
        <f t="shared" si="2"/>
        <v>-53700</v>
      </c>
      <c r="T18" s="33">
        <f t="shared" si="15"/>
        <v>6300</v>
      </c>
      <c r="U18" s="7">
        <f t="shared" si="4"/>
        <v>0.11731843575418995</v>
      </c>
      <c r="V1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" s="33" t="e">
        <f t="shared" ca="1" si="16"/>
        <v>#VALUE!</v>
      </c>
      <c r="X18" s="7" t="e">
        <f t="shared" ca="1" si="17"/>
        <v>#VALUE!</v>
      </c>
      <c r="Y18" s="7" t="e">
        <f t="shared" ca="1" si="18"/>
        <v>#VALUE!</v>
      </c>
      <c r="Z1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" s="33" t="e">
        <f t="shared" ca="1" si="19"/>
        <v>#VALUE!</v>
      </c>
      <c r="AB18" s="7" t="e">
        <f t="shared" ca="1" si="20"/>
        <v>#VALUE!</v>
      </c>
      <c r="AC18" s="7" t="e">
        <f t="shared" ca="1" si="21"/>
        <v>#VALUE!</v>
      </c>
      <c r="AD18" s="1"/>
      <c r="AE18" s="1"/>
    </row>
    <row r="19" spans="1:31" ht="15" customHeight="1" x14ac:dyDescent="0.25">
      <c r="A19" s="3"/>
      <c r="B19" s="25">
        <v>43496</v>
      </c>
      <c r="C19" s="10" t="s">
        <v>233</v>
      </c>
      <c r="D19" s="1">
        <v>477.85</v>
      </c>
      <c r="E19" s="30">
        <v>1200</v>
      </c>
      <c r="F19" s="1">
        <v>510</v>
      </c>
      <c r="G19" s="1">
        <v>9.4499999999999993</v>
      </c>
      <c r="H19" s="1">
        <v>520</v>
      </c>
      <c r="I19" s="1">
        <v>6.65</v>
      </c>
      <c r="J19" s="1">
        <v>214800</v>
      </c>
      <c r="K19" s="1">
        <v>2400</v>
      </c>
      <c r="L19" s="1">
        <v>6.25</v>
      </c>
      <c r="M19" s="1">
        <v>6.9</v>
      </c>
      <c r="N19" s="1">
        <v>1200</v>
      </c>
      <c r="O19" s="9"/>
      <c r="P19" s="7">
        <f t="shared" si="13"/>
        <v>-0.27999999999999992</v>
      </c>
      <c r="Q19" s="7">
        <f t="shared" ca="1" si="14"/>
        <v>6.349206349206347E-4</v>
      </c>
      <c r="R19" s="33">
        <f t="shared" si="1"/>
        <v>3359.9999999999986</v>
      </c>
      <c r="S19" s="33">
        <f t="shared" si="2"/>
        <v>-8640.0000000000018</v>
      </c>
      <c r="T19" s="33">
        <f t="shared" si="15"/>
        <v>3359.9999999999986</v>
      </c>
      <c r="U19" s="7">
        <f t="shared" si="4"/>
        <v>0.38888888888888867</v>
      </c>
      <c r="V1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" s="33" t="e">
        <f t="shared" ca="1" si="16"/>
        <v>#VALUE!</v>
      </c>
      <c r="X19" s="7" t="e">
        <f t="shared" ca="1" si="17"/>
        <v>#VALUE!</v>
      </c>
      <c r="Y19" s="7" t="e">
        <f t="shared" ca="1" si="18"/>
        <v>#VALUE!</v>
      </c>
      <c r="Z1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" s="33" t="e">
        <f t="shared" ca="1" si="19"/>
        <v>#VALUE!</v>
      </c>
      <c r="AB19" s="7" t="e">
        <f t="shared" ca="1" si="20"/>
        <v>#VALUE!</v>
      </c>
      <c r="AC19" s="7" t="e">
        <f t="shared" ca="1" si="21"/>
        <v>#VALUE!</v>
      </c>
      <c r="AD19" s="1"/>
      <c r="AE19" s="1"/>
    </row>
    <row r="20" spans="1:31" ht="15" customHeight="1" x14ac:dyDescent="0.25">
      <c r="A20" s="3"/>
      <c r="B20" s="25">
        <v>43496</v>
      </c>
      <c r="C20" s="10" t="s">
        <v>233</v>
      </c>
      <c r="D20" s="1">
        <v>477.85</v>
      </c>
      <c r="E20" s="30">
        <v>1200</v>
      </c>
      <c r="F20" s="1">
        <v>510</v>
      </c>
      <c r="G20" s="1">
        <v>9.4499999999999993</v>
      </c>
      <c r="H20" s="1">
        <v>530</v>
      </c>
      <c r="I20" s="1">
        <v>4.45</v>
      </c>
      <c r="J20" s="1">
        <v>525600</v>
      </c>
      <c r="K20" s="1">
        <v>1200</v>
      </c>
      <c r="L20" s="1">
        <v>4.25</v>
      </c>
      <c r="M20" s="1">
        <v>4.5</v>
      </c>
      <c r="N20" s="1">
        <v>2400</v>
      </c>
      <c r="O20" s="9"/>
      <c r="P20" s="7">
        <f t="shared" si="13"/>
        <v>-0.24999999999999994</v>
      </c>
      <c r="Q20" s="7">
        <f t="shared" ca="1" si="14"/>
        <v>5.6689342403628109E-4</v>
      </c>
      <c r="R20" s="33">
        <f t="shared" si="1"/>
        <v>5999.9999999999991</v>
      </c>
      <c r="S20" s="33">
        <f t="shared" si="2"/>
        <v>-18000</v>
      </c>
      <c r="T20" s="33">
        <f t="shared" si="15"/>
        <v>5999.9999999999991</v>
      </c>
      <c r="U20" s="7">
        <f t="shared" si="4"/>
        <v>0.33333333333333326</v>
      </c>
      <c r="V2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" s="33" t="e">
        <f t="shared" ca="1" si="16"/>
        <v>#VALUE!</v>
      </c>
      <c r="X20" s="7" t="e">
        <f t="shared" ca="1" si="17"/>
        <v>#VALUE!</v>
      </c>
      <c r="Y20" s="7" t="e">
        <f t="shared" ca="1" si="18"/>
        <v>#VALUE!</v>
      </c>
      <c r="Z2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" s="33" t="e">
        <f t="shared" ca="1" si="19"/>
        <v>#VALUE!</v>
      </c>
      <c r="AB20" s="7" t="e">
        <f t="shared" ca="1" si="20"/>
        <v>#VALUE!</v>
      </c>
      <c r="AC20" s="7" t="e">
        <f t="shared" ca="1" si="21"/>
        <v>#VALUE!</v>
      </c>
      <c r="AD20" s="1"/>
      <c r="AE20" s="1"/>
    </row>
    <row r="21" spans="1:31" x14ac:dyDescent="0.25">
      <c r="A21" s="3"/>
      <c r="B21" s="25">
        <v>43496</v>
      </c>
      <c r="C21" s="10" t="s">
        <v>233</v>
      </c>
      <c r="D21" s="1">
        <v>477.85</v>
      </c>
      <c r="E21" s="30">
        <v>1200</v>
      </c>
      <c r="F21" s="1">
        <v>510</v>
      </c>
      <c r="G21" s="1">
        <v>9.4499999999999993</v>
      </c>
      <c r="H21" s="1">
        <v>540</v>
      </c>
      <c r="I21" s="1">
        <v>3.2</v>
      </c>
      <c r="J21" s="1">
        <v>96000</v>
      </c>
      <c r="K21" s="1">
        <v>1200</v>
      </c>
      <c r="L21" s="1">
        <v>3.05</v>
      </c>
      <c r="M21" s="1">
        <v>3.6</v>
      </c>
      <c r="N21" s="1">
        <v>1200</v>
      </c>
      <c r="O21" s="9"/>
      <c r="P21" s="7">
        <f t="shared" si="13"/>
        <v>-0.20833333333333331</v>
      </c>
      <c r="Q21" s="7">
        <f t="shared" ca="1" si="14"/>
        <v>4.7241118669690094E-4</v>
      </c>
      <c r="R21" s="33">
        <f t="shared" si="1"/>
        <v>7499.9999999999991</v>
      </c>
      <c r="S21" s="33">
        <f t="shared" si="2"/>
        <v>-28500</v>
      </c>
      <c r="T21" s="33">
        <f t="shared" si="15"/>
        <v>7499.9999999999991</v>
      </c>
      <c r="U21" s="7">
        <f t="shared" si="4"/>
        <v>0.26315789473684209</v>
      </c>
      <c r="V2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" s="33" t="e">
        <f t="shared" ca="1" si="16"/>
        <v>#VALUE!</v>
      </c>
      <c r="X21" s="7" t="e">
        <f t="shared" ca="1" si="17"/>
        <v>#VALUE!</v>
      </c>
      <c r="Y21" s="7" t="e">
        <f t="shared" ca="1" si="18"/>
        <v>#VALUE!</v>
      </c>
      <c r="Z2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" s="33" t="e">
        <f t="shared" ca="1" si="19"/>
        <v>#VALUE!</v>
      </c>
      <c r="AB21" s="7" t="e">
        <f t="shared" ca="1" si="20"/>
        <v>#VALUE!</v>
      </c>
      <c r="AC21" s="7" t="e">
        <f t="shared" ca="1" si="21"/>
        <v>#VALUE!</v>
      </c>
      <c r="AD21" s="1"/>
      <c r="AE21" s="1"/>
    </row>
    <row r="22" spans="1:31" x14ac:dyDescent="0.25">
      <c r="A22" s="3"/>
      <c r="B22" s="25">
        <v>43496</v>
      </c>
      <c r="C22" s="10" t="s">
        <v>233</v>
      </c>
      <c r="D22" s="1">
        <v>477.85</v>
      </c>
      <c r="E22" s="30">
        <v>1200</v>
      </c>
      <c r="F22" s="1">
        <v>510</v>
      </c>
      <c r="G22" s="1">
        <v>9.4499999999999993</v>
      </c>
      <c r="H22" s="1">
        <v>550</v>
      </c>
      <c r="I22" s="1">
        <v>1.75</v>
      </c>
      <c r="J22" s="1">
        <v>75600</v>
      </c>
      <c r="K22" s="1">
        <v>1200</v>
      </c>
      <c r="L22" s="1">
        <v>1.65</v>
      </c>
      <c r="M22" s="1">
        <v>2.1</v>
      </c>
      <c r="N22" s="1">
        <v>2400</v>
      </c>
      <c r="O22" s="9"/>
      <c r="P22" s="7">
        <f t="shared" si="13"/>
        <v>-0.19249999999999998</v>
      </c>
      <c r="Q22" s="7">
        <f t="shared" ca="1" si="14"/>
        <v>4.3650793650793645E-4</v>
      </c>
      <c r="R22" s="33">
        <f t="shared" si="1"/>
        <v>9240</v>
      </c>
      <c r="S22" s="33">
        <f t="shared" si="2"/>
        <v>-38760</v>
      </c>
      <c r="T22" s="33">
        <f t="shared" si="15"/>
        <v>9240</v>
      </c>
      <c r="U22" s="7">
        <f t="shared" si="4"/>
        <v>0.23839009287925697</v>
      </c>
      <c r="V2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" s="33" t="e">
        <f t="shared" ca="1" si="16"/>
        <v>#VALUE!</v>
      </c>
      <c r="X22" s="7" t="e">
        <f t="shared" ca="1" si="17"/>
        <v>#VALUE!</v>
      </c>
      <c r="Y22" s="7" t="e">
        <f t="shared" ca="1" si="18"/>
        <v>#VALUE!</v>
      </c>
      <c r="Z2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" s="33" t="e">
        <f t="shared" ca="1" si="19"/>
        <v>#VALUE!</v>
      </c>
      <c r="AB22" s="7" t="e">
        <f t="shared" ca="1" si="20"/>
        <v>#VALUE!</v>
      </c>
      <c r="AC22" s="7" t="e">
        <f t="shared" ca="1" si="21"/>
        <v>#VALUE!</v>
      </c>
      <c r="AD22" s="1"/>
      <c r="AE22" s="1"/>
    </row>
    <row r="23" spans="1:31" x14ac:dyDescent="0.25">
      <c r="A23" s="3"/>
      <c r="B23" s="25">
        <v>43496</v>
      </c>
      <c r="C23" s="10" t="s">
        <v>233</v>
      </c>
      <c r="D23" s="1">
        <v>477.85</v>
      </c>
      <c r="E23" s="30">
        <v>1200</v>
      </c>
      <c r="F23" s="1">
        <v>510</v>
      </c>
      <c r="G23" s="1">
        <v>9.4499999999999993</v>
      </c>
      <c r="H23" s="1">
        <v>560</v>
      </c>
      <c r="I23" s="1">
        <v>1.4</v>
      </c>
      <c r="J23" s="1">
        <v>55200</v>
      </c>
      <c r="K23" s="1">
        <v>1200</v>
      </c>
      <c r="L23" s="1">
        <v>0.7</v>
      </c>
      <c r="M23" s="1">
        <v>2.1</v>
      </c>
      <c r="N23" s="1">
        <v>1200</v>
      </c>
      <c r="O23" s="9"/>
      <c r="P23" s="7">
        <f t="shared" si="13"/>
        <v>-0.16099999999999998</v>
      </c>
      <c r="Q23" s="7">
        <f t="shared" ca="1" si="14"/>
        <v>3.6507936507936505E-4</v>
      </c>
      <c r="R23" s="33">
        <f t="shared" si="1"/>
        <v>9659.9999999999982</v>
      </c>
      <c r="S23" s="33">
        <f t="shared" si="2"/>
        <v>-50340</v>
      </c>
      <c r="T23" s="33">
        <f t="shared" si="15"/>
        <v>9659.9999999999982</v>
      </c>
      <c r="U23" s="7">
        <f t="shared" si="4"/>
        <v>0.19189511323003572</v>
      </c>
      <c r="V2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" s="33" t="e">
        <f t="shared" ca="1" si="16"/>
        <v>#VALUE!</v>
      </c>
      <c r="X23" s="7" t="e">
        <f t="shared" ca="1" si="17"/>
        <v>#VALUE!</v>
      </c>
      <c r="Y23" s="7" t="e">
        <f t="shared" ca="1" si="18"/>
        <v>#VALUE!</v>
      </c>
      <c r="Z2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" s="33" t="e">
        <f t="shared" ca="1" si="19"/>
        <v>#VALUE!</v>
      </c>
      <c r="AB23" s="7" t="e">
        <f t="shared" ca="1" si="20"/>
        <v>#VALUE!</v>
      </c>
      <c r="AC23" s="7" t="e">
        <f t="shared" ca="1" si="21"/>
        <v>#VALUE!</v>
      </c>
      <c r="AD23" s="1"/>
      <c r="AE23" s="1"/>
    </row>
    <row r="24" spans="1:31" x14ac:dyDescent="0.25">
      <c r="A24" s="3"/>
      <c r="B24" s="25">
        <v>43496</v>
      </c>
      <c r="C24" s="10" t="s">
        <v>233</v>
      </c>
      <c r="D24" s="1">
        <v>477.85</v>
      </c>
      <c r="E24" s="30">
        <v>1200</v>
      </c>
      <c r="F24" s="1">
        <v>510</v>
      </c>
      <c r="G24" s="1">
        <v>9.4499999999999993</v>
      </c>
      <c r="H24" s="1">
        <v>570</v>
      </c>
      <c r="I24" s="1">
        <v>1.4</v>
      </c>
      <c r="J24" s="1">
        <v>6000</v>
      </c>
      <c r="K24" s="1">
        <v>1200</v>
      </c>
      <c r="L24" s="1">
        <v>0.5</v>
      </c>
      <c r="M24" s="1">
        <v>1.9</v>
      </c>
      <c r="N24" s="1">
        <v>14400</v>
      </c>
      <c r="O24" s="9"/>
      <c r="P24" s="7">
        <f t="shared" si="13"/>
        <v>-0.13416666666666666</v>
      </c>
      <c r="Q24" s="7">
        <f t="shared" ca="1" si="14"/>
        <v>3.042328042328042E-4</v>
      </c>
      <c r="R24" s="33">
        <f t="shared" si="1"/>
        <v>9659.9999999999982</v>
      </c>
      <c r="S24" s="33">
        <f t="shared" si="2"/>
        <v>-62340</v>
      </c>
      <c r="T24" s="33">
        <f t="shared" si="15"/>
        <v>9659.9999999999982</v>
      </c>
      <c r="U24" s="7">
        <f t="shared" si="4"/>
        <v>0.1549566891241578</v>
      </c>
      <c r="V2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" s="33" t="e">
        <f t="shared" ca="1" si="16"/>
        <v>#VALUE!</v>
      </c>
      <c r="X24" s="7" t="e">
        <f t="shared" ca="1" si="17"/>
        <v>#VALUE!</v>
      </c>
      <c r="Y24" s="7" t="e">
        <f t="shared" ca="1" si="18"/>
        <v>#VALUE!</v>
      </c>
      <c r="Z2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" s="33" t="e">
        <f t="shared" ca="1" si="19"/>
        <v>#VALUE!</v>
      </c>
      <c r="AB24" s="7" t="e">
        <f t="shared" ca="1" si="20"/>
        <v>#VALUE!</v>
      </c>
      <c r="AC24" s="7" t="e">
        <f t="shared" ca="1" si="21"/>
        <v>#VALUE!</v>
      </c>
      <c r="AD24" s="1"/>
      <c r="AE24" s="1"/>
    </row>
    <row r="25" spans="1:31" x14ac:dyDescent="0.25">
      <c r="A25" s="3"/>
      <c r="B25" s="25">
        <v>43496</v>
      </c>
      <c r="C25" s="10" t="s">
        <v>233</v>
      </c>
      <c r="D25" s="1">
        <v>477.85</v>
      </c>
      <c r="E25" s="30">
        <v>1200</v>
      </c>
      <c r="F25" s="1">
        <v>510</v>
      </c>
      <c r="G25" s="1">
        <v>9.4499999999999993</v>
      </c>
      <c r="H25" s="1">
        <v>590</v>
      </c>
      <c r="I25" s="1">
        <v>0.55000000000000004</v>
      </c>
      <c r="J25" s="1">
        <v>7200</v>
      </c>
      <c r="K25" s="1">
        <v>1200</v>
      </c>
      <c r="L25" s="1">
        <v>0.3</v>
      </c>
      <c r="M25" s="1">
        <v>0.9</v>
      </c>
      <c r="N25" s="1">
        <v>1200</v>
      </c>
      <c r="O25" s="9"/>
      <c r="P25" s="7">
        <f t="shared" si="13"/>
        <v>-0.11124999999999999</v>
      </c>
      <c r="Q25" s="7">
        <f t="shared" ca="1" si="14"/>
        <v>2.5226757369614509E-4</v>
      </c>
      <c r="R25" s="33">
        <f t="shared" si="1"/>
        <v>10679.999999999998</v>
      </c>
      <c r="S25" s="33">
        <f t="shared" si="2"/>
        <v>-85320</v>
      </c>
      <c r="T25" s="33">
        <f t="shared" si="15"/>
        <v>10679.999999999998</v>
      </c>
      <c r="U25" s="7">
        <f t="shared" si="4"/>
        <v>0.1251758087201125</v>
      </c>
      <c r="V2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" s="33" t="e">
        <f t="shared" ca="1" si="16"/>
        <v>#VALUE!</v>
      </c>
      <c r="X25" s="7" t="e">
        <f t="shared" ca="1" si="17"/>
        <v>#VALUE!</v>
      </c>
      <c r="Y25" s="7" t="e">
        <f t="shared" ca="1" si="18"/>
        <v>#VALUE!</v>
      </c>
      <c r="Z2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" s="33" t="e">
        <f t="shared" ca="1" si="19"/>
        <v>#VALUE!</v>
      </c>
      <c r="AB25" s="7" t="e">
        <f t="shared" ca="1" si="20"/>
        <v>#VALUE!</v>
      </c>
      <c r="AC25" s="7" t="e">
        <f t="shared" ca="1" si="21"/>
        <v>#VALUE!</v>
      </c>
      <c r="AD25" s="1"/>
      <c r="AE25" s="1"/>
    </row>
    <row r="26" spans="1:31" x14ac:dyDescent="0.25">
      <c r="A26" s="3"/>
      <c r="B26" s="25">
        <v>43496</v>
      </c>
      <c r="C26" s="10" t="s">
        <v>283</v>
      </c>
      <c r="D26" s="1">
        <v>347.65</v>
      </c>
      <c r="E26" s="30">
        <v>1600</v>
      </c>
      <c r="F26" s="1">
        <v>370</v>
      </c>
      <c r="G26" s="1">
        <v>4</v>
      </c>
      <c r="H26" s="1">
        <v>380</v>
      </c>
      <c r="I26" s="1">
        <v>2.25</v>
      </c>
      <c r="J26" s="1">
        <v>72000</v>
      </c>
      <c r="K26" s="1">
        <v>16000</v>
      </c>
      <c r="L26" s="1">
        <v>1.7</v>
      </c>
      <c r="M26" s="1">
        <v>2.9</v>
      </c>
      <c r="N26" s="1">
        <v>1600</v>
      </c>
      <c r="O26" s="9"/>
      <c r="P26" s="7">
        <f t="shared" si="13"/>
        <v>-0.17499999999999999</v>
      </c>
      <c r="Q26" s="7">
        <f t="shared" ca="1" si="14"/>
        <v>3.9682539682539683E-4</v>
      </c>
      <c r="R26" s="33">
        <f t="shared" si="1"/>
        <v>2800</v>
      </c>
      <c r="S26" s="33">
        <f t="shared" si="2"/>
        <v>-13200</v>
      </c>
      <c r="T26" s="33">
        <f t="shared" si="15"/>
        <v>2800</v>
      </c>
      <c r="U26" s="7">
        <f t="shared" si="4"/>
        <v>0.21212121212121213</v>
      </c>
      <c r="V2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" s="33" t="e">
        <f t="shared" ca="1" si="16"/>
        <v>#VALUE!</v>
      </c>
      <c r="X26" s="7" t="e">
        <f t="shared" ca="1" si="17"/>
        <v>#VALUE!</v>
      </c>
      <c r="Y26" s="7" t="e">
        <f t="shared" ca="1" si="18"/>
        <v>#VALUE!</v>
      </c>
      <c r="Z2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" s="33" t="e">
        <f t="shared" ca="1" si="19"/>
        <v>#VALUE!</v>
      </c>
      <c r="AB26" s="7" t="e">
        <f t="shared" ca="1" si="20"/>
        <v>#VALUE!</v>
      </c>
      <c r="AC26" s="7" t="e">
        <f t="shared" ca="1" si="21"/>
        <v>#VALUE!</v>
      </c>
      <c r="AD26" s="1"/>
      <c r="AE26" s="1"/>
    </row>
    <row r="27" spans="1:31" x14ac:dyDescent="0.25">
      <c r="A27" s="3"/>
      <c r="B27" s="25">
        <v>43496</v>
      </c>
      <c r="C27" s="10" t="s">
        <v>283</v>
      </c>
      <c r="D27" s="1">
        <v>347.65</v>
      </c>
      <c r="E27" s="30">
        <v>1600</v>
      </c>
      <c r="F27" s="1">
        <v>370</v>
      </c>
      <c r="G27" s="1">
        <v>4</v>
      </c>
      <c r="H27" s="1">
        <v>390</v>
      </c>
      <c r="I27" s="1">
        <v>1.4</v>
      </c>
      <c r="J27" s="1">
        <v>30400</v>
      </c>
      <c r="K27" s="1">
        <v>3200</v>
      </c>
      <c r="L27" s="1">
        <v>1</v>
      </c>
      <c r="M27" s="1">
        <v>1.75</v>
      </c>
      <c r="N27" s="1">
        <v>3200</v>
      </c>
      <c r="O27" s="9"/>
      <c r="P27" s="7">
        <f t="shared" si="13"/>
        <v>-0.13</v>
      </c>
      <c r="Q27" s="7">
        <f t="shared" ca="1" si="14"/>
        <v>2.9478458049886624E-4</v>
      </c>
      <c r="R27" s="33">
        <f t="shared" si="1"/>
        <v>4160</v>
      </c>
      <c r="S27" s="33">
        <f t="shared" si="2"/>
        <v>-27840</v>
      </c>
      <c r="T27" s="33">
        <f t="shared" si="15"/>
        <v>4160</v>
      </c>
      <c r="U27" s="7">
        <f t="shared" si="4"/>
        <v>0.14942528735632185</v>
      </c>
      <c r="V2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" s="33" t="e">
        <f t="shared" ca="1" si="16"/>
        <v>#VALUE!</v>
      </c>
      <c r="X27" s="7" t="e">
        <f t="shared" ca="1" si="17"/>
        <v>#VALUE!</v>
      </c>
      <c r="Y27" s="7" t="e">
        <f t="shared" ca="1" si="18"/>
        <v>#VALUE!</v>
      </c>
      <c r="Z2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" s="33" t="e">
        <f t="shared" ca="1" si="19"/>
        <v>#VALUE!</v>
      </c>
      <c r="AB27" s="7" t="e">
        <f t="shared" ca="1" si="20"/>
        <v>#VALUE!</v>
      </c>
      <c r="AC27" s="7" t="e">
        <f t="shared" ca="1" si="21"/>
        <v>#VALUE!</v>
      </c>
      <c r="AD27" s="1"/>
      <c r="AE27" s="1"/>
    </row>
    <row r="28" spans="1:31" x14ac:dyDescent="0.25">
      <c r="A28" s="3"/>
      <c r="B28" s="25">
        <v>43496</v>
      </c>
      <c r="C28" s="10" t="s">
        <v>283</v>
      </c>
      <c r="D28" s="1">
        <v>347.65</v>
      </c>
      <c r="E28" s="30">
        <v>1600</v>
      </c>
      <c r="F28" s="1">
        <v>370</v>
      </c>
      <c r="G28" s="1">
        <v>4</v>
      </c>
      <c r="H28" s="1">
        <v>400</v>
      </c>
      <c r="I28" s="1">
        <v>0.7</v>
      </c>
      <c r="J28" s="1">
        <v>14400</v>
      </c>
      <c r="K28" s="1">
        <v>1600</v>
      </c>
      <c r="L28" s="1">
        <v>0.4</v>
      </c>
      <c r="M28" s="1">
        <v>0.8</v>
      </c>
      <c r="N28" s="1">
        <v>1600</v>
      </c>
      <c r="O28" s="9"/>
      <c r="P28" s="7">
        <f t="shared" si="13"/>
        <v>-0.11</v>
      </c>
      <c r="Q28" s="7">
        <f t="shared" ca="1" si="14"/>
        <v>2.4943310657596373E-4</v>
      </c>
      <c r="R28" s="33">
        <f t="shared" si="1"/>
        <v>5280</v>
      </c>
      <c r="S28" s="33">
        <f t="shared" si="2"/>
        <v>-42720</v>
      </c>
      <c r="T28" s="33">
        <f t="shared" si="15"/>
        <v>5280</v>
      </c>
      <c r="U28" s="7">
        <f t="shared" si="4"/>
        <v>0.12359550561797752</v>
      </c>
      <c r="V2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" s="33" t="e">
        <f t="shared" ca="1" si="16"/>
        <v>#VALUE!</v>
      </c>
      <c r="X28" s="7" t="e">
        <f t="shared" ca="1" si="17"/>
        <v>#VALUE!</v>
      </c>
      <c r="Y28" s="7" t="e">
        <f t="shared" ca="1" si="18"/>
        <v>#VALUE!</v>
      </c>
      <c r="Z2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" s="33" t="e">
        <f t="shared" ca="1" si="19"/>
        <v>#VALUE!</v>
      </c>
      <c r="AB28" s="7" t="e">
        <f t="shared" ca="1" si="20"/>
        <v>#VALUE!</v>
      </c>
      <c r="AC28" s="7" t="e">
        <f t="shared" ca="1" si="21"/>
        <v>#VALUE!</v>
      </c>
      <c r="AD28" s="1"/>
      <c r="AE28" s="1"/>
    </row>
    <row r="29" spans="1:31" x14ac:dyDescent="0.25">
      <c r="A29" s="3"/>
      <c r="B29" s="25">
        <v>43496</v>
      </c>
      <c r="C29" s="10" t="s">
        <v>18</v>
      </c>
      <c r="D29" s="1">
        <v>1472.1</v>
      </c>
      <c r="E29" s="30">
        <v>400</v>
      </c>
      <c r="F29" s="1">
        <v>1600</v>
      </c>
      <c r="G29" s="1">
        <v>8.6</v>
      </c>
      <c r="H29" s="1">
        <v>1640</v>
      </c>
      <c r="I29" s="1">
        <v>4</v>
      </c>
      <c r="J29" s="1">
        <v>1200</v>
      </c>
      <c r="K29" s="1">
        <v>2400</v>
      </c>
      <c r="L29" s="1">
        <v>1.3</v>
      </c>
      <c r="M29" s="1">
        <v>6.95</v>
      </c>
      <c r="N29" s="1">
        <v>3200</v>
      </c>
      <c r="O29" s="9"/>
      <c r="P29" s="7">
        <f t="shared" si="13"/>
        <v>-0.11499999999999999</v>
      </c>
      <c r="Q29" s="7">
        <f t="shared" ca="1" si="14"/>
        <v>2.6077097505668932E-4</v>
      </c>
      <c r="R29" s="33">
        <f t="shared" si="1"/>
        <v>1839.9999999999998</v>
      </c>
      <c r="S29" s="33">
        <f t="shared" si="2"/>
        <v>-14160</v>
      </c>
      <c r="T29" s="33">
        <f t="shared" si="15"/>
        <v>1839.9999999999998</v>
      </c>
      <c r="U29" s="7">
        <f t="shared" si="4"/>
        <v>0.12994350282485875</v>
      </c>
      <c r="V2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sh.symbol='DIVISLAB'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" s="33" t="e">
        <f t="shared" ca="1" si="16"/>
        <v>#VALUE!</v>
      </c>
      <c r="X29" s="7" t="e">
        <f t="shared" ca="1" si="17"/>
        <v>#VALUE!</v>
      </c>
      <c r="Y29" s="7" t="e">
        <f t="shared" ca="1" si="18"/>
        <v>#VALUE!</v>
      </c>
      <c r="Z2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sh.symbol='DIVISLAB'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" s="33" t="e">
        <f t="shared" ca="1" si="19"/>
        <v>#VALUE!</v>
      </c>
      <c r="AB29" s="7" t="e">
        <f t="shared" ca="1" si="20"/>
        <v>#VALUE!</v>
      </c>
      <c r="AC29" s="7" t="e">
        <f t="shared" ca="1" si="21"/>
        <v>#VALUE!</v>
      </c>
      <c r="AD29" s="1"/>
      <c r="AE29" s="1"/>
    </row>
    <row r="30" spans="1:31" x14ac:dyDescent="0.25">
      <c r="A30" s="3"/>
      <c r="B30" s="25">
        <v>43496</v>
      </c>
      <c r="C30" s="10" t="s">
        <v>539</v>
      </c>
      <c r="D30" s="1">
        <v>653.85</v>
      </c>
      <c r="E30" s="30">
        <v>1000</v>
      </c>
      <c r="F30" s="1">
        <v>710</v>
      </c>
      <c r="G30" s="1">
        <v>5.5</v>
      </c>
      <c r="H30" s="1">
        <v>730</v>
      </c>
      <c r="I30" s="1">
        <v>3.5</v>
      </c>
      <c r="J30" s="1">
        <v>39000</v>
      </c>
      <c r="K30" s="1">
        <v>1000</v>
      </c>
      <c r="L30" s="1">
        <v>3.35</v>
      </c>
      <c r="M30" s="1">
        <v>4.4000000000000004</v>
      </c>
      <c r="N30" s="1">
        <v>1000</v>
      </c>
      <c r="O30" s="9"/>
      <c r="P30" s="7">
        <f t="shared" si="13"/>
        <v>-0.1</v>
      </c>
      <c r="Q30" s="7">
        <f t="shared" ca="1" si="14"/>
        <v>2.2675736961451248E-4</v>
      </c>
      <c r="R30" s="33">
        <f t="shared" si="1"/>
        <v>2000</v>
      </c>
      <c r="S30" s="33">
        <f t="shared" si="2"/>
        <v>-18000</v>
      </c>
      <c r="T30" s="33">
        <f t="shared" si="15"/>
        <v>2000</v>
      </c>
      <c r="U30" s="7">
        <f t="shared" si="4"/>
        <v>0.1111111111111111</v>
      </c>
      <c r="V3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" s="33" t="e">
        <f t="shared" ca="1" si="16"/>
        <v>#VALUE!</v>
      </c>
      <c r="X30" s="7" t="e">
        <f t="shared" ca="1" si="17"/>
        <v>#VALUE!</v>
      </c>
      <c r="Y30" s="7" t="e">
        <f t="shared" ca="1" si="18"/>
        <v>#VALUE!</v>
      </c>
      <c r="Z3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" s="33" t="e">
        <f t="shared" ca="1" si="19"/>
        <v>#VALUE!</v>
      </c>
      <c r="AB30" s="7" t="e">
        <f t="shared" ca="1" si="20"/>
        <v>#VALUE!</v>
      </c>
      <c r="AC30" s="7" t="e">
        <f t="shared" ca="1" si="21"/>
        <v>#VALUE!</v>
      </c>
      <c r="AD30" s="1"/>
      <c r="AE30" s="1"/>
    </row>
    <row r="31" spans="1:31" x14ac:dyDescent="0.25">
      <c r="A31" s="3"/>
      <c r="B31" s="25">
        <v>43496</v>
      </c>
      <c r="C31" s="10" t="s">
        <v>539</v>
      </c>
      <c r="D31" s="1">
        <v>653.85</v>
      </c>
      <c r="E31" s="30">
        <v>1000</v>
      </c>
      <c r="F31" s="1">
        <v>710</v>
      </c>
      <c r="G31" s="1">
        <v>5.5</v>
      </c>
      <c r="H31" s="1">
        <v>740</v>
      </c>
      <c r="I31" s="1">
        <v>2.15</v>
      </c>
      <c r="J31" s="1">
        <v>38000</v>
      </c>
      <c r="K31" s="1">
        <v>1000</v>
      </c>
      <c r="L31" s="1">
        <v>2.15</v>
      </c>
      <c r="M31" s="1">
        <v>3.3</v>
      </c>
      <c r="N31" s="1">
        <v>1000</v>
      </c>
      <c r="O31" s="9"/>
      <c r="P31" s="7">
        <f t="shared" si="13"/>
        <v>-0.11166666666666666</v>
      </c>
      <c r="Q31" s="7">
        <f t="shared" ca="1" si="14"/>
        <v>2.5321239606953893E-4</v>
      </c>
      <c r="R31" s="33">
        <f t="shared" si="1"/>
        <v>3350</v>
      </c>
      <c r="S31" s="33">
        <f t="shared" si="2"/>
        <v>-26650</v>
      </c>
      <c r="T31" s="33">
        <f t="shared" si="15"/>
        <v>3350</v>
      </c>
      <c r="U31" s="7">
        <f t="shared" si="4"/>
        <v>0.12570356472795496</v>
      </c>
      <c r="V3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1" s="33" t="e">
        <f t="shared" ca="1" si="16"/>
        <v>#VALUE!</v>
      </c>
      <c r="X31" s="7" t="e">
        <f t="shared" ca="1" si="17"/>
        <v>#VALUE!</v>
      </c>
      <c r="Y31" s="7" t="e">
        <f t="shared" ca="1" si="18"/>
        <v>#VALUE!</v>
      </c>
      <c r="Z3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1" s="33" t="e">
        <f t="shared" ca="1" si="19"/>
        <v>#VALUE!</v>
      </c>
      <c r="AB31" s="7" t="e">
        <f t="shared" ca="1" si="20"/>
        <v>#VALUE!</v>
      </c>
      <c r="AC31" s="7" t="e">
        <f t="shared" ca="1" si="21"/>
        <v>#VALUE!</v>
      </c>
      <c r="AD31" s="1"/>
      <c r="AE31" s="1"/>
    </row>
    <row r="32" spans="1:31" x14ac:dyDescent="0.25">
      <c r="A32" s="3"/>
      <c r="B32" s="25">
        <v>43496</v>
      </c>
      <c r="C32" s="10" t="s">
        <v>545</v>
      </c>
      <c r="D32" s="1">
        <v>16.899999999999999</v>
      </c>
      <c r="E32" s="30">
        <v>45000</v>
      </c>
      <c r="F32" s="1">
        <v>17</v>
      </c>
      <c r="G32" s="1">
        <v>0.3</v>
      </c>
      <c r="H32" s="1">
        <v>18</v>
      </c>
      <c r="I32" s="1">
        <v>0.15</v>
      </c>
      <c r="J32" s="1">
        <v>3780000</v>
      </c>
      <c r="K32" s="1">
        <v>2025000</v>
      </c>
      <c r="L32" s="1">
        <v>0.1</v>
      </c>
      <c r="M32" s="1">
        <v>0.15</v>
      </c>
      <c r="N32" s="1">
        <v>360000</v>
      </c>
      <c r="O32" s="9"/>
      <c r="P32" s="7">
        <f t="shared" si="13"/>
        <v>-0.15</v>
      </c>
      <c r="Q32" s="7">
        <f t="shared" ca="1" si="14"/>
        <v>3.4013605442176868E-4</v>
      </c>
      <c r="R32" s="33">
        <f t="shared" si="1"/>
        <v>6750</v>
      </c>
      <c r="S32" s="33">
        <f t="shared" si="2"/>
        <v>-38250</v>
      </c>
      <c r="T32" s="33">
        <f t="shared" si="15"/>
        <v>6750</v>
      </c>
      <c r="U32" s="7">
        <f t="shared" si="4"/>
        <v>0.17647058823529413</v>
      </c>
      <c r="V3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2" s="33" t="e">
        <f t="shared" ca="1" si="16"/>
        <v>#VALUE!</v>
      </c>
      <c r="X32" s="7" t="e">
        <f t="shared" ca="1" si="17"/>
        <v>#VALUE!</v>
      </c>
      <c r="Y32" s="7" t="e">
        <f t="shared" ca="1" si="18"/>
        <v>#VALUE!</v>
      </c>
      <c r="Z3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2" s="33" t="e">
        <f t="shared" ca="1" si="19"/>
        <v>#VALUE!</v>
      </c>
      <c r="AB32" s="7" t="e">
        <f t="shared" ca="1" si="20"/>
        <v>#VALUE!</v>
      </c>
      <c r="AC32" s="7" t="e">
        <f t="shared" ca="1" si="21"/>
        <v>#VALUE!</v>
      </c>
      <c r="AD32" s="1"/>
      <c r="AE32" s="1"/>
    </row>
    <row r="33" spans="1:31" x14ac:dyDescent="0.25">
      <c r="A33" s="3"/>
      <c r="B33" s="25">
        <v>43496</v>
      </c>
      <c r="C33" s="10" t="s">
        <v>545</v>
      </c>
      <c r="D33" s="1">
        <v>16.899999999999999</v>
      </c>
      <c r="E33" s="30">
        <v>45000</v>
      </c>
      <c r="F33" s="1">
        <v>17</v>
      </c>
      <c r="G33" s="1">
        <v>0.3</v>
      </c>
      <c r="H33" s="1">
        <v>19</v>
      </c>
      <c r="I33" s="1">
        <v>0.05</v>
      </c>
      <c r="J33" s="1">
        <v>2385000</v>
      </c>
      <c r="K33" s="1">
        <v>135000</v>
      </c>
      <c r="L33" s="1">
        <v>0.05</v>
      </c>
      <c r="M33" s="1">
        <v>0.1</v>
      </c>
      <c r="N33" s="1">
        <v>3015000</v>
      </c>
      <c r="O33" s="9"/>
      <c r="P33" s="7">
        <f t="shared" si="13"/>
        <v>-0.125</v>
      </c>
      <c r="Q33" s="7">
        <f t="shared" ca="1" si="14"/>
        <v>2.834467120181406E-4</v>
      </c>
      <c r="R33" s="33">
        <f t="shared" si="1"/>
        <v>11250</v>
      </c>
      <c r="S33" s="33">
        <f t="shared" si="2"/>
        <v>-78750</v>
      </c>
      <c r="T33" s="33">
        <f t="shared" si="15"/>
        <v>11250</v>
      </c>
      <c r="U33" s="7">
        <f t="shared" si="4"/>
        <v>0.14285714285714285</v>
      </c>
      <c r="V3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3" s="33" t="e">
        <f t="shared" ca="1" si="16"/>
        <v>#VALUE!</v>
      </c>
      <c r="X33" s="7" t="e">
        <f t="shared" ca="1" si="17"/>
        <v>#VALUE!</v>
      </c>
      <c r="Y33" s="7" t="e">
        <f t="shared" ca="1" si="18"/>
        <v>#VALUE!</v>
      </c>
      <c r="Z3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3" s="33" t="e">
        <f t="shared" ca="1" si="19"/>
        <v>#VALUE!</v>
      </c>
      <c r="AB33" s="7" t="e">
        <f t="shared" ca="1" si="20"/>
        <v>#VALUE!</v>
      </c>
      <c r="AC33" s="7" t="e">
        <f t="shared" ca="1" si="21"/>
        <v>#VALUE!</v>
      </c>
      <c r="AD33" s="1"/>
      <c r="AE33" s="1"/>
    </row>
    <row r="34" spans="1:31" x14ac:dyDescent="0.25">
      <c r="A34" s="3"/>
      <c r="B34" s="25">
        <v>43496</v>
      </c>
      <c r="C34" s="10" t="s">
        <v>606</v>
      </c>
      <c r="D34" s="1">
        <v>683</v>
      </c>
      <c r="E34" s="30">
        <v>1000</v>
      </c>
      <c r="F34" s="1">
        <v>750</v>
      </c>
      <c r="G34" s="1">
        <v>5</v>
      </c>
      <c r="H34" s="1">
        <v>760</v>
      </c>
      <c r="I34" s="1">
        <v>3.4</v>
      </c>
      <c r="J34" s="1">
        <v>27000</v>
      </c>
      <c r="K34" s="1">
        <v>1000</v>
      </c>
      <c r="L34" s="1">
        <v>2.8</v>
      </c>
      <c r="M34" s="1">
        <v>3.9</v>
      </c>
      <c r="N34" s="1">
        <v>1000</v>
      </c>
      <c r="O34" s="9"/>
      <c r="P34" s="7">
        <f t="shared" si="13"/>
        <v>-0.16</v>
      </c>
      <c r="Q34" s="7">
        <f t="shared" ca="1" si="14"/>
        <v>3.6281179138321996E-4</v>
      </c>
      <c r="R34" s="33">
        <f t="shared" si="1"/>
        <v>1600</v>
      </c>
      <c r="S34" s="33">
        <f t="shared" si="2"/>
        <v>-8400</v>
      </c>
      <c r="T34" s="33">
        <f t="shared" si="15"/>
        <v>1600</v>
      </c>
      <c r="U34" s="7">
        <f t="shared" si="4"/>
        <v>0.19047619047619047</v>
      </c>
      <c r="V3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4" s="33" t="e">
        <f t="shared" ca="1" si="16"/>
        <v>#VALUE!</v>
      </c>
      <c r="X34" s="7" t="e">
        <f t="shared" ca="1" si="17"/>
        <v>#VALUE!</v>
      </c>
      <c r="Y34" s="7" t="e">
        <f t="shared" ca="1" si="18"/>
        <v>#VALUE!</v>
      </c>
      <c r="Z3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4" s="33" t="e">
        <f t="shared" ca="1" si="19"/>
        <v>#VALUE!</v>
      </c>
      <c r="AB34" s="7" t="e">
        <f t="shared" ca="1" si="20"/>
        <v>#VALUE!</v>
      </c>
      <c r="AC34" s="7" t="e">
        <f t="shared" ca="1" si="21"/>
        <v>#VALUE!</v>
      </c>
      <c r="AD34" s="1"/>
      <c r="AE34" s="1"/>
    </row>
    <row r="35" spans="1:31" x14ac:dyDescent="0.25">
      <c r="A35" s="3"/>
      <c r="B35" s="25">
        <v>43496</v>
      </c>
      <c r="C35" s="10" t="s">
        <v>606</v>
      </c>
      <c r="D35" s="1">
        <v>683</v>
      </c>
      <c r="E35" s="30">
        <v>1000</v>
      </c>
      <c r="F35" s="1">
        <v>750</v>
      </c>
      <c r="G35" s="1">
        <v>5</v>
      </c>
      <c r="H35" s="1">
        <v>770</v>
      </c>
      <c r="I35" s="1">
        <v>3</v>
      </c>
      <c r="J35" s="1">
        <v>11000</v>
      </c>
      <c r="K35" s="1">
        <v>1000</v>
      </c>
      <c r="L35" s="1">
        <v>1.9</v>
      </c>
      <c r="M35" s="1">
        <v>3.75</v>
      </c>
      <c r="N35" s="1">
        <v>1000</v>
      </c>
      <c r="O35" s="9"/>
      <c r="P35" s="7">
        <f t="shared" si="13"/>
        <v>-0.1</v>
      </c>
      <c r="Q35" s="7">
        <f t="shared" ca="1" si="14"/>
        <v>2.2675736961451248E-4</v>
      </c>
      <c r="R35" s="33">
        <f t="shared" si="1"/>
        <v>2000</v>
      </c>
      <c r="S35" s="33">
        <f t="shared" si="2"/>
        <v>-18000</v>
      </c>
      <c r="T35" s="33">
        <f t="shared" si="15"/>
        <v>2000</v>
      </c>
      <c r="U35" s="7">
        <f t="shared" si="4"/>
        <v>0.1111111111111111</v>
      </c>
      <c r="V3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5" s="33" t="e">
        <f t="shared" ca="1" si="16"/>
        <v>#VALUE!</v>
      </c>
      <c r="X35" s="7" t="e">
        <f t="shared" ca="1" si="17"/>
        <v>#VALUE!</v>
      </c>
      <c r="Y35" s="7" t="e">
        <f t="shared" ca="1" si="18"/>
        <v>#VALUE!</v>
      </c>
      <c r="Z3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5" s="33" t="e">
        <f t="shared" ca="1" si="19"/>
        <v>#VALUE!</v>
      </c>
      <c r="AB35" s="7" t="e">
        <f t="shared" ca="1" si="20"/>
        <v>#VALUE!</v>
      </c>
      <c r="AC35" s="7" t="e">
        <f t="shared" ca="1" si="21"/>
        <v>#VALUE!</v>
      </c>
      <c r="AD35" s="1"/>
      <c r="AE35" s="1"/>
    </row>
    <row r="36" spans="1:31" x14ac:dyDescent="0.25">
      <c r="A36" s="3"/>
      <c r="B36" s="25">
        <v>43496</v>
      </c>
      <c r="C36" s="10" t="s">
        <v>606</v>
      </c>
      <c r="D36" s="1">
        <v>683</v>
      </c>
      <c r="E36" s="30">
        <v>1000</v>
      </c>
      <c r="F36" s="1">
        <v>750</v>
      </c>
      <c r="G36" s="1">
        <v>5</v>
      </c>
      <c r="H36" s="1">
        <v>780</v>
      </c>
      <c r="I36" s="1">
        <v>1.4</v>
      </c>
      <c r="J36" s="1">
        <v>26000</v>
      </c>
      <c r="K36" s="1">
        <v>2000</v>
      </c>
      <c r="L36" s="1">
        <v>0.6</v>
      </c>
      <c r="M36" s="1">
        <v>1.7</v>
      </c>
      <c r="N36" s="1">
        <v>1000</v>
      </c>
      <c r="O36" s="9"/>
      <c r="P36" s="7">
        <f t="shared" si="13"/>
        <v>-0.12000000000000001</v>
      </c>
      <c r="Q36" s="7">
        <f t="shared" ca="1" si="14"/>
        <v>2.7210884353741501E-4</v>
      </c>
      <c r="R36" s="33">
        <f t="shared" si="1"/>
        <v>3600</v>
      </c>
      <c r="S36" s="33">
        <f t="shared" si="2"/>
        <v>-26400</v>
      </c>
      <c r="T36" s="33">
        <f t="shared" si="15"/>
        <v>3600</v>
      </c>
      <c r="U36" s="7">
        <f t="shared" si="4"/>
        <v>0.13636363636363635</v>
      </c>
      <c r="V3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6" s="33" t="e">
        <f t="shared" ca="1" si="16"/>
        <v>#VALUE!</v>
      </c>
      <c r="X36" s="7" t="e">
        <f t="shared" ca="1" si="17"/>
        <v>#VALUE!</v>
      </c>
      <c r="Y36" s="7" t="e">
        <f t="shared" ca="1" si="18"/>
        <v>#VALUE!</v>
      </c>
      <c r="Z3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6" s="33" t="e">
        <f t="shared" ca="1" si="19"/>
        <v>#VALUE!</v>
      </c>
      <c r="AB36" s="7" t="e">
        <f t="shared" ca="1" si="20"/>
        <v>#VALUE!</v>
      </c>
      <c r="AC36" s="7" t="e">
        <f t="shared" ca="1" si="21"/>
        <v>#VALUE!</v>
      </c>
      <c r="AD36" s="1"/>
      <c r="AE36" s="1"/>
    </row>
    <row r="37" spans="1:31" x14ac:dyDescent="0.25">
      <c r="A37" s="3"/>
      <c r="B37" s="25">
        <v>43496</v>
      </c>
      <c r="C37" s="10" t="s">
        <v>612</v>
      </c>
      <c r="D37" s="1">
        <v>936.25</v>
      </c>
      <c r="E37" s="30">
        <v>700</v>
      </c>
      <c r="F37" s="1">
        <v>1030</v>
      </c>
      <c r="G37" s="1">
        <v>7.5</v>
      </c>
      <c r="H37" s="1">
        <v>1040</v>
      </c>
      <c r="I37" s="1">
        <v>4.5</v>
      </c>
      <c r="J37" s="1">
        <v>2800</v>
      </c>
      <c r="K37" s="1">
        <v>1400</v>
      </c>
      <c r="L37" s="1">
        <v>2.5</v>
      </c>
      <c r="M37" s="1">
        <v>5</v>
      </c>
      <c r="N37" s="1">
        <v>1400</v>
      </c>
      <c r="O37" s="9"/>
      <c r="P37" s="7">
        <f t="shared" si="13"/>
        <v>-0.3</v>
      </c>
      <c r="Q37" s="7">
        <f t="shared" ca="1" si="14"/>
        <v>6.8027210884353737E-4</v>
      </c>
      <c r="R37" s="33">
        <f t="shared" si="1"/>
        <v>2100</v>
      </c>
      <c r="S37" s="33">
        <f t="shared" si="2"/>
        <v>-4900</v>
      </c>
      <c r="T37" s="33">
        <f t="shared" si="15"/>
        <v>2100</v>
      </c>
      <c r="U37" s="7">
        <f t="shared" si="4"/>
        <v>0.42857142857142855</v>
      </c>
      <c r="V3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7" s="33" t="e">
        <f t="shared" ca="1" si="16"/>
        <v>#VALUE!</v>
      </c>
      <c r="X37" s="7" t="e">
        <f t="shared" ca="1" si="17"/>
        <v>#VALUE!</v>
      </c>
      <c r="Y37" s="7" t="e">
        <f t="shared" ca="1" si="18"/>
        <v>#VALUE!</v>
      </c>
      <c r="Z3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7" s="33" t="e">
        <f t="shared" ca="1" si="19"/>
        <v>#VALUE!</v>
      </c>
      <c r="AB37" s="7" t="e">
        <f t="shared" ca="1" si="20"/>
        <v>#VALUE!</v>
      </c>
      <c r="AC37" s="7" t="e">
        <f t="shared" ca="1" si="21"/>
        <v>#VALUE!</v>
      </c>
      <c r="AD37" s="1"/>
      <c r="AE37" s="1"/>
    </row>
    <row r="38" spans="1:31" x14ac:dyDescent="0.25">
      <c r="A38" s="3"/>
      <c r="B38" s="25">
        <v>43496</v>
      </c>
      <c r="C38" s="10" t="s">
        <v>612</v>
      </c>
      <c r="D38" s="1">
        <v>936.25</v>
      </c>
      <c r="E38" s="30">
        <v>700</v>
      </c>
      <c r="F38" s="1">
        <v>1030</v>
      </c>
      <c r="G38" s="1">
        <v>7.5</v>
      </c>
      <c r="H38" s="1">
        <v>1050</v>
      </c>
      <c r="I38" s="1">
        <v>4.5</v>
      </c>
      <c r="J38" s="1">
        <v>14000</v>
      </c>
      <c r="K38" s="1">
        <v>2800</v>
      </c>
      <c r="L38" s="1">
        <v>2</v>
      </c>
      <c r="M38" s="1">
        <v>4.3499999999999996</v>
      </c>
      <c r="N38" s="1">
        <v>700</v>
      </c>
      <c r="O38" s="9"/>
      <c r="P38" s="7">
        <f t="shared" si="13"/>
        <v>-0.15</v>
      </c>
      <c r="Q38" s="7">
        <f t="shared" ca="1" si="14"/>
        <v>3.4013605442176868E-4</v>
      </c>
      <c r="R38" s="33">
        <f t="shared" si="1"/>
        <v>2100</v>
      </c>
      <c r="S38" s="33">
        <f t="shared" si="2"/>
        <v>-11900</v>
      </c>
      <c r="T38" s="33">
        <f t="shared" si="15"/>
        <v>2100</v>
      </c>
      <c r="U38" s="7">
        <f t="shared" si="4"/>
        <v>0.17647058823529413</v>
      </c>
      <c r="V3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8" s="33" t="e">
        <f t="shared" ca="1" si="16"/>
        <v>#VALUE!</v>
      </c>
      <c r="X38" s="7" t="e">
        <f t="shared" ca="1" si="17"/>
        <v>#VALUE!</v>
      </c>
      <c r="Y38" s="7" t="e">
        <f t="shared" ca="1" si="18"/>
        <v>#VALUE!</v>
      </c>
      <c r="Z3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8" s="33" t="e">
        <f t="shared" ca="1" si="19"/>
        <v>#VALUE!</v>
      </c>
      <c r="AB38" s="7" t="e">
        <f t="shared" ca="1" si="20"/>
        <v>#VALUE!</v>
      </c>
      <c r="AC38" s="7" t="e">
        <f t="shared" ca="1" si="21"/>
        <v>#VALUE!</v>
      </c>
      <c r="AD38" s="1"/>
      <c r="AE38" s="1"/>
    </row>
    <row r="39" spans="1:31" x14ac:dyDescent="0.25">
      <c r="A39" s="3"/>
      <c r="B39" s="25">
        <v>43496</v>
      </c>
      <c r="C39" s="10" t="s">
        <v>612</v>
      </c>
      <c r="D39" s="1">
        <v>936.25</v>
      </c>
      <c r="E39" s="30">
        <v>700</v>
      </c>
      <c r="F39" s="1">
        <v>1030</v>
      </c>
      <c r="G39" s="1">
        <v>7.5</v>
      </c>
      <c r="H39" s="1">
        <v>1100</v>
      </c>
      <c r="I39" s="1">
        <v>0.05</v>
      </c>
      <c r="J39" s="1">
        <v>56000</v>
      </c>
      <c r="K39" s="1">
        <v>1400</v>
      </c>
      <c r="L39" s="1">
        <v>0.35</v>
      </c>
      <c r="M39" s="1">
        <v>1.85</v>
      </c>
      <c r="N39" s="1">
        <v>700</v>
      </c>
      <c r="O39" s="9"/>
      <c r="P39" s="7">
        <f t="shared" si="13"/>
        <v>-0.10642857142857143</v>
      </c>
      <c r="Q39" s="7">
        <f t="shared" ca="1" si="14"/>
        <v>2.4133462908973113E-4</v>
      </c>
      <c r="R39" s="33">
        <f t="shared" si="1"/>
        <v>5215</v>
      </c>
      <c r="S39" s="33">
        <f t="shared" si="2"/>
        <v>-43785</v>
      </c>
      <c r="T39" s="33">
        <f t="shared" si="15"/>
        <v>5215</v>
      </c>
      <c r="U39" s="7">
        <f t="shared" si="4"/>
        <v>0.11910471622701839</v>
      </c>
      <c r="V3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9" s="33" t="e">
        <f t="shared" ca="1" si="16"/>
        <v>#VALUE!</v>
      </c>
      <c r="X39" s="7" t="e">
        <f t="shared" ca="1" si="17"/>
        <v>#VALUE!</v>
      </c>
      <c r="Y39" s="7" t="e">
        <f t="shared" ca="1" si="18"/>
        <v>#VALUE!</v>
      </c>
      <c r="Z3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9" s="33" t="e">
        <f t="shared" ca="1" si="19"/>
        <v>#VALUE!</v>
      </c>
      <c r="AB39" s="7" t="e">
        <f t="shared" ca="1" si="20"/>
        <v>#VALUE!</v>
      </c>
      <c r="AC39" s="7" t="e">
        <f t="shared" ca="1" si="21"/>
        <v>#VALUE!</v>
      </c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/>
      <c r="Q40" s="7"/>
      <c r="R40" s="33"/>
      <c r="S40" s="33"/>
      <c r="T40" s="33"/>
      <c r="U40" s="7"/>
      <c r="V40" s="7"/>
      <c r="W40" s="33"/>
      <c r="X40" s="7"/>
      <c r="Y40" s="7"/>
      <c r="Z40" s="7"/>
      <c r="AA40" s="33"/>
      <c r="AB40" s="7"/>
      <c r="AC40" s="7"/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/>
      <c r="Q41" s="7"/>
      <c r="R41" s="33"/>
      <c r="S41" s="33"/>
      <c r="T41" s="33"/>
      <c r="U41" s="7"/>
      <c r="V41" s="7"/>
      <c r="W41" s="33"/>
      <c r="X41" s="7"/>
      <c r="Y41" s="7"/>
      <c r="Z41" s="7"/>
      <c r="AA41" s="33"/>
      <c r="AB41" s="7"/>
      <c r="AC41" s="7"/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/>
      <c r="Q42" s="7"/>
      <c r="R42" s="33"/>
      <c r="S42" s="33"/>
      <c r="T42" s="33"/>
      <c r="U42" s="7"/>
      <c r="V42" s="7"/>
      <c r="W42" s="33"/>
      <c r="X42" s="7"/>
      <c r="Y42" s="7"/>
      <c r="Z42" s="7"/>
      <c r="AA42" s="33"/>
      <c r="AB42" s="7"/>
      <c r="AC42" s="7"/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/>
      <c r="Q43" s="7"/>
      <c r="R43" s="33"/>
      <c r="S43" s="33"/>
      <c r="T43" s="33"/>
      <c r="U43" s="7"/>
      <c r="V43" s="7"/>
      <c r="W43" s="33"/>
      <c r="X43" s="7"/>
      <c r="Y43" s="7"/>
      <c r="Z43" s="7"/>
      <c r="AA43" s="33"/>
      <c r="AB43" s="7"/>
      <c r="AC43" s="7"/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/>
      <c r="Q44" s="7"/>
      <c r="R44" s="33"/>
      <c r="S44" s="33"/>
      <c r="T44" s="33"/>
      <c r="U44" s="7"/>
      <c r="V44" s="7"/>
      <c r="W44" s="33"/>
      <c r="X44" s="7"/>
      <c r="Y44" s="7"/>
      <c r="Z44" s="7"/>
      <c r="AA44" s="33"/>
      <c r="AB44" s="7"/>
      <c r="AC44" s="7"/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/>
      <c r="Q45" s="7"/>
      <c r="R45" s="33"/>
      <c r="S45" s="33"/>
      <c r="T45" s="33"/>
      <c r="U45" s="7"/>
      <c r="V45" s="7"/>
      <c r="W45" s="33"/>
      <c r="X45" s="7"/>
      <c r="Y45" s="7"/>
      <c r="Z45" s="7"/>
      <c r="AA45" s="33"/>
      <c r="AB45" s="7"/>
      <c r="AC45" s="7"/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/>
      <c r="Q46" s="7"/>
      <c r="R46" s="33"/>
      <c r="S46" s="33"/>
      <c r="T46" s="33"/>
      <c r="U46" s="7"/>
      <c r="V46" s="7"/>
      <c r="W46" s="33"/>
      <c r="X46" s="7"/>
      <c r="Y46" s="7"/>
      <c r="Z46" s="7"/>
      <c r="AA46" s="33"/>
      <c r="AB46" s="7"/>
      <c r="AC46" s="7"/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/>
      <c r="Q47" s="7"/>
      <c r="R47" s="33"/>
      <c r="S47" s="33"/>
      <c r="T47" s="33"/>
      <c r="U47" s="7"/>
      <c r="V47" s="7"/>
      <c r="W47" s="33"/>
      <c r="X47" s="7"/>
      <c r="Y47" s="7"/>
      <c r="Z47" s="7"/>
      <c r="AA47" s="33"/>
      <c r="AB47" s="7"/>
      <c r="AC47" s="7"/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/>
      <c r="Q48" s="7"/>
      <c r="R48" s="33"/>
      <c r="S48" s="33"/>
      <c r="T48" s="33"/>
      <c r="U48" s="7"/>
      <c r="V48" s="7"/>
      <c r="W48" s="33"/>
      <c r="X48" s="7"/>
      <c r="Y48" s="7"/>
      <c r="Z48" s="7"/>
      <c r="AA48" s="33"/>
      <c r="AB48" s="7"/>
      <c r="AC48" s="7"/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/>
      <c r="Q49" s="7"/>
      <c r="R49" s="33"/>
      <c r="S49" s="33"/>
      <c r="T49" s="33"/>
      <c r="U49" s="7"/>
      <c r="V49" s="7"/>
      <c r="W49" s="33"/>
      <c r="X49" s="7"/>
      <c r="Y49" s="7"/>
      <c r="Z49" s="7"/>
      <c r="AA49" s="33"/>
      <c r="AB49" s="7"/>
      <c r="AC49" s="7"/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/>
      <c r="Q50" s="7"/>
      <c r="R50" s="33"/>
      <c r="S50" s="33"/>
      <c r="T50" s="33"/>
      <c r="U50" s="7"/>
      <c r="V50" s="7"/>
      <c r="W50" s="33"/>
      <c r="X50" s="7"/>
      <c r="Y50" s="7"/>
      <c r="Z50" s="7"/>
      <c r="AA50" s="33"/>
      <c r="AB50" s="7"/>
      <c r="AC50" s="7"/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/>
      <c r="Q51" s="7"/>
      <c r="R51" s="33"/>
      <c r="S51" s="33"/>
      <c r="T51" s="33"/>
      <c r="U51" s="7"/>
      <c r="V51" s="7"/>
      <c r="W51" s="33"/>
      <c r="X51" s="7"/>
      <c r="Y51" s="7"/>
      <c r="Z51" s="7"/>
      <c r="AA51" s="33"/>
      <c r="AB51" s="7"/>
      <c r="AC51" s="7"/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/>
      <c r="Q52" s="7"/>
      <c r="R52" s="33"/>
      <c r="S52" s="33"/>
      <c r="T52" s="33"/>
      <c r="U52" s="7"/>
      <c r="V52" s="7"/>
      <c r="W52" s="33"/>
      <c r="X52" s="7"/>
      <c r="Y52" s="7"/>
      <c r="Z52" s="7"/>
      <c r="AA52" s="33"/>
      <c r="AB52" s="7"/>
      <c r="AC52" s="7"/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/>
      <c r="Q53" s="7"/>
      <c r="R53" s="33"/>
      <c r="S53" s="33"/>
      <c r="T53" s="33"/>
      <c r="U53" s="7"/>
      <c r="V53" s="7"/>
      <c r="W53" s="33"/>
      <c r="X53" s="7"/>
      <c r="Y53" s="7"/>
      <c r="Z53" s="7"/>
      <c r="AA53" s="33"/>
      <c r="AB53" s="7"/>
      <c r="AC53" s="7"/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/>
      <c r="Q54" s="7"/>
      <c r="R54" s="33"/>
      <c r="S54" s="33"/>
      <c r="T54" s="33"/>
      <c r="U54" s="7"/>
      <c r="V54" s="7"/>
      <c r="W54" s="33"/>
      <c r="X54" s="7"/>
      <c r="Y54" s="7"/>
      <c r="Z54" s="7"/>
      <c r="AA54" s="33"/>
      <c r="AB54" s="7"/>
      <c r="AC54" s="7"/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/>
      <c r="Q55" s="7"/>
      <c r="R55" s="33"/>
      <c r="S55" s="33"/>
      <c r="T55" s="33"/>
      <c r="U55" s="7"/>
      <c r="V55" s="7"/>
      <c r="W55" s="33"/>
      <c r="X55" s="7"/>
      <c r="Y55" s="7"/>
      <c r="Z55" s="7"/>
      <c r="AA55" s="33"/>
      <c r="AB55" s="7"/>
      <c r="AC55" s="7"/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/>
      <c r="Q56" s="7"/>
      <c r="R56" s="33"/>
      <c r="S56" s="33"/>
      <c r="T56" s="33"/>
      <c r="U56" s="7"/>
      <c r="V56" s="7"/>
      <c r="W56" s="33"/>
      <c r="X56" s="7"/>
      <c r="Y56" s="7"/>
      <c r="Z56" s="7"/>
      <c r="AA56" s="33"/>
      <c r="AB56" s="7"/>
      <c r="AC56" s="7"/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9"/>
      <c r="P57" s="7"/>
      <c r="Q57" s="7"/>
      <c r="R57" s="33"/>
      <c r="S57" s="33"/>
      <c r="T57" s="33"/>
      <c r="U57" s="7"/>
      <c r="V57" s="7"/>
      <c r="W57" s="33"/>
      <c r="X57" s="7"/>
      <c r="Y57" s="7"/>
      <c r="Z57" s="7"/>
      <c r="AA57" s="33"/>
      <c r="AB57" s="7"/>
      <c r="AC57" s="7"/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/>
      <c r="Q58" s="7"/>
      <c r="R58" s="33"/>
      <c r="S58" s="33"/>
      <c r="T58" s="33"/>
      <c r="U58" s="7"/>
      <c r="V58" s="7"/>
      <c r="W58" s="33"/>
      <c r="X58" s="7"/>
      <c r="Y58" s="7"/>
      <c r="Z58" s="7"/>
      <c r="AA58" s="33"/>
      <c r="AB58" s="7"/>
      <c r="AC58" s="7"/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/>
      <c r="Q59" s="7"/>
      <c r="R59" s="33"/>
      <c r="S59" s="33"/>
      <c r="T59" s="33"/>
      <c r="U59" s="7"/>
      <c r="V59" s="7"/>
      <c r="W59" s="33"/>
      <c r="X59" s="7"/>
      <c r="Y59" s="7"/>
      <c r="Z59" s="7"/>
      <c r="AA59" s="33"/>
      <c r="AB59" s="7"/>
      <c r="AC59" s="7"/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/>
      <c r="Q60" s="7"/>
      <c r="R60" s="33"/>
      <c r="S60" s="33"/>
      <c r="T60" s="33"/>
      <c r="U60" s="7"/>
      <c r="V60" s="7"/>
      <c r="W60" s="33"/>
      <c r="X60" s="7"/>
      <c r="Y60" s="7"/>
      <c r="Z60" s="7"/>
      <c r="AA60" s="33"/>
      <c r="AB60" s="7"/>
      <c r="AC60" s="7"/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/>
      <c r="Q61" s="7"/>
      <c r="R61" s="33"/>
      <c r="S61" s="33"/>
      <c r="T61" s="33"/>
      <c r="U61" s="7"/>
      <c r="V61" s="7"/>
      <c r="W61" s="33"/>
      <c r="X61" s="7"/>
      <c r="Y61" s="7"/>
      <c r="Z61" s="7"/>
      <c r="AA61" s="33"/>
      <c r="AB61" s="7"/>
      <c r="AC61" s="7"/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/>
      <c r="Q62" s="7"/>
      <c r="R62" s="33"/>
      <c r="S62" s="33"/>
      <c r="T62" s="33"/>
      <c r="U62" s="7"/>
      <c r="V62" s="7"/>
      <c r="W62" s="33"/>
      <c r="X62" s="7"/>
      <c r="Y62" s="7"/>
      <c r="Z62" s="7"/>
      <c r="AA62" s="33"/>
      <c r="AB62" s="7"/>
      <c r="AC62" s="7"/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/>
      <c r="Q63" s="7"/>
      <c r="R63" s="33"/>
      <c r="S63" s="33"/>
      <c r="T63" s="33"/>
      <c r="U63" s="7"/>
      <c r="V63" s="7"/>
      <c r="W63" s="33"/>
      <c r="X63" s="7"/>
      <c r="Y63" s="7"/>
      <c r="Z63" s="7"/>
      <c r="AA63" s="33"/>
      <c r="AB63" s="7"/>
      <c r="AC63" s="7"/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/>
      <c r="Q64" s="7"/>
      <c r="R64" s="33"/>
      <c r="S64" s="33"/>
      <c r="T64" s="33"/>
      <c r="U64" s="7"/>
      <c r="V64" s="7"/>
      <c r="W64" s="33"/>
      <c r="X64" s="7"/>
      <c r="Y64" s="7"/>
      <c r="Z64" s="7"/>
      <c r="AA64" s="33"/>
      <c r="AB64" s="7"/>
      <c r="AC64" s="7"/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/>
      <c r="Q65" s="7"/>
      <c r="R65" s="33"/>
      <c r="S65" s="33"/>
      <c r="T65" s="33"/>
      <c r="U65" s="7"/>
      <c r="V65" s="7"/>
      <c r="W65" s="33"/>
      <c r="X65" s="7"/>
      <c r="Y65" s="7"/>
      <c r="Z65" s="7"/>
      <c r="AA65" s="33"/>
      <c r="AB65" s="7"/>
      <c r="AC65" s="7"/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/>
      <c r="Q66" s="7"/>
      <c r="R66" s="33"/>
      <c r="S66" s="33"/>
      <c r="T66" s="33"/>
      <c r="U66" s="7"/>
      <c r="V66" s="7"/>
      <c r="W66" s="33"/>
      <c r="X66" s="7"/>
      <c r="Y66" s="7"/>
      <c r="Z66" s="7"/>
      <c r="AA66" s="33"/>
      <c r="AB66" s="7"/>
      <c r="AC66" s="7"/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/>
      <c r="Q67" s="7"/>
      <c r="R67" s="33"/>
      <c r="S67" s="33"/>
      <c r="T67" s="33"/>
      <c r="U67" s="7"/>
      <c r="V67" s="7"/>
      <c r="W67" s="33"/>
      <c r="X67" s="7"/>
      <c r="Y67" s="7"/>
      <c r="Z67" s="7"/>
      <c r="AA67" s="33"/>
      <c r="AB67" s="7"/>
      <c r="AC67" s="7"/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/>
      <c r="Q68" s="7"/>
      <c r="R68" s="33"/>
      <c r="S68" s="33"/>
      <c r="T68" s="33"/>
      <c r="U68" s="7"/>
      <c r="V68" s="7"/>
      <c r="W68" s="33"/>
      <c r="X68" s="7"/>
      <c r="Y68" s="7"/>
      <c r="Z68" s="7"/>
      <c r="AA68" s="33"/>
      <c r="AB68" s="7"/>
      <c r="AC68" s="7"/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/>
      <c r="Q69" s="7"/>
      <c r="R69" s="33"/>
      <c r="S69" s="33"/>
      <c r="T69" s="33"/>
      <c r="U69" s="7"/>
      <c r="V69" s="7"/>
      <c r="W69" s="33"/>
      <c r="X69" s="7"/>
      <c r="Y69" s="7"/>
      <c r="Z69" s="7"/>
      <c r="AA69" s="33"/>
      <c r="AB69" s="7"/>
      <c r="AC69" s="7"/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/>
      <c r="Q70" s="7"/>
      <c r="R70" s="33"/>
      <c r="S70" s="33"/>
      <c r="T70" s="33"/>
      <c r="U70" s="7"/>
      <c r="V70" s="7"/>
      <c r="W70" s="33"/>
      <c r="X70" s="7"/>
      <c r="Y70" s="7"/>
      <c r="Z70" s="7"/>
      <c r="AA70" s="33"/>
      <c r="AB70" s="7"/>
      <c r="AC70" s="7"/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7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41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7"/>
      <c r="W122" s="33"/>
      <c r="X122" s="7"/>
      <c r="Y122" s="7"/>
      <c r="Z122" s="7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1891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2020-04-16T15:02:20Z</dcterms:modified>
</cp:coreProperties>
</file>