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2"/>
  </bookViews>
  <sheets>
    <sheet name="Stock" sheetId="6" r:id="rId1"/>
    <sheet name="Option Strategies --&gt;" sheetId="8" r:id="rId2"/>
    <sheet name="Covered Calls" sheetId="7" r:id="rId3"/>
    <sheet name="Covered Call Performance" sheetId="9" r:id="rId4"/>
    <sheet name="Bull Put Spread" sheetId="10" r:id="rId5"/>
    <sheet name="Bull Put Spread Performance" sheetId="11" r:id="rId6"/>
    <sheet name="Bear Call Spread" sheetId="13" r:id="rId7"/>
    <sheet name="Reference Information" sheetId="5" r:id="rId8"/>
  </sheets>
  <functionGroups builtInGroupCount="18">
    <functionGroup name="ObjectHandler"/>
  </functionGroups>
  <definedNames>
    <definedName name="_xlnm._FilterDatabase" localSheetId="6" hidden="1">'Bear Call Spread'!$B$3:$AC$195</definedName>
    <definedName name="_xlnm._FilterDatabase" localSheetId="4" hidden="1">'Bull Put Spread'!$B$3:$AC$195</definedName>
    <definedName name="_xlnm._FilterDatabase" localSheetId="5" hidden="1">'Bull Put Spread Performance'!$B$3:$U$121</definedName>
    <definedName name="_xlnm._FilterDatabase" localSheetId="3" hidden="1">'Covered Call Performance'!$B$3:$U$121</definedName>
    <definedName name="_xlnm._FilterDatabase" localSheetId="2" hidden="1">'Covered Calls'!$B$3:$Z$3</definedName>
    <definedName name="_xlnm._FilterDatabase" localSheetId="0" hidden="1">Stock!$W$3:$AR$300</definedName>
  </definedNames>
  <calcPr calcId="162913" calcMode="manual" calcCompleted="0" calcOnSave="0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avg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igmoneyzack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db_crud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f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gol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nift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rat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getMFNAV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getStock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growthinco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max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high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ifty_sector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quote">
          <x14:argumentDescriptions count="1">
            <x14:argumentDescription index="0">Positional argument 1</x14:argumentDescription>
          </x14:argumentDescriptions>
        </x14:definedName>
        <x14:definedName name="mrigxl_ratePlo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ector_return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mallcapgrowt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tockquote">
          <x14:argumentDescriptions count="1">
            <x14:argumentDescription index="0">Positional argument 1</x14:argumentDescription>
          </x14:argumentDescriptions>
        </x14:definedName>
        <x14:definedName name="mrigxl_stored_strategies">
          <x14:argumentDescriptions count="1">
            <x14:argumentDescription index="0">Positional argument 1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rigxl_taf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top_mf_holdin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volSurfa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7" i="10" l="1"/>
  <c r="R7" i="10"/>
  <c r="S7" i="10" s="1"/>
  <c r="P7" i="10"/>
  <c r="Q7" i="10" s="1"/>
  <c r="U7" i="10" l="1"/>
  <c r="P26" i="10"/>
  <c r="R39" i="13" l="1"/>
  <c r="S39" i="13" s="1"/>
  <c r="P39" i="13"/>
  <c r="Q39" i="13" s="1"/>
  <c r="R38" i="13"/>
  <c r="T38" i="13" s="1"/>
  <c r="P38" i="13"/>
  <c r="Q38" i="13" s="1"/>
  <c r="R37" i="13"/>
  <c r="S37" i="13" s="1"/>
  <c r="P37" i="13"/>
  <c r="Q37" i="13" s="1"/>
  <c r="T36" i="13"/>
  <c r="S36" i="13"/>
  <c r="R36" i="13"/>
  <c r="P36" i="13"/>
  <c r="Q36" i="13" s="1"/>
  <c r="R35" i="13"/>
  <c r="Q35" i="13"/>
  <c r="P35" i="13"/>
  <c r="R34" i="13"/>
  <c r="S34" i="13" s="1"/>
  <c r="P34" i="13"/>
  <c r="Q34" i="13" s="1"/>
  <c r="R33" i="13"/>
  <c r="S33" i="13" s="1"/>
  <c r="P33" i="13"/>
  <c r="Q33" i="13" s="1"/>
  <c r="R32" i="13"/>
  <c r="P32" i="13"/>
  <c r="Q32" i="13" s="1"/>
  <c r="R31" i="13"/>
  <c r="S31" i="13" s="1"/>
  <c r="P31" i="13"/>
  <c r="Q31" i="13" s="1"/>
  <c r="R30" i="13"/>
  <c r="T30" i="13" s="1"/>
  <c r="P30" i="13"/>
  <c r="Q30" i="13" s="1"/>
  <c r="R29" i="13"/>
  <c r="S29" i="13" s="1"/>
  <c r="P29" i="13"/>
  <c r="Q29" i="13" s="1"/>
  <c r="T28" i="13"/>
  <c r="R28" i="13"/>
  <c r="S28" i="13" s="1"/>
  <c r="P28" i="13"/>
  <c r="Q28" i="13" s="1"/>
  <c r="R27" i="13"/>
  <c r="P27" i="13"/>
  <c r="Q27" i="13" s="1"/>
  <c r="T26" i="13"/>
  <c r="R26" i="13"/>
  <c r="S26" i="13" s="1"/>
  <c r="P26" i="13"/>
  <c r="Q26" i="13" s="1"/>
  <c r="R25" i="13"/>
  <c r="S25" i="13" s="1"/>
  <c r="P25" i="13"/>
  <c r="Q25" i="13" s="1"/>
  <c r="R24" i="13"/>
  <c r="P24" i="13"/>
  <c r="Q24" i="13" s="1"/>
  <c r="T23" i="13"/>
  <c r="U23" i="13" s="1"/>
  <c r="R23" i="13"/>
  <c r="S23" i="13" s="1"/>
  <c r="P23" i="13"/>
  <c r="Q23" i="13" s="1"/>
  <c r="R22" i="13"/>
  <c r="P22" i="13"/>
  <c r="Q22" i="13" s="1"/>
  <c r="R21" i="13"/>
  <c r="S21" i="13" s="1"/>
  <c r="Q21" i="13"/>
  <c r="P21" i="13"/>
  <c r="R20" i="13"/>
  <c r="S20" i="13" s="1"/>
  <c r="P20" i="13"/>
  <c r="Q20" i="13" s="1"/>
  <c r="R19" i="13"/>
  <c r="P19" i="13"/>
  <c r="Q19" i="13" s="1"/>
  <c r="T18" i="13"/>
  <c r="U18" i="13" s="1"/>
  <c r="R18" i="13"/>
  <c r="S18" i="13" s="1"/>
  <c r="P18" i="13"/>
  <c r="Q18" i="13" s="1"/>
  <c r="T17" i="13"/>
  <c r="U17" i="13" s="1"/>
  <c r="R17" i="13"/>
  <c r="S17" i="13" s="1"/>
  <c r="P17" i="13"/>
  <c r="Q17" i="13" s="1"/>
  <c r="R16" i="13"/>
  <c r="P16" i="13"/>
  <c r="Q16" i="13" s="1"/>
  <c r="R15" i="13"/>
  <c r="P15" i="13"/>
  <c r="Q15" i="13" s="1"/>
  <c r="T14" i="13"/>
  <c r="U14" i="13" s="1"/>
  <c r="S14" i="13"/>
  <c r="R14" i="13"/>
  <c r="P14" i="13"/>
  <c r="Q14" i="13" s="1"/>
  <c r="R13" i="13"/>
  <c r="Q13" i="13"/>
  <c r="P13" i="13"/>
  <c r="S12" i="13"/>
  <c r="R12" i="13"/>
  <c r="T12" i="13" s="1"/>
  <c r="U12" i="13" s="1"/>
  <c r="P12" i="13"/>
  <c r="Q12" i="13" s="1"/>
  <c r="R11" i="13"/>
  <c r="Q11" i="13"/>
  <c r="P11" i="13"/>
  <c r="R10" i="13"/>
  <c r="S10" i="13" s="1"/>
  <c r="P10" i="13"/>
  <c r="Q10" i="13" s="1"/>
  <c r="R9" i="13"/>
  <c r="P9" i="13"/>
  <c r="Q9" i="13" s="1"/>
  <c r="R8" i="13"/>
  <c r="T8" i="13" s="1"/>
  <c r="P8" i="13"/>
  <c r="Q8" i="13" s="1"/>
  <c r="R7" i="13"/>
  <c r="S7" i="13" s="1"/>
  <c r="Q7" i="13"/>
  <c r="P7" i="13"/>
  <c r="R6" i="13"/>
  <c r="P6" i="13"/>
  <c r="Q6" i="13" s="1"/>
  <c r="R5" i="13"/>
  <c r="S5" i="13" s="1"/>
  <c r="P5" i="13"/>
  <c r="Q5" i="13" s="1"/>
  <c r="R27" i="10"/>
  <c r="P27" i="10"/>
  <c r="Q27" i="10" s="1"/>
  <c r="R4" i="10"/>
  <c r="P4" i="10"/>
  <c r="Q4" i="10" s="1"/>
  <c r="R32" i="10"/>
  <c r="T32" i="10" s="1"/>
  <c r="P32" i="10"/>
  <c r="Q32" i="10" s="1"/>
  <c r="R20" i="10"/>
  <c r="P20" i="10"/>
  <c r="Q20" i="10" s="1"/>
  <c r="R10" i="10"/>
  <c r="P10" i="10"/>
  <c r="Q10" i="10" s="1"/>
  <c r="R28" i="10"/>
  <c r="S28" i="10" s="1"/>
  <c r="P28" i="10"/>
  <c r="Q28" i="10" s="1"/>
  <c r="R17" i="10"/>
  <c r="P17" i="10"/>
  <c r="Q17" i="10" s="1"/>
  <c r="R13" i="10"/>
  <c r="S13" i="10" s="1"/>
  <c r="P13" i="10"/>
  <c r="Q13" i="10" s="1"/>
  <c r="R9" i="10"/>
  <c r="S9" i="10" s="1"/>
  <c r="P9" i="10"/>
  <c r="Q9" i="10" s="1"/>
  <c r="R30" i="10"/>
  <c r="T30" i="10" s="1"/>
  <c r="P30" i="10"/>
  <c r="Q30" i="10" s="1"/>
  <c r="R5" i="10"/>
  <c r="S5" i="10" s="1"/>
  <c r="P5" i="10"/>
  <c r="Q5" i="10" s="1"/>
  <c r="R23" i="10"/>
  <c r="T23" i="10" s="1"/>
  <c r="P23" i="10"/>
  <c r="Q23" i="10" s="1"/>
  <c r="R21" i="10"/>
  <c r="T21" i="10" s="1"/>
  <c r="P21" i="10"/>
  <c r="Q21" i="10" s="1"/>
  <c r="R6" i="10"/>
  <c r="T6" i="10" s="1"/>
  <c r="P6" i="10"/>
  <c r="Q6" i="10" s="1"/>
  <c r="R16" i="10"/>
  <c r="P16" i="10"/>
  <c r="Q16" i="10" s="1"/>
  <c r="R18" i="10"/>
  <c r="S18" i="10" s="1"/>
  <c r="P18" i="10"/>
  <c r="Q18" i="10" s="1"/>
  <c r="R31" i="10"/>
  <c r="T31" i="10" s="1"/>
  <c r="P31" i="10"/>
  <c r="Q31" i="10" s="1"/>
  <c r="R29" i="10"/>
  <c r="P29" i="10"/>
  <c r="Q29" i="10" s="1"/>
  <c r="R8" i="10"/>
  <c r="T8" i="10" s="1"/>
  <c r="P8" i="10"/>
  <c r="Q8" i="10" s="1"/>
  <c r="R24" i="10"/>
  <c r="T24" i="10" s="1"/>
  <c r="P24" i="10"/>
  <c r="Q24" i="10" s="1"/>
  <c r="R15" i="10"/>
  <c r="T15" i="10" s="1"/>
  <c r="P15" i="10"/>
  <c r="Q15" i="10" s="1"/>
  <c r="R12" i="10"/>
  <c r="P12" i="10"/>
  <c r="Q12" i="10" s="1"/>
  <c r="R19" i="10"/>
  <c r="T19" i="10" s="1"/>
  <c r="P19" i="10"/>
  <c r="Q19" i="10" s="1"/>
  <c r="R14" i="10"/>
  <c r="P14" i="10"/>
  <c r="Q14" i="10" s="1"/>
  <c r="R25" i="10"/>
  <c r="S25" i="10" s="1"/>
  <c r="P25" i="10"/>
  <c r="Q25" i="10" s="1"/>
  <c r="R11" i="10"/>
  <c r="T11" i="10" s="1"/>
  <c r="P11" i="10"/>
  <c r="Q11" i="10" s="1"/>
  <c r="R22" i="10"/>
  <c r="T22" i="10" s="1"/>
  <c r="P22" i="10"/>
  <c r="Q22" i="10" s="1"/>
  <c r="V33" i="13"/>
  <c r="V25" i="13"/>
  <c r="V17" i="13"/>
  <c r="Z12" i="13"/>
  <c r="V39" i="13"/>
  <c r="V31" i="13"/>
  <c r="V23" i="13"/>
  <c r="Z39" i="13"/>
  <c r="V18" i="13"/>
  <c r="V9" i="13"/>
  <c r="Z34" i="13"/>
  <c r="V16" i="13"/>
  <c r="V37" i="13"/>
  <c r="V24" i="13"/>
  <c r="V13" i="13"/>
  <c r="V21" i="13"/>
  <c r="V27" i="13"/>
  <c r="V4" i="10"/>
  <c r="Z27" i="10"/>
  <c r="Z32" i="10"/>
  <c r="Z7" i="10"/>
  <c r="V23" i="10"/>
  <c r="V20" i="10"/>
  <c r="V31" i="10"/>
  <c r="Z19" i="10"/>
  <c r="Z20" i="10"/>
  <c r="V5" i="10"/>
  <c r="Z10" i="10"/>
  <c r="V8" i="10"/>
  <c r="Z5" i="10"/>
  <c r="Z15" i="10"/>
  <c r="Z32" i="13"/>
  <c r="Z24" i="13"/>
  <c r="Z16" i="13"/>
  <c r="V12" i="13"/>
  <c r="Z38" i="13"/>
  <c r="Z30" i="13"/>
  <c r="Z22" i="13"/>
  <c r="V35" i="13"/>
  <c r="Z15" i="13"/>
  <c r="Z8" i="13"/>
  <c r="V26" i="13"/>
  <c r="Z9" i="13"/>
  <c r="V34" i="13"/>
  <c r="Z21" i="13"/>
  <c r="V11" i="13"/>
  <c r="V32" i="13"/>
  <c r="Z18" i="13"/>
  <c r="V17" i="10"/>
  <c r="Z25" i="10"/>
  <c r="Z6" i="10"/>
  <c r="V14" i="10"/>
  <c r="Z22" i="10"/>
  <c r="Z12" i="10"/>
  <c r="Z23" i="10"/>
  <c r="V9" i="10"/>
  <c r="Z14" i="10"/>
  <c r="Z30" i="10"/>
  <c r="Z29" i="10"/>
  <c r="V28" i="10"/>
  <c r="Z17" i="10"/>
  <c r="Z9" i="10"/>
  <c r="V38" i="13"/>
  <c r="V30" i="13"/>
  <c r="V22" i="13"/>
  <c r="Z14" i="13"/>
  <c r="Z10" i="13"/>
  <c r="V36" i="13"/>
  <c r="V28" i="13"/>
  <c r="V20" i="13"/>
  <c r="V29" i="13"/>
  <c r="Z13" i="13"/>
  <c r="V6" i="13"/>
  <c r="Z23" i="13"/>
  <c r="V7" i="13"/>
  <c r="Z31" i="13"/>
  <c r="V19" i="13"/>
  <c r="Z7" i="13"/>
  <c r="Z29" i="13"/>
  <c r="Z5" i="13"/>
  <c r="V10" i="10"/>
  <c r="V32" i="10"/>
  <c r="V21" i="10"/>
  <c r="Z24" i="10"/>
  <c r="V30" i="10"/>
  <c r="V15" i="10"/>
  <c r="V16" i="10"/>
  <c r="V29" i="10"/>
  <c r="V12" i="10"/>
  <c r="Z8" i="10"/>
  <c r="Z4" i="10"/>
  <c r="V27" i="10"/>
  <c r="V6" i="10"/>
  <c r="Z18" i="10"/>
  <c r="Z35" i="13"/>
  <c r="Z27" i="13"/>
  <c r="Z19" i="13"/>
  <c r="V14" i="13"/>
  <c r="V10" i="13"/>
  <c r="Z33" i="13"/>
  <c r="Z25" i="13"/>
  <c r="Z17" i="13"/>
  <c r="Z26" i="13"/>
  <c r="Z11" i="13"/>
  <c r="Z37" i="13"/>
  <c r="Z20" i="13"/>
  <c r="Z6" i="13"/>
  <c r="Z28" i="13"/>
  <c r="V15" i="13"/>
  <c r="V5" i="13"/>
  <c r="V8" i="13"/>
  <c r="Z36" i="13"/>
  <c r="V24" i="10"/>
  <c r="Z28" i="10"/>
  <c r="V7" i="10"/>
  <c r="Z11" i="10"/>
  <c r="V22" i="10"/>
  <c r="V25" i="10"/>
  <c r="Z13" i="10"/>
  <c r="V11" i="10"/>
  <c r="Z21" i="10"/>
  <c r="Z16" i="10"/>
  <c r="V13" i="10"/>
  <c r="V19" i="10"/>
  <c r="Z31" i="10"/>
  <c r="V18" i="10"/>
  <c r="T7" i="13" l="1"/>
  <c r="U7" i="13" s="1"/>
  <c r="T10" i="13"/>
  <c r="T20" i="13"/>
  <c r="U20" i="13" s="1"/>
  <c r="T21" i="13"/>
  <c r="U21" i="13" s="1"/>
  <c r="T29" i="13"/>
  <c r="U29" i="13" s="1"/>
  <c r="S30" i="13"/>
  <c r="T33" i="13"/>
  <c r="U33" i="13" s="1"/>
  <c r="S38" i="13"/>
  <c r="U36" i="13"/>
  <c r="S8" i="13"/>
  <c r="U8" i="13" s="1"/>
  <c r="T31" i="13"/>
  <c r="U31" i="13" s="1"/>
  <c r="T34" i="13"/>
  <c r="U34" i="13" s="1"/>
  <c r="T39" i="13"/>
  <c r="U39" i="13" s="1"/>
  <c r="S15" i="10"/>
  <c r="S22" i="10"/>
  <c r="T18" i="10"/>
  <c r="T25" i="10"/>
  <c r="U25" i="10" s="1"/>
  <c r="S31" i="10"/>
  <c r="U31" i="10" s="1"/>
  <c r="T9" i="10"/>
  <c r="S8" i="10"/>
  <c r="U8" i="10" s="1"/>
  <c r="S19" i="10"/>
  <c r="U19" i="10" s="1"/>
  <c r="S23" i="10"/>
  <c r="U23" i="10" s="1"/>
  <c r="T5" i="10"/>
  <c r="U5" i="10" s="1"/>
  <c r="U15" i="10"/>
  <c r="S21" i="10"/>
  <c r="U21" i="10" s="1"/>
  <c r="S30" i="10"/>
  <c r="U30" i="10" s="1"/>
  <c r="T28" i="10"/>
  <c r="U28" i="10" s="1"/>
  <c r="S32" i="10"/>
  <c r="U32" i="10" s="1"/>
  <c r="U22" i="10"/>
  <c r="S6" i="10"/>
  <c r="U6" i="10" s="1"/>
  <c r="AA36" i="13"/>
  <c r="AB36" i="13" s="1"/>
  <c r="AA5" i="13"/>
  <c r="AB5" i="13" s="1"/>
  <c r="AA18" i="13"/>
  <c r="AB18" i="13" s="1"/>
  <c r="W27" i="13"/>
  <c r="X27" i="13" s="1"/>
  <c r="W8" i="13"/>
  <c r="X8" i="13" s="1"/>
  <c r="AA29" i="13"/>
  <c r="AB29" i="13" s="1"/>
  <c r="W32" i="13"/>
  <c r="X32" i="13" s="1"/>
  <c r="W21" i="13"/>
  <c r="X21" i="13" s="1"/>
  <c r="W5" i="13"/>
  <c r="X5" i="13" s="1"/>
  <c r="AA7" i="13"/>
  <c r="AB7" i="13" s="1"/>
  <c r="W11" i="13"/>
  <c r="X11" i="13" s="1"/>
  <c r="W13" i="13"/>
  <c r="X13" i="13" s="1"/>
  <c r="W15" i="13"/>
  <c r="X15" i="13" s="1"/>
  <c r="W19" i="13"/>
  <c r="X19" i="13" s="1"/>
  <c r="AA21" i="13"/>
  <c r="AB21" i="13" s="1"/>
  <c r="W24" i="13"/>
  <c r="X24" i="13" s="1"/>
  <c r="AA28" i="13"/>
  <c r="AB28" i="13" s="1"/>
  <c r="AA31" i="13"/>
  <c r="AB31" i="13" s="1"/>
  <c r="W34" i="13"/>
  <c r="X34" i="13" s="1"/>
  <c r="W37" i="13"/>
  <c r="X37" i="13" s="1"/>
  <c r="AA6" i="13"/>
  <c r="AB6" i="13" s="1"/>
  <c r="W7" i="13"/>
  <c r="X7" i="13" s="1"/>
  <c r="AA9" i="13"/>
  <c r="AB9" i="13" s="1"/>
  <c r="W16" i="13"/>
  <c r="X16" i="13" s="1"/>
  <c r="AA20" i="13"/>
  <c r="AB20" i="13" s="1"/>
  <c r="AA23" i="13"/>
  <c r="AB23" i="13" s="1"/>
  <c r="W26" i="13"/>
  <c r="X26" i="13" s="1"/>
  <c r="AA34" i="13"/>
  <c r="AB34" i="13" s="1"/>
  <c r="AC34" i="13" s="1"/>
  <c r="AA37" i="13"/>
  <c r="AB37" i="13" s="1"/>
  <c r="W6" i="13"/>
  <c r="X6" i="13" s="1"/>
  <c r="AA8" i="13"/>
  <c r="AB8" i="13" s="1"/>
  <c r="W9" i="13"/>
  <c r="X9" i="13" s="1"/>
  <c r="AA11" i="13"/>
  <c r="AB11" i="13" s="1"/>
  <c r="AA13" i="13"/>
  <c r="AB13" i="13" s="1"/>
  <c r="AA15" i="13"/>
  <c r="AB15" i="13" s="1"/>
  <c r="W18" i="13"/>
  <c r="X18" i="13" s="1"/>
  <c r="Y18" i="13" s="1"/>
  <c r="AA26" i="13"/>
  <c r="AB26" i="13" s="1"/>
  <c r="W29" i="13"/>
  <c r="X29" i="13" s="1"/>
  <c r="W35" i="13"/>
  <c r="X35" i="13" s="1"/>
  <c r="AA39" i="13"/>
  <c r="AB39" i="13" s="1"/>
  <c r="AA17" i="13"/>
  <c r="AB17" i="13" s="1"/>
  <c r="W20" i="13"/>
  <c r="X20" i="13" s="1"/>
  <c r="AA22" i="13"/>
  <c r="AB22" i="13" s="1"/>
  <c r="W23" i="13"/>
  <c r="X23" i="13" s="1"/>
  <c r="Y23" i="13" s="1"/>
  <c r="AA25" i="13"/>
  <c r="AB25" i="13" s="1"/>
  <c r="W28" i="13"/>
  <c r="X28" i="13" s="1"/>
  <c r="AA30" i="13"/>
  <c r="AB30" i="13" s="1"/>
  <c r="W31" i="13"/>
  <c r="X31" i="13" s="1"/>
  <c r="Y31" i="13" s="1"/>
  <c r="AA33" i="13"/>
  <c r="AB33" i="13" s="1"/>
  <c r="W36" i="13"/>
  <c r="X36" i="13" s="1"/>
  <c r="AA38" i="13"/>
  <c r="AB38" i="13" s="1"/>
  <c r="W39" i="13"/>
  <c r="X39" i="13" s="1"/>
  <c r="Y39" i="13" s="1"/>
  <c r="W10" i="13"/>
  <c r="X10" i="13" s="1"/>
  <c r="AA10" i="13"/>
  <c r="AB10" i="13" s="1"/>
  <c r="W12" i="13"/>
  <c r="X12" i="13" s="1"/>
  <c r="Y12" i="13" s="1"/>
  <c r="AA12" i="13"/>
  <c r="AB12" i="13" s="1"/>
  <c r="AC12" i="13" s="1"/>
  <c r="W14" i="13"/>
  <c r="X14" i="13" s="1"/>
  <c r="AA14" i="13"/>
  <c r="AB14" i="13" s="1"/>
  <c r="AA16" i="13"/>
  <c r="AB16" i="13" s="1"/>
  <c r="W17" i="13"/>
  <c r="X17" i="13" s="1"/>
  <c r="Y17" i="13" s="1"/>
  <c r="AA19" i="13"/>
  <c r="AB19" i="13" s="1"/>
  <c r="W22" i="13"/>
  <c r="X22" i="13" s="1"/>
  <c r="AA24" i="13"/>
  <c r="AB24" i="13" s="1"/>
  <c r="W25" i="13"/>
  <c r="X25" i="13" s="1"/>
  <c r="AA27" i="13"/>
  <c r="AB27" i="13" s="1"/>
  <c r="W30" i="13"/>
  <c r="X30" i="13" s="1"/>
  <c r="AA32" i="13"/>
  <c r="AB32" i="13" s="1"/>
  <c r="W33" i="13"/>
  <c r="X33" i="13" s="1"/>
  <c r="Y33" i="13" s="1"/>
  <c r="AA35" i="13"/>
  <c r="AB35" i="13" s="1"/>
  <c r="W38" i="13"/>
  <c r="X38" i="13" s="1"/>
  <c r="S19" i="13"/>
  <c r="T19" i="13"/>
  <c r="T12" i="10"/>
  <c r="S12" i="10"/>
  <c r="U9" i="10"/>
  <c r="AC7" i="13"/>
  <c r="S9" i="13"/>
  <c r="T9" i="13"/>
  <c r="AC17" i="13"/>
  <c r="AC20" i="13"/>
  <c r="Y20" i="13"/>
  <c r="T22" i="13"/>
  <c r="S22" i="13"/>
  <c r="S4" i="10"/>
  <c r="T4" i="10"/>
  <c r="AC31" i="13"/>
  <c r="T14" i="10"/>
  <c r="S14" i="10"/>
  <c r="Y7" i="13"/>
  <c r="U10" i="13"/>
  <c r="AC14" i="13"/>
  <c r="Y14" i="13"/>
  <c r="AC23" i="13"/>
  <c r="T24" i="13"/>
  <c r="S24" i="13"/>
  <c r="U18" i="10"/>
  <c r="T10" i="10"/>
  <c r="S10" i="10"/>
  <c r="T6" i="13"/>
  <c r="S6" i="13"/>
  <c r="AC33" i="13"/>
  <c r="Y34" i="13"/>
  <c r="AC39" i="13"/>
  <c r="T16" i="13"/>
  <c r="S16" i="13"/>
  <c r="U26" i="13"/>
  <c r="U38" i="13"/>
  <c r="AC18" i="13"/>
  <c r="Y29" i="13"/>
  <c r="AC29" i="13"/>
  <c r="S35" i="13"/>
  <c r="T35" i="13"/>
  <c r="AC36" i="13"/>
  <c r="Y36" i="13"/>
  <c r="S24" i="10"/>
  <c r="U24" i="10" s="1"/>
  <c r="T13" i="10"/>
  <c r="U13" i="10" s="1"/>
  <c r="T5" i="13"/>
  <c r="U5" i="13" s="1"/>
  <c r="T11" i="13"/>
  <c r="S11" i="13"/>
  <c r="T13" i="13"/>
  <c r="U13" i="13" s="1"/>
  <c r="S13" i="13"/>
  <c r="T15" i="13"/>
  <c r="S15" i="13"/>
  <c r="Y21" i="13"/>
  <c r="AC21" i="13"/>
  <c r="T25" i="13"/>
  <c r="U25" i="13" s="1"/>
  <c r="S27" i="13"/>
  <c r="T27" i="13"/>
  <c r="U27" i="13" s="1"/>
  <c r="U28" i="13"/>
  <c r="U30" i="13"/>
  <c r="T32" i="13"/>
  <c r="S32" i="13"/>
  <c r="T37" i="13"/>
  <c r="U37" i="13" s="1"/>
  <c r="AA19" i="10"/>
  <c r="AB19" i="10" s="1"/>
  <c r="W11" i="10"/>
  <c r="AA12" i="10"/>
  <c r="AB12" i="10" s="1"/>
  <c r="AA16" i="10"/>
  <c r="AB16" i="10" s="1"/>
  <c r="AA11" i="10"/>
  <c r="AB11" i="10" s="1"/>
  <c r="W19" i="10"/>
  <c r="X19" i="10" s="1"/>
  <c r="W12" i="10"/>
  <c r="AA24" i="10"/>
  <c r="AB24" i="10" s="1"/>
  <c r="W7" i="10"/>
  <c r="X7" i="10" s="1"/>
  <c r="AA4" i="10"/>
  <c r="AB4" i="10" s="1"/>
  <c r="W22" i="10"/>
  <c r="X22" i="10" s="1"/>
  <c r="AA22" i="10"/>
  <c r="AB22" i="10" s="1"/>
  <c r="W25" i="10"/>
  <c r="X25" i="10" s="1"/>
  <c r="AA25" i="10"/>
  <c r="AB25" i="10" s="1"/>
  <c r="W14" i="10"/>
  <c r="AA14" i="10"/>
  <c r="AB14" i="10" s="1"/>
  <c r="AA29" i="10"/>
  <c r="AB29" i="10" s="1"/>
  <c r="W10" i="10"/>
  <c r="X10" i="10" s="1"/>
  <c r="W24" i="10"/>
  <c r="X24" i="10" s="1"/>
  <c r="AA9" i="10"/>
  <c r="AB9" i="10" s="1"/>
  <c r="AC9" i="10" s="1"/>
  <c r="AA13" i="10"/>
  <c r="AB13" i="10" s="1"/>
  <c r="W29" i="10"/>
  <c r="W16" i="10"/>
  <c r="AA7" i="10"/>
  <c r="AB7" i="10" s="1"/>
  <c r="W30" i="10"/>
  <c r="W27" i="10"/>
  <c r="W15" i="10"/>
  <c r="X15" i="10" s="1"/>
  <c r="Y15" i="10" s="1"/>
  <c r="AA15" i="10"/>
  <c r="AB15" i="10" s="1"/>
  <c r="AC15" i="10" s="1"/>
  <c r="W8" i="10"/>
  <c r="X8" i="10" s="1"/>
  <c r="AA8" i="10"/>
  <c r="AB8" i="10" s="1"/>
  <c r="W31" i="10"/>
  <c r="X31" i="10" s="1"/>
  <c r="AA31" i="10"/>
  <c r="AB31" i="10" s="1"/>
  <c r="W18" i="10"/>
  <c r="X18" i="10" s="1"/>
  <c r="AA18" i="10"/>
  <c r="AB18" i="10" s="1"/>
  <c r="W6" i="10"/>
  <c r="X6" i="10" s="1"/>
  <c r="AA6" i="10"/>
  <c r="AB6" i="10" s="1"/>
  <c r="W21" i="10"/>
  <c r="AA21" i="10"/>
  <c r="AB21" i="10" s="1"/>
  <c r="W5" i="10"/>
  <c r="X5" i="10" s="1"/>
  <c r="Y5" i="10" s="1"/>
  <c r="AA5" i="10"/>
  <c r="AB5" i="10" s="1"/>
  <c r="AC5" i="10" s="1"/>
  <c r="W9" i="10"/>
  <c r="X9" i="10" s="1"/>
  <c r="Y9" i="10" s="1"/>
  <c r="W13" i="10"/>
  <c r="X13" i="10" s="1"/>
  <c r="AA28" i="10"/>
  <c r="AB28" i="10" s="1"/>
  <c r="AC28" i="10" s="1"/>
  <c r="AA32" i="10"/>
  <c r="AB32" i="10" s="1"/>
  <c r="W4" i="10"/>
  <c r="AA17" i="10"/>
  <c r="AB17" i="10" s="1"/>
  <c r="W28" i="10"/>
  <c r="X28" i="10" s="1"/>
  <c r="Y28" i="10" s="1"/>
  <c r="AA20" i="10"/>
  <c r="AB20" i="10" s="1"/>
  <c r="W32" i="10"/>
  <c r="X32" i="10" s="1"/>
  <c r="AA27" i="10"/>
  <c r="AB27" i="10" s="1"/>
  <c r="W23" i="10"/>
  <c r="X23" i="10" s="1"/>
  <c r="AA23" i="10"/>
  <c r="AB23" i="10" s="1"/>
  <c r="AA30" i="10"/>
  <c r="AB30" i="10" s="1"/>
  <c r="W17" i="10"/>
  <c r="AA10" i="10"/>
  <c r="AB10" i="10" s="1"/>
  <c r="W20" i="10"/>
  <c r="T29" i="10"/>
  <c r="S29" i="10"/>
  <c r="T17" i="10"/>
  <c r="S17" i="10"/>
  <c r="S11" i="10"/>
  <c r="U11" i="10" s="1"/>
  <c r="T16" i="10"/>
  <c r="S16" i="10"/>
  <c r="AC13" i="10"/>
  <c r="S20" i="10"/>
  <c r="T20" i="10"/>
  <c r="T27" i="10"/>
  <c r="S27" i="10"/>
  <c r="P4" i="13"/>
  <c r="AC8" i="13" l="1"/>
  <c r="Y8" i="13"/>
  <c r="U22" i="13"/>
  <c r="U9" i="13"/>
  <c r="Y9" i="13" s="1"/>
  <c r="AC22" i="10"/>
  <c r="Y19" i="10"/>
  <c r="Y22" i="10"/>
  <c r="AC32" i="10"/>
  <c r="AC19" i="10"/>
  <c r="X30" i="10"/>
  <c r="Y30" i="10" s="1"/>
  <c r="X14" i="10"/>
  <c r="Y23" i="10"/>
  <c r="Y13" i="10"/>
  <c r="AC21" i="10"/>
  <c r="AC31" i="10"/>
  <c r="Y32" i="10"/>
  <c r="AC23" i="10"/>
  <c r="U12" i="10"/>
  <c r="AC12" i="10" s="1"/>
  <c r="AC6" i="10"/>
  <c r="X21" i="10"/>
  <c r="Y31" i="10"/>
  <c r="Y21" i="10"/>
  <c r="Y6" i="10"/>
  <c r="U10" i="10"/>
  <c r="Y10" i="10" s="1"/>
  <c r="AC8" i="10"/>
  <c r="AC24" i="10"/>
  <c r="AC25" i="10"/>
  <c r="AC18" i="10"/>
  <c r="Y27" i="13"/>
  <c r="AC27" i="13"/>
  <c r="U16" i="10"/>
  <c r="AC16" i="10" s="1"/>
  <c r="Y24" i="10"/>
  <c r="Y25" i="10"/>
  <c r="X4" i="10"/>
  <c r="U32" i="13"/>
  <c r="U16" i="13"/>
  <c r="U6" i="13"/>
  <c r="U24" i="13"/>
  <c r="AC9" i="13"/>
  <c r="U20" i="10"/>
  <c r="AC20" i="10" s="1"/>
  <c r="X12" i="10"/>
  <c r="Y12" i="10" s="1"/>
  <c r="AC30" i="13"/>
  <c r="Y30" i="13"/>
  <c r="AC25" i="13"/>
  <c r="Y25" i="13"/>
  <c r="U15" i="13"/>
  <c r="U11" i="13"/>
  <c r="AC38" i="13"/>
  <c r="Y38" i="13"/>
  <c r="AC10" i="13"/>
  <c r="Y10" i="13"/>
  <c r="U14" i="10"/>
  <c r="Y13" i="13"/>
  <c r="AC13" i="13"/>
  <c r="AC22" i="13"/>
  <c r="Y22" i="13"/>
  <c r="AC30" i="10"/>
  <c r="Y18" i="10"/>
  <c r="Y8" i="10"/>
  <c r="Y37" i="13"/>
  <c r="AC37" i="13"/>
  <c r="AC28" i="13"/>
  <c r="Y28" i="13"/>
  <c r="Y5" i="13"/>
  <c r="AC5" i="13"/>
  <c r="U35" i="13"/>
  <c r="AC26" i="13"/>
  <c r="Y26" i="13"/>
  <c r="U4" i="10"/>
  <c r="U19" i="13"/>
  <c r="AC7" i="10"/>
  <c r="Y7" i="10"/>
  <c r="X17" i="10"/>
  <c r="AC11" i="10"/>
  <c r="U17" i="10"/>
  <c r="U29" i="10"/>
  <c r="X27" i="10"/>
  <c r="X11" i="10"/>
  <c r="Y11" i="10" s="1"/>
  <c r="U27" i="10"/>
  <c r="X20" i="10"/>
  <c r="X16" i="10"/>
  <c r="X29" i="10"/>
  <c r="Q4" i="13"/>
  <c r="R4" i="13"/>
  <c r="S4" i="13" s="1"/>
  <c r="AG3" i="13"/>
  <c r="Z4" i="13"/>
  <c r="V4" i="13"/>
  <c r="Y16" i="10" l="1"/>
  <c r="AC10" i="10"/>
  <c r="Y14" i="10"/>
  <c r="AC14" i="10"/>
  <c r="T4" i="13"/>
  <c r="Y20" i="10"/>
  <c r="Y19" i="13"/>
  <c r="AC19" i="13"/>
  <c r="AC15" i="13"/>
  <c r="Y15" i="13"/>
  <c r="AC16" i="13"/>
  <c r="Y16" i="13"/>
  <c r="AC24" i="13"/>
  <c r="Y24" i="13"/>
  <c r="Y11" i="13"/>
  <c r="AC11" i="13"/>
  <c r="AC6" i="13"/>
  <c r="Y6" i="13"/>
  <c r="Y4" i="10"/>
  <c r="AC4" i="10"/>
  <c r="Y35" i="13"/>
  <c r="AC35" i="13"/>
  <c r="AC32" i="13"/>
  <c r="Y32" i="13"/>
  <c r="AC27" i="10"/>
  <c r="Y27" i="10"/>
  <c r="AC29" i="10"/>
  <c r="Y29" i="10"/>
  <c r="AC17" i="10"/>
  <c r="Y17" i="10"/>
  <c r="U4" i="13"/>
  <c r="W4" i="13"/>
  <c r="X4" i="13" s="1"/>
  <c r="Y4" i="13" s="1"/>
  <c r="AA4" i="13"/>
  <c r="AB4" i="13" s="1"/>
  <c r="AC4" i="13" s="1"/>
  <c r="R26" i="10"/>
  <c r="T26" i="10" s="1"/>
  <c r="S26" i="10" l="1"/>
  <c r="U26" i="10" s="1"/>
  <c r="U121" i="11"/>
  <c r="O121" i="11"/>
  <c r="P121" i="11" s="1"/>
  <c r="U120" i="11"/>
  <c r="P120" i="11"/>
  <c r="O120" i="11"/>
  <c r="U119" i="11"/>
  <c r="O119" i="11"/>
  <c r="P119" i="11" s="1"/>
  <c r="U118" i="11"/>
  <c r="O118" i="11"/>
  <c r="P118" i="11" s="1"/>
  <c r="U117" i="11"/>
  <c r="O117" i="11"/>
  <c r="P117" i="11" s="1"/>
  <c r="U116" i="11"/>
  <c r="P116" i="11"/>
  <c r="O116" i="11"/>
  <c r="U115" i="11"/>
  <c r="O115" i="11"/>
  <c r="P115" i="11" s="1"/>
  <c r="U114" i="11"/>
  <c r="O114" i="11"/>
  <c r="P114" i="11" s="1"/>
  <c r="U113" i="11"/>
  <c r="P113" i="11"/>
  <c r="O113" i="11"/>
  <c r="U112" i="11"/>
  <c r="O112" i="11"/>
  <c r="P112" i="11" s="1"/>
  <c r="U111" i="11"/>
  <c r="O111" i="11"/>
  <c r="P111" i="11" s="1"/>
  <c r="U110" i="11"/>
  <c r="O110" i="11"/>
  <c r="P110" i="11" s="1"/>
  <c r="U109" i="11"/>
  <c r="P109" i="11"/>
  <c r="O109" i="11"/>
  <c r="U108" i="11"/>
  <c r="O108" i="11"/>
  <c r="P108" i="11" s="1"/>
  <c r="U107" i="11"/>
  <c r="P107" i="11"/>
  <c r="O107" i="11"/>
  <c r="U106" i="11"/>
  <c r="O106" i="11"/>
  <c r="P106" i="11" s="1"/>
  <c r="U105" i="11"/>
  <c r="O105" i="11"/>
  <c r="P105" i="11" s="1"/>
  <c r="U104" i="11"/>
  <c r="P104" i="11"/>
  <c r="O104" i="11"/>
  <c r="U103" i="11"/>
  <c r="O103" i="11"/>
  <c r="P103" i="11" s="1"/>
  <c r="U102" i="11"/>
  <c r="O102" i="11"/>
  <c r="P102" i="11" s="1"/>
  <c r="U101" i="11"/>
  <c r="O101" i="11"/>
  <c r="P101" i="11" s="1"/>
  <c r="U100" i="11"/>
  <c r="O100" i="11"/>
  <c r="P100" i="11" s="1"/>
  <c r="U99" i="11"/>
  <c r="O99" i="11"/>
  <c r="P99" i="11" s="1"/>
  <c r="U98" i="11"/>
  <c r="O98" i="11"/>
  <c r="P98" i="11" s="1"/>
  <c r="U97" i="11"/>
  <c r="P97" i="11"/>
  <c r="O97" i="11"/>
  <c r="U96" i="11"/>
  <c r="O96" i="11"/>
  <c r="P96" i="11" s="1"/>
  <c r="U95" i="11"/>
  <c r="O95" i="11"/>
  <c r="P95" i="11" s="1"/>
  <c r="U94" i="11"/>
  <c r="O94" i="11"/>
  <c r="P94" i="11" s="1"/>
  <c r="U93" i="11"/>
  <c r="P93" i="11"/>
  <c r="O93" i="11"/>
  <c r="U92" i="11"/>
  <c r="O92" i="11"/>
  <c r="P92" i="11" s="1"/>
  <c r="U91" i="11"/>
  <c r="P91" i="11"/>
  <c r="O91" i="11"/>
  <c r="U90" i="11"/>
  <c r="O90" i="11"/>
  <c r="P90" i="11" s="1"/>
  <c r="U89" i="11"/>
  <c r="O89" i="11"/>
  <c r="P89" i="11" s="1"/>
  <c r="U88" i="11"/>
  <c r="P88" i="11"/>
  <c r="O88" i="11"/>
  <c r="U87" i="11"/>
  <c r="O87" i="11"/>
  <c r="P87" i="11" s="1"/>
  <c r="U86" i="11"/>
  <c r="O86" i="11"/>
  <c r="P86" i="11" s="1"/>
  <c r="U85" i="11"/>
  <c r="O85" i="11"/>
  <c r="P85" i="11" s="1"/>
  <c r="U84" i="11"/>
  <c r="P84" i="11"/>
  <c r="O84" i="11"/>
  <c r="U83" i="11"/>
  <c r="O83" i="11"/>
  <c r="P83" i="11" s="1"/>
  <c r="U82" i="11"/>
  <c r="O82" i="11"/>
  <c r="P82" i="11" s="1"/>
  <c r="U81" i="11"/>
  <c r="P81" i="11"/>
  <c r="O81" i="11"/>
  <c r="U80" i="11"/>
  <c r="O80" i="11"/>
  <c r="P80" i="11" s="1"/>
  <c r="U79" i="11"/>
  <c r="O79" i="11"/>
  <c r="P79" i="11" s="1"/>
  <c r="U78" i="11"/>
  <c r="O78" i="11"/>
  <c r="P78" i="11" s="1"/>
  <c r="U77" i="11"/>
  <c r="P77" i="11"/>
  <c r="O77" i="11"/>
  <c r="U76" i="11"/>
  <c r="O76" i="11"/>
  <c r="P76" i="11" s="1"/>
  <c r="U75" i="11"/>
  <c r="P75" i="11"/>
  <c r="O75" i="11"/>
  <c r="U74" i="11"/>
  <c r="O74" i="11"/>
  <c r="P74" i="11" s="1"/>
  <c r="U73" i="11"/>
  <c r="O73" i="11"/>
  <c r="P73" i="11" s="1"/>
  <c r="U72" i="11"/>
  <c r="P72" i="11"/>
  <c r="O72" i="11"/>
  <c r="U71" i="11"/>
  <c r="O71" i="11"/>
  <c r="P71" i="11" s="1"/>
  <c r="U70" i="11"/>
  <c r="O70" i="11"/>
  <c r="P70" i="11" s="1"/>
  <c r="U69" i="11"/>
  <c r="O69" i="11"/>
  <c r="P69" i="11" s="1"/>
  <c r="U68" i="11"/>
  <c r="O68" i="11"/>
  <c r="P68" i="11" s="1"/>
  <c r="U67" i="11"/>
  <c r="O67" i="11"/>
  <c r="P67" i="11" s="1"/>
  <c r="U66" i="11"/>
  <c r="O66" i="11"/>
  <c r="P66" i="11" s="1"/>
  <c r="U65" i="11"/>
  <c r="O65" i="11"/>
  <c r="P65" i="11" s="1"/>
  <c r="U64" i="11"/>
  <c r="O64" i="11"/>
  <c r="P64" i="11" s="1"/>
  <c r="U63" i="11"/>
  <c r="O63" i="11"/>
  <c r="P63" i="11" s="1"/>
  <c r="U62" i="11"/>
  <c r="O62" i="11"/>
  <c r="P62" i="11" s="1"/>
  <c r="U61" i="11"/>
  <c r="P61" i="11"/>
  <c r="O61" i="11"/>
  <c r="U60" i="11"/>
  <c r="O60" i="11"/>
  <c r="P60" i="11" s="1"/>
  <c r="U59" i="11"/>
  <c r="P59" i="11"/>
  <c r="O59" i="11"/>
  <c r="U58" i="11"/>
  <c r="O58" i="11"/>
  <c r="P58" i="11" s="1"/>
  <c r="U57" i="11"/>
  <c r="O57" i="11"/>
  <c r="P57" i="11" s="1"/>
  <c r="U56" i="11"/>
  <c r="O56" i="11"/>
  <c r="P56" i="11" s="1"/>
  <c r="U55" i="11"/>
  <c r="O55" i="11"/>
  <c r="P55" i="11" s="1"/>
  <c r="U54" i="11"/>
  <c r="O54" i="11"/>
  <c r="P54" i="11" s="1"/>
  <c r="U53" i="11"/>
  <c r="P53" i="11"/>
  <c r="O53" i="11"/>
  <c r="U52" i="11"/>
  <c r="O52" i="11"/>
  <c r="P52" i="11" s="1"/>
  <c r="U51" i="11"/>
  <c r="P51" i="11"/>
  <c r="O51" i="11"/>
  <c r="U50" i="11"/>
  <c r="O50" i="11"/>
  <c r="P50" i="11" s="1"/>
  <c r="U49" i="11"/>
  <c r="O49" i="11"/>
  <c r="P49" i="11" s="1"/>
  <c r="U48" i="11"/>
  <c r="O48" i="11"/>
  <c r="P48" i="11" s="1"/>
  <c r="U47" i="11"/>
  <c r="O47" i="11"/>
  <c r="P47" i="11" s="1"/>
  <c r="U46" i="11"/>
  <c r="P46" i="11"/>
  <c r="O46" i="11"/>
  <c r="U45" i="11"/>
  <c r="O45" i="11"/>
  <c r="P45" i="11" s="1"/>
  <c r="U44" i="11"/>
  <c r="O44" i="11"/>
  <c r="P44" i="11" s="1"/>
  <c r="U43" i="11"/>
  <c r="O43" i="11"/>
  <c r="P43" i="11" s="1"/>
  <c r="U42" i="11"/>
  <c r="P42" i="11"/>
  <c r="O42" i="11"/>
  <c r="U41" i="11"/>
  <c r="O41" i="11"/>
  <c r="P41" i="11" s="1"/>
  <c r="U40" i="11"/>
  <c r="O40" i="11"/>
  <c r="P40" i="11" s="1"/>
  <c r="U39" i="11"/>
  <c r="O39" i="11"/>
  <c r="P39" i="11" s="1"/>
  <c r="U38" i="11"/>
  <c r="O38" i="11"/>
  <c r="P38" i="11" s="1"/>
  <c r="U37" i="11"/>
  <c r="O37" i="11"/>
  <c r="P37" i="11" s="1"/>
  <c r="U36" i="11"/>
  <c r="O36" i="11"/>
  <c r="P36" i="11" s="1"/>
  <c r="U35" i="11"/>
  <c r="O35" i="11"/>
  <c r="P35" i="11" s="1"/>
  <c r="U34" i="11"/>
  <c r="P34" i="11"/>
  <c r="O34" i="11"/>
  <c r="U33" i="11"/>
  <c r="O33" i="11"/>
  <c r="P33" i="11" s="1"/>
  <c r="U32" i="11"/>
  <c r="O32" i="11"/>
  <c r="P32" i="11" s="1"/>
  <c r="U31" i="11"/>
  <c r="O31" i="11"/>
  <c r="P31" i="11" s="1"/>
  <c r="U30" i="11"/>
  <c r="P30" i="11"/>
  <c r="O30" i="11"/>
  <c r="U29" i="11"/>
  <c r="O29" i="11"/>
  <c r="P29" i="11" s="1"/>
  <c r="U28" i="11"/>
  <c r="O28" i="11"/>
  <c r="P28" i="11" s="1"/>
  <c r="U27" i="11"/>
  <c r="O27" i="11"/>
  <c r="P27" i="11" s="1"/>
  <c r="U26" i="11"/>
  <c r="P26" i="11"/>
  <c r="O26" i="11"/>
  <c r="U25" i="11"/>
  <c r="O25" i="11"/>
  <c r="P25" i="11" s="1"/>
  <c r="U24" i="11"/>
  <c r="O24" i="11"/>
  <c r="P24" i="11" s="1"/>
  <c r="U23" i="11"/>
  <c r="O23" i="11"/>
  <c r="P23" i="11" s="1"/>
  <c r="U22" i="11"/>
  <c r="O22" i="11"/>
  <c r="P22" i="11" s="1"/>
  <c r="U21" i="11"/>
  <c r="O21" i="11"/>
  <c r="P21" i="11" s="1"/>
  <c r="U20" i="11"/>
  <c r="O20" i="11"/>
  <c r="P20" i="11" s="1"/>
  <c r="U19" i="11"/>
  <c r="O19" i="11"/>
  <c r="P19" i="11" s="1"/>
  <c r="U18" i="11"/>
  <c r="P18" i="11"/>
  <c r="O18" i="11"/>
  <c r="U17" i="11"/>
  <c r="O17" i="11"/>
  <c r="P17" i="11" s="1"/>
  <c r="U16" i="11"/>
  <c r="O16" i="11"/>
  <c r="P16" i="11" s="1"/>
  <c r="U15" i="11"/>
  <c r="O15" i="11"/>
  <c r="P15" i="11" s="1"/>
  <c r="U14" i="11"/>
  <c r="P14" i="11"/>
  <c r="O14" i="11"/>
  <c r="U13" i="11"/>
  <c r="O13" i="11"/>
  <c r="P13" i="11" s="1"/>
  <c r="U12" i="11"/>
  <c r="O12" i="11"/>
  <c r="P12" i="11" s="1"/>
  <c r="U11" i="11"/>
  <c r="O11" i="11"/>
  <c r="P11" i="11" s="1"/>
  <c r="U10" i="11"/>
  <c r="O10" i="11"/>
  <c r="P10" i="11" s="1"/>
  <c r="U9" i="11"/>
  <c r="P9" i="11"/>
  <c r="O9" i="11"/>
  <c r="U8" i="11"/>
  <c r="O8" i="11"/>
  <c r="P8" i="11" s="1"/>
  <c r="U7" i="11"/>
  <c r="O7" i="11"/>
  <c r="P7" i="11" s="1"/>
  <c r="U6" i="11"/>
  <c r="O6" i="11"/>
  <c r="P6" i="11" s="1"/>
  <c r="U5" i="11"/>
  <c r="P5" i="11"/>
  <c r="O5" i="11"/>
  <c r="U4" i="11"/>
  <c r="O4" i="11"/>
  <c r="P4" i="11" s="1"/>
  <c r="Q26" i="10"/>
  <c r="AG3" i="10"/>
  <c r="R63" i="11"/>
  <c r="R60" i="11"/>
  <c r="R37" i="11"/>
  <c r="R58" i="11"/>
  <c r="R47" i="11"/>
  <c r="R24" i="11"/>
  <c r="R44" i="11"/>
  <c r="R113" i="11"/>
  <c r="R32" i="11"/>
  <c r="R75" i="11"/>
  <c r="R72" i="11"/>
  <c r="R49" i="11"/>
  <c r="R82" i="11"/>
  <c r="R70" i="11"/>
  <c r="R48" i="11"/>
  <c r="R61" i="11"/>
  <c r="R80" i="11"/>
  <c r="R86" i="11"/>
  <c r="R9" i="11"/>
  <c r="R71" i="11"/>
  <c r="R68" i="11"/>
  <c r="R45" i="11"/>
  <c r="R69" i="11"/>
  <c r="R57" i="11"/>
  <c r="R40" i="11"/>
  <c r="R55" i="11"/>
  <c r="R83" i="11"/>
  <c r="R25" i="11"/>
  <c r="R90" i="11"/>
  <c r="Z26" i="10"/>
  <c r="R85" i="11"/>
  <c r="R96" i="11"/>
  <c r="R88" i="11"/>
  <c r="R102" i="11"/>
  <c r="R18" i="11"/>
  <c r="R93" i="11"/>
  <c r="R62" i="11"/>
  <c r="R89" i="11"/>
  <c r="R115" i="11"/>
  <c r="R35" i="11"/>
  <c r="R111" i="11"/>
  <c r="R108" i="11"/>
  <c r="R110" i="11"/>
  <c r="R21" i="11"/>
  <c r="R38" i="11"/>
  <c r="R31" i="11"/>
  <c r="R5" i="11"/>
  <c r="R12" i="11"/>
  <c r="R41" i="11"/>
  <c r="R20" i="11"/>
  <c r="R120" i="11"/>
  <c r="R56" i="11"/>
  <c r="R33" i="11"/>
  <c r="R53" i="11"/>
  <c r="R43" i="11"/>
  <c r="R16" i="11"/>
  <c r="R36" i="11"/>
  <c r="R81" i="11"/>
  <c r="R19" i="11"/>
  <c r="R119" i="11"/>
  <c r="R116" i="11"/>
  <c r="R52" i="11"/>
  <c r="R29" i="11"/>
  <c r="R46" i="11"/>
  <c r="R39" i="11"/>
  <c r="R10" i="11"/>
  <c r="R28" i="11"/>
  <c r="R112" i="11"/>
  <c r="R98" i="11"/>
  <c r="R7" i="11"/>
  <c r="R76" i="11"/>
  <c r="R77" i="11"/>
  <c r="R51" i="11"/>
  <c r="R114" i="11"/>
  <c r="R67" i="11"/>
  <c r="R84" i="11"/>
  <c r="R106" i="11"/>
  <c r="V26" i="10"/>
  <c r="R95" i="11"/>
  <c r="R92" i="11"/>
  <c r="R78" i="11"/>
  <c r="R117" i="11"/>
  <c r="R105" i="11"/>
  <c r="R15" i="11"/>
  <c r="R26" i="11"/>
  <c r="R99" i="11"/>
  <c r="R66" i="11"/>
  <c r="R107" i="11"/>
  <c r="R104" i="11"/>
  <c r="R97" i="11"/>
  <c r="R17" i="11"/>
  <c r="R34" i="11"/>
  <c r="R27" i="11"/>
  <c r="R22" i="11"/>
  <c r="R8" i="11"/>
  <c r="R121" i="11"/>
  <c r="R6" i="11"/>
  <c r="R103" i="11"/>
  <c r="R100" i="11"/>
  <c r="R94" i="11"/>
  <c r="R13" i="11"/>
  <c r="R30" i="11"/>
  <c r="R23" i="11"/>
  <c r="R14" i="11"/>
  <c r="R4" i="11"/>
  <c r="R64" i="11"/>
  <c r="R118" i="11"/>
  <c r="R50" i="11"/>
  <c r="R79" i="11"/>
  <c r="R54" i="11"/>
  <c r="R73" i="11"/>
  <c r="R74" i="11"/>
  <c r="R91" i="11"/>
  <c r="R65" i="11"/>
  <c r="R11" i="11"/>
  <c r="R42" i="11"/>
  <c r="R87" i="11"/>
  <c r="R101" i="11"/>
  <c r="R109" i="11"/>
  <c r="R59" i="11"/>
  <c r="AA26" i="10" l="1"/>
  <c r="W26" i="10"/>
  <c r="X26" i="10" s="1"/>
  <c r="Q9" i="11"/>
  <c r="S9" i="11"/>
  <c r="T9" i="11" s="1"/>
  <c r="S4" i="11"/>
  <c r="T4" i="11" s="1"/>
  <c r="Q4" i="11"/>
  <c r="Q8" i="11"/>
  <c r="S8" i="11"/>
  <c r="T8" i="11" s="1"/>
  <c r="Q12" i="11"/>
  <c r="S12" i="11"/>
  <c r="T12" i="11" s="1"/>
  <c r="Q20" i="11"/>
  <c r="S20" i="11"/>
  <c r="T20" i="11" s="1"/>
  <c r="Q28" i="11"/>
  <c r="S28" i="11"/>
  <c r="T28" i="11" s="1"/>
  <c r="Q36" i="11"/>
  <c r="S36" i="11"/>
  <c r="T36" i="11" s="1"/>
  <c r="Q44" i="11"/>
  <c r="S44" i="11"/>
  <c r="T44" i="11" s="1"/>
  <c r="Q50" i="11"/>
  <c r="S50" i="11"/>
  <c r="T50" i="11" s="1"/>
  <c r="Q55" i="11"/>
  <c r="S55" i="11"/>
  <c r="T55" i="11" s="1"/>
  <c r="S61" i="11"/>
  <c r="T61" i="11" s="1"/>
  <c r="Q61" i="11"/>
  <c r="Q74" i="11"/>
  <c r="S74" i="11"/>
  <c r="T74" i="11" s="1"/>
  <c r="S93" i="11"/>
  <c r="T93" i="11" s="1"/>
  <c r="Q93" i="11"/>
  <c r="Q106" i="11"/>
  <c r="S106" i="11"/>
  <c r="T106" i="11" s="1"/>
  <c r="S18" i="11"/>
  <c r="T18" i="11" s="1"/>
  <c r="Q18" i="11"/>
  <c r="S26" i="11"/>
  <c r="T26" i="11" s="1"/>
  <c r="Q26" i="11"/>
  <c r="S7" i="11"/>
  <c r="T7" i="11" s="1"/>
  <c r="Q7" i="11"/>
  <c r="S14" i="11"/>
  <c r="T14" i="11" s="1"/>
  <c r="Q14" i="11"/>
  <c r="S22" i="11"/>
  <c r="T22" i="11" s="1"/>
  <c r="Q22" i="11"/>
  <c r="Q5" i="11"/>
  <c r="S5" i="11"/>
  <c r="T5" i="11" s="1"/>
  <c r="S6" i="11"/>
  <c r="T6" i="11" s="1"/>
  <c r="Q6" i="11"/>
  <c r="Q10" i="11"/>
  <c r="S10" i="11"/>
  <c r="T10" i="11" s="1"/>
  <c r="Q16" i="11"/>
  <c r="S16" i="11"/>
  <c r="T16" i="11" s="1"/>
  <c r="Q24" i="11"/>
  <c r="S24" i="11"/>
  <c r="T24" i="11" s="1"/>
  <c r="Q32" i="11"/>
  <c r="S32" i="11"/>
  <c r="T32" i="11" s="1"/>
  <c r="Q40" i="11"/>
  <c r="S40" i="11"/>
  <c r="T40" i="11" s="1"/>
  <c r="Q48" i="11"/>
  <c r="S48" i="11"/>
  <c r="T48" i="11" s="1"/>
  <c r="S77" i="11"/>
  <c r="T77" i="11" s="1"/>
  <c r="Q77" i="11"/>
  <c r="Q90" i="11"/>
  <c r="S90" i="11"/>
  <c r="T90" i="11" s="1"/>
  <c r="S109" i="11"/>
  <c r="T109" i="11" s="1"/>
  <c r="Q109" i="11"/>
  <c r="S11" i="11"/>
  <c r="T11" i="11" s="1"/>
  <c r="Q11" i="11"/>
  <c r="S15" i="11"/>
  <c r="T15" i="11" s="1"/>
  <c r="Q15" i="11"/>
  <c r="Q19" i="11"/>
  <c r="S19" i="11"/>
  <c r="T19" i="11" s="1"/>
  <c r="S23" i="11"/>
  <c r="T23" i="11" s="1"/>
  <c r="Q23" i="11"/>
  <c r="Q27" i="11"/>
  <c r="S27" i="11"/>
  <c r="T27" i="11" s="1"/>
  <c r="S31" i="11"/>
  <c r="T31" i="11" s="1"/>
  <c r="Q31" i="11"/>
  <c r="S35" i="11"/>
  <c r="T35" i="11" s="1"/>
  <c r="Q35" i="11"/>
  <c r="S39" i="11"/>
  <c r="T39" i="11" s="1"/>
  <c r="Q39" i="11"/>
  <c r="S43" i="11"/>
  <c r="T43" i="11" s="1"/>
  <c r="Q43" i="11"/>
  <c r="S47" i="11"/>
  <c r="T47" i="11" s="1"/>
  <c r="Q47" i="11"/>
  <c r="Q51" i="11"/>
  <c r="S51" i="11"/>
  <c r="T51" i="11" s="1"/>
  <c r="S57" i="11"/>
  <c r="T57" i="11" s="1"/>
  <c r="Q57" i="11"/>
  <c r="Q70" i="11"/>
  <c r="S70" i="11"/>
  <c r="T70" i="11" s="1"/>
  <c r="S73" i="11"/>
  <c r="T73" i="11" s="1"/>
  <c r="Q73" i="11"/>
  <c r="Q86" i="11"/>
  <c r="S86" i="11"/>
  <c r="T86" i="11" s="1"/>
  <c r="S89" i="11"/>
  <c r="T89" i="11" s="1"/>
  <c r="Q89" i="11"/>
  <c r="Q102" i="11"/>
  <c r="S102" i="11"/>
  <c r="T102" i="11" s="1"/>
  <c r="S105" i="11"/>
  <c r="T105" i="11" s="1"/>
  <c r="Q105" i="11"/>
  <c r="Q118" i="11"/>
  <c r="S118" i="11"/>
  <c r="T118" i="11" s="1"/>
  <c r="S30" i="11"/>
  <c r="T30" i="11" s="1"/>
  <c r="Q30" i="11"/>
  <c r="S34" i="11"/>
  <c r="T34" i="11" s="1"/>
  <c r="Q34" i="11"/>
  <c r="S38" i="11"/>
  <c r="T38" i="11" s="1"/>
  <c r="Q38" i="11"/>
  <c r="S42" i="11"/>
  <c r="T42" i="11" s="1"/>
  <c r="Q42" i="11"/>
  <c r="S46" i="11"/>
  <c r="T46" i="11" s="1"/>
  <c r="Q46" i="11"/>
  <c r="S53" i="11"/>
  <c r="T53" i="11" s="1"/>
  <c r="Q53" i="11"/>
  <c r="S58" i="11"/>
  <c r="T58" i="11" s="1"/>
  <c r="Q58" i="11"/>
  <c r="Q66" i="11"/>
  <c r="S66" i="11"/>
  <c r="T66" i="11" s="1"/>
  <c r="S69" i="11"/>
  <c r="T69" i="11" s="1"/>
  <c r="Q69" i="11"/>
  <c r="Q82" i="11"/>
  <c r="S82" i="11"/>
  <c r="T82" i="11" s="1"/>
  <c r="S85" i="11"/>
  <c r="T85" i="11" s="1"/>
  <c r="Q85" i="11"/>
  <c r="Q98" i="11"/>
  <c r="S98" i="11"/>
  <c r="T98" i="11" s="1"/>
  <c r="S101" i="11"/>
  <c r="T101" i="11" s="1"/>
  <c r="Q101" i="11"/>
  <c r="Q114" i="11"/>
  <c r="S114" i="11"/>
  <c r="T114" i="11" s="1"/>
  <c r="S117" i="11"/>
  <c r="T117" i="11" s="1"/>
  <c r="Q117" i="11"/>
  <c r="Q121" i="11"/>
  <c r="S121" i="11"/>
  <c r="T121" i="11" s="1"/>
  <c r="S13" i="11"/>
  <c r="T13" i="11" s="1"/>
  <c r="Q13" i="11"/>
  <c r="Q17" i="11"/>
  <c r="S17" i="11"/>
  <c r="T17" i="11" s="1"/>
  <c r="S21" i="11"/>
  <c r="T21" i="11" s="1"/>
  <c r="Q21" i="11"/>
  <c r="Q25" i="11"/>
  <c r="S25" i="11"/>
  <c r="T25" i="11" s="1"/>
  <c r="Q29" i="11"/>
  <c r="S29" i="11"/>
  <c r="T29" i="11" s="1"/>
  <c r="Q33" i="11"/>
  <c r="S33" i="11"/>
  <c r="T33" i="11" s="1"/>
  <c r="Q37" i="11"/>
  <c r="S37" i="11"/>
  <c r="T37" i="11" s="1"/>
  <c r="Q41" i="11"/>
  <c r="S41" i="11"/>
  <c r="T41" i="11" s="1"/>
  <c r="Q45" i="11"/>
  <c r="S45" i="11"/>
  <c r="T45" i="11" s="1"/>
  <c r="S49" i="11"/>
  <c r="T49" i="11" s="1"/>
  <c r="Q49" i="11"/>
  <c r="Q54" i="11"/>
  <c r="S54" i="11"/>
  <c r="T54" i="11" s="1"/>
  <c r="Q59" i="11"/>
  <c r="S59" i="11"/>
  <c r="T59" i="11" s="1"/>
  <c r="Q62" i="11"/>
  <c r="S62" i="11"/>
  <c r="T62" i="11" s="1"/>
  <c r="S65" i="11"/>
  <c r="T65" i="11" s="1"/>
  <c r="Q65" i="11"/>
  <c r="Q78" i="11"/>
  <c r="S78" i="11"/>
  <c r="T78" i="11" s="1"/>
  <c r="S81" i="11"/>
  <c r="T81" i="11" s="1"/>
  <c r="Q81" i="11"/>
  <c r="Q94" i="11"/>
  <c r="S94" i="11"/>
  <c r="T94" i="11" s="1"/>
  <c r="S97" i="11"/>
  <c r="T97" i="11" s="1"/>
  <c r="Q97" i="11"/>
  <c r="Q110" i="11"/>
  <c r="S110" i="11"/>
  <c r="T110" i="11" s="1"/>
  <c r="S113" i="11"/>
  <c r="T113" i="11" s="1"/>
  <c r="Q113" i="11"/>
  <c r="Q52" i="11"/>
  <c r="S52" i="11"/>
  <c r="T52" i="11" s="1"/>
  <c r="S56" i="11"/>
  <c r="T56" i="11" s="1"/>
  <c r="Q56" i="11"/>
  <c r="S60" i="11"/>
  <c r="T60" i="11" s="1"/>
  <c r="Q60" i="11"/>
  <c r="S64" i="11"/>
  <c r="T64" i="11" s="1"/>
  <c r="Q64" i="11"/>
  <c r="S68" i="11"/>
  <c r="T68" i="11" s="1"/>
  <c r="Q68" i="11"/>
  <c r="S72" i="11"/>
  <c r="T72" i="11" s="1"/>
  <c r="Q72" i="11"/>
  <c r="S76" i="11"/>
  <c r="T76" i="11" s="1"/>
  <c r="Q76" i="11"/>
  <c r="S80" i="11"/>
  <c r="T80" i="11" s="1"/>
  <c r="Q80" i="11"/>
  <c r="S84" i="11"/>
  <c r="T84" i="11" s="1"/>
  <c r="Q84" i="11"/>
  <c r="S88" i="11"/>
  <c r="T88" i="11" s="1"/>
  <c r="Q88" i="11"/>
  <c r="S92" i="11"/>
  <c r="T92" i="11" s="1"/>
  <c r="Q92" i="11"/>
  <c r="S96" i="11"/>
  <c r="T96" i="11" s="1"/>
  <c r="Q96" i="11"/>
  <c r="S100" i="11"/>
  <c r="T100" i="11" s="1"/>
  <c r="Q100" i="11"/>
  <c r="S104" i="11"/>
  <c r="T104" i="11" s="1"/>
  <c r="Q104" i="11"/>
  <c r="S108" i="11"/>
  <c r="T108" i="11" s="1"/>
  <c r="Q108" i="11"/>
  <c r="S112" i="11"/>
  <c r="T112" i="11" s="1"/>
  <c r="Q112" i="11"/>
  <c r="S116" i="11"/>
  <c r="T116" i="11" s="1"/>
  <c r="Q116" i="11"/>
  <c r="S120" i="11"/>
  <c r="T120" i="11" s="1"/>
  <c r="Q120" i="11"/>
  <c r="Q63" i="11"/>
  <c r="S63" i="11"/>
  <c r="T63" i="11" s="1"/>
  <c r="Q67" i="11"/>
  <c r="S67" i="11"/>
  <c r="T67" i="11" s="1"/>
  <c r="Q71" i="11"/>
  <c r="S71" i="11"/>
  <c r="T71" i="11" s="1"/>
  <c r="Q75" i="11"/>
  <c r="S75" i="11"/>
  <c r="T75" i="11" s="1"/>
  <c r="Q79" i="11"/>
  <c r="S79" i="11"/>
  <c r="T79" i="11" s="1"/>
  <c r="Q83" i="11"/>
  <c r="S83" i="11"/>
  <c r="T83" i="11" s="1"/>
  <c r="Q87" i="11"/>
  <c r="S87" i="11"/>
  <c r="T87" i="11" s="1"/>
  <c r="Q91" i="11"/>
  <c r="S91" i="11"/>
  <c r="T91" i="11" s="1"/>
  <c r="Q95" i="11"/>
  <c r="S95" i="11"/>
  <c r="T95" i="11" s="1"/>
  <c r="Q99" i="11"/>
  <c r="S99" i="11"/>
  <c r="T99" i="11" s="1"/>
  <c r="Q103" i="11"/>
  <c r="S103" i="11"/>
  <c r="T103" i="11" s="1"/>
  <c r="Q107" i="11"/>
  <c r="S107" i="11"/>
  <c r="T107" i="11" s="1"/>
  <c r="Q111" i="11"/>
  <c r="S111" i="11"/>
  <c r="T111" i="11" s="1"/>
  <c r="Q115" i="11"/>
  <c r="S115" i="11"/>
  <c r="T115" i="11" s="1"/>
  <c r="S119" i="11"/>
  <c r="T119" i="11" s="1"/>
  <c r="Q119" i="11"/>
  <c r="AB26" i="10"/>
  <c r="AC26" i="10"/>
  <c r="Y26" i="10"/>
  <c r="P4" i="7"/>
  <c r="Q4" i="7"/>
  <c r="N4" i="7"/>
  <c r="O4" i="7" s="1"/>
  <c r="P7" i="7"/>
  <c r="Q7" i="7"/>
  <c r="N7" i="7"/>
  <c r="O7" i="7" s="1"/>
  <c r="P6" i="7"/>
  <c r="Q6" i="7"/>
  <c r="N6" i="7"/>
  <c r="O6" i="7" s="1"/>
  <c r="P23" i="7"/>
  <c r="Q23" i="7"/>
  <c r="R23" i="7" s="1"/>
  <c r="N23" i="7"/>
  <c r="O23" i="7" s="1"/>
  <c r="P62" i="7"/>
  <c r="Q62" i="7"/>
  <c r="N62" i="7"/>
  <c r="O62" i="7" s="1"/>
  <c r="P10" i="7"/>
  <c r="Q10" i="7"/>
  <c r="N10" i="7"/>
  <c r="O10" i="7" s="1"/>
  <c r="P21" i="7"/>
  <c r="Q21" i="7"/>
  <c r="N21" i="7"/>
  <c r="O21" i="7" s="1"/>
  <c r="P26" i="7"/>
  <c r="Q26" i="7"/>
  <c r="R26" i="7" s="1"/>
  <c r="N26" i="7"/>
  <c r="O26" i="7" s="1"/>
  <c r="P73" i="7"/>
  <c r="Q73" i="7"/>
  <c r="N73" i="7"/>
  <c r="O73" i="7" s="1"/>
  <c r="P9" i="7"/>
  <c r="Q9" i="7"/>
  <c r="N9" i="7"/>
  <c r="O9" i="7" s="1"/>
  <c r="P34" i="7"/>
  <c r="Q34" i="7"/>
  <c r="N34" i="7"/>
  <c r="O34" i="7" s="1"/>
  <c r="P14" i="7"/>
  <c r="Q14" i="7"/>
  <c r="R14" i="7" s="1"/>
  <c r="N14" i="7"/>
  <c r="O14" i="7" s="1"/>
  <c r="P36" i="7"/>
  <c r="Q36" i="7"/>
  <c r="N36" i="7"/>
  <c r="O36" i="7" s="1"/>
  <c r="P11" i="7"/>
  <c r="Q11" i="7"/>
  <c r="N11" i="7"/>
  <c r="O11" i="7" s="1"/>
  <c r="P18" i="7"/>
  <c r="Q18" i="7"/>
  <c r="N18" i="7"/>
  <c r="O18" i="7" s="1"/>
  <c r="P29" i="7"/>
  <c r="Q29" i="7"/>
  <c r="N29" i="7"/>
  <c r="O29" i="7" s="1"/>
  <c r="P27" i="7"/>
  <c r="Q27" i="7"/>
  <c r="N27" i="7"/>
  <c r="O27" i="7" s="1"/>
  <c r="P37" i="7"/>
  <c r="Q37" i="7"/>
  <c r="N37" i="7"/>
  <c r="O37" i="7" s="1"/>
  <c r="P13" i="7"/>
  <c r="Q13" i="7"/>
  <c r="N13" i="7"/>
  <c r="O13" i="7" s="1"/>
  <c r="P31" i="7"/>
  <c r="Q31" i="7"/>
  <c r="N31" i="7"/>
  <c r="O31" i="7" s="1"/>
  <c r="P35" i="7"/>
  <c r="Q35" i="7"/>
  <c r="N35" i="7"/>
  <c r="O35" i="7" s="1"/>
  <c r="P33" i="7"/>
  <c r="Q33" i="7"/>
  <c r="N33" i="7"/>
  <c r="O33" i="7" s="1"/>
  <c r="P12" i="7"/>
  <c r="Q12" i="7"/>
  <c r="N12" i="7"/>
  <c r="O12" i="7" s="1"/>
  <c r="P17" i="7"/>
  <c r="Q17" i="7"/>
  <c r="N17" i="7"/>
  <c r="O17" i="7" s="1"/>
  <c r="P71" i="7"/>
  <c r="Q71" i="7"/>
  <c r="N71" i="7"/>
  <c r="O71" i="7" s="1"/>
  <c r="P77" i="7"/>
  <c r="Q77" i="7"/>
  <c r="N77" i="7"/>
  <c r="O77" i="7" s="1"/>
  <c r="P60" i="7"/>
  <c r="Q60" i="7"/>
  <c r="N60" i="7"/>
  <c r="O60" i="7" s="1"/>
  <c r="P5" i="7"/>
  <c r="Q5" i="7"/>
  <c r="R5" i="7" s="1"/>
  <c r="N5" i="7"/>
  <c r="O5" i="7" s="1"/>
  <c r="P8" i="7"/>
  <c r="Q8" i="7"/>
  <c r="N8" i="7"/>
  <c r="O8" i="7" s="1"/>
  <c r="P69" i="7"/>
  <c r="R69" i="7" s="1"/>
  <c r="Q69" i="7"/>
  <c r="N69" i="7"/>
  <c r="O69" i="7" s="1"/>
  <c r="P25" i="7"/>
  <c r="Q25" i="7"/>
  <c r="N25" i="7"/>
  <c r="O25" i="7" s="1"/>
  <c r="P16" i="7"/>
  <c r="Q16" i="7"/>
  <c r="N16" i="7"/>
  <c r="O16" i="7" s="1"/>
  <c r="P53" i="7"/>
  <c r="Q53" i="7"/>
  <c r="R53" i="7" s="1"/>
  <c r="N53" i="7"/>
  <c r="O53" i="7" s="1"/>
  <c r="P49" i="7"/>
  <c r="R49" i="7" s="1"/>
  <c r="Q49" i="7"/>
  <c r="N49" i="7"/>
  <c r="O49" i="7" s="1"/>
  <c r="P20" i="7"/>
  <c r="Q20" i="7"/>
  <c r="N20" i="7"/>
  <c r="O20" i="7" s="1"/>
  <c r="P19" i="7"/>
  <c r="Q19" i="7"/>
  <c r="N19" i="7"/>
  <c r="O19" i="7" s="1"/>
  <c r="P28" i="7"/>
  <c r="Q28" i="7"/>
  <c r="R28" i="7" s="1"/>
  <c r="N28" i="7"/>
  <c r="O28" i="7" s="1"/>
  <c r="P45" i="7"/>
  <c r="Q45" i="7"/>
  <c r="R45" i="7" s="1"/>
  <c r="N45" i="7"/>
  <c r="O45" i="7" s="1"/>
  <c r="P54" i="7"/>
  <c r="Q54" i="7"/>
  <c r="N54" i="7"/>
  <c r="O54" i="7" s="1"/>
  <c r="P32" i="7"/>
  <c r="Q32" i="7"/>
  <c r="N32" i="7"/>
  <c r="O32" i="7" s="1"/>
  <c r="P15" i="7"/>
  <c r="Q15" i="7"/>
  <c r="N15" i="7"/>
  <c r="O15" i="7" s="1"/>
  <c r="P61" i="7"/>
  <c r="Q61" i="7"/>
  <c r="N61" i="7"/>
  <c r="O61" i="7" s="1"/>
  <c r="P55" i="7"/>
  <c r="Q55" i="7"/>
  <c r="N55" i="7"/>
  <c r="O55" i="7" s="1"/>
  <c r="P24" i="7"/>
  <c r="Q24" i="7"/>
  <c r="N24" i="7"/>
  <c r="O24" i="7" s="1"/>
  <c r="P38" i="7"/>
  <c r="Q38" i="7"/>
  <c r="R38" i="7" s="1"/>
  <c r="N38" i="7"/>
  <c r="O38" i="7" s="1"/>
  <c r="P40" i="7"/>
  <c r="Q40" i="7"/>
  <c r="R40" i="7" s="1"/>
  <c r="N40" i="7"/>
  <c r="O40" i="7" s="1"/>
  <c r="P65" i="7"/>
  <c r="Q65" i="7"/>
  <c r="N65" i="7"/>
  <c r="O65" i="7" s="1"/>
  <c r="P68" i="7"/>
  <c r="Q68" i="7"/>
  <c r="N68" i="7"/>
  <c r="O68" i="7" s="1"/>
  <c r="P64" i="7"/>
  <c r="Q64" i="7"/>
  <c r="N64" i="7"/>
  <c r="O64" i="7" s="1"/>
  <c r="P72" i="7"/>
  <c r="Q72" i="7"/>
  <c r="N72" i="7"/>
  <c r="O72" i="7" s="1"/>
  <c r="P58" i="7"/>
  <c r="Q58" i="7"/>
  <c r="R58" i="7" s="1"/>
  <c r="O58" i="7"/>
  <c r="N58" i="7"/>
  <c r="P41" i="7"/>
  <c r="Q41" i="7"/>
  <c r="R41" i="7" s="1"/>
  <c r="N41" i="7"/>
  <c r="O41" i="7" s="1"/>
  <c r="P22" i="7"/>
  <c r="Q22" i="7"/>
  <c r="N22" i="7"/>
  <c r="O22" i="7" s="1"/>
  <c r="P63" i="7"/>
  <c r="Q63" i="7"/>
  <c r="R63" i="7" s="1"/>
  <c r="N63" i="7"/>
  <c r="O63" i="7" s="1"/>
  <c r="P50" i="7"/>
  <c r="Q50" i="7"/>
  <c r="N50" i="7"/>
  <c r="O50" i="7" s="1"/>
  <c r="P51" i="7"/>
  <c r="Q51" i="7"/>
  <c r="N51" i="7"/>
  <c r="O51" i="7" s="1"/>
  <c r="P42" i="7"/>
  <c r="Q42" i="7"/>
  <c r="N42" i="7"/>
  <c r="O42" i="7" s="1"/>
  <c r="P30" i="7"/>
  <c r="Q30" i="7"/>
  <c r="N30" i="7"/>
  <c r="O30" i="7" s="1"/>
  <c r="P39" i="7"/>
  <c r="Q39" i="7"/>
  <c r="N39" i="7"/>
  <c r="O39" i="7" s="1"/>
  <c r="P57" i="7"/>
  <c r="Q57" i="7"/>
  <c r="N57" i="7"/>
  <c r="O57" i="7" s="1"/>
  <c r="P56" i="7"/>
  <c r="Q56" i="7"/>
  <c r="R56" i="7" s="1"/>
  <c r="O56" i="7"/>
  <c r="N56" i="7"/>
  <c r="P47" i="7"/>
  <c r="Q47" i="7"/>
  <c r="N47" i="7"/>
  <c r="O47" i="7" s="1"/>
  <c r="P52" i="7"/>
  <c r="Q52" i="7"/>
  <c r="N52" i="7"/>
  <c r="O52" i="7" s="1"/>
  <c r="P59" i="7"/>
  <c r="Q59" i="7"/>
  <c r="R59" i="7" s="1"/>
  <c r="N59" i="7"/>
  <c r="O59" i="7" s="1"/>
  <c r="P67" i="7"/>
  <c r="R67" i="7" s="1"/>
  <c r="Q67" i="7"/>
  <c r="N67" i="7"/>
  <c r="O67" i="7" s="1"/>
  <c r="P66" i="7"/>
  <c r="Q66" i="7"/>
  <c r="N66" i="7"/>
  <c r="O66" i="7" s="1"/>
  <c r="P48" i="7"/>
  <c r="Q48" i="7"/>
  <c r="R48" i="7" s="1"/>
  <c r="O48" i="7"/>
  <c r="N48" i="7"/>
  <c r="P44" i="7"/>
  <c r="Q44" i="7"/>
  <c r="N44" i="7"/>
  <c r="O44" i="7" s="1"/>
  <c r="P75" i="7"/>
  <c r="Q75" i="7"/>
  <c r="N75" i="7"/>
  <c r="O75" i="7" s="1"/>
  <c r="P70" i="7"/>
  <c r="Q70" i="7"/>
  <c r="N70" i="7"/>
  <c r="O70" i="7" s="1"/>
  <c r="P76" i="7"/>
  <c r="Q76" i="7"/>
  <c r="N76" i="7"/>
  <c r="O76" i="7" s="1"/>
  <c r="P43" i="7"/>
  <c r="Q43" i="7"/>
  <c r="N43" i="7"/>
  <c r="O43" i="7" s="1"/>
  <c r="P74" i="7"/>
  <c r="Q74" i="7"/>
  <c r="N74" i="7"/>
  <c r="O74" i="7" s="1"/>
  <c r="P46" i="7"/>
  <c r="Q46" i="7"/>
  <c r="N46" i="7"/>
  <c r="O46" i="7" s="1"/>
  <c r="W20" i="7"/>
  <c r="W61" i="7"/>
  <c r="W29" i="7"/>
  <c r="W27" i="7"/>
  <c r="S56" i="7"/>
  <c r="W8" i="7"/>
  <c r="S51" i="7"/>
  <c r="S70" i="7"/>
  <c r="W18" i="7"/>
  <c r="W70" i="7"/>
  <c r="W68" i="7"/>
  <c r="W24" i="7"/>
  <c r="W9" i="7"/>
  <c r="S10" i="7"/>
  <c r="S29" i="7"/>
  <c r="S64" i="7"/>
  <c r="S26" i="7"/>
  <c r="W11" i="7"/>
  <c r="W41" i="7"/>
  <c r="S50" i="7"/>
  <c r="S8" i="7"/>
  <c r="S6" i="7"/>
  <c r="S4" i="7"/>
  <c r="S9" i="7"/>
  <c r="S55" i="7"/>
  <c r="W30" i="7"/>
  <c r="W73" i="7"/>
  <c r="W77" i="7"/>
  <c r="S57" i="7"/>
  <c r="W53" i="7"/>
  <c r="S36" i="7"/>
  <c r="S32" i="7"/>
  <c r="W10" i="7"/>
  <c r="S49" i="7"/>
  <c r="S19" i="7"/>
  <c r="S34" i="7"/>
  <c r="W34" i="7"/>
  <c r="W51" i="7"/>
  <c r="S18" i="7"/>
  <c r="S68" i="7"/>
  <c r="S33" i="7"/>
  <c r="S53" i="7"/>
  <c r="W62" i="7"/>
  <c r="S71" i="7"/>
  <c r="S65" i="7"/>
  <c r="W6" i="7"/>
  <c r="W37" i="7"/>
  <c r="S72" i="7"/>
  <c r="W31" i="7"/>
  <c r="W58" i="7"/>
  <c r="S12" i="7"/>
  <c r="S54" i="7"/>
  <c r="S41" i="7"/>
  <c r="S38" i="7"/>
  <c r="W49" i="7"/>
  <c r="W26" i="7"/>
  <c r="W66" i="7"/>
  <c r="S30" i="7"/>
  <c r="W5" i="7"/>
  <c r="W45" i="7"/>
  <c r="S66" i="7"/>
  <c r="S22" i="7"/>
  <c r="W19" i="7"/>
  <c r="W65" i="7"/>
  <c r="S59" i="7"/>
  <c r="W69" i="7"/>
  <c r="W28" i="7"/>
  <c r="S77" i="7"/>
  <c r="W23" i="7"/>
  <c r="W47" i="7"/>
  <c r="W39" i="7"/>
  <c r="S63" i="7"/>
  <c r="W7" i="7"/>
  <c r="S13" i="7"/>
  <c r="S24" i="7"/>
  <c r="S15" i="7"/>
  <c r="W63" i="7"/>
  <c r="W17" i="7"/>
  <c r="S27" i="7"/>
  <c r="S5" i="7"/>
  <c r="S58" i="7"/>
  <c r="S62" i="7"/>
  <c r="W16" i="7"/>
  <c r="W35" i="7"/>
  <c r="W12" i="7"/>
  <c r="S25" i="7"/>
  <c r="S40" i="7"/>
  <c r="S31" i="7"/>
  <c r="S35" i="7"/>
  <c r="W60" i="7"/>
  <c r="S69" i="7"/>
  <c r="W14" i="7"/>
  <c r="W71" i="7"/>
  <c r="S20" i="7"/>
  <c r="W46" i="7"/>
  <c r="S21" i="7"/>
  <c r="W54" i="7"/>
  <c r="W33" i="7"/>
  <c r="S37" i="7"/>
  <c r="W40" i="7"/>
  <c r="S17" i="7"/>
  <c r="S61" i="7"/>
  <c r="S42" i="7"/>
  <c r="W36" i="7"/>
  <c r="W21" i="7"/>
  <c r="W55" i="7"/>
  <c r="W4" i="7"/>
  <c r="W25" i="7"/>
  <c r="S11" i="7"/>
  <c r="S60" i="7"/>
  <c r="W13" i="7"/>
  <c r="S23" i="7"/>
  <c r="W32" i="7"/>
  <c r="W72" i="7"/>
  <c r="W57" i="7"/>
  <c r="W59" i="7"/>
  <c r="S73" i="7"/>
  <c r="S16" i="7"/>
  <c r="S45" i="7"/>
  <c r="S14" i="7"/>
  <c r="S28" i="7"/>
  <c r="S7" i="7"/>
  <c r="R77" i="7" l="1"/>
  <c r="R37" i="7"/>
  <c r="R46" i="7"/>
  <c r="R24" i="7"/>
  <c r="R55" i="7"/>
  <c r="R29" i="7"/>
  <c r="R9" i="7"/>
  <c r="R52" i="7"/>
  <c r="R22" i="7"/>
  <c r="R19" i="7"/>
  <c r="R33" i="7"/>
  <c r="R10" i="7"/>
  <c r="R70" i="7"/>
  <c r="R51" i="7"/>
  <c r="R50" i="7"/>
  <c r="R68" i="7"/>
  <c r="R65" i="7"/>
  <c r="R32" i="7"/>
  <c r="R54" i="7"/>
  <c r="R17" i="7"/>
  <c r="R6" i="7"/>
  <c r="R7" i="7"/>
  <c r="R76" i="7"/>
  <c r="R66" i="7"/>
  <c r="R39" i="7"/>
  <c r="R30" i="7"/>
  <c r="R42" i="7"/>
  <c r="R72" i="7"/>
  <c r="R64" i="7"/>
  <c r="R61" i="7"/>
  <c r="R15" i="7"/>
  <c r="R31" i="7"/>
  <c r="R11" i="7"/>
  <c r="R4" i="7"/>
  <c r="R43" i="7"/>
  <c r="R44" i="7"/>
  <c r="R57" i="7"/>
  <c r="R16" i="7"/>
  <c r="R25" i="7"/>
  <c r="R8" i="7"/>
  <c r="R60" i="7"/>
  <c r="R71" i="7"/>
  <c r="R12" i="7"/>
  <c r="R35" i="7"/>
  <c r="R13" i="7"/>
  <c r="R27" i="7"/>
  <c r="R18" i="7"/>
  <c r="R36" i="7"/>
  <c r="R34" i="7"/>
  <c r="R73" i="7"/>
  <c r="R21" i="7"/>
  <c r="R62" i="7"/>
  <c r="R74" i="7"/>
  <c r="R75" i="7"/>
  <c r="R20" i="7"/>
  <c r="W56" i="7"/>
  <c r="S76" i="7"/>
  <c r="S46" i="7"/>
  <c r="W48" i="7"/>
  <c r="W75" i="7"/>
  <c r="S74" i="7"/>
  <c r="W76" i="7"/>
  <c r="S48" i="7"/>
  <c r="S52" i="7"/>
  <c r="T46" i="7" l="1"/>
  <c r="U46" i="7" s="1"/>
  <c r="T76" i="7"/>
  <c r="U76" i="7" s="1"/>
  <c r="X76" i="7"/>
  <c r="Y76" i="7" s="1"/>
  <c r="Z76" i="7" s="1"/>
  <c r="T48" i="7"/>
  <c r="U48" i="7" s="1"/>
  <c r="V48" i="7" s="1"/>
  <c r="X48" i="7"/>
  <c r="Y48" i="7" s="1"/>
  <c r="T52" i="7"/>
  <c r="U52" i="7" s="1"/>
  <c r="X56" i="7"/>
  <c r="Y56" i="7" s="1"/>
  <c r="Z56" i="7" s="1"/>
  <c r="T74" i="7"/>
  <c r="U74" i="7" s="1"/>
  <c r="V74" i="7" s="1"/>
  <c r="X75" i="7"/>
  <c r="Y75" i="7" s="1"/>
  <c r="X46" i="7"/>
  <c r="Y46" i="7" s="1"/>
  <c r="T70" i="7"/>
  <c r="U70" i="7" s="1"/>
  <c r="V70" i="7" s="1"/>
  <c r="X70" i="7"/>
  <c r="Y70" i="7" s="1"/>
  <c r="T66" i="7"/>
  <c r="U66" i="7" s="1"/>
  <c r="X66" i="7"/>
  <c r="Y66" i="7" s="1"/>
  <c r="X47" i="7"/>
  <c r="Y47" i="7" s="1"/>
  <c r="T56" i="7"/>
  <c r="U56" i="7" s="1"/>
  <c r="V56" i="7" s="1"/>
  <c r="X39" i="7"/>
  <c r="Y39" i="7" s="1"/>
  <c r="T42" i="7"/>
  <c r="U42" i="7" s="1"/>
  <c r="T50" i="7"/>
  <c r="U50" i="7" s="1"/>
  <c r="V50" i="7" s="1"/>
  <c r="T22" i="7"/>
  <c r="U22" i="7" s="1"/>
  <c r="V22" i="7" s="1"/>
  <c r="T64" i="7"/>
  <c r="U64" i="7" s="1"/>
  <c r="T38" i="7"/>
  <c r="U38" i="7" s="1"/>
  <c r="T15" i="7"/>
  <c r="U15" i="7" s="1"/>
  <c r="V15" i="7" s="1"/>
  <c r="T28" i="7"/>
  <c r="U28" i="7" s="1"/>
  <c r="V28" i="7" s="1"/>
  <c r="T20" i="7"/>
  <c r="U20" i="7" s="1"/>
  <c r="T49" i="7"/>
  <c r="U49" i="7" s="1"/>
  <c r="T59" i="7"/>
  <c r="U59" i="7" s="1"/>
  <c r="V59" i="7" s="1"/>
  <c r="X59" i="7"/>
  <c r="Y59" i="7" s="1"/>
  <c r="Z59" i="7" s="1"/>
  <c r="T57" i="7"/>
  <c r="U57" i="7" s="1"/>
  <c r="X57" i="7"/>
  <c r="Y57" i="7" s="1"/>
  <c r="T51" i="7"/>
  <c r="U51" i="7" s="1"/>
  <c r="V51" i="7" s="1"/>
  <c r="X51" i="7"/>
  <c r="Y51" i="7" s="1"/>
  <c r="Z51" i="7" s="1"/>
  <c r="T41" i="7"/>
  <c r="U41" i="7" s="1"/>
  <c r="X41" i="7"/>
  <c r="Y41" i="7" s="1"/>
  <c r="T68" i="7"/>
  <c r="U68" i="7" s="1"/>
  <c r="V68" i="7" s="1"/>
  <c r="X68" i="7"/>
  <c r="Y68" i="7" s="1"/>
  <c r="Z68" i="7" s="1"/>
  <c r="T24" i="7"/>
  <c r="U24" i="7" s="1"/>
  <c r="V24" i="7" s="1"/>
  <c r="X24" i="7"/>
  <c r="Y24" i="7" s="1"/>
  <c r="T32" i="7"/>
  <c r="U32" i="7" s="1"/>
  <c r="V32" i="7" s="1"/>
  <c r="X32" i="7"/>
  <c r="Y32" i="7" s="1"/>
  <c r="Z32" i="7" s="1"/>
  <c r="T25" i="7"/>
  <c r="U25" i="7" s="1"/>
  <c r="T69" i="7"/>
  <c r="U69" i="7" s="1"/>
  <c r="T7" i="7"/>
  <c r="U7" i="7" s="1"/>
  <c r="V7" i="7" s="1"/>
  <c r="T58" i="7"/>
  <c r="U58" i="7" s="1"/>
  <c r="V58" i="7" s="1"/>
  <c r="X58" i="7"/>
  <c r="Y58" i="7" s="1"/>
  <c r="T65" i="7"/>
  <c r="U65" i="7" s="1"/>
  <c r="X65" i="7"/>
  <c r="Y65" i="7" s="1"/>
  <c r="Z65" i="7" s="1"/>
  <c r="T55" i="7"/>
  <c r="U55" i="7" s="1"/>
  <c r="V55" i="7" s="1"/>
  <c r="X55" i="7"/>
  <c r="Y55" i="7" s="1"/>
  <c r="T54" i="7"/>
  <c r="U54" i="7" s="1"/>
  <c r="V54" i="7" s="1"/>
  <c r="X54" i="7"/>
  <c r="Y54" i="7" s="1"/>
  <c r="Z54" i="7" s="1"/>
  <c r="X20" i="7"/>
  <c r="Y20" i="7" s="1"/>
  <c r="Z20" i="7" s="1"/>
  <c r="X49" i="7"/>
  <c r="Y49" i="7" s="1"/>
  <c r="T77" i="7"/>
  <c r="U77" i="7" s="1"/>
  <c r="T33" i="7"/>
  <c r="U33" i="7" s="1"/>
  <c r="T37" i="7"/>
  <c r="U37" i="7" s="1"/>
  <c r="V37" i="7" s="1"/>
  <c r="T11" i="7"/>
  <c r="U11" i="7" s="1"/>
  <c r="T9" i="7"/>
  <c r="U9" i="7" s="1"/>
  <c r="T10" i="7"/>
  <c r="U10" i="7" s="1"/>
  <c r="V10" i="7" s="1"/>
  <c r="X7" i="7"/>
  <c r="Y7" i="7" s="1"/>
  <c r="Z7" i="7" s="1"/>
  <c r="T30" i="7"/>
  <c r="U30" i="7" s="1"/>
  <c r="X30" i="7"/>
  <c r="Y30" i="7" s="1"/>
  <c r="T63" i="7"/>
  <c r="U63" i="7" s="1"/>
  <c r="X63" i="7"/>
  <c r="Y63" i="7" s="1"/>
  <c r="Z63" i="7" s="1"/>
  <c r="T72" i="7"/>
  <c r="U72" i="7" s="1"/>
  <c r="X72" i="7"/>
  <c r="Y72" i="7" s="1"/>
  <c r="Z72" i="7" s="1"/>
  <c r="T40" i="7"/>
  <c r="U40" i="7" s="1"/>
  <c r="V40" i="7" s="1"/>
  <c r="X40" i="7"/>
  <c r="Y40" i="7" s="1"/>
  <c r="Z40" i="7" s="1"/>
  <c r="T61" i="7"/>
  <c r="U61" i="7" s="1"/>
  <c r="V61" i="7" s="1"/>
  <c r="X61" i="7"/>
  <c r="Y61" i="7" s="1"/>
  <c r="T45" i="7"/>
  <c r="U45" i="7" s="1"/>
  <c r="V45" i="7" s="1"/>
  <c r="X45" i="7"/>
  <c r="Y45" i="7" s="1"/>
  <c r="Z45" i="7" s="1"/>
  <c r="X25" i="7"/>
  <c r="Y25" i="7" s="1"/>
  <c r="X69" i="7"/>
  <c r="Y69" i="7" s="1"/>
  <c r="X77" i="7"/>
  <c r="Y77" i="7" s="1"/>
  <c r="Z77" i="7" s="1"/>
  <c r="X33" i="7"/>
  <c r="Y33" i="7" s="1"/>
  <c r="Z33" i="7" s="1"/>
  <c r="X37" i="7"/>
  <c r="Y37" i="7" s="1"/>
  <c r="X11" i="7"/>
  <c r="Y11" i="7" s="1"/>
  <c r="Z11" i="7" s="1"/>
  <c r="X9" i="7"/>
  <c r="Y9" i="7" s="1"/>
  <c r="Z9" i="7" s="1"/>
  <c r="X10" i="7"/>
  <c r="Y10" i="7" s="1"/>
  <c r="Z10" i="7" s="1"/>
  <c r="X28" i="7"/>
  <c r="Y28" i="7" s="1"/>
  <c r="T53" i="7"/>
  <c r="U53" i="7" s="1"/>
  <c r="V53" i="7" s="1"/>
  <c r="X53" i="7"/>
  <c r="Y53" i="7" s="1"/>
  <c r="Z53" i="7" s="1"/>
  <c r="T8" i="7"/>
  <c r="U8" i="7" s="1"/>
  <c r="V8" i="7" s="1"/>
  <c r="X8" i="7"/>
  <c r="Y8" i="7" s="1"/>
  <c r="T71" i="7"/>
  <c r="U71" i="7" s="1"/>
  <c r="X71" i="7"/>
  <c r="Y71" i="7" s="1"/>
  <c r="Z71" i="7" s="1"/>
  <c r="T35" i="7"/>
  <c r="U35" i="7" s="1"/>
  <c r="V35" i="7" s="1"/>
  <c r="X35" i="7"/>
  <c r="Y35" i="7" s="1"/>
  <c r="Z35" i="7" s="1"/>
  <c r="T27" i="7"/>
  <c r="U27" i="7" s="1"/>
  <c r="X27" i="7"/>
  <c r="Y27" i="7" s="1"/>
  <c r="Z27" i="7" s="1"/>
  <c r="T36" i="7"/>
  <c r="U36" i="7" s="1"/>
  <c r="V36" i="7" s="1"/>
  <c r="X36" i="7"/>
  <c r="Y36" i="7" s="1"/>
  <c r="Z36" i="7" s="1"/>
  <c r="T73" i="7"/>
  <c r="U73" i="7" s="1"/>
  <c r="V73" i="7" s="1"/>
  <c r="X73" i="7"/>
  <c r="Y73" i="7" s="1"/>
  <c r="Z73" i="7" s="1"/>
  <c r="T62" i="7"/>
  <c r="U62" i="7" s="1"/>
  <c r="V62" i="7" s="1"/>
  <c r="X62" i="7"/>
  <c r="Y62" i="7" s="1"/>
  <c r="Z62" i="7" s="1"/>
  <c r="T4" i="7"/>
  <c r="U4" i="7" s="1"/>
  <c r="V4" i="7" s="1"/>
  <c r="X4" i="7"/>
  <c r="Y4" i="7" s="1"/>
  <c r="Z4" i="7" s="1"/>
  <c r="T19" i="7"/>
  <c r="U19" i="7" s="1"/>
  <c r="V19" i="7" s="1"/>
  <c r="X19" i="7"/>
  <c r="Y19" i="7" s="1"/>
  <c r="T16" i="7"/>
  <c r="U16" i="7" s="1"/>
  <c r="X16" i="7"/>
  <c r="Y16" i="7" s="1"/>
  <c r="Z16" i="7" s="1"/>
  <c r="T5" i="7"/>
  <c r="U5" i="7" s="1"/>
  <c r="V5" i="7" s="1"/>
  <c r="X5" i="7"/>
  <c r="Y5" i="7" s="1"/>
  <c r="Z5" i="7" s="1"/>
  <c r="T17" i="7"/>
  <c r="U17" i="7" s="1"/>
  <c r="X17" i="7"/>
  <c r="Y17" i="7" s="1"/>
  <c r="Z17" i="7" s="1"/>
  <c r="T31" i="7"/>
  <c r="U31" i="7" s="1"/>
  <c r="V31" i="7" s="1"/>
  <c r="X31" i="7"/>
  <c r="Y31" i="7" s="1"/>
  <c r="T29" i="7"/>
  <c r="U29" i="7" s="1"/>
  <c r="X29" i="7"/>
  <c r="Y29" i="7" s="1"/>
  <c r="Z29" i="7" s="1"/>
  <c r="T14" i="7"/>
  <c r="U14" i="7" s="1"/>
  <c r="V14" i="7" s="1"/>
  <c r="X14" i="7"/>
  <c r="Y14" i="7" s="1"/>
  <c r="T26" i="7"/>
  <c r="U26" i="7" s="1"/>
  <c r="X26" i="7"/>
  <c r="Y26" i="7" s="1"/>
  <c r="Z26" i="7" s="1"/>
  <c r="T23" i="7"/>
  <c r="U23" i="7" s="1"/>
  <c r="V23" i="7" s="1"/>
  <c r="X23" i="7"/>
  <c r="Y23" i="7" s="1"/>
  <c r="T60" i="7"/>
  <c r="U60" i="7" s="1"/>
  <c r="X60" i="7"/>
  <c r="Y60" i="7" s="1"/>
  <c r="Z60" i="7" s="1"/>
  <c r="T12" i="7"/>
  <c r="U12" i="7" s="1"/>
  <c r="V12" i="7" s="1"/>
  <c r="X12" i="7"/>
  <c r="Y12" i="7" s="1"/>
  <c r="Z12" i="7" s="1"/>
  <c r="T13" i="7"/>
  <c r="U13" i="7" s="1"/>
  <c r="V13" i="7" s="1"/>
  <c r="X13" i="7"/>
  <c r="Y13" i="7" s="1"/>
  <c r="Z13" i="7" s="1"/>
  <c r="T18" i="7"/>
  <c r="U18" i="7" s="1"/>
  <c r="V18" i="7" s="1"/>
  <c r="X18" i="7"/>
  <c r="Y18" i="7" s="1"/>
  <c r="T34" i="7"/>
  <c r="U34" i="7" s="1"/>
  <c r="X34" i="7"/>
  <c r="Y34" i="7" s="1"/>
  <c r="Z34" i="7" s="1"/>
  <c r="T21" i="7"/>
  <c r="U21" i="7" s="1"/>
  <c r="V21" i="7" s="1"/>
  <c r="X21" i="7"/>
  <c r="Y21" i="7" s="1"/>
  <c r="Z21" i="7" s="1"/>
  <c r="T6" i="7"/>
  <c r="U6" i="7" s="1"/>
  <c r="X6" i="7"/>
  <c r="Y6" i="7" s="1"/>
  <c r="Z6" i="7" s="1"/>
  <c r="Z70" i="7"/>
  <c r="Z66" i="7"/>
  <c r="V66" i="7"/>
  <c r="V57" i="7"/>
  <c r="Z57" i="7"/>
  <c r="Z46" i="7"/>
  <c r="V46" i="7"/>
  <c r="Z75" i="7"/>
  <c r="Z48" i="7"/>
  <c r="Z39" i="7"/>
  <c r="V30" i="7"/>
  <c r="V63" i="7"/>
  <c r="V41" i="7"/>
  <c r="Z24" i="7"/>
  <c r="V71" i="7"/>
  <c r="V27" i="7"/>
  <c r="V76" i="7"/>
  <c r="Z30" i="7"/>
  <c r="V42" i="7"/>
  <c r="Z41" i="7"/>
  <c r="Z58" i="7"/>
  <c r="V65" i="7"/>
  <c r="Z55" i="7"/>
  <c r="V17" i="7"/>
  <c r="V29" i="7"/>
  <c r="V26" i="7"/>
  <c r="V52" i="7"/>
  <c r="R47" i="7"/>
  <c r="V72" i="7"/>
  <c r="Z61" i="7"/>
  <c r="Z49" i="7"/>
  <c r="V69" i="7"/>
  <c r="V16" i="7"/>
  <c r="Z69" i="7"/>
  <c r="Z8" i="7"/>
  <c r="Z31" i="7"/>
  <c r="Z14" i="7"/>
  <c r="V49" i="7"/>
  <c r="V77" i="7"/>
  <c r="V33" i="7"/>
  <c r="Z37" i="7"/>
  <c r="V11" i="7"/>
  <c r="V9" i="7"/>
  <c r="V6" i="7"/>
  <c r="Z28" i="7"/>
  <c r="Z19" i="7"/>
  <c r="V20" i="7"/>
  <c r="V60" i="7"/>
  <c r="Z18" i="7"/>
  <c r="V34" i="7"/>
  <c r="V64" i="7"/>
  <c r="V38" i="7"/>
  <c r="Z25" i="7"/>
  <c r="V25" i="7"/>
  <c r="Z23" i="7"/>
  <c r="U82" i="9"/>
  <c r="O75" i="9"/>
  <c r="P75" i="9" s="1"/>
  <c r="O6" i="9"/>
  <c r="P6" i="9" s="1"/>
  <c r="O35" i="9"/>
  <c r="P35" i="9" s="1"/>
  <c r="O53" i="9"/>
  <c r="O86" i="9"/>
  <c r="O68" i="9"/>
  <c r="P68" i="9" s="1"/>
  <c r="O82" i="9"/>
  <c r="P82" i="9" s="1"/>
  <c r="O121" i="9"/>
  <c r="P121" i="9" s="1"/>
  <c r="O90" i="9"/>
  <c r="P90" i="9" s="1"/>
  <c r="O110" i="9"/>
  <c r="P110" i="9" s="1"/>
  <c r="O65" i="9"/>
  <c r="P65" i="9" s="1"/>
  <c r="O17" i="9"/>
  <c r="P17" i="9" s="1"/>
  <c r="O33" i="9"/>
  <c r="P33" i="9" s="1"/>
  <c r="O34" i="9"/>
  <c r="O103" i="9"/>
  <c r="P103" i="9" s="1"/>
  <c r="O112" i="9"/>
  <c r="P112" i="9" s="1"/>
  <c r="O100" i="9"/>
  <c r="P100" i="9" s="1"/>
  <c r="O69" i="9"/>
  <c r="O49" i="9"/>
  <c r="P49" i="9" s="1"/>
  <c r="O44" i="9"/>
  <c r="O106" i="9"/>
  <c r="P106" i="9" s="1"/>
  <c r="O97" i="9"/>
  <c r="O26" i="9"/>
  <c r="P26" i="9" s="1"/>
  <c r="O13" i="9"/>
  <c r="P13" i="9" s="1"/>
  <c r="O87" i="9"/>
  <c r="P87" i="9" s="1"/>
  <c r="O15" i="9"/>
  <c r="O60" i="9"/>
  <c r="P60" i="9" s="1"/>
  <c r="O7" i="9"/>
  <c r="P7" i="9" s="1"/>
  <c r="O92" i="9"/>
  <c r="P92" i="9" s="1"/>
  <c r="O57" i="9"/>
  <c r="P57" i="9" s="1"/>
  <c r="O28" i="9"/>
  <c r="P28" i="9" s="1"/>
  <c r="O63" i="9"/>
  <c r="P63" i="9" s="1"/>
  <c r="O81" i="9"/>
  <c r="P81" i="9" s="1"/>
  <c r="O77" i="9"/>
  <c r="P77" i="9" s="1"/>
  <c r="O12" i="9"/>
  <c r="P12" i="9" s="1"/>
  <c r="O95" i="9"/>
  <c r="P95" i="9" s="1"/>
  <c r="O84" i="9"/>
  <c r="P84" i="9" s="1"/>
  <c r="O32" i="9"/>
  <c r="P32" i="9" s="1"/>
  <c r="O83" i="9"/>
  <c r="P83" i="9" s="1"/>
  <c r="O119" i="9"/>
  <c r="P119" i="9" s="1"/>
  <c r="O73" i="9"/>
  <c r="P73" i="9" s="1"/>
  <c r="O41" i="9"/>
  <c r="O120" i="9"/>
  <c r="O20" i="9"/>
  <c r="P20" i="9" s="1"/>
  <c r="O31" i="9"/>
  <c r="P31" i="9" s="1"/>
  <c r="O54" i="9"/>
  <c r="P54" i="9" s="1"/>
  <c r="O88" i="9"/>
  <c r="P88" i="9" s="1"/>
  <c r="O27" i="9"/>
  <c r="P27" i="9" s="1"/>
  <c r="O101" i="9"/>
  <c r="P101" i="9" s="1"/>
  <c r="O70" i="9"/>
  <c r="O96" i="9"/>
  <c r="P96" i="9" s="1"/>
  <c r="O94" i="9"/>
  <c r="P94" i="9" s="1"/>
  <c r="O71" i="9"/>
  <c r="P71" i="9" s="1"/>
  <c r="O8" i="9"/>
  <c r="P8" i="9" s="1"/>
  <c r="O99" i="9"/>
  <c r="P99" i="9" s="1"/>
  <c r="O111" i="9"/>
  <c r="O47" i="9"/>
  <c r="O16" i="9"/>
  <c r="P16" i="9" s="1"/>
  <c r="O74" i="9"/>
  <c r="P74" i="9" s="1"/>
  <c r="O62" i="9"/>
  <c r="P62" i="9" s="1"/>
  <c r="O67" i="9"/>
  <c r="P67" i="9" s="1"/>
  <c r="O11" i="9"/>
  <c r="O55" i="9"/>
  <c r="P55" i="9" s="1"/>
  <c r="O61" i="9"/>
  <c r="P61" i="9" s="1"/>
  <c r="O104" i="9"/>
  <c r="P104" i="9" s="1"/>
  <c r="O38" i="9"/>
  <c r="P38" i="9" s="1"/>
  <c r="O118" i="9"/>
  <c r="P118" i="9" s="1"/>
  <c r="O107" i="9"/>
  <c r="P107" i="9" s="1"/>
  <c r="O76" i="9"/>
  <c r="P76" i="9" s="1"/>
  <c r="O52" i="9"/>
  <c r="O116" i="9"/>
  <c r="P116" i="9" s="1"/>
  <c r="O10" i="9"/>
  <c r="P10" i="9" s="1"/>
  <c r="O30" i="9"/>
  <c r="P30" i="9" s="1"/>
  <c r="O56" i="9"/>
  <c r="O29" i="9"/>
  <c r="P29" i="9" s="1"/>
  <c r="O89" i="9"/>
  <c r="P89" i="9" s="1"/>
  <c r="O117" i="9"/>
  <c r="P117" i="9" s="1"/>
  <c r="O14" i="9"/>
  <c r="P14" i="9" s="1"/>
  <c r="O24" i="9"/>
  <c r="P24" i="9" s="1"/>
  <c r="O5" i="9"/>
  <c r="P5" i="9" s="1"/>
  <c r="O108" i="9"/>
  <c r="P108" i="9" s="1"/>
  <c r="O109" i="9"/>
  <c r="P109" i="9" s="1"/>
  <c r="O58" i="9"/>
  <c r="O78" i="9"/>
  <c r="P78" i="9" s="1"/>
  <c r="O40" i="9"/>
  <c r="P40" i="9" s="1"/>
  <c r="O37" i="9"/>
  <c r="P37" i="9" s="1"/>
  <c r="O105" i="9"/>
  <c r="P105" i="9" s="1"/>
  <c r="O36" i="9"/>
  <c r="P36" i="9" s="1"/>
  <c r="O64" i="9"/>
  <c r="P64" i="9" s="1"/>
  <c r="O45" i="9"/>
  <c r="O66" i="9"/>
  <c r="P66" i="9" s="1"/>
  <c r="O98" i="9"/>
  <c r="P98" i="9" s="1"/>
  <c r="O72" i="9"/>
  <c r="P72" i="9" s="1"/>
  <c r="O4" i="9"/>
  <c r="O23" i="9"/>
  <c r="P23" i="9" s="1"/>
  <c r="O79" i="9"/>
  <c r="P79" i="9" s="1"/>
  <c r="O51" i="9"/>
  <c r="P51" i="9" s="1"/>
  <c r="O22" i="9"/>
  <c r="P22" i="9" s="1"/>
  <c r="O39" i="9"/>
  <c r="P39" i="9" s="1"/>
  <c r="O21" i="9"/>
  <c r="P21" i="9" s="1"/>
  <c r="O19" i="9"/>
  <c r="P19" i="9" s="1"/>
  <c r="O50" i="9"/>
  <c r="P50" i="9" s="1"/>
  <c r="O115" i="9"/>
  <c r="O80" i="9"/>
  <c r="P80" i="9" s="1"/>
  <c r="O43" i="9"/>
  <c r="P43" i="9" s="1"/>
  <c r="O48" i="9"/>
  <c r="O114" i="9"/>
  <c r="P114" i="9" s="1"/>
  <c r="O102" i="9"/>
  <c r="P102" i="9" s="1"/>
  <c r="O42" i="9"/>
  <c r="P42" i="9" s="1"/>
  <c r="O113" i="9"/>
  <c r="O91" i="9"/>
  <c r="P91" i="9" s="1"/>
  <c r="O18" i="9"/>
  <c r="P18" i="9" s="1"/>
  <c r="O25" i="9"/>
  <c r="P25" i="9" s="1"/>
  <c r="O93" i="9"/>
  <c r="P93" i="9" s="1"/>
  <c r="O9" i="9"/>
  <c r="P9" i="9" s="1"/>
  <c r="O59" i="9"/>
  <c r="P59" i="9" s="1"/>
  <c r="O46" i="9"/>
  <c r="P46" i="9" s="1"/>
  <c r="O85" i="9"/>
  <c r="P85" i="9" s="1"/>
  <c r="P58" i="9"/>
  <c r="U112" i="9"/>
  <c r="U13" i="9"/>
  <c r="U57" i="9"/>
  <c r="U49" i="9"/>
  <c r="U87" i="9"/>
  <c r="U107" i="9"/>
  <c r="U89" i="9"/>
  <c r="U4" i="9"/>
  <c r="P4" i="9"/>
  <c r="U21" i="9"/>
  <c r="U75" i="9"/>
  <c r="U29" i="9"/>
  <c r="U26" i="9"/>
  <c r="U92" i="9"/>
  <c r="U95" i="9"/>
  <c r="U54" i="9"/>
  <c r="U121" i="9"/>
  <c r="U110" i="9"/>
  <c r="U44" i="9"/>
  <c r="P44" i="9"/>
  <c r="U88" i="9"/>
  <c r="U8" i="9"/>
  <c r="U109" i="9"/>
  <c r="U98" i="9"/>
  <c r="U28" i="9"/>
  <c r="U77" i="9"/>
  <c r="U25" i="9"/>
  <c r="U48" i="9"/>
  <c r="P48" i="9"/>
  <c r="U60" i="9"/>
  <c r="U63" i="9"/>
  <c r="U12" i="9"/>
  <c r="U83" i="9"/>
  <c r="U106" i="9"/>
  <c r="U100" i="9"/>
  <c r="U72" i="9"/>
  <c r="U115" i="9"/>
  <c r="P115" i="9"/>
  <c r="U68" i="9"/>
  <c r="U17" i="9"/>
  <c r="U59" i="9"/>
  <c r="U46" i="9"/>
  <c r="U64" i="9"/>
  <c r="U50" i="9"/>
  <c r="U114" i="9"/>
  <c r="U43" i="9"/>
  <c r="U18" i="9"/>
  <c r="U91" i="9"/>
  <c r="U5" i="9"/>
  <c r="U19" i="9"/>
  <c r="U27" i="9"/>
  <c r="U111" i="9"/>
  <c r="P111" i="9"/>
  <c r="U33" i="9"/>
  <c r="U69" i="9"/>
  <c r="P69" i="9"/>
  <c r="U32" i="9"/>
  <c r="U30" i="9"/>
  <c r="U31" i="9"/>
  <c r="U101" i="9"/>
  <c r="U39" i="9"/>
  <c r="U76" i="9"/>
  <c r="U62" i="9"/>
  <c r="U90" i="9"/>
  <c r="U103" i="9"/>
  <c r="U80" i="9"/>
  <c r="U41" i="9"/>
  <c r="P41" i="9"/>
  <c r="U96" i="9"/>
  <c r="U11" i="9"/>
  <c r="P11" i="9"/>
  <c r="U14" i="9"/>
  <c r="U113" i="9"/>
  <c r="P113" i="9"/>
  <c r="U93" i="9"/>
  <c r="U105" i="9"/>
  <c r="U38" i="9"/>
  <c r="U10" i="9"/>
  <c r="U117" i="9"/>
  <c r="U16" i="9"/>
  <c r="U86" i="9"/>
  <c r="P86" i="9"/>
  <c r="U94" i="9"/>
  <c r="U34" i="9"/>
  <c r="P34" i="9"/>
  <c r="U23" i="9"/>
  <c r="U45" i="9"/>
  <c r="P45" i="9"/>
  <c r="U70" i="9"/>
  <c r="P70" i="9"/>
  <c r="U102" i="9"/>
  <c r="U9" i="9"/>
  <c r="U47" i="9"/>
  <c r="P47" i="9"/>
  <c r="U118" i="9"/>
  <c r="U97" i="9"/>
  <c r="P97" i="9"/>
  <c r="U15" i="9"/>
  <c r="P15" i="9"/>
  <c r="U36" i="9"/>
  <c r="U51" i="9"/>
  <c r="U84" i="9"/>
  <c r="U81" i="9"/>
  <c r="U116" i="9"/>
  <c r="U78" i="9"/>
  <c r="U73" i="9"/>
  <c r="U20" i="9"/>
  <c r="U79" i="9"/>
  <c r="U66" i="9"/>
  <c r="U22" i="9"/>
  <c r="U85" i="9"/>
  <c r="U119" i="9"/>
  <c r="U120" i="9"/>
  <c r="P120" i="9"/>
  <c r="U7" i="9"/>
  <c r="U6" i="9"/>
  <c r="U40" i="9"/>
  <c r="U35" i="9"/>
  <c r="U53" i="9"/>
  <c r="P53" i="9"/>
  <c r="U55" i="9"/>
  <c r="U108" i="9"/>
  <c r="U104" i="9"/>
  <c r="U65" i="9"/>
  <c r="U42" i="9"/>
  <c r="U67" i="9"/>
  <c r="U56" i="9"/>
  <c r="P56" i="9"/>
  <c r="U74" i="9"/>
  <c r="U52" i="9"/>
  <c r="P52" i="9"/>
  <c r="U99" i="9"/>
  <c r="U71" i="9"/>
  <c r="U61" i="9"/>
  <c r="U24" i="9"/>
  <c r="U37" i="9"/>
  <c r="U58" i="9"/>
  <c r="S75" i="7"/>
  <c r="B3" i="9"/>
  <c r="S44" i="7"/>
  <c r="W22" i="7"/>
  <c r="W50" i="7"/>
  <c r="W64" i="7"/>
  <c r="W67" i="7"/>
  <c r="W38" i="7"/>
  <c r="W74" i="7"/>
  <c r="S39" i="7"/>
  <c r="W15" i="7"/>
  <c r="W52" i="7"/>
  <c r="W44" i="7"/>
  <c r="W42" i="7"/>
  <c r="R82" i="9"/>
  <c r="W43" i="7"/>
  <c r="S47" i="7"/>
  <c r="S43" i="7"/>
  <c r="S67" i="7"/>
  <c r="S82" i="9" l="1"/>
  <c r="T82" i="9" s="1"/>
  <c r="T75" i="7"/>
  <c r="U75" i="7" s="1"/>
  <c r="V75" i="7" s="1"/>
  <c r="X50" i="7"/>
  <c r="Y50" i="7" s="1"/>
  <c r="Z50" i="7" s="1"/>
  <c r="X67" i="7"/>
  <c r="Y67" i="7" s="1"/>
  <c r="Z67" i="7" s="1"/>
  <c r="X15" i="7"/>
  <c r="Y15" i="7" s="1"/>
  <c r="Z15" i="7" s="1"/>
  <c r="X44" i="7"/>
  <c r="Y44" i="7" s="1"/>
  <c r="Z44" i="7" s="1"/>
  <c r="X22" i="7"/>
  <c r="Y22" i="7" s="1"/>
  <c r="Z22" i="7" s="1"/>
  <c r="T44" i="7"/>
  <c r="U44" i="7" s="1"/>
  <c r="V44" i="7" s="1"/>
  <c r="T47" i="7"/>
  <c r="U47" i="7" s="1"/>
  <c r="V47" i="7" s="1"/>
  <c r="T43" i="7"/>
  <c r="U43" i="7" s="1"/>
  <c r="V43" i="7" s="1"/>
  <c r="X52" i="7"/>
  <c r="Y52" i="7" s="1"/>
  <c r="Z52" i="7" s="1"/>
  <c r="T67" i="7"/>
  <c r="U67" i="7" s="1"/>
  <c r="V67" i="7" s="1"/>
  <c r="X64" i="7"/>
  <c r="Y64" i="7" s="1"/>
  <c r="Z64" i="7" s="1"/>
  <c r="X74" i="7"/>
  <c r="Y74" i="7" s="1"/>
  <c r="Z74" i="7" s="1"/>
  <c r="T39" i="7"/>
  <c r="U39" i="7" s="1"/>
  <c r="V39" i="7" s="1"/>
  <c r="X43" i="7"/>
  <c r="Y43" i="7" s="1"/>
  <c r="Z43" i="7" s="1"/>
  <c r="X42" i="7"/>
  <c r="Y42" i="7" s="1"/>
  <c r="Z42" i="7" s="1"/>
  <c r="X38" i="7"/>
  <c r="Y38" i="7" s="1"/>
  <c r="Z38" i="7" s="1"/>
  <c r="Z47" i="7"/>
  <c r="Q82" i="9"/>
  <c r="R80" i="9"/>
  <c r="R18" i="9"/>
  <c r="R78" i="9"/>
  <c r="R111" i="9"/>
  <c r="R118" i="9"/>
  <c r="R4" i="9"/>
  <c r="R105" i="9"/>
  <c r="R76" i="9"/>
  <c r="R49" i="9"/>
  <c r="R29" i="9"/>
  <c r="R33" i="9"/>
  <c r="R121" i="9"/>
  <c r="R66" i="9"/>
  <c r="R114" i="9"/>
  <c r="R108" i="9"/>
  <c r="R79" i="9"/>
  <c r="R14" i="9"/>
  <c r="R39" i="9"/>
  <c r="R62" i="9"/>
  <c r="R17" i="9"/>
  <c r="R100" i="9"/>
  <c r="R112" i="9"/>
  <c r="R35" i="9"/>
  <c r="R36" i="9"/>
  <c r="R88" i="9"/>
  <c r="R71" i="9"/>
  <c r="R113" i="9"/>
  <c r="R70" i="9"/>
  <c r="R41" i="9"/>
  <c r="R120" i="9"/>
  <c r="R55" i="9"/>
  <c r="R5" i="9"/>
  <c r="R91" i="9"/>
  <c r="R50" i="9"/>
  <c r="R104" i="9"/>
  <c r="R92" i="9"/>
  <c r="R8" i="9"/>
  <c r="R51" i="9"/>
  <c r="R30" i="9"/>
  <c r="R37" i="9"/>
  <c r="R21" i="9"/>
  <c r="R99" i="9"/>
  <c r="R63" i="9"/>
  <c r="R56" i="9"/>
  <c r="R26" i="9"/>
  <c r="R38" i="9"/>
  <c r="R24" i="9"/>
  <c r="R47" i="9"/>
  <c r="R9" i="9"/>
  <c r="R31" i="9"/>
  <c r="R94" i="9"/>
  <c r="R45" i="9"/>
  <c r="R87" i="9"/>
  <c r="R20" i="9"/>
  <c r="R77" i="9"/>
  <c r="R40" i="9"/>
  <c r="R116" i="9"/>
  <c r="R119" i="9"/>
  <c r="R54" i="9"/>
  <c r="R25" i="9"/>
  <c r="R12" i="9"/>
  <c r="R10" i="9"/>
  <c r="R109" i="9"/>
  <c r="R106" i="9"/>
  <c r="R67" i="9"/>
  <c r="R86" i="9"/>
  <c r="R110" i="9"/>
  <c r="R59" i="9"/>
  <c r="R72" i="9"/>
  <c r="R58" i="9"/>
  <c r="S94" i="9" l="1"/>
  <c r="S18" i="9"/>
  <c r="S114" i="9"/>
  <c r="S10" i="9"/>
  <c r="S71" i="9"/>
  <c r="S36" i="9"/>
  <c r="S25" i="9"/>
  <c r="S109" i="9"/>
  <c r="S70" i="9"/>
  <c r="S99" i="9"/>
  <c r="S111" i="9"/>
  <c r="S58" i="9"/>
  <c r="S21" i="9"/>
  <c r="S91" i="9"/>
  <c r="S59" i="9"/>
  <c r="S86" i="9"/>
  <c r="S120" i="9"/>
  <c r="S72" i="9"/>
  <c r="S106" i="9"/>
  <c r="S38" i="9"/>
  <c r="S49" i="9"/>
  <c r="S55" i="9"/>
  <c r="S63" i="9"/>
  <c r="S20" i="9"/>
  <c r="S4" i="9"/>
  <c r="S41" i="9"/>
  <c r="S24" i="9"/>
  <c r="S119" i="9"/>
  <c r="S100" i="9"/>
  <c r="S67" i="9"/>
  <c r="S77" i="9"/>
  <c r="S45" i="9"/>
  <c r="S108" i="9"/>
  <c r="S33" i="9"/>
  <c r="S9" i="9"/>
  <c r="S8" i="9"/>
  <c r="S80" i="9"/>
  <c r="S76" i="9"/>
  <c r="S92" i="9"/>
  <c r="S104" i="9"/>
  <c r="S39" i="9"/>
  <c r="S26" i="9"/>
  <c r="S87" i="9"/>
  <c r="S50" i="9"/>
  <c r="S118" i="9"/>
  <c r="S110" i="9"/>
  <c r="S37" i="9"/>
  <c r="S30" i="9"/>
  <c r="S78" i="9"/>
  <c r="S54" i="9"/>
  <c r="S51" i="9"/>
  <c r="S29" i="9"/>
  <c r="S56" i="9"/>
  <c r="S5" i="9"/>
  <c r="S105" i="9"/>
  <c r="S47" i="9"/>
  <c r="S121" i="9"/>
  <c r="S35" i="9"/>
  <c r="S113" i="9"/>
  <c r="S112" i="9"/>
  <c r="S40" i="9"/>
  <c r="S17" i="9"/>
  <c r="S62" i="9"/>
  <c r="S79" i="9"/>
  <c r="S31" i="9"/>
  <c r="S116" i="9"/>
  <c r="S66" i="9"/>
  <c r="S12" i="9"/>
  <c r="S88" i="9"/>
  <c r="S14" i="9"/>
  <c r="Q58" i="9"/>
  <c r="Q104" i="9"/>
  <c r="Q94" i="9"/>
  <c r="Q114" i="9"/>
  <c r="Q21" i="9"/>
  <c r="Q39" i="9"/>
  <c r="Q67" i="9"/>
  <c r="Q45" i="9"/>
  <c r="Q91" i="9"/>
  <c r="Q26" i="9"/>
  <c r="Q35" i="9"/>
  <c r="Q10" i="9"/>
  <c r="Q59" i="9"/>
  <c r="Q87" i="9"/>
  <c r="Q18" i="9"/>
  <c r="Q108" i="9"/>
  <c r="Q86" i="9"/>
  <c r="Q50" i="9"/>
  <c r="Q77" i="9"/>
  <c r="Q71" i="9"/>
  <c r="Q120" i="9"/>
  <c r="Q118" i="9"/>
  <c r="Q113" i="9"/>
  <c r="Q33" i="9"/>
  <c r="Q72" i="9"/>
  <c r="Q110" i="9"/>
  <c r="Q112" i="9"/>
  <c r="Q9" i="9"/>
  <c r="Q106" i="9"/>
  <c r="Q37" i="9"/>
  <c r="Q40" i="9"/>
  <c r="Q36" i="9"/>
  <c r="Q38" i="9"/>
  <c r="Q30" i="9"/>
  <c r="Q17" i="9"/>
  <c r="Q8" i="9"/>
  <c r="Q49" i="9"/>
  <c r="Q78" i="9"/>
  <c r="Q62" i="9"/>
  <c r="Q25" i="9"/>
  <c r="Q55" i="9"/>
  <c r="Q54" i="9"/>
  <c r="Q79" i="9"/>
  <c r="Q80" i="9"/>
  <c r="Q63" i="9"/>
  <c r="Q51" i="9"/>
  <c r="Q31" i="9"/>
  <c r="Q109" i="9"/>
  <c r="Q20" i="9"/>
  <c r="Q29" i="9"/>
  <c r="Q116" i="9"/>
  <c r="Q76" i="9"/>
  <c r="Q4" i="9"/>
  <c r="Q56" i="9"/>
  <c r="Q66" i="9"/>
  <c r="Q70" i="9"/>
  <c r="Q41" i="9"/>
  <c r="Q5" i="9"/>
  <c r="Q12" i="9"/>
  <c r="Q92" i="9"/>
  <c r="Q24" i="9"/>
  <c r="Q105" i="9"/>
  <c r="Q88" i="9"/>
  <c r="Q99" i="9"/>
  <c r="Q119" i="9"/>
  <c r="Q47" i="9"/>
  <c r="Q14" i="9"/>
  <c r="Q111" i="9"/>
  <c r="Q100" i="9"/>
  <c r="Q121" i="9"/>
  <c r="R28" i="9"/>
  <c r="R74" i="9"/>
  <c r="R27" i="9"/>
  <c r="R98" i="9"/>
  <c r="R101" i="9"/>
  <c r="R75" i="9"/>
  <c r="R7" i="9"/>
  <c r="R96" i="9"/>
  <c r="R34" i="9"/>
  <c r="R85" i="9"/>
  <c r="R60" i="9"/>
  <c r="R95" i="9"/>
  <c r="R73" i="9"/>
  <c r="R81" i="9"/>
  <c r="R107" i="9"/>
  <c r="R53" i="9"/>
  <c r="R15" i="9"/>
  <c r="R43" i="9"/>
  <c r="R6" i="9"/>
  <c r="R44" i="9"/>
  <c r="R69" i="9"/>
  <c r="R16" i="9"/>
  <c r="R42" i="9"/>
  <c r="R90" i="9"/>
  <c r="R117" i="9"/>
  <c r="R115" i="9"/>
  <c r="R102" i="9"/>
  <c r="R23" i="9"/>
  <c r="R46" i="9"/>
  <c r="R64" i="9"/>
  <c r="R68" i="9"/>
  <c r="R32" i="9"/>
  <c r="R103" i="9"/>
  <c r="R11" i="9"/>
  <c r="R93" i="9"/>
  <c r="R97" i="9"/>
  <c r="R22" i="9"/>
  <c r="R52" i="9"/>
  <c r="R65" i="9"/>
  <c r="R61" i="9"/>
  <c r="R13" i="9"/>
  <c r="R83" i="9"/>
  <c r="R19" i="9"/>
  <c r="R57" i="9"/>
  <c r="R48" i="9"/>
  <c r="R89" i="9"/>
  <c r="R84" i="9"/>
  <c r="S43" i="9" l="1"/>
  <c r="S42" i="9"/>
  <c r="S98" i="9"/>
  <c r="S97" i="9"/>
  <c r="S81" i="9"/>
  <c r="S89" i="9"/>
  <c r="S73" i="9"/>
  <c r="S48" i="9"/>
  <c r="S74" i="9"/>
  <c r="S11" i="9"/>
  <c r="S117" i="9"/>
  <c r="S107" i="9"/>
  <c r="S102" i="9"/>
  <c r="S32" i="9"/>
  <c r="S93" i="9"/>
  <c r="S13" i="9"/>
  <c r="S95" i="9"/>
  <c r="S27" i="9"/>
  <c r="S84" i="9"/>
  <c r="S85" i="9"/>
  <c r="S22" i="9"/>
  <c r="S23" i="9"/>
  <c r="S34" i="9"/>
  <c r="S75" i="9"/>
  <c r="S19" i="9"/>
  <c r="S57" i="9"/>
  <c r="S101" i="9"/>
  <c r="S15" i="9"/>
  <c r="S83" i="9"/>
  <c r="S61" i="9"/>
  <c r="S69" i="9"/>
  <c r="S16" i="9"/>
  <c r="S65" i="9"/>
  <c r="S64" i="9"/>
  <c r="S44" i="9"/>
  <c r="S96" i="9"/>
  <c r="S60" i="9"/>
  <c r="S90" i="9"/>
  <c r="S6" i="9"/>
  <c r="S52" i="9"/>
  <c r="S53" i="9"/>
  <c r="S46" i="9"/>
  <c r="S68" i="9"/>
  <c r="S103" i="9"/>
  <c r="S7" i="9"/>
  <c r="S115" i="9"/>
  <c r="S28" i="9"/>
  <c r="Q81" i="9"/>
  <c r="Q22" i="9"/>
  <c r="Q96" i="9"/>
  <c r="Q95" i="9"/>
  <c r="Q89" i="9"/>
  <c r="Q23" i="9"/>
  <c r="Q60" i="9"/>
  <c r="Q65" i="9"/>
  <c r="Q73" i="9"/>
  <c r="Q34" i="9"/>
  <c r="Q90" i="9"/>
  <c r="Q43" i="9"/>
  <c r="Q48" i="9"/>
  <c r="Q75" i="9"/>
  <c r="Q6" i="9"/>
  <c r="Q27" i="9"/>
  <c r="Q74" i="9"/>
  <c r="Q19" i="9"/>
  <c r="Q52" i="9"/>
  <c r="Q42" i="9"/>
  <c r="Q11" i="9"/>
  <c r="Q57" i="9"/>
  <c r="Q53" i="9"/>
  <c r="Q84" i="9"/>
  <c r="Q117" i="9"/>
  <c r="Q101" i="9"/>
  <c r="Q46" i="9"/>
  <c r="Q98" i="9"/>
  <c r="Q107" i="9"/>
  <c r="Q15" i="9"/>
  <c r="Q68" i="9"/>
  <c r="Q64" i="9"/>
  <c r="Q102" i="9"/>
  <c r="Q83" i="9"/>
  <c r="Q103" i="9"/>
  <c r="Q85" i="9"/>
  <c r="Q32" i="9"/>
  <c r="Q61" i="9"/>
  <c r="Q7" i="9"/>
  <c r="Q97" i="9"/>
  <c r="Q93" i="9"/>
  <c r="Q69" i="9"/>
  <c r="Q115" i="9"/>
  <c r="Q44" i="9"/>
  <c r="Q13" i="9"/>
  <c r="Q16" i="9"/>
  <c r="Q28" i="9"/>
  <c r="T68" i="9"/>
  <c r="T100" i="9"/>
  <c r="T63" i="9"/>
  <c r="T77" i="9"/>
  <c r="T8" i="9"/>
  <c r="T121" i="9"/>
  <c r="T26" i="9"/>
  <c r="T4" i="9"/>
  <c r="T49" i="9"/>
  <c r="T17" i="9"/>
  <c r="T24" i="9" l="1"/>
  <c r="T52" i="9"/>
  <c r="T81" i="9"/>
  <c r="T47" i="9"/>
  <c r="T86" i="9"/>
  <c r="T14" i="9"/>
  <c r="T61" i="9"/>
  <c r="T74" i="9"/>
  <c r="T65" i="9"/>
  <c r="T53" i="9"/>
  <c r="T7" i="9"/>
  <c r="T78" i="9"/>
  <c r="T116" i="9"/>
  <c r="T118" i="9"/>
  <c r="T55" i="9"/>
  <c r="T58" i="9"/>
  <c r="T71" i="9"/>
  <c r="T56" i="9"/>
  <c r="T104" i="9"/>
  <c r="T35" i="9"/>
  <c r="T120" i="9"/>
  <c r="T20" i="9"/>
  <c r="T15" i="9"/>
  <c r="T70" i="9"/>
  <c r="T94" i="9"/>
  <c r="T10" i="9"/>
  <c r="T113" i="9"/>
  <c r="T80" i="9"/>
  <c r="T42" i="9"/>
  <c r="T6" i="9"/>
  <c r="T85" i="9"/>
  <c r="T45" i="9"/>
  <c r="T38" i="9"/>
  <c r="T37" i="9"/>
  <c r="T99" i="9"/>
  <c r="T67" i="9"/>
  <c r="T108" i="9"/>
  <c r="T40" i="9"/>
  <c r="T119" i="9"/>
  <c r="T66" i="9"/>
  <c r="T79" i="9"/>
  <c r="T51" i="9"/>
  <c r="T36" i="9"/>
  <c r="T9" i="9"/>
  <c r="T23" i="9"/>
  <c r="T16" i="9"/>
  <c r="T105" i="9"/>
  <c r="T11" i="9"/>
  <c r="T103" i="9"/>
  <c r="T22" i="9"/>
  <c r="T73" i="9"/>
  <c r="T84" i="9"/>
  <c r="T97" i="9"/>
  <c r="T102" i="9"/>
  <c r="T34" i="9"/>
  <c r="T117" i="9"/>
  <c r="T93" i="9"/>
  <c r="T96" i="9"/>
  <c r="T41" i="9"/>
  <c r="T90" i="9"/>
  <c r="T76" i="9"/>
  <c r="T101" i="9"/>
  <c r="T30" i="9"/>
  <c r="T69" i="9"/>
  <c r="T19" i="9"/>
  <c r="T43" i="9"/>
  <c r="T46" i="9"/>
  <c r="T115" i="9"/>
  <c r="T83" i="9"/>
  <c r="T48" i="9"/>
  <c r="T98" i="9"/>
  <c r="T44" i="9"/>
  <c r="T95" i="9"/>
  <c r="T75" i="9"/>
  <c r="T107" i="9"/>
  <c r="T13" i="9"/>
  <c r="T62" i="9"/>
  <c r="T31" i="9"/>
  <c r="T33" i="9"/>
  <c r="T5" i="9"/>
  <c r="T114" i="9"/>
  <c r="T59" i="9"/>
  <c r="T72" i="9"/>
  <c r="T12" i="9"/>
  <c r="T25" i="9"/>
  <c r="T109" i="9"/>
  <c r="T110" i="9"/>
  <c r="T92" i="9"/>
  <c r="T21" i="9"/>
  <c r="T87" i="9"/>
  <c r="T112" i="9"/>
  <c r="T111" i="9"/>
  <c r="T91" i="9"/>
  <c r="T50" i="9"/>
  <c r="T39" i="9"/>
  <c r="T32" i="9"/>
  <c r="T27" i="9"/>
  <c r="T18" i="9"/>
  <c r="T64" i="9"/>
  <c r="T106" i="9"/>
  <c r="T60" i="9"/>
  <c r="T28" i="9"/>
  <c r="T88" i="9"/>
  <c r="T54" i="9"/>
  <c r="T29" i="9"/>
  <c r="T89" i="9"/>
  <c r="T57" i="9"/>
  <c r="AD3" i="7" l="1"/>
  <c r="B3" i="5"/>
</calcChain>
</file>

<file path=xl/sharedStrings.xml><?xml version="1.0" encoding="utf-8"?>
<sst xmlns="http://schemas.openxmlformats.org/spreadsheetml/2006/main" count="2392" uniqueCount="1894">
  <si>
    <t>HDFC</t>
  </si>
  <si>
    <t>ITC</t>
  </si>
  <si>
    <t>BALRAMCHIN</t>
  </si>
  <si>
    <t>BAJAJHIND</t>
  </si>
  <si>
    <t>ROLTA</t>
  </si>
  <si>
    <t>PTC</t>
  </si>
  <si>
    <t>JKIL</t>
  </si>
  <si>
    <t>CHAMBLFERT</t>
  </si>
  <si>
    <t>GSFC</t>
  </si>
  <si>
    <t>CHENNPETRO</t>
  </si>
  <si>
    <t>NLCINDIA</t>
  </si>
  <si>
    <t>BALMLAWRIE</t>
  </si>
  <si>
    <t>INFRATEL</t>
  </si>
  <si>
    <t>DHAMPURSUG</t>
  </si>
  <si>
    <t>IOC</t>
  </si>
  <si>
    <t>GMDCLTD</t>
  </si>
  <si>
    <t>AUROPHARMA</t>
  </si>
  <si>
    <t>NMDC</t>
  </si>
  <si>
    <t>DIVISLAB</t>
  </si>
  <si>
    <t>MRPL</t>
  </si>
  <si>
    <t>COROMANDEL</t>
  </si>
  <si>
    <t>PFC</t>
  </si>
  <si>
    <t>WIPRO</t>
  </si>
  <si>
    <t>TECHM</t>
  </si>
  <si>
    <t>Stocks</t>
  </si>
  <si>
    <t>PRAJIND</t>
  </si>
  <si>
    <t>ALOKTEXT</t>
  </si>
  <si>
    <t>21STCENMGM</t>
  </si>
  <si>
    <t>3IINFOTECH</t>
  </si>
  <si>
    <t>3MINDIA</t>
  </si>
  <si>
    <t>3PLAND</t>
  </si>
  <si>
    <t>5PAISA</t>
  </si>
  <si>
    <t>63MOONS</t>
  </si>
  <si>
    <t>8KMILES</t>
  </si>
  <si>
    <t>A2ZINFRA</t>
  </si>
  <si>
    <t>AARTIDRUGS</t>
  </si>
  <si>
    <t>AARTIIND</t>
  </si>
  <si>
    <t>AARVEEDEN</t>
  </si>
  <si>
    <t>ABAN</t>
  </si>
  <si>
    <t>ABB</t>
  </si>
  <si>
    <t>ABBOTINDIA</t>
  </si>
  <si>
    <t>ABCAPITAL</t>
  </si>
  <si>
    <t>ABFRL</t>
  </si>
  <si>
    <t>ABGSHIP</t>
  </si>
  <si>
    <t>ACC</t>
  </si>
  <si>
    <t>ACCELYA</t>
  </si>
  <si>
    <t>ACCURACY</t>
  </si>
  <si>
    <t>ACE</t>
  </si>
  <si>
    <t>ADANIENT</t>
  </si>
  <si>
    <t>ADANIGREEN</t>
  </si>
  <si>
    <t>ADANIPORTS</t>
  </si>
  <si>
    <t>ADANIPOWER</t>
  </si>
  <si>
    <t>ADANITRANS</t>
  </si>
  <si>
    <t>ADFFOODS</t>
  </si>
  <si>
    <t>ADHUNIK</t>
  </si>
  <si>
    <t>ADHUNIKIND</t>
  </si>
  <si>
    <t>ADLABS</t>
  </si>
  <si>
    <t>ADORWELD</t>
  </si>
  <si>
    <t>ADROITINFO</t>
  </si>
  <si>
    <t>ADSL</t>
  </si>
  <si>
    <t>ADVANIHOTR</t>
  </si>
  <si>
    <t>ADVENZYMES</t>
  </si>
  <si>
    <t>AEGISCHEM</t>
  </si>
  <si>
    <t>AFL</t>
  </si>
  <si>
    <t>AGARIND</t>
  </si>
  <si>
    <t>AGCNET</t>
  </si>
  <si>
    <t>AGLSL</t>
  </si>
  <si>
    <t>AGRITECH</t>
  </si>
  <si>
    <t>AGROPHOS</t>
  </si>
  <si>
    <t>AHLEAST</t>
  </si>
  <si>
    <t>AHLUCONT</t>
  </si>
  <si>
    <t>AHLWEST</t>
  </si>
  <si>
    <t>AIAENG</t>
  </si>
  <si>
    <t>AICHAMP</t>
  </si>
  <si>
    <t>AIFL</t>
  </si>
  <si>
    <t>AIRAN</t>
  </si>
  <si>
    <t>AIROLAM</t>
  </si>
  <si>
    <t>AISL</t>
  </si>
  <si>
    <t>AJANTPHARM</t>
  </si>
  <si>
    <t>AJMERA</t>
  </si>
  <si>
    <t>AJOONI</t>
  </si>
  <si>
    <t>AKSHARCHEM</t>
  </si>
  <si>
    <t>AKSHOPTFBR</t>
  </si>
  <si>
    <t>AKZOINDIA</t>
  </si>
  <si>
    <t>ALANKIT</t>
  </si>
  <si>
    <t>ALBERTDAVD</t>
  </si>
  <si>
    <t>ALBK</t>
  </si>
  <si>
    <t>ALCHEM</t>
  </si>
  <si>
    <t>ALEMBICLTD</t>
  </si>
  <si>
    <t>ALICON</t>
  </si>
  <si>
    <t>ALKALI</t>
  </si>
  <si>
    <t>ALKEM</t>
  </si>
  <si>
    <t>ALKYLAMINE</t>
  </si>
  <si>
    <t>ALLCARGO</t>
  </si>
  <si>
    <t>ALLSEC</t>
  </si>
  <si>
    <t>ALMONDZ</t>
  </si>
  <si>
    <t>ALPA</t>
  </si>
  <si>
    <t>ALPHAGEO</t>
  </si>
  <si>
    <t>ALPSINDUS</t>
  </si>
  <si>
    <t>AMARAJABAT</t>
  </si>
  <si>
    <t>AMBANIORG</t>
  </si>
  <si>
    <t>AMBER</t>
  </si>
  <si>
    <t>AMBIKCO</t>
  </si>
  <si>
    <t>AMBUJACEM</t>
  </si>
  <si>
    <t>AMDIND</t>
  </si>
  <si>
    <t>AMJLAND</t>
  </si>
  <si>
    <t>AMJUMBO</t>
  </si>
  <si>
    <t>AMRUTANJAN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</si>
  <si>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</si>
  <si>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</si>
  <si>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</si>
  <si>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</si>
  <si>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</si>
  <si>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</si>
  <si>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</si>
  <si>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</si>
  <si>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</si>
  <si>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</si>
  <si>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</si>
  <si>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</si>
  <si>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APCL</t>
  </si>
  <si>
    <t>APCOTEXIND</t>
  </si>
  <si>
    <t>APEX</t>
  </si>
  <si>
    <t>APLAPOLLO</t>
  </si>
  <si>
    <t>APLLTD</t>
  </si>
  <si>
    <t>APOLLO</t>
  </si>
  <si>
    <t>APOLLOHOSP</t>
  </si>
  <si>
    <t>APOLLOTYRE</t>
  </si>
  <si>
    <t>APOLSINHOT</t>
  </si>
  <si>
    <t>APTECHT</t>
  </si>
  <si>
    <t>ARCHIDPLY</t>
  </si>
  <si>
    <t>ARCHIES</t>
  </si>
  <si>
    <t>ARCOTECH</t>
  </si>
  <si>
    <t>ARIES</t>
  </si>
  <si>
    <t>ARIHANT</t>
  </si>
  <si>
    <t>ARIHANTSUP</t>
  </si>
  <si>
    <t>ARMANFIN</t>
  </si>
  <si>
    <t>AROGRANITE</t>
  </si>
  <si>
    <t>ARROWGREEN</t>
  </si>
  <si>
    <t>ARROWTEX</t>
  </si>
  <si>
    <t>ARSHIYA</t>
  </si>
  <si>
    <t>ARSSINFRA</t>
  </si>
  <si>
    <t>ARTNIRMAN</t>
  </si>
  <si>
    <t>ARVIND</t>
  </si>
  <si>
    <t>ARVSMART</t>
  </si>
  <si>
    <t>ASAHIINDIA</t>
  </si>
  <si>
    <t>ASAHISONG</t>
  </si>
  <si>
    <t>ASAL</t>
  </si>
  <si>
    <t>ASHAPURMIN</t>
  </si>
  <si>
    <t>ASHIANA</t>
  </si>
  <si>
    <t>ASHIMASYN</t>
  </si>
  <si>
    <t>ASHOKA</t>
  </si>
  <si>
    <t>ASHOKLEY</t>
  </si>
  <si>
    <t>ASIANHOTNR</t>
  </si>
  <si>
    <t>ASIANPAINT</t>
  </si>
  <si>
    <t>ASIANTILES</t>
  </si>
  <si>
    <t>ASPINWALL</t>
  </si>
  <si>
    <t>ASSAMCO</t>
  </si>
  <si>
    <t>ASTEC</t>
  </si>
  <si>
    <t>ASTERDM</t>
  </si>
  <si>
    <t>ASTRAL</t>
  </si>
  <si>
    <t>ASTRAMICRO</t>
  </si>
  <si>
    <t>ASTRAZEN</t>
  </si>
  <si>
    <t>ASTRON</t>
  </si>
  <si>
    <t>ATFL</t>
  </si>
  <si>
    <t>ATLANTA</t>
  </si>
  <si>
    <t>ATLASCYCLE</t>
  </si>
  <si>
    <t>ATUL</t>
  </si>
  <si>
    <t>ATULAUTO</t>
  </si>
  <si>
    <t>AUBANK</t>
  </si>
  <si>
    <t>AURDIS</t>
  </si>
  <si>
    <t>AURIONPRO</t>
  </si>
  <si>
    <t>AUSOMENT</t>
  </si>
  <si>
    <t>AUTOAXLES</t>
  </si>
  <si>
    <t>AUTOIND</t>
  </si>
  <si>
    <t>AUTOLITIND</t>
  </si>
  <si>
    <t>AVADHSUGAR</t>
  </si>
  <si>
    <t>AVANTIFEED</t>
  </si>
  <si>
    <t>AVG</t>
  </si>
  <si>
    <t>AVTNPL</t>
  </si>
  <si>
    <t>AXISBANK</t>
  </si>
  <si>
    <t>AXISCADES</t>
  </si>
  <si>
    <t>AXISGOLD</t>
  </si>
  <si>
    <t>AXISNIFTY</t>
  </si>
  <si>
    <t>AYMSYNTEX</t>
  </si>
  <si>
    <t>BAFNAPHARM</t>
  </si>
  <si>
    <t>BAGFILMS</t>
  </si>
  <si>
    <t>BAJAJ-AUTO</t>
  </si>
  <si>
    <t>BAJAJCORP</t>
  </si>
  <si>
    <t>BAJAJELEC</t>
  </si>
  <si>
    <t>BAJAJFINSV</t>
  </si>
  <si>
    <t>BAJAJHLDNG</t>
  </si>
  <si>
    <t>BAJFINANCE</t>
  </si>
  <si>
    <t>BALAJITELE</t>
  </si>
  <si>
    <t>BALAMINES</t>
  </si>
  <si>
    <t>BALKRISHNA</t>
  </si>
  <si>
    <t>BALKRISIND</t>
  </si>
  <si>
    <t>BALLARPUR</t>
  </si>
  <si>
    <t>BALPHARMA</t>
  </si>
  <si>
    <t>BANARBEADS</t>
  </si>
  <si>
    <t>BANARISUG</t>
  </si>
  <si>
    <t>BANCOINDIA</t>
  </si>
  <si>
    <t>BANDHANBNK</t>
  </si>
  <si>
    <t>BANG</t>
  </si>
  <si>
    <t>BANKBARODA</t>
  </si>
  <si>
    <t>BANKBEES</t>
  </si>
  <si>
    <t>BANKINDIA</t>
  </si>
  <si>
    <t>BANSAL</t>
  </si>
  <si>
    <t>BANSWRAS</t>
  </si>
  <si>
    <t>BARTRONICS</t>
  </si>
  <si>
    <t>BASF</t>
  </si>
  <si>
    <t>BASML</t>
  </si>
  <si>
    <t>BATAINDIA</t>
  </si>
  <si>
    <t>BAYERCROP</t>
  </si>
  <si>
    <t>BBL</t>
  </si>
  <si>
    <t>BBTC</t>
  </si>
  <si>
    <t>BCONCEPTS</t>
  </si>
  <si>
    <t>BDL</t>
  </si>
  <si>
    <t>BEARDSELL</t>
  </si>
  <si>
    <t>BEDMUTHA</t>
  </si>
  <si>
    <t>BEL</t>
  </si>
  <si>
    <t>BEML</t>
  </si>
  <si>
    <t>BEPL</t>
  </si>
  <si>
    <t>BERGEPAINT</t>
  </si>
  <si>
    <t>BFINVEST</t>
  </si>
  <si>
    <t>BFUTILITIE</t>
  </si>
  <si>
    <t>BGLOBAL</t>
  </si>
  <si>
    <t>BGRENERGY</t>
  </si>
  <si>
    <t>BHAGERIA</t>
  </si>
  <si>
    <t>BHAGYANGR</t>
  </si>
  <si>
    <t>BHAGYAPROP</t>
  </si>
  <si>
    <t>BHANDARI</t>
  </si>
  <si>
    <t>BHARATFIN</t>
  </si>
  <si>
    <t>BHARATFORG</t>
  </si>
  <si>
    <t>BHARATGEAR</t>
  </si>
  <si>
    <t>BHARATIDIL</t>
  </si>
  <si>
    <t>BHARATRAS</t>
  </si>
  <si>
    <t>BHARATWIRE</t>
  </si>
  <si>
    <t>BHARTIARTL</t>
  </si>
  <si>
    <t>BHEL</t>
  </si>
  <si>
    <t>BHUSANSTL</t>
  </si>
  <si>
    <t>BIGBLOC</t>
  </si>
  <si>
    <t>BIL</t>
  </si>
  <si>
    <t>BILENERGY</t>
  </si>
  <si>
    <t>BILPOWER</t>
  </si>
  <si>
    <t>BINANIIND</t>
  </si>
  <si>
    <t>BINDALAGRO</t>
  </si>
  <si>
    <t>BIOCON</t>
  </si>
  <si>
    <t>BIOFILCHEM</t>
  </si>
  <si>
    <t>BIRLACABLE</t>
  </si>
  <si>
    <t>BIRLACORPN</t>
  </si>
  <si>
    <t>BIRLAMONEY</t>
  </si>
  <si>
    <t>BKMINDST</t>
  </si>
  <si>
    <t>BLBLIMITED</t>
  </si>
  <si>
    <t>BLISSGVS</t>
  </si>
  <si>
    <t>BLKASHYAP</t>
  </si>
  <si>
    <t>BLS</t>
  </si>
  <si>
    <t>BLUEBLENDS</t>
  </si>
  <si>
    <t>BLUECOAST</t>
  </si>
  <si>
    <t>BLUEDART</t>
  </si>
  <si>
    <t>BLUESTARCO</t>
  </si>
  <si>
    <t>BODALCHEM</t>
  </si>
  <si>
    <t>BOHRA</t>
  </si>
  <si>
    <t>BOMDYEING</t>
  </si>
  <si>
    <t>BOROSIL</t>
  </si>
  <si>
    <t>BOSCHLTD</t>
  </si>
  <si>
    <t>BPCL</t>
  </si>
  <si>
    <t>BPL</t>
  </si>
  <si>
    <t>BRFL</t>
  </si>
  <si>
    <t>BRIGADE</t>
  </si>
  <si>
    <t>BRIGHT</t>
  </si>
  <si>
    <t>BRITANNIA</t>
  </si>
  <si>
    <t>BRNL</t>
  </si>
  <si>
    <t>BROOKS</t>
  </si>
  <si>
    <t>BSE</t>
  </si>
  <si>
    <t>BSELINFRA</t>
  </si>
  <si>
    <t>BSHSL</t>
  </si>
  <si>
    <t>BSL</t>
  </si>
  <si>
    <t>BSLGOLDETF</t>
  </si>
  <si>
    <t>BURNPUR</t>
  </si>
  <si>
    <t>BUTTERFLY</t>
  </si>
  <si>
    <t>BVCL</t>
  </si>
  <si>
    <t>BYKE</t>
  </si>
  <si>
    <t>CADILAHC</t>
  </si>
  <si>
    <t>CALSOFT</t>
  </si>
  <si>
    <t>CAMLINFINE</t>
  </si>
  <si>
    <t>CANBK</t>
  </si>
  <si>
    <t>CANDC</t>
  </si>
  <si>
    <t>CANFINHOME</t>
  </si>
  <si>
    <t>CANTABIL</t>
  </si>
  <si>
    <t>CAPACITE</t>
  </si>
  <si>
    <t>CAPF</t>
  </si>
  <si>
    <t>CAPLIPOINT</t>
  </si>
  <si>
    <t>CAPTRUST</t>
  </si>
  <si>
    <t>CARBORUNIV</t>
  </si>
  <si>
    <t>CAREERP</t>
  </si>
  <si>
    <t>CARERATING</t>
  </si>
  <si>
    <t>CASTEXTECH</t>
  </si>
  <si>
    <t>CASTROLIND</t>
  </si>
  <si>
    <t>CCCL</t>
  </si>
  <si>
    <t>CCHHL</t>
  </si>
  <si>
    <t>CCL</t>
  </si>
  <si>
    <t>CDSL</t>
  </si>
  <si>
    <t>CEATLTD</t>
  </si>
  <si>
    <t>CEBBCO</t>
  </si>
  <si>
    <t>CELEBRITY</t>
  </si>
  <si>
    <t>CELESTIAL</t>
  </si>
  <si>
    <t>CENTENKA</t>
  </si>
  <si>
    <t>CENTEXT</t>
  </si>
  <si>
    <t>CENTRALBK</t>
  </si>
  <si>
    <t>CENTRUM</t>
  </si>
  <si>
    <t>CENTUM</t>
  </si>
  <si>
    <t>CENTURYPLY</t>
  </si>
  <si>
    <t>CENTURYTEX</t>
  </si>
  <si>
    <t>CERA</t>
  </si>
  <si>
    <t>CEREBRAINT</t>
  </si>
  <si>
    <t>CES1RPG</t>
  </si>
  <si>
    <t>CESC</t>
  </si>
  <si>
    <t>CGCL</t>
  </si>
  <si>
    <t>CGPOWER</t>
  </si>
  <si>
    <t>CHEMFAB</t>
  </si>
  <si>
    <t>CHOLAFIN</t>
  </si>
  <si>
    <t>CHROMATIC</t>
  </si>
  <si>
    <t>CIGNITITEC</t>
  </si>
  <si>
    <t>CIMMCO</t>
  </si>
  <si>
    <t>CINELINE</t>
  </si>
  <si>
    <t>CINEVISTA</t>
  </si>
  <si>
    <t>CIPLA</t>
  </si>
  <si>
    <t>CLEDUCATE</t>
  </si>
  <si>
    <t>CLNINDIA</t>
  </si>
  <si>
    <t>CMICABLES</t>
  </si>
  <si>
    <t>CMMIPL</t>
  </si>
  <si>
    <t>CNOVAPETRO</t>
  </si>
  <si>
    <t>COALINDIA</t>
  </si>
  <si>
    <t>COCHINSHIP</t>
  </si>
  <si>
    <t>COFFEEDAY</t>
  </si>
  <si>
    <t>COLPAL</t>
  </si>
  <si>
    <t>COMPINFO</t>
  </si>
  <si>
    <t>COMPUSOFT</t>
  </si>
  <si>
    <t>CONCOR</t>
  </si>
  <si>
    <t>CONSOFINVT</t>
  </si>
  <si>
    <t>CONTROLPR</t>
  </si>
  <si>
    <t>CORALFINAC</t>
  </si>
  <si>
    <t>CORDSCABLE</t>
  </si>
  <si>
    <t>CORPBANK</t>
  </si>
  <si>
    <t>COSMOFILMS</t>
  </si>
  <si>
    <t>COUNCODOS</t>
  </si>
  <si>
    <t>COX&amp;KINGS</t>
  </si>
  <si>
    <t>CPSEETF</t>
  </si>
  <si>
    <t>CREST</t>
  </si>
  <si>
    <t>CRISIL</t>
  </si>
  <si>
    <t>CRMFGETF</t>
  </si>
  <si>
    <t>CROMPTON</t>
  </si>
  <si>
    <t>CTE</t>
  </si>
  <si>
    <t>CUB</t>
  </si>
  <si>
    <t>CUBEXTUB</t>
  </si>
  <si>
    <t>CUMMINSIND</t>
  </si>
  <si>
    <t>CUPID</t>
  </si>
  <si>
    <t>CYBERMEDIA</t>
  </si>
  <si>
    <t>CYBERTECH</t>
  </si>
  <si>
    <t>CYIENT</t>
  </si>
  <si>
    <t>DAAWAT</t>
  </si>
  <si>
    <t>DABUR</t>
  </si>
  <si>
    <t>DALMIABHA</t>
  </si>
  <si>
    <t>DALMIASUG</t>
  </si>
  <si>
    <t>DAMODARIND</t>
  </si>
  <si>
    <t>DATAMATICS</t>
  </si>
  <si>
    <t>DBCORP</t>
  </si>
  <si>
    <t>DBL</t>
  </si>
  <si>
    <t>DBREALTY</t>
  </si>
  <si>
    <t>DCAL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</si>
  <si>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</si>
  <si>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</si>
  <si>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</si>
  <si>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</si>
  <si>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</si>
  <si>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</si>
  <si>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</si>
  <si>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</si>
  <si>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</si>
  <si>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DELTAMAGNT</t>
  </si>
  <si>
    <t>DEN</t>
  </si>
  <si>
    <t>DENABANK</t>
  </si>
  <si>
    <t>DENORA</t>
  </si>
  <si>
    <t>DFMFOODS</t>
  </si>
  <si>
    <t>DHANBANK</t>
  </si>
  <si>
    <t>DHANUKA</t>
  </si>
  <si>
    <t>DHARSUGAR</t>
  </si>
  <si>
    <t>DHFL</t>
  </si>
  <si>
    <t>DHUNINV</t>
  </si>
  <si>
    <t>DIAMONDYD</t>
  </si>
  <si>
    <t>DIAPOWER</t>
  </si>
  <si>
    <t>DICIND</t>
  </si>
  <si>
    <t>DIGJAMLTD</t>
  </si>
  <si>
    <t>DISHTV</t>
  </si>
  <si>
    <t>DIXON</t>
  </si>
  <si>
    <t>DLF</t>
  </si>
  <si>
    <t>DLINKINDIA</t>
  </si>
  <si>
    <t>DMART</t>
  </si>
  <si>
    <t>DNAMEDIA</t>
  </si>
  <si>
    <t>DOLLAR</t>
  </si>
  <si>
    <t>DOLPHINOFF</t>
  </si>
  <si>
    <t>DONEAR</t>
  </si>
  <si>
    <t>DPABHUSHAN</t>
  </si>
  <si>
    <t>DPL</t>
  </si>
  <si>
    <t>DPSCLTD</t>
  </si>
  <si>
    <t>DQE</t>
  </si>
  <si>
    <t>DREDGECORP</t>
  </si>
  <si>
    <t>DRL</t>
  </si>
  <si>
    <t>DRREDDY</t>
  </si>
  <si>
    <t>DSSL</t>
  </si>
  <si>
    <t>DTIL</t>
  </si>
  <si>
    <t>DUCON</t>
  </si>
  <si>
    <t>DWARKESH</t>
  </si>
  <si>
    <t>DYNAMATECH</t>
  </si>
  <si>
    <t>DYNPRO</t>
  </si>
  <si>
    <t>E2E</t>
  </si>
  <si>
    <t>EASTSILK</t>
  </si>
  <si>
    <t>EASUNREYRL</t>
  </si>
  <si>
    <t>ECEIND</t>
  </si>
  <si>
    <t>ECLERX</t>
  </si>
  <si>
    <t>ECLFINANCE</t>
  </si>
  <si>
    <t>EDELWEISS</t>
  </si>
  <si>
    <t>EDL</t>
  </si>
  <si>
    <t>EDUCOMP</t>
  </si>
  <si>
    <t>EHFLNCD</t>
  </si>
  <si>
    <t>EICHERMOT</t>
  </si>
  <si>
    <t>EIDPARRY</t>
  </si>
  <si>
    <t>EIFFL</t>
  </si>
  <si>
    <t>EIHAHOTELS</t>
  </si>
  <si>
    <t>EIHOTEL</t>
  </si>
  <si>
    <t>EIMCOELECO</t>
  </si>
  <si>
    <t>EKC</t>
  </si>
  <si>
    <t>ELAND</t>
  </si>
  <si>
    <t>ELECON</t>
  </si>
  <si>
    <t>ELECTCAST</t>
  </si>
  <si>
    <t>ELECTHERM</t>
  </si>
  <si>
    <t>ELECTROSL</t>
  </si>
  <si>
    <t>ELGIEQUIP</t>
  </si>
  <si>
    <t>ELGIRUBCO</t>
  </si>
  <si>
    <t>EMAMIINFRA</t>
  </si>
  <si>
    <t>EMAMILTD</t>
  </si>
  <si>
    <t>EMCO</t>
  </si>
  <si>
    <t>EMKAY</t>
  </si>
  <si>
    <t>EMMBI</t>
  </si>
  <si>
    <t>EMOFSR1RDP</t>
  </si>
  <si>
    <t>EMOFSR1RGG</t>
  </si>
  <si>
    <t>ENDURANCE</t>
  </si>
  <si>
    <t>ENERGYDEV</t>
  </si>
  <si>
    <t>ENGINERSIN</t>
  </si>
  <si>
    <t>ENIL</t>
  </si>
  <si>
    <t>EON</t>
  </si>
  <si>
    <t>EQ30</t>
  </si>
  <si>
    <t>EQUITAS</t>
  </si>
  <si>
    <t>ERFLNCDI</t>
  </si>
  <si>
    <t>ERIS</t>
  </si>
  <si>
    <t>EROSMEDIA</t>
  </si>
  <si>
    <t>ESABINDIA</t>
  </si>
  <si>
    <t>ESCORTS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</si>
  <si>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</si>
  <si>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</si>
  <si>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</si>
  <si>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</si>
  <si>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</si>
  <si>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</si>
  <si>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</si>
  <si>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</si>
  <si>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</t>
  </si>
  <si>
    <t>EXCELCROP</t>
  </si>
  <si>
    <t>EXCELINDUS</t>
  </si>
  <si>
    <t>EXIDEIND</t>
  </si>
  <si>
    <t>FACT</t>
  </si>
  <si>
    <t>FAIRCHEM</t>
  </si>
  <si>
    <t>FCL</t>
  </si>
  <si>
    <t>FCONSUMER</t>
  </si>
  <si>
    <t>FCSSOFT</t>
  </si>
  <si>
    <t>FDC</t>
  </si>
  <si>
    <t>FEDDERELEC</t>
  </si>
  <si>
    <t>FEDERALBNK</t>
  </si>
  <si>
    <t>FEL</t>
  </si>
  <si>
    <t>FELDVR</t>
  </si>
  <si>
    <t>FIEMIND</t>
  </si>
  <si>
    <t>FILATEX</t>
  </si>
  <si>
    <t>FINCABLES</t>
  </si>
  <si>
    <t>FINEORG</t>
  </si>
  <si>
    <t>FINPIPE</t>
  </si>
  <si>
    <t>FIVECORE</t>
  </si>
  <si>
    <t>FLEXITUFF</t>
  </si>
  <si>
    <t>FLFL</t>
  </si>
  <si>
    <t>FMGOETZE</t>
  </si>
  <si>
    <t>FMNL</t>
  </si>
  <si>
    <t>FORTIS</t>
  </si>
  <si>
    <t>FORTUNEFIN</t>
  </si>
  <si>
    <t>FOSECOIND</t>
  </si>
  <si>
    <t>FOURTHDIM</t>
  </si>
  <si>
    <t>FRETAIL</t>
  </si>
  <si>
    <t>FSC</t>
  </si>
  <si>
    <t>FSL</t>
  </si>
  <si>
    <t>GABRIEL</t>
  </si>
  <si>
    <t>GAEL</t>
  </si>
  <si>
    <t>GAIL</t>
  </si>
  <si>
    <t>GAL</t>
  </si>
  <si>
    <t>GALAXYSURF</t>
  </si>
  <si>
    <t>GALLANTT</t>
  </si>
  <si>
    <t>GALLISPAT</t>
  </si>
  <si>
    <t>GAMMNINFRA</t>
  </si>
  <si>
    <t>GANDHITUBE</t>
  </si>
  <si>
    <t>GANECOS</t>
  </si>
  <si>
    <t>GANESHHOUC</t>
  </si>
  <si>
    <t>GANGAFORGE</t>
  </si>
  <si>
    <t>GANGESSECU</t>
  </si>
  <si>
    <t>GANGOTRI</t>
  </si>
  <si>
    <t>GARDENSILK</t>
  </si>
  <si>
    <t>GARWALLROP</t>
  </si>
  <si>
    <t>GATI</t>
  </si>
  <si>
    <t>GAYAHWS</t>
  </si>
  <si>
    <t>GAYAPROJ</t>
  </si>
  <si>
    <t>GDL</t>
  </si>
  <si>
    <t>GEECEE</t>
  </si>
  <si>
    <t>GEMINI</t>
  </si>
  <si>
    <t>GENESYS</t>
  </si>
  <si>
    <t>GENUSPAPER</t>
  </si>
  <si>
    <t>GENUSPOWER</t>
  </si>
  <si>
    <t>GEOJITFSL</t>
  </si>
  <si>
    <t>GEPIL</t>
  </si>
  <si>
    <t>GESHIP</t>
  </si>
  <si>
    <t>GET&amp;D</t>
  </si>
  <si>
    <t>GHCL</t>
  </si>
  <si>
    <t>GICHSGFIN</t>
  </si>
  <si>
    <t>GICRE</t>
  </si>
  <si>
    <t>GILLANDERS</t>
  </si>
  <si>
    <t>GILLETTE</t>
  </si>
  <si>
    <t>GINNIFILA</t>
  </si>
  <si>
    <t>GIPCL</t>
  </si>
  <si>
    <t>GIRIRAJ</t>
  </si>
  <si>
    <t>GIRRESORTS</t>
  </si>
  <si>
    <t>GITANJALI</t>
  </si>
  <si>
    <t>GKWLIMITED</t>
  </si>
  <si>
    <t>GLAXO</t>
  </si>
  <si>
    <t>GLENMARK</t>
  </si>
  <si>
    <t>GLOBALVECT</t>
  </si>
  <si>
    <t>GLOBOFFS</t>
  </si>
  <si>
    <t>GLOBUSSPR</t>
  </si>
  <si>
    <t>GMBREW</t>
  </si>
  <si>
    <t>GMMPFAUDLR</t>
  </si>
  <si>
    <t>GMRINFRA</t>
  </si>
  <si>
    <t>GNA</t>
  </si>
  <si>
    <t>GNFC</t>
  </si>
  <si>
    <t>GOACARBON</t>
  </si>
  <si>
    <t>GOCLCORP</t>
  </si>
  <si>
    <t>GODFRYPHLP</t>
  </si>
  <si>
    <t>GODREJAGRO</t>
  </si>
  <si>
    <t>GODREJCP</t>
  </si>
  <si>
    <t>GODREJIND</t>
  </si>
  <si>
    <t>GODREJPROP</t>
  </si>
  <si>
    <t>GOENKA</t>
  </si>
  <si>
    <t>GOKEX</t>
  </si>
  <si>
    <t>GOKUL</t>
  </si>
  <si>
    <t>GOKULAGRO</t>
  </si>
  <si>
    <t>GOLDBEES</t>
  </si>
  <si>
    <t>GOLDENTOBC</t>
  </si>
  <si>
    <t>GOLDIAM</t>
  </si>
  <si>
    <t>GOLDINFRA</t>
  </si>
  <si>
    <t>GOLDSHARE</t>
  </si>
  <si>
    <t>GOLDTECH</t>
  </si>
  <si>
    <t>GOODLUCK</t>
  </si>
  <si>
    <t>GPIL</t>
  </si>
  <si>
    <t>GPPL</t>
  </si>
  <si>
    <t>GPTINFRA</t>
  </si>
  <si>
    <t>GRANULES</t>
  </si>
  <si>
    <t>GRAPHITE</t>
  </si>
  <si>
    <t>GRASIM</t>
  </si>
  <si>
    <t>GRAVITA</t>
  </si>
  <si>
    <t>GREAVESCOT</t>
  </si>
  <si>
    <t>GREENLAM</t>
  </si>
  <si>
    <t>GREENPLY</t>
  </si>
  <si>
    <t>GREENPOWER</t>
  </si>
  <si>
    <t>GRINDWELL</t>
  </si>
  <si>
    <t>GROBTEA</t>
  </si>
  <si>
    <t>GRPLTD</t>
  </si>
  <si>
    <t>GRUH</t>
  </si>
  <si>
    <t>GSCLCEMENT</t>
  </si>
  <si>
    <t>GSKCONS</t>
  </si>
  <si>
    <t>GSPL</t>
  </si>
  <si>
    <t>GSS</t>
  </si>
  <si>
    <t>GTL</t>
  </si>
  <si>
    <t>GTLINFRA</t>
  </si>
  <si>
    <t>GTNIND</t>
  </si>
  <si>
    <t>GTNTEX</t>
  </si>
  <si>
    <t>GTPL</t>
  </si>
  <si>
    <t>GUFICBIO</t>
  </si>
  <si>
    <t>GUJALKALI</t>
  </si>
  <si>
    <t>GUJAPOLLO</t>
  </si>
  <si>
    <t>GUJFLUORO</t>
  </si>
  <si>
    <t>GUJGASLTD</t>
  </si>
  <si>
    <t>GULFOILLUB</t>
  </si>
  <si>
    <t>GULFPETRO</t>
  </si>
  <si>
    <t>GULPOLY</t>
  </si>
  <si>
    <t>GVKPIL</t>
  </si>
  <si>
    <t>H1190M36RG</t>
  </si>
  <si>
    <t>HAL</t>
  </si>
  <si>
    <t>HANUNG</t>
  </si>
  <si>
    <t>HARITASEAT</t>
  </si>
  <si>
    <t>HARRMALAYA</t>
  </si>
  <si>
    <t>HATHWAY</t>
  </si>
  <si>
    <t>HATSUN</t>
  </si>
  <si>
    <t>HAVELLS</t>
  </si>
  <si>
    <t>HAVISHA</t>
  </si>
  <si>
    <t>HBLPOWER</t>
  </si>
  <si>
    <t>HCC</t>
  </si>
  <si>
    <t>HCG</t>
  </si>
  <si>
    <t>HCL-INSYS</t>
  </si>
  <si>
    <t>HCLTECH</t>
  </si>
  <si>
    <t>HDFCBANK</t>
  </si>
  <si>
    <t>HDFCLIFE</t>
  </si>
  <si>
    <t>HDFCMFGETF</t>
  </si>
  <si>
    <t>HDFCNIFETF</t>
  </si>
  <si>
    <t>HDFCSENETF</t>
  </si>
  <si>
    <t>HDIL</t>
  </si>
  <si>
    <t>HEG</t>
  </si>
  <si>
    <t>HEIDELBERG</t>
  </si>
  <si>
    <t>HERCULES</t>
  </si>
  <si>
    <t>HERITGFOOD</t>
  </si>
  <si>
    <t>HEROMOTOCO</t>
  </si>
  <si>
    <t>HESTERBIO</t>
  </si>
  <si>
    <t>HEXATRADEX</t>
  </si>
  <si>
    <t>HEXAWARE</t>
  </si>
  <si>
    <t>HFCL</t>
  </si>
  <si>
    <t>HGINFRA</t>
  </si>
  <si>
    <t>HGS</t>
  </si>
  <si>
    <t>HHOF1140RG</t>
  </si>
  <si>
    <t>HIGHGROUND</t>
  </si>
  <si>
    <t>HIKAL</t>
  </si>
  <si>
    <t>HIL</t>
  </si>
  <si>
    <t>HILTON</t>
  </si>
  <si>
    <t>HIMATSEIDE</t>
  </si>
  <si>
    <t>HINDALCO</t>
  </si>
  <si>
    <t>HINDCOMPOS</t>
  </si>
  <si>
    <t>HINDCOPPER</t>
  </si>
  <si>
    <t>HINDMOTORS</t>
  </si>
  <si>
    <t>HINDNATGLS</t>
  </si>
  <si>
    <t>HINDOILEXP</t>
  </si>
  <si>
    <t>HINDPETRO</t>
  </si>
  <si>
    <t>HINDUJAVEN</t>
  </si>
  <si>
    <t>HINDUNILVR</t>
  </si>
  <si>
    <t>HINDZINC</t>
  </si>
  <si>
    <t>HIRECT</t>
  </si>
  <si>
    <t>HISARMETAL</t>
  </si>
  <si>
    <t>HITECH</t>
  </si>
  <si>
    <t>HITECHCORP</t>
  </si>
  <si>
    <t>HITECHGEAR</t>
  </si>
  <si>
    <t>HMT</t>
  </si>
  <si>
    <t>HMVL</t>
  </si>
  <si>
    <t>HNGSNGBEES</t>
  </si>
  <si>
    <t>HONAUT</t>
  </si>
  <si>
    <t>HONDAPOWER</t>
  </si>
  <si>
    <t>HOTELEELA</t>
  </si>
  <si>
    <t>HOVS</t>
  </si>
  <si>
    <t>HPL</t>
  </si>
  <si>
    <t>HSCL</t>
  </si>
  <si>
    <t>HSIL</t>
  </si>
  <si>
    <t>HTMEDIA</t>
  </si>
  <si>
    <t>HUBTOWN</t>
  </si>
  <si>
    <t>HUDCO</t>
  </si>
  <si>
    <t>IBREALEST</t>
  </si>
  <si>
    <t>IBULHSGFIN</t>
  </si>
  <si>
    <t>IBULISL</t>
  </si>
  <si>
    <t>IBVENTURES</t>
  </si>
  <si>
    <t>ICEMAKE</t>
  </si>
  <si>
    <t>ICICI500</t>
  </si>
  <si>
    <t>ICICIB22</t>
  </si>
  <si>
    <t>ICICIBANK</t>
  </si>
  <si>
    <t>ICICIGI</t>
  </si>
  <si>
    <t>ICICIGOLD</t>
  </si>
  <si>
    <t>ICICILOVOL</t>
  </si>
  <si>
    <t>ICICIMCAP</t>
  </si>
  <si>
    <t>ICICINF100</t>
  </si>
  <si>
    <t>ICICINIFTY</t>
  </si>
  <si>
    <t>ICICINV20</t>
  </si>
  <si>
    <t>ICICIPRULI</t>
  </si>
  <si>
    <t>ICICISENSX</t>
  </si>
  <si>
    <t>ICIL</t>
  </si>
  <si>
    <t>ICRA</t>
  </si>
  <si>
    <t>ICSA</t>
  </si>
  <si>
    <t>IDBI</t>
  </si>
  <si>
    <t>IDBIGOLD</t>
  </si>
  <si>
    <t>IDEA</t>
  </si>
  <si>
    <t>IDFC</t>
  </si>
  <si>
    <t>IDFCBANK</t>
  </si>
  <si>
    <t>IDFNIFTYET</t>
  </si>
  <si>
    <t>IEX</t>
  </si>
  <si>
    <t>IFBAGRO</t>
  </si>
  <si>
    <t>IFBIND</t>
  </si>
  <si>
    <t>IFCI</t>
  </si>
  <si>
    <t>IFGLEXPOR</t>
  </si>
  <si>
    <t>IGARASHI</t>
  </si>
  <si>
    <t>IGL</t>
  </si>
  <si>
    <t>IGPL</t>
  </si>
  <si>
    <t>IIFCL</t>
  </si>
  <si>
    <t>IIFL</t>
  </si>
  <si>
    <t>IIFLFIN</t>
  </si>
  <si>
    <t>IIHFL</t>
  </si>
  <si>
    <t>IL&amp;FSENGG</t>
  </si>
  <si>
    <t>IL&amp;FSTRANS</t>
  </si>
  <si>
    <t>IMFA</t>
  </si>
  <si>
    <t>IMPAL</t>
  </si>
  <si>
    <t>IMPEXFERRO</t>
  </si>
  <si>
    <t>INDBANK</t>
  </si>
  <si>
    <t>INDHOTEL</t>
  </si>
  <si>
    <t>INDIACEM</t>
  </si>
  <si>
    <t>INDIAGLYCO</t>
  </si>
  <si>
    <t>INDIANB</t>
  </si>
  <si>
    <t>INDIANCARD</t>
  </si>
  <si>
    <t>INDIANHUME</t>
  </si>
  <si>
    <t>INDIGO</t>
  </si>
  <si>
    <t>INDIGRID</t>
  </si>
  <si>
    <t>INDLMETER</t>
  </si>
  <si>
    <t>INDNIPPON</t>
  </si>
  <si>
    <t>INDOCO</t>
  </si>
  <si>
    <t>INDORAMA</t>
  </si>
  <si>
    <t>INDOSOLAR</t>
  </si>
  <si>
    <t>INDOSTAR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</si>
  <si>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</si>
  <si>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</si>
  <si>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</si>
  <si>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</si>
  <si>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</si>
  <si>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</si>
  <si>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</si>
  <si>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</si>
  <si>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INEOSSTYRO</t>
  </si>
  <si>
    <t>INFIBEAM</t>
  </si>
  <si>
    <t>INFINITE</t>
  </si>
  <si>
    <t>INFOBEAN</t>
  </si>
  <si>
    <t>INFRABEES</t>
  </si>
  <si>
    <t>INFY</t>
  </si>
  <si>
    <t>INGERRAND</t>
  </si>
  <si>
    <t>INNOVANA</t>
  </si>
  <si>
    <t>INNOVATIVE</t>
  </si>
  <si>
    <t>INOXLEISUR</t>
  </si>
  <si>
    <t>INOXWIND</t>
  </si>
  <si>
    <t>INSECTICID</t>
  </si>
  <si>
    <t>INTELLECT</t>
  </si>
  <si>
    <t>INTENTECH</t>
  </si>
  <si>
    <t>INVENTURE</t>
  </si>
  <si>
    <t>IOB</t>
  </si>
  <si>
    <t>IOLCP</t>
  </si>
  <si>
    <t>IPAPPM</t>
  </si>
  <si>
    <t>IPCALAB</t>
  </si>
  <si>
    <t>IRB</t>
  </si>
  <si>
    <t>IRBINVIT</t>
  </si>
  <si>
    <t>IRFC</t>
  </si>
  <si>
    <t>ISEC</t>
  </si>
  <si>
    <t>ISFT</t>
  </si>
  <si>
    <t>ISMTLTD</t>
  </si>
  <si>
    <t>ITDC</t>
  </si>
  <si>
    <t>ITDCEM</t>
  </si>
  <si>
    <t>ITI</t>
  </si>
  <si>
    <t>IVC</t>
  </si>
  <si>
    <t>IVP</t>
  </si>
  <si>
    <t>IVRCLINFRA</t>
  </si>
  <si>
    <t>IVZINGOLD</t>
  </si>
  <si>
    <t>IVZINNIFTY</t>
  </si>
  <si>
    <t>IZMO</t>
  </si>
  <si>
    <t>J&amp;KBANK</t>
  </si>
  <si>
    <t>JAGRAN</t>
  </si>
  <si>
    <t>JAGSNPHARM</t>
  </si>
  <si>
    <t>JAIBALAJI</t>
  </si>
  <si>
    <t>JAICORPLTD</t>
  </si>
  <si>
    <t>JAKHARIA</t>
  </si>
  <si>
    <t>JAMNAAUTO</t>
  </si>
  <si>
    <t>JASH</t>
  </si>
  <si>
    <t>JAYAGROGN</t>
  </si>
  <si>
    <t>JAYBARMARU</t>
  </si>
  <si>
    <t>JAYNECOIND</t>
  </si>
  <si>
    <t>JAYSREETEA</t>
  </si>
  <si>
    <t>JBCHEPHARM</t>
  </si>
  <si>
    <t>JBFIND</t>
  </si>
  <si>
    <t>JBMA</t>
  </si>
  <si>
    <t>JCHAC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</si>
  <si>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</si>
  <si>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</si>
  <si>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</si>
  <si>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</si>
  <si>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</si>
  <si>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</si>
  <si>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</si>
  <si>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</si>
  <si>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</si>
  <si>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JISLDVREQS</t>
  </si>
  <si>
    <t>JISLJALEQS</t>
  </si>
  <si>
    <t>JITFINFRA</t>
  </si>
  <si>
    <t>JKCEMENT</t>
  </si>
  <si>
    <t>JKLAKSHMI</t>
  </si>
  <si>
    <t>JKPAPER</t>
  </si>
  <si>
    <t>JKTYRE</t>
  </si>
  <si>
    <t>JMA</t>
  </si>
  <si>
    <t>JMCPROJECT</t>
  </si>
  <si>
    <t>JMFINANCIL</t>
  </si>
  <si>
    <t>JMTAUTOLTD</t>
  </si>
  <si>
    <t>JOCIL</t>
  </si>
  <si>
    <t>JPASSOCIAT</t>
  </si>
  <si>
    <t>JPINFRATEC</t>
  </si>
  <si>
    <t>JPOLYINVST</t>
  </si>
  <si>
    <t>JPPOWER</t>
  </si>
  <si>
    <t>JSL</t>
  </si>
  <si>
    <t>JSLHISAR</t>
  </si>
  <si>
    <t>JSWENERGY</t>
  </si>
  <si>
    <t>JSWHL</t>
  </si>
  <si>
    <t>JSWSTEEL</t>
  </si>
  <si>
    <t>JTEKTINDIA</t>
  </si>
  <si>
    <t>JUBILANT</t>
  </si>
  <si>
    <t>JUBLFOOD</t>
  </si>
  <si>
    <t>JUBLINDS</t>
  </si>
  <si>
    <t>JUNIORBEES</t>
  </si>
  <si>
    <t>JUSTDIAL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</si>
  <si>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</si>
  <si>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</si>
  <si>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</si>
  <si>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</si>
  <si>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</si>
  <si>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</si>
  <si>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</si>
  <si>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</si>
  <si>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</si>
  <si>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KAMDHENU</t>
  </si>
  <si>
    <t>KANANIIND</t>
  </si>
  <si>
    <t>KANORICHEM</t>
  </si>
  <si>
    <t>KANSAINER</t>
  </si>
  <si>
    <t>KAPSTON</t>
  </si>
  <si>
    <t>KARDA</t>
  </si>
  <si>
    <t>KARMAENG</t>
  </si>
  <si>
    <t>KARURVYSYA</t>
  </si>
  <si>
    <t>KAUSHALYA</t>
  </si>
  <si>
    <t>KAVVERITEL</t>
  </si>
  <si>
    <t>KAYA</t>
  </si>
  <si>
    <t>KCP</t>
  </si>
  <si>
    <t>KCPSUGIND</t>
  </si>
  <si>
    <t>KDDL</t>
  </si>
  <si>
    <t>KEC</t>
  </si>
  <si>
    <t>KECL</t>
  </si>
  <si>
    <t>KEERTI</t>
  </si>
  <si>
    <t>KEI</t>
  </si>
  <si>
    <t>KELLTONTEC</t>
  </si>
  <si>
    <t>KERNEX</t>
  </si>
  <si>
    <t>KESARENT</t>
  </si>
  <si>
    <t>KESORAMIND</t>
  </si>
  <si>
    <t>KEYCORPSER</t>
  </si>
  <si>
    <t>KGL</t>
  </si>
  <si>
    <t>KHADIM</t>
  </si>
  <si>
    <t>KHAITANELE</t>
  </si>
  <si>
    <t>KHAITANLTD</t>
  </si>
  <si>
    <t>KHANDSE</t>
  </si>
  <si>
    <t>KICL</t>
  </si>
  <si>
    <t>KILITCH</t>
  </si>
  <si>
    <t>KINGFA</t>
  </si>
  <si>
    <t>KIOCL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</si>
  <si>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</si>
  <si>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</si>
  <si>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</si>
  <si>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</si>
  <si>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</si>
  <si>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</si>
  <si>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</si>
  <si>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</si>
  <si>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</si>
  <si>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</si>
  <si>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</si>
  <si>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</si>
  <si>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</si>
  <si>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KOTAKBKETF</t>
  </si>
  <si>
    <t>KOTAKGOLD</t>
  </si>
  <si>
    <t>KOTAKNIFTY</t>
  </si>
  <si>
    <t>KOTAKNV20</t>
  </si>
  <si>
    <t>KOTAKPSUBK</t>
  </si>
  <si>
    <t>KOTARISUG</t>
  </si>
  <si>
    <t>KOTHARIPET</t>
  </si>
  <si>
    <t>KOTHARIPRO</t>
  </si>
  <si>
    <t>KPIT</t>
  </si>
  <si>
    <t>KPRMILL</t>
  </si>
  <si>
    <t>KRBL</t>
  </si>
  <si>
    <t>KREBSBIO</t>
  </si>
  <si>
    <t>KRIDHANINF</t>
  </si>
  <si>
    <t>KSBPUMPS</t>
  </si>
  <si>
    <t>KSCL</t>
  </si>
  <si>
    <t>KSERASERA</t>
  </si>
  <si>
    <t>KSK</t>
  </si>
  <si>
    <t>KSL</t>
  </si>
  <si>
    <t>KTIL</t>
  </si>
  <si>
    <t>KTKBANK</t>
  </si>
  <si>
    <t>KWALITY</t>
  </si>
  <si>
    <t>L&amp;TFH</t>
  </si>
  <si>
    <t>L&amp;TFINANCE</t>
  </si>
  <si>
    <t>L&amp;TINFRA</t>
  </si>
  <si>
    <t>LAKPRE</t>
  </si>
  <si>
    <t>LAKSHMIEFL</t>
  </si>
  <si>
    <t>LAKSHVILAS</t>
  </si>
  <si>
    <t>LALPATHLAB</t>
  </si>
  <si>
    <t>LAMBODHARA</t>
  </si>
  <si>
    <t>LAOPALA</t>
  </si>
  <si>
    <t>LASA</t>
  </si>
  <si>
    <t>LAURUSLABS</t>
  </si>
  <si>
    <t>LAXMICOT</t>
  </si>
  <si>
    <t>LAXMIMACH</t>
  </si>
  <si>
    <t>LEEL</t>
  </si>
  <si>
    <t>LEMONTREE</t>
  </si>
  <si>
    <t>LEXUS</t>
  </si>
  <si>
    <t>LFIC</t>
  </si>
  <si>
    <t>LGBBROSLTD</t>
  </si>
  <si>
    <t>LGBFORGE</t>
  </si>
  <si>
    <t>LIBAS</t>
  </si>
  <si>
    <t>LIBERTSHOE</t>
  </si>
  <si>
    <t>LICHSGFIN</t>
  </si>
  <si>
    <t>LICNETFGSC</t>
  </si>
  <si>
    <t>LICNETFN50</t>
  </si>
  <si>
    <t>LICNETFSEN</t>
  </si>
  <si>
    <t>LICNFNHGP</t>
  </si>
  <si>
    <t>LINCOLN</t>
  </si>
  <si>
    <t>LINCPEN</t>
  </si>
  <si>
    <t>LINDEINDIA</t>
  </si>
  <si>
    <t>LIQUIDBEES</t>
  </si>
  <si>
    <t>LIQUIDETF</t>
  </si>
  <si>
    <t>LITL</t>
  </si>
  <si>
    <t>LOKESHMACH</t>
  </si>
  <si>
    <t>LOTUSEYE</t>
  </si>
  <si>
    <t>LOVABLE</t>
  </si>
  <si>
    <t>LPDC</t>
  </si>
  <si>
    <t>LSIL</t>
  </si>
  <si>
    <t>LT</t>
  </si>
  <si>
    <t>LTI</t>
  </si>
  <si>
    <t>LTTS</t>
  </si>
  <si>
    <t>LUMAXIND</t>
  </si>
  <si>
    <t>LUMAXTECH</t>
  </si>
  <si>
    <t>LUPIN</t>
  </si>
  <si>
    <t>LUXIND</t>
  </si>
  <si>
    <t>LYCOS</t>
  </si>
  <si>
    <t>LYKALABS</t>
  </si>
  <si>
    <t>LYPSAGEMS</t>
  </si>
  <si>
    <t>M&amp;M</t>
  </si>
  <si>
    <t>M&amp;MFIN</t>
  </si>
  <si>
    <t>M100</t>
  </si>
  <si>
    <t>M14RG</t>
  </si>
  <si>
    <t>M50</t>
  </si>
  <si>
    <t>MAANALU</t>
  </si>
  <si>
    <t>MACPOWER</t>
  </si>
  <si>
    <t>MADHAV</t>
  </si>
  <si>
    <t>MADHUCON</t>
  </si>
  <si>
    <t>MADRASFERT</t>
  </si>
  <si>
    <t>MAGADSUGAR</t>
  </si>
  <si>
    <t>MAGMA</t>
  </si>
  <si>
    <t>MAGNUM</t>
  </si>
  <si>
    <t>MAHABANK</t>
  </si>
  <si>
    <t>MAHAPEXLTD</t>
  </si>
  <si>
    <t>MAHASTEEL</t>
  </si>
  <si>
    <t>MAHESHWARI</t>
  </si>
  <si>
    <t>MAHICKRA</t>
  </si>
  <si>
    <t>MAHINDCIE</t>
  </si>
  <si>
    <t>MAHLIFE</t>
  </si>
  <si>
    <t>MAHLOG</t>
  </si>
  <si>
    <t>MAHSCOOTER</t>
  </si>
  <si>
    <t>MAHSEAMLES</t>
  </si>
  <si>
    <t>MAITHANALL</t>
  </si>
  <si>
    <t>MAJESCO</t>
  </si>
  <si>
    <t>MALUPAPER</t>
  </si>
  <si>
    <t>MANAKALUCO</t>
  </si>
  <si>
    <t>MANAKCOAT</t>
  </si>
  <si>
    <t>MANAKSIA</t>
  </si>
  <si>
    <t>MANAKSTEEL</t>
  </si>
  <si>
    <t>MANALIPETC</t>
  </si>
  <si>
    <t>MANAPPURAM</t>
  </si>
  <si>
    <t>MANDHANA</t>
  </si>
  <si>
    <t>MANGALAM</t>
  </si>
  <si>
    <t>MANGCHEFER</t>
  </si>
  <si>
    <t>MANGLMCEM</t>
  </si>
  <si>
    <t>MANGTIMBER</t>
  </si>
  <si>
    <t>MANINDS</t>
  </si>
  <si>
    <t>MANINFRA</t>
  </si>
  <si>
    <t>MANPASAND</t>
  </si>
  <si>
    <t>MANUGRAPH</t>
  </si>
  <si>
    <t>MARALOVER</t>
  </si>
  <si>
    <t>MARATHON</t>
  </si>
  <si>
    <t>MARICO</t>
  </si>
  <si>
    <t>MARKSANS</t>
  </si>
  <si>
    <t>MARUTI</t>
  </si>
  <si>
    <t>MASFIN</t>
  </si>
  <si>
    <t>MASTEK</t>
  </si>
  <si>
    <t>MATRIMONY</t>
  </si>
  <si>
    <t>MAWANASUG</t>
  </si>
  <si>
    <t>MAXINDIA</t>
  </si>
  <si>
    <t>MAXVIL</t>
  </si>
  <si>
    <t>MAYURUNIQ</t>
  </si>
  <si>
    <t>MAZDA</t>
  </si>
  <si>
    <t>MBECL</t>
  </si>
  <si>
    <t>MBLINFRA</t>
  </si>
  <si>
    <t>MCDHOLDING</t>
  </si>
  <si>
    <t>MCDOWELL-N</t>
  </si>
  <si>
    <t>MCL</t>
  </si>
  <si>
    <t>MCLEODRUSS</t>
  </si>
  <si>
    <t>MCX</t>
  </si>
  <si>
    <t>MEGASOFT</t>
  </si>
  <si>
    <t>MEGH</t>
  </si>
  <si>
    <t>MENONBE</t>
  </si>
  <si>
    <t>MEP</t>
  </si>
  <si>
    <t>MERCATOR</t>
  </si>
  <si>
    <t>MERCK</t>
  </si>
  <si>
    <t>METALFORGE</t>
  </si>
  <si>
    <t>METKORE</t>
  </si>
  <si>
    <t>MFSL</t>
  </si>
  <si>
    <t>MGL</t>
  </si>
  <si>
    <t>MHHL</t>
  </si>
  <si>
    <t>MHRIL</t>
  </si>
  <si>
    <t>MIC</t>
  </si>
  <si>
    <t>MIDHANI</t>
  </si>
  <si>
    <t>MINDACORP</t>
  </si>
  <si>
    <t>MINDAIND</t>
  </si>
  <si>
    <t>MINDTECK</t>
  </si>
  <si>
    <t>MINDTREE</t>
  </si>
  <si>
    <t>MIRCELECTR</t>
  </si>
  <si>
    <t>MIRZAINT</t>
  </si>
  <si>
    <t>MITCON</t>
  </si>
  <si>
    <t>MITTAL</t>
  </si>
  <si>
    <t>MKPL</t>
  </si>
  <si>
    <t>MMFL</t>
  </si>
  <si>
    <t>MMP</t>
  </si>
  <si>
    <t>MMTC</t>
  </si>
  <si>
    <t>MOHITIND</t>
  </si>
  <si>
    <t>MOHOTAIND</t>
  </si>
  <si>
    <t>MOIL</t>
  </si>
  <si>
    <t>MOKSH</t>
  </si>
  <si>
    <t>MOLDTECH</t>
  </si>
  <si>
    <t>MOLDTKPAC</t>
  </si>
  <si>
    <t>MONNETISPA</t>
  </si>
  <si>
    <t>MONSANTO</t>
  </si>
  <si>
    <t>MONTECARLO</t>
  </si>
  <si>
    <t>MORARJEE</t>
  </si>
  <si>
    <t>MOREPENLAB</t>
  </si>
  <si>
    <t>MOSERBAER</t>
  </si>
  <si>
    <t>MOTHERSUMI</t>
  </si>
  <si>
    <t>MOTILALOFS</t>
  </si>
  <si>
    <t>MOTOGENFIN</t>
  </si>
  <si>
    <t>MPHASIS</t>
  </si>
  <si>
    <t>MPSLTD</t>
  </si>
  <si>
    <t>MPTODAY</t>
  </si>
  <si>
    <t>MRF</t>
  </si>
  <si>
    <t>MRO-TEK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</si>
  <si>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</si>
  <si>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</si>
  <si>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</si>
  <si>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</si>
  <si>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</si>
  <si>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</si>
  <si>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</si>
  <si>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</si>
  <si>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</si>
  <si>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MUTHOOTCAP</t>
  </si>
  <si>
    <t>MUTHOOTFIN</t>
  </si>
  <si>
    <t>MVL</t>
  </si>
  <si>
    <t>N100</t>
  </si>
  <si>
    <t>NABARD</t>
  </si>
  <si>
    <t>NACLIND</t>
  </si>
  <si>
    <t>NAGAFERT</t>
  </si>
  <si>
    <t>NAGAROIL</t>
  </si>
  <si>
    <t>NAGREEKCAP</t>
  </si>
  <si>
    <t>NAGREEKEXP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</si>
  <si>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</si>
  <si>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</si>
  <si>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</si>
  <si>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</si>
  <si>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</si>
  <si>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</si>
  <si>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</si>
  <si>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</si>
  <si>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</si>
  <si>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</si>
  <si>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</si>
  <si>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NAVKARCORP</t>
  </si>
  <si>
    <t>NAVNETEDUL</t>
  </si>
  <si>
    <t>NBCC</t>
  </si>
  <si>
    <t>NBIFIN</t>
  </si>
  <si>
    <t>NBVENTURES</t>
  </si>
  <si>
    <t>NCC</t>
  </si>
  <si>
    <t>NCLIND</t>
  </si>
  <si>
    <t>NDGL</t>
  </si>
  <si>
    <t>NDL</t>
  </si>
  <si>
    <t>NDTV</t>
  </si>
  <si>
    <t>NECCLTD</t>
  </si>
  <si>
    <t>NECLIFE</t>
  </si>
  <si>
    <t>NELCAST</t>
  </si>
  <si>
    <t>NELCO</t>
  </si>
  <si>
    <t>NESCO</t>
  </si>
  <si>
    <t>NESTLEIND</t>
  </si>
  <si>
    <t>NETWORK18</t>
  </si>
  <si>
    <t>NEULANDLAB</t>
  </si>
  <si>
    <t>NEWGEN</t>
  </si>
  <si>
    <t>NEXTMEDIA</t>
  </si>
  <si>
    <t>NFL</t>
  </si>
  <si>
    <t>NH</t>
  </si>
  <si>
    <t>NHAI</t>
  </si>
  <si>
    <t>NHBTF2014</t>
  </si>
  <si>
    <t>NHBTF2023</t>
  </si>
  <si>
    <t>NHPC</t>
  </si>
  <si>
    <t>NIACL</t>
  </si>
  <si>
    <t>NIBL</t>
  </si>
  <si>
    <t>NIFTYBEES</t>
  </si>
  <si>
    <t>NIFTYEES</t>
  </si>
  <si>
    <t>NIITLTD</t>
  </si>
  <si>
    <t>NIITTECH</t>
  </si>
  <si>
    <t>NILAINFRA</t>
  </si>
  <si>
    <t>NILKAMAL</t>
  </si>
  <si>
    <t>NIPPOBATRY</t>
  </si>
  <si>
    <t>NITCO</t>
  </si>
  <si>
    <t>NITESHEST</t>
  </si>
  <si>
    <t>NITINFIRE</t>
  </si>
  <si>
    <t>NITINSPIN</t>
  </si>
  <si>
    <t>NITIRAJ</t>
  </si>
  <si>
    <t>NKIND</t>
  </si>
  <si>
    <t>NOCIL</t>
  </si>
  <si>
    <t>NOIDATOLL</t>
  </si>
  <si>
    <t>NORBTEAEXP</t>
  </si>
  <si>
    <t>NRAIL</t>
  </si>
  <si>
    <t>NRBBEARING</t>
  </si>
  <si>
    <t>NSIL</t>
  </si>
  <si>
    <t>NTL</t>
  </si>
  <si>
    <t>NTPC</t>
  </si>
  <si>
    <t>NUCLEUS</t>
  </si>
  <si>
    <t>NUTEK</t>
  </si>
  <si>
    <t>OBEROIRLTY</t>
  </si>
  <si>
    <t>OCCL</t>
  </si>
  <si>
    <t>OCL</t>
  </si>
  <si>
    <t>OFSS</t>
  </si>
  <si>
    <t>OIL</t>
  </si>
  <si>
    <t>OILCOUNTUB</t>
  </si>
  <si>
    <t>OISL</t>
  </si>
  <si>
    <t>OMAXAUTO</t>
  </si>
  <si>
    <t>OMAXE</t>
  </si>
  <si>
    <t>OMKARCHEM</t>
  </si>
  <si>
    <t>OMMETALS</t>
  </si>
  <si>
    <t>ONELIFECAP</t>
  </si>
  <si>
    <t>ONEPOINT</t>
  </si>
  <si>
    <t>ONGC</t>
  </si>
  <si>
    <t>ONMOBILE</t>
  </si>
  <si>
    <t>ONWARDTEC</t>
  </si>
  <si>
    <t>OPTIEMUS</t>
  </si>
  <si>
    <t>OPTOCIRCUI</t>
  </si>
  <si>
    <t>ORBTEXP</t>
  </si>
  <si>
    <t>ORCHIDPHAR</t>
  </si>
  <si>
    <t>ORICONENT</t>
  </si>
  <si>
    <t>ORIENTABRA</t>
  </si>
  <si>
    <t>ORIENTALTL</t>
  </si>
  <si>
    <t>ORIENTBANK</t>
  </si>
  <si>
    <t>ORIENTBELL</t>
  </si>
  <si>
    <t>ORIENTCEM</t>
  </si>
  <si>
    <t>ORIENTELEC</t>
  </si>
  <si>
    <t>ORIENTHOT</t>
  </si>
  <si>
    <t>ORIENTLTD</t>
  </si>
  <si>
    <t>ORIENTPPR</t>
  </si>
  <si>
    <t>ORIENTREF</t>
  </si>
  <si>
    <t>ORISSAMINE</t>
  </si>
  <si>
    <t>ORTEL</t>
  </si>
  <si>
    <t>ORTINLABSS</t>
  </si>
  <si>
    <t>OSWALAGRO</t>
  </si>
  <si>
    <t>OSWALSEEDS</t>
  </si>
  <si>
    <t>PAGEIND</t>
  </si>
  <si>
    <t>PAISALO</t>
  </si>
  <si>
    <t>PALASHSECU</t>
  </si>
  <si>
    <t>PALREDTEC</t>
  </si>
  <si>
    <t>PANACEABIO</t>
  </si>
  <si>
    <t>PANAMAPET</t>
  </si>
  <si>
    <t>PANORAMUNI</t>
  </si>
  <si>
    <t>PAPERPROD</t>
  </si>
  <si>
    <t>PARABDRUGS</t>
  </si>
  <si>
    <t>PARACABLES</t>
  </si>
  <si>
    <t>PARAGMILK</t>
  </si>
  <si>
    <t>PARSVNATH</t>
  </si>
  <si>
    <t>PATELENG</t>
  </si>
  <si>
    <t>PATINTLOG</t>
  </si>
  <si>
    <t>PATSPINLTD</t>
  </si>
  <si>
    <t>PBAINFRA</t>
  </si>
  <si>
    <t>PCJEWELLER</t>
  </si>
  <si>
    <t>PDMJEPAPER</t>
  </si>
  <si>
    <t>PDPL</t>
  </si>
  <si>
    <t>PDSMFL</t>
  </si>
  <si>
    <t>PEARLPOLY</t>
  </si>
  <si>
    <t>PEL</t>
  </si>
  <si>
    <t>PENIND</t>
  </si>
  <si>
    <t>PENINLAND</t>
  </si>
  <si>
    <t>PENPEBS</t>
  </si>
  <si>
    <t>PERFECT</t>
  </si>
  <si>
    <t>PERSISTENT</t>
  </si>
  <si>
    <t>PETRONENGG</t>
  </si>
  <si>
    <t>PETRONET</t>
  </si>
  <si>
    <t>PFIZER</t>
  </si>
  <si>
    <t>PFOCUS</t>
  </si>
  <si>
    <t>PFS</t>
  </si>
  <si>
    <t>PGEL</t>
  </si>
  <si>
    <t>PGHH</t>
  </si>
  <si>
    <t>PGIL</t>
  </si>
  <si>
    <t>PHILIPCARB</t>
  </si>
  <si>
    <t>PHOENIXLTD</t>
  </si>
  <si>
    <t>PIDILITIND</t>
  </si>
  <si>
    <t>PIGL</t>
  </si>
  <si>
    <t>PIIND</t>
  </si>
  <si>
    <t>PILANIINVS</t>
  </si>
  <si>
    <t>PILITA</t>
  </si>
  <si>
    <t>PIONDIST</t>
  </si>
  <si>
    <t>PIONEEREMB</t>
  </si>
  <si>
    <t>PIRPHYTO</t>
  </si>
  <si>
    <t>PITTIENG</t>
  </si>
  <si>
    <t>PKTEA</t>
  </si>
  <si>
    <t>PLASTIBLEN</t>
  </si>
  <si>
    <t>PNB</t>
  </si>
  <si>
    <t>PNBGILTS</t>
  </si>
  <si>
    <t>PNBHOUSING</t>
  </si>
  <si>
    <t>PNC</t>
  </si>
  <si>
    <t>PNCINFRA</t>
  </si>
  <si>
    <t>POCHIRAJU</t>
  </si>
  <si>
    <t>PODDARHOUS</t>
  </si>
  <si>
    <t>PODDARMENT</t>
  </si>
  <si>
    <t>POKARNA</t>
  </si>
  <si>
    <t>POLARIS</t>
  </si>
  <si>
    <t>POLYMED</t>
  </si>
  <si>
    <t>POLYPLEX</t>
  </si>
  <si>
    <t>PONNIERODE</t>
  </si>
  <si>
    <t>POWERGRID</t>
  </si>
  <si>
    <t>POWERMECH</t>
  </si>
  <si>
    <t>PPAP</t>
  </si>
  <si>
    <t>PRABHAT</t>
  </si>
  <si>
    <t>PRADIP</t>
  </si>
  <si>
    <t>PRAENG</t>
  </si>
  <si>
    <t>PRAKASH</t>
  </si>
  <si>
    <t>PRAKASHCON</t>
  </si>
  <si>
    <t>PRATIBHA</t>
  </si>
  <si>
    <t>PRAXIS</t>
  </si>
  <si>
    <t>PRECAM</t>
  </si>
  <si>
    <t>PRECOT</t>
  </si>
  <si>
    <t>PRECWIRE</t>
  </si>
  <si>
    <t>PREMEXPLN</t>
  </si>
  <si>
    <t>PREMIER</t>
  </si>
  <si>
    <t>PREMIERPOL</t>
  </si>
  <si>
    <t>PRESSMN</t>
  </si>
  <si>
    <t>PRESTIGE</t>
  </si>
  <si>
    <t>PRICOLLTD</t>
  </si>
  <si>
    <t>PRIMESECU</t>
  </si>
  <si>
    <t>PRITI</t>
  </si>
  <si>
    <t>PROLIFE</t>
  </si>
  <si>
    <t>PROVOGE</t>
  </si>
  <si>
    <t>PROZONINTU</t>
  </si>
  <si>
    <t>PRSMJOHNSN</t>
  </si>
  <si>
    <t>PSB</t>
  </si>
  <si>
    <t>PSL</t>
  </si>
  <si>
    <t>PSPPROJECT</t>
  </si>
  <si>
    <t>PSUBNKBEES</t>
  </si>
  <si>
    <t>PTL</t>
  </si>
  <si>
    <t>PUNJABCHEM</t>
  </si>
  <si>
    <t>PUNJLLOYD</t>
  </si>
  <si>
    <t>PURVA</t>
  </si>
  <si>
    <t>PVP</t>
  </si>
  <si>
    <t>PVR</t>
  </si>
  <si>
    <t>QGOLDHALF</t>
  </si>
  <si>
    <t>QUESS</t>
  </si>
  <si>
    <t>QUICKHEAL</t>
  </si>
  <si>
    <t>RADAAN</t>
  </si>
  <si>
    <t>RADICO</t>
  </si>
  <si>
    <t>RADIOCITY</t>
  </si>
  <si>
    <t>RAIN</t>
  </si>
  <si>
    <t>RAINBOWPAP</t>
  </si>
  <si>
    <t>RAJESHEXPO</t>
  </si>
  <si>
    <t>RAJRAYON</t>
  </si>
  <si>
    <t>RAJSREESUG</t>
  </si>
  <si>
    <t>RAJTV</t>
  </si>
  <si>
    <t>RAJVIR</t>
  </si>
  <si>
    <t>RALLIS</t>
  </si>
  <si>
    <t>RAMANEWS</t>
  </si>
  <si>
    <t>RAMASTEEL</t>
  </si>
  <si>
    <t>RAMCOCEM</t>
  </si>
  <si>
    <t>RAMCOIND</t>
  </si>
  <si>
    <t>RAMCOSYS</t>
  </si>
  <si>
    <t>RAMGOPOLY</t>
  </si>
  <si>
    <t>RAMKY</t>
  </si>
  <si>
    <t>RANASUG</t>
  </si>
  <si>
    <t>RANEENGINE</t>
  </si>
  <si>
    <t>RANEHOLDIN</t>
  </si>
  <si>
    <t>RATNAMANI</t>
  </si>
  <si>
    <t>RAYMOND</t>
  </si>
  <si>
    <t>RBL</t>
  </si>
  <si>
    <t>RBLBANK</t>
  </si>
  <si>
    <t>RCF</t>
  </si>
  <si>
    <t>RCOM</t>
  </si>
  <si>
    <t>RECLTD</t>
  </si>
  <si>
    <t>REDINGTON</t>
  </si>
  <si>
    <t>REFEX</t>
  </si>
  <si>
    <t>REGENCERAM</t>
  </si>
  <si>
    <t>RELAXO</t>
  </si>
  <si>
    <t>RELCAPITAL</t>
  </si>
  <si>
    <t>RELCNX100</t>
  </si>
  <si>
    <t>RELCONS</t>
  </si>
  <si>
    <t>RELDIVOPP</t>
  </si>
  <si>
    <t>RELIABLE</t>
  </si>
  <si>
    <t>RELIANCE</t>
  </si>
  <si>
    <t>RELIFIN</t>
  </si>
  <si>
    <t>RELIGARE</t>
  </si>
  <si>
    <t>RELINFRA</t>
  </si>
  <si>
    <t>RELNV20</t>
  </si>
  <si>
    <t>REMSONSIND</t>
  </si>
  <si>
    <t>RENUKA</t>
  </si>
  <si>
    <t>REPCOHOME</t>
  </si>
  <si>
    <t>REPL</t>
  </si>
  <si>
    <t>RESPONIND</t>
  </si>
  <si>
    <t>REVATHI</t>
  </si>
  <si>
    <t>RHFL</t>
  </si>
  <si>
    <t>RICOAUTO</t>
  </si>
  <si>
    <t>RIIL</t>
  </si>
  <si>
    <t>RITES</t>
  </si>
  <si>
    <t>RJL</t>
  </si>
  <si>
    <t>RKDL</t>
  </si>
  <si>
    <t>RKEC</t>
  </si>
  <si>
    <t>RKFORGE</t>
  </si>
  <si>
    <t>RMCL</t>
  </si>
  <si>
    <t>RMDRIP</t>
  </si>
  <si>
    <t>RML</t>
  </si>
  <si>
    <t>RNAM</t>
  </si>
  <si>
    <t>RNAVAL</t>
  </si>
  <si>
    <t>ROHITFERRO</t>
  </si>
  <si>
    <t>ROHLTD</t>
  </si>
  <si>
    <t>ROLLT</t>
  </si>
  <si>
    <t>ROSSELLIND</t>
  </si>
  <si>
    <t>RPGLIFE</t>
  </si>
  <si>
    <t>RPOWER</t>
  </si>
  <si>
    <t>RPPINFRA</t>
  </si>
  <si>
    <t>RSSOFTWARE</t>
  </si>
  <si>
    <t>RSWM</t>
  </si>
  <si>
    <t>RSYSTEMS</t>
  </si>
  <si>
    <t>RTNINFRA</t>
  </si>
  <si>
    <t>RTNPOWER</t>
  </si>
  <si>
    <t>RUBYMILLS</t>
  </si>
  <si>
    <t>RUCHIRA</t>
  </si>
  <si>
    <t>RUCHISOYA</t>
  </si>
  <si>
    <t>RUPA</t>
  </si>
  <si>
    <t>RUSHIL</t>
  </si>
  <si>
    <t>SABEVENTS</t>
  </si>
  <si>
    <t>SABTN</t>
  </si>
  <si>
    <t>SADBHAV</t>
  </si>
  <si>
    <t>SADBHIN</t>
  </si>
  <si>
    <t>SAGCEM</t>
  </si>
  <si>
    <t>SAIL</t>
  </si>
  <si>
    <t>SAKHTISUG</t>
  </si>
  <si>
    <t>SAKSOFT</t>
  </si>
  <si>
    <t>SAKUMA</t>
  </si>
  <si>
    <t>SALASAR</t>
  </si>
  <si>
    <t>SALONA</t>
  </si>
  <si>
    <t>SALORAINTL</t>
  </si>
  <si>
    <t>SALSTEEL</t>
  </si>
  <si>
    <t>SALZERELEC</t>
  </si>
  <si>
    <t>SAMBHAAV</t>
  </si>
  <si>
    <t>SANCO</t>
  </si>
  <si>
    <t>SANDESH</t>
  </si>
  <si>
    <t>SANDHAR</t>
  </si>
  <si>
    <t>SANGAMIND</t>
  </si>
  <si>
    <t>SANGHIIND</t>
  </si>
  <si>
    <t>SANGHVIFOR</t>
  </si>
  <si>
    <t>SANGHVIMOV</t>
  </si>
  <si>
    <t>SANGINITA</t>
  </si>
  <si>
    <t>SANOFI</t>
  </si>
  <si>
    <t>SANWARIA</t>
  </si>
  <si>
    <t>SARDAEN</t>
  </si>
  <si>
    <t>SAREGAMA</t>
  </si>
  <si>
    <t>SARLAPOLY</t>
  </si>
  <si>
    <t>SARVESHWAR</t>
  </si>
  <si>
    <t>SASKEN</t>
  </si>
  <si>
    <t>SASTASUNDR</t>
  </si>
  <si>
    <t>SATHAISPAT</t>
  </si>
  <si>
    <t>SATIN</t>
  </si>
  <si>
    <t>SBILIFE</t>
  </si>
  <si>
    <t>SBIN</t>
  </si>
  <si>
    <t>SCAPDVR</t>
  </si>
  <si>
    <t>SCHAEFFLER</t>
  </si>
  <si>
    <t>SCHAND</t>
  </si>
  <si>
    <t>SCHNEIDER</t>
  </si>
  <si>
    <t>SCI</t>
  </si>
  <si>
    <t>SDBL</t>
  </si>
  <si>
    <t>SEAMECLTD</t>
  </si>
  <si>
    <t>SECURCRED</t>
  </si>
  <si>
    <t>SELAN</t>
  </si>
  <si>
    <t>SELMCL</t>
  </si>
  <si>
    <t>SEPOWER</t>
  </si>
  <si>
    <t>SEQUENT</t>
  </si>
  <si>
    <t>SESHAPAPER</t>
  </si>
  <si>
    <t>SETCO</t>
  </si>
  <si>
    <t>SETFGOLD</t>
  </si>
  <si>
    <t>SETFNIF50</t>
  </si>
  <si>
    <t>SETFNIFBK</t>
  </si>
  <si>
    <t>SETFNN50</t>
  </si>
  <si>
    <t>SEZAL</t>
  </si>
  <si>
    <t>SFL</t>
  </si>
  <si>
    <t>SGBAUG24</t>
  </si>
  <si>
    <t>SGBFEB24</t>
  </si>
  <si>
    <t>SGBJAN26</t>
  </si>
  <si>
    <t>SGBJUL25</t>
  </si>
  <si>
    <t>SGBMAR24</t>
  </si>
  <si>
    <t>SGBMAR25</t>
  </si>
  <si>
    <t>SGBMAY25</t>
  </si>
  <si>
    <t>SGBMAY26</t>
  </si>
  <si>
    <t>SGBNOV23</t>
  </si>
  <si>
    <t>SGBNOV24</t>
  </si>
  <si>
    <t>SGBNOV25</t>
  </si>
  <si>
    <t>SGBNOV25VI</t>
  </si>
  <si>
    <t>SGBOCT25</t>
  </si>
  <si>
    <t>SGBSEP24</t>
  </si>
  <si>
    <t>SGL</t>
  </si>
  <si>
    <t>SHAHALLOYS</t>
  </si>
  <si>
    <t>SHAKTIPUMP</t>
  </si>
  <si>
    <t>SHALBY</t>
  </si>
  <si>
    <t>SHALPAINTS</t>
  </si>
  <si>
    <t>SHANKARA</t>
  </si>
  <si>
    <t>SHANTIGEAR</t>
  </si>
  <si>
    <t>SHARDACROP</t>
  </si>
  <si>
    <t>SHARDAMOTR</t>
  </si>
  <si>
    <t>SHARIABEES</t>
  </si>
  <si>
    <t>SHARONBIO</t>
  </si>
  <si>
    <t>SHEMAROO</t>
  </si>
  <si>
    <t>SHILPAMED</t>
  </si>
  <si>
    <t>SHILPI</t>
  </si>
  <si>
    <t>SHIRPUR-G</t>
  </si>
  <si>
    <t>SHIVAMAUTO</t>
  </si>
  <si>
    <t>SHIVAMILLS</t>
  </si>
  <si>
    <t>SHIVATEX</t>
  </si>
  <si>
    <t>SHK</t>
  </si>
  <si>
    <t>SHOPERSTOP</t>
  </si>
  <si>
    <t>SHREECEM</t>
  </si>
  <si>
    <t>SHREEPUSHK</t>
  </si>
  <si>
    <t>SHREERAMA</t>
  </si>
  <si>
    <t>SHRENIK</t>
  </si>
  <si>
    <t>SHREYANIND</t>
  </si>
  <si>
    <t>SHREYAS</t>
  </si>
  <si>
    <t>SHRIPISTON</t>
  </si>
  <si>
    <t>SHRIRAMCIT</t>
  </si>
  <si>
    <t>SHRIRAMEPC</t>
  </si>
  <si>
    <t>SHYAMCENT</t>
  </si>
  <si>
    <t>SHYAMTEL</t>
  </si>
  <si>
    <t>SICAGEN</t>
  </si>
  <si>
    <t>SICAL</t>
  </si>
  <si>
    <t>SIEMENS</t>
  </si>
  <si>
    <t>SIGNET</t>
  </si>
  <si>
    <t>SIIL</t>
  </si>
  <si>
    <t>SIL</t>
  </si>
  <si>
    <t>SILINV</t>
  </si>
  <si>
    <t>SILLYMONKS</t>
  </si>
  <si>
    <t>SILVERTUC</t>
  </si>
  <si>
    <t>SIMBHALS</t>
  </si>
  <si>
    <t>SIMPLEX</t>
  </si>
  <si>
    <t>SIMPLEXINF</t>
  </si>
  <si>
    <t>SINTERCOM</t>
  </si>
  <si>
    <t>SINTEX</t>
  </si>
  <si>
    <t>SIRCA</t>
  </si>
  <si>
    <t>SIS</t>
  </si>
  <si>
    <t>SITASHREE</t>
  </si>
  <si>
    <t>SITINET</t>
  </si>
  <si>
    <t>SIYSIL</t>
  </si>
  <si>
    <t>SJVN</t>
  </si>
  <si>
    <t>SKFINDIA</t>
  </si>
  <si>
    <t>SKIL</t>
  </si>
  <si>
    <t>SKIPPER</t>
  </si>
  <si>
    <t>SKMEGGPROD</t>
  </si>
  <si>
    <t>SMARTLINK</t>
  </si>
  <si>
    <t>SMLISUZU</t>
  </si>
  <si>
    <t>SMPL</t>
  </si>
  <si>
    <t>SMSLIFE</t>
  </si>
  <si>
    <t>SMSPHARMA</t>
  </si>
  <si>
    <t>SMVD</t>
  </si>
  <si>
    <t>SNOWMAN</t>
  </si>
  <si>
    <t>SOBHA</t>
  </si>
  <si>
    <t>SOFTTECH</t>
  </si>
  <si>
    <t>SOLARA</t>
  </si>
  <si>
    <t>SOLARINDS</t>
  </si>
  <si>
    <t>SOLEX</t>
  </si>
  <si>
    <t>SOMANYCERA</t>
  </si>
  <si>
    <t>SOMATEX</t>
  </si>
  <si>
    <t>SOMICONVEY</t>
  </si>
  <si>
    <t>SONAMCLOCK</t>
  </si>
  <si>
    <t>SONATSOFTW</t>
  </si>
  <si>
    <t>SORILINFRA</t>
  </si>
  <si>
    <t>SOTL</t>
  </si>
  <si>
    <t>SOUTHBANK</t>
  </si>
  <si>
    <t>SOUTHWEST</t>
  </si>
  <si>
    <t>SPAL</t>
  </si>
  <si>
    <t>SPARC</t>
  </si>
  <si>
    <t>SPECIALITY</t>
  </si>
  <si>
    <t>SPENTEX</t>
  </si>
  <si>
    <t>SPIC</t>
  </si>
  <si>
    <t>SPICEMOBI</t>
  </si>
  <si>
    <t>SPLIL</t>
  </si>
  <si>
    <t>SPMLINFRA</t>
  </si>
  <si>
    <t>SPTL</t>
  </si>
  <si>
    <t>SPYL</t>
  </si>
  <si>
    <t>SQSBFSI</t>
  </si>
  <si>
    <t>SREEL</t>
  </si>
  <si>
    <t>SREIBNPNCD</t>
  </si>
  <si>
    <t>SREINFRA</t>
  </si>
  <si>
    <t>SRF</t>
  </si>
  <si>
    <t>SRHHYPOLTD</t>
  </si>
  <si>
    <t>SRIPIPES</t>
  </si>
  <si>
    <t>SRIRAM</t>
  </si>
  <si>
    <t>SRSLTD</t>
  </si>
  <si>
    <t>SRTRANSFIN</t>
  </si>
  <si>
    <t>SSWL</t>
  </si>
  <si>
    <t>STAMPEDE</t>
  </si>
  <si>
    <t>STAN</t>
  </si>
  <si>
    <t>STAR</t>
  </si>
  <si>
    <t>STARCEMENT</t>
  </si>
  <si>
    <t>STARPAPER</t>
  </si>
  <si>
    <t>STCINDIA</t>
  </si>
  <si>
    <t>STEELCITY</t>
  </si>
  <si>
    <t>STEELXIND</t>
  </si>
  <si>
    <t>STEL</t>
  </si>
  <si>
    <t>STERTOOLS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</si>
  <si>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</si>
  <si>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</si>
  <si>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</si>
  <si>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</si>
  <si>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</si>
  <si>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</si>
  <si>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</si>
  <si>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</si>
  <si>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</si>
  <si>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</si>
  <si>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SUNDARMHLD</t>
  </si>
  <si>
    <t>SUNDRMBRAK</t>
  </si>
  <si>
    <t>SUNDRMFAST</t>
  </si>
  <si>
    <t>SUNFLAG</t>
  </si>
  <si>
    <t>SUNILHITEC</t>
  </si>
  <si>
    <t>SUNPHARMA</t>
  </si>
  <si>
    <t>SUNTECK</t>
  </si>
  <si>
    <t>SUNTV</t>
  </si>
  <si>
    <t>SUPERHOUSE</t>
  </si>
  <si>
    <t>SUPERSPIN</t>
  </si>
  <si>
    <t>SUPPETRO</t>
  </si>
  <si>
    <t>SUPRAJIT</t>
  </si>
  <si>
    <t>SUPREMEIND</t>
  </si>
  <si>
    <t>SUPREMEINF</t>
  </si>
  <si>
    <t>SUPREMETEX</t>
  </si>
  <si>
    <t>SURANAIND</t>
  </si>
  <si>
    <t>SURANASOL</t>
  </si>
  <si>
    <t>SURANAT&amp;P</t>
  </si>
  <si>
    <t>SURYALAXMI</t>
  </si>
  <si>
    <t>SURYAROSNI</t>
  </si>
  <si>
    <t>SUTLEJTEX</t>
  </si>
  <si>
    <t>SUULD</t>
  </si>
  <si>
    <t>SUVEN</t>
  </si>
  <si>
    <t>SUZLON</t>
  </si>
  <si>
    <t>SWANENERGY</t>
  </si>
  <si>
    <t>SWARAJENG</t>
  </si>
  <si>
    <t>SWELECTES</t>
  </si>
  <si>
    <t>SYMPHONY</t>
  </si>
  <si>
    <t>SYNCOM</t>
  </si>
  <si>
    <t>SYNDIBANK</t>
  </si>
  <si>
    <t>SYNGENE</t>
  </si>
  <si>
    <t>TAINWALCHM</t>
  </si>
  <si>
    <t>TAJGVK</t>
  </si>
  <si>
    <t>TAKE</t>
  </si>
  <si>
    <t>TALBROAUTO</t>
  </si>
  <si>
    <t>TALWALKARS</t>
  </si>
  <si>
    <t>TALWGYM</t>
  </si>
  <si>
    <t>TANLA</t>
  </si>
  <si>
    <t>TANTIACONS</t>
  </si>
  <si>
    <t>TARACHAND</t>
  </si>
  <si>
    <t>TARAJEWELS</t>
  </si>
  <si>
    <t>TARAPUR</t>
  </si>
  <si>
    <t>TARMAT</t>
  </si>
  <si>
    <t>TASTYBITE</t>
  </si>
  <si>
    <t>TATACHEM</t>
  </si>
  <si>
    <t>TATACOFFEE</t>
  </si>
  <si>
    <t>TATACOMM</t>
  </si>
  <si>
    <t>TATAELXSI</t>
  </si>
  <si>
    <t>TATAGLOBAL</t>
  </si>
  <si>
    <t>TATAINVEST</t>
  </si>
  <si>
    <t>TATAMETALI</t>
  </si>
  <si>
    <t>TATAMOTORS</t>
  </si>
  <si>
    <t>TATAMTRDVR</t>
  </si>
  <si>
    <t>TATAPOWER</t>
  </si>
  <si>
    <t>TATASPONGE</t>
  </si>
  <si>
    <t>TATASTEEL</t>
  </si>
  <si>
    <t>TBZ</t>
  </si>
  <si>
    <t>TCFSL</t>
  </si>
  <si>
    <t>TCI</t>
  </si>
  <si>
    <t>TCIDEVELOP</t>
  </si>
  <si>
    <t>TCIEXP</t>
  </si>
  <si>
    <t>TCIFINANCE</t>
  </si>
  <si>
    <t>TCPLPACK</t>
  </si>
  <si>
    <t>TCS</t>
  </si>
  <si>
    <t>TDPOWERSYS</t>
  </si>
  <si>
    <t>TEAMLEASE</t>
  </si>
  <si>
    <t>TECHIN</t>
  </si>
  <si>
    <t>TECHNO</t>
  </si>
  <si>
    <t>TECHNOFAB</t>
  </si>
  <si>
    <t>TEJASNET</t>
  </si>
  <si>
    <t>TERASOFT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</si>
  <si>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</si>
  <si>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</si>
  <si>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</si>
  <si>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</si>
  <si>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</si>
  <si>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</si>
  <si>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</si>
  <si>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</si>
  <si>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THERMAX</t>
  </si>
  <si>
    <t>THIRUSUGAR</t>
  </si>
  <si>
    <t>THOMASCOOK</t>
  </si>
  <si>
    <t>THOMASCOTT</t>
  </si>
  <si>
    <t>THYROCARE</t>
  </si>
  <si>
    <t>TI</t>
  </si>
  <si>
    <t>TIDEWATER</t>
  </si>
  <si>
    <t>TIFIN</t>
  </si>
  <si>
    <t>TIIL</t>
  </si>
  <si>
    <t>TIINDIA</t>
  </si>
  <si>
    <t>TIJARIA</t>
  </si>
  <si>
    <t>TIL</t>
  </si>
  <si>
    <t>TIMESGTY</t>
  </si>
  <si>
    <t>TIMETECHNO</t>
  </si>
  <si>
    <t>TIMKEN</t>
  </si>
  <si>
    <t>TINPLATE</t>
  </si>
  <si>
    <t>TIPSINDLTD</t>
  </si>
  <si>
    <t>TIRUMALCHM</t>
  </si>
  <si>
    <t>TIRUPATIFL</t>
  </si>
  <si>
    <t>TITAN</t>
  </si>
  <si>
    <t>TMRVL</t>
  </si>
  <si>
    <t>TNPETRO</t>
  </si>
  <si>
    <t>TNPL</t>
  </si>
  <si>
    <t>TNTELE</t>
  </si>
  <si>
    <t>TOKYOPLAST</t>
  </si>
  <si>
    <t>TORNTPHARM</t>
  </si>
  <si>
    <t>TORNTPOWER</t>
  </si>
  <si>
    <t>TOTAL</t>
  </si>
  <si>
    <t>TOUCHWOOD</t>
  </si>
  <si>
    <t>TPLPLASTEH</t>
  </si>
  <si>
    <t>TREEHOUSE</t>
  </si>
  <si>
    <t>TRENT</t>
  </si>
  <si>
    <t>TRF</t>
  </si>
  <si>
    <t>TRIDENT</t>
  </si>
  <si>
    <t>TRIGYN</t>
  </si>
  <si>
    <t>TRIL</t>
  </si>
  <si>
    <t>TRITURBINE</t>
  </si>
  <si>
    <t>TRIVENI</t>
  </si>
  <si>
    <t>TTKHLTCARE</t>
  </si>
  <si>
    <t>TTKPRESTIG</t>
  </si>
  <si>
    <t>TTL</t>
  </si>
  <si>
    <t>TTML</t>
  </si>
  <si>
    <t>TULSI</t>
  </si>
  <si>
    <t>TV18BRDCST</t>
  </si>
  <si>
    <t>TVSELECT</t>
  </si>
  <si>
    <t>TVSMOTOR</t>
  </si>
  <si>
    <t>TVSSRICHAK</t>
  </si>
  <si>
    <t>TVTODAY</t>
  </si>
  <si>
    <t>TVVISION</t>
  </si>
  <si>
    <t>TWL</t>
  </si>
  <si>
    <t>UBL</t>
  </si>
  <si>
    <t>UCALFUEL</t>
  </si>
  <si>
    <t>UCOBANK</t>
  </si>
  <si>
    <t>UFLEX</t>
  </si>
  <si>
    <t>UFO</t>
  </si>
  <si>
    <t>UGARSUGAR</t>
  </si>
  <si>
    <t>UJAAS</t>
  </si>
  <si>
    <t>UJJIVAN</t>
  </si>
  <si>
    <t>ULTRACEMCO</t>
  </si>
  <si>
    <t>UMANGDAIRY</t>
  </si>
  <si>
    <t>UMESLTD</t>
  </si>
  <si>
    <t>UNICHEMLAB</t>
  </si>
  <si>
    <t>UNIENTER</t>
  </si>
  <si>
    <t>UNIINFO</t>
  </si>
  <si>
    <t>UNIONBANK</t>
  </si>
  <si>
    <t>UNIPLY</t>
  </si>
  <si>
    <t>UNITECH</t>
  </si>
  <si>
    <t>UNITEDBNK</t>
  </si>
  <si>
    <t>UNITY</t>
  </si>
  <si>
    <t>UNIVCABLES</t>
  </si>
  <si>
    <t>UPL</t>
  </si>
  <si>
    <t>URJA</t>
  </si>
  <si>
    <t>USHAMART</t>
  </si>
  <si>
    <t>USHERAGRO</t>
  </si>
  <si>
    <t>UTIFEFRGR4</t>
  </si>
  <si>
    <t>UTINEXT50</t>
  </si>
  <si>
    <t>UTINIFTETF</t>
  </si>
  <si>
    <t>UTTAMSTL</t>
  </si>
  <si>
    <t>UTTAMSUGAR</t>
  </si>
  <si>
    <t>UVSL</t>
  </si>
  <si>
    <t>V2RETAIL</t>
  </si>
  <si>
    <t>VADILALIND</t>
  </si>
  <si>
    <t>VAIBHAVGBL</t>
  </si>
  <si>
    <t>VAKRANGEE</t>
  </si>
  <si>
    <t>VARDHACRLC</t>
  </si>
  <si>
    <t>VARDMNPOLY</t>
  </si>
  <si>
    <t>VARROC</t>
  </si>
  <si>
    <t>VASA</t>
  </si>
  <si>
    <t>VASCONEQ</t>
  </si>
  <si>
    <t>VASWANI</t>
  </si>
  <si>
    <t>VBL</t>
  </si>
  <si>
    <t>VEDL</t>
  </si>
  <si>
    <t>VENKEYS</t>
  </si>
  <si>
    <t>VENUSREM</t>
  </si>
  <si>
    <t>VERTOZ</t>
  </si>
  <si>
    <t>VESUVIUS</t>
  </si>
  <si>
    <t>VETO</t>
  </si>
  <si>
    <t>VGUARD</t>
  </si>
  <si>
    <t>VHL</t>
  </si>
  <si>
    <t>VICEROY</t>
  </si>
  <si>
    <t>VIDEOIND</t>
  </si>
  <si>
    <t>VIDHIING</t>
  </si>
  <si>
    <t>VIJAYABANK</t>
  </si>
  <si>
    <t>VIJIFIN</t>
  </si>
  <si>
    <t>VIJSHAN</t>
  </si>
  <si>
    <t>VIKASECO</t>
  </si>
  <si>
    <t>VIMTALABS</t>
  </si>
  <si>
    <t>VINATIORGA</t>
  </si>
  <si>
    <t>VINDHYATEL</t>
  </si>
  <si>
    <t>VINYLINDIA</t>
  </si>
  <si>
    <t>VIPCLOTHNG</t>
  </si>
  <si>
    <t>VIPIND</t>
  </si>
  <si>
    <t>VIPULLTD</t>
  </si>
  <si>
    <t>VISAKAIND</t>
  </si>
  <si>
    <t>VISASTEEL</t>
  </si>
  <si>
    <t>VISESHINFO</t>
  </si>
  <si>
    <t>VISHNU</t>
  </si>
  <si>
    <t>VIVIDHA</t>
  </si>
  <si>
    <t>VIVIMEDLAB</t>
  </si>
  <si>
    <t>VLSFINANCE</t>
  </si>
  <si>
    <t>VMART</t>
  </si>
  <si>
    <t>VOLTAMP</t>
  </si>
  <si>
    <t>VOLTAS</t>
  </si>
  <si>
    <t>VRLLOG</t>
  </si>
  <si>
    <t>VSCL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</si>
  <si>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</si>
  <si>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</si>
  <si>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</si>
  <si>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</si>
  <si>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</si>
  <si>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</si>
  <si>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</si>
  <si>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</si>
  <si>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</si>
  <si>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</si>
  <si>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</si>
  <si>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</si>
  <si>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WELENT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</si>
  <si>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</si>
  <si>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</si>
  <si>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</si>
  <si>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</si>
  <si>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</si>
  <si>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</si>
  <si>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</si>
  <si>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</si>
  <si>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</si>
  <si>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</si>
  <si>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</si>
  <si>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</si>
  <si>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</si>
  <si>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</si>
  <si>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</si>
  <si>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</si>
  <si>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ZEEL</t>
  </si>
  <si>
    <t>ZEELEARN</t>
  </si>
  <si>
    <t>ZEEMEDIA</t>
  </si>
  <si>
    <t>ZENITHBIR</t>
  </si>
  <si>
    <t>ZENITHEXPO</t>
  </si>
  <si>
    <t>ZENSARTECH</t>
  </si>
  <si>
    <t>ZENTEC</t>
  </si>
  <si>
    <t>ZICOM</t>
  </si>
  <si>
    <t>ZODIAC</t>
  </si>
  <si>
    <t>ZODIACLOTH</t>
  </si>
  <si>
    <t>ZODJRDMKJ</t>
  </si>
  <si>
    <t>ZOTA</t>
  </si>
  <si>
    <t>ZUARI</t>
  </si>
  <si>
    <t>ZUARIGLOB</t>
  </si>
  <si>
    <t>ZYDUSWELL</t>
  </si>
  <si>
    <t>ZYLOG</t>
  </si>
  <si>
    <t>Open</t>
  </si>
  <si>
    <t>52 Week High</t>
  </si>
  <si>
    <t>52 Week Low</t>
  </si>
  <si>
    <t>Previous Close</t>
  </si>
  <si>
    <t>z</t>
  </si>
  <si>
    <t>Day High</t>
  </si>
  <si>
    <t>Day Low</t>
  </si>
  <si>
    <t>Last Price</t>
  </si>
  <si>
    <t>1W</t>
  </si>
  <si>
    <t>4W</t>
  </si>
  <si>
    <t>12W</t>
  </si>
  <si>
    <t>24W</t>
  </si>
  <si>
    <t>1Y</t>
  </si>
  <si>
    <t>3Y</t>
  </si>
  <si>
    <t>Tenor</t>
  </si>
  <si>
    <t>BASIC EPS</t>
  </si>
  <si>
    <t>BOOK VALUE PER SHARE EXCL REVAL</t>
  </si>
  <si>
    <t>BOOK VALUE PER SHARE INCL REVAL</t>
  </si>
  <si>
    <t>CASH EPS</t>
  </si>
  <si>
    <t>DIVIDEND PER SHARE</t>
  </si>
  <si>
    <t>EARNINGS YIELD</t>
  </si>
  <si>
    <t>NET PROFIT MARGIN</t>
  </si>
  <si>
    <t>NET PROFIT PER SHARE</t>
  </si>
  <si>
    <t>RETENTION RATIOS</t>
  </si>
  <si>
    <t>RETURN ON ASSETS</t>
  </si>
  <si>
    <t>RETURN ON EQUITY</t>
  </si>
  <si>
    <t>PERIOD RETURNS</t>
  </si>
  <si>
    <t>PRICES</t>
  </si>
  <si>
    <t>OPTION CHAIN</t>
  </si>
  <si>
    <t>Expiry</t>
  </si>
  <si>
    <t>C A L L S</t>
  </si>
  <si>
    <t>P U T S</t>
  </si>
  <si>
    <t>6M</t>
  </si>
  <si>
    <t>CALL_OI</t>
  </si>
  <si>
    <t>CALL_Volume</t>
  </si>
  <si>
    <t>CALL_IV</t>
  </si>
  <si>
    <t>CALL_LTP</t>
  </si>
  <si>
    <t>CALL_BidQty</t>
  </si>
  <si>
    <t>CALL_BidPrice</t>
  </si>
  <si>
    <t>CALL_AskPrice</t>
  </si>
  <si>
    <t>CALL_AskQty</t>
  </si>
  <si>
    <t>PUT_BidQty</t>
  </si>
  <si>
    <t>PUT_BidPrice</t>
  </si>
  <si>
    <t>PUT_AskPrice</t>
  </si>
  <si>
    <t>PUT_AskQty</t>
  </si>
  <si>
    <t>PUT_LTP</t>
  </si>
  <si>
    <t>PUT_IV</t>
  </si>
  <si>
    <t>PUT_Volume</t>
  </si>
  <si>
    <t>PUT_OI</t>
  </si>
  <si>
    <t>COVERED CALL TRADES</t>
  </si>
  <si>
    <t>Max Profit</t>
  </si>
  <si>
    <t>Max Loss</t>
  </si>
  <si>
    <t>Initial Yield</t>
  </si>
  <si>
    <t>Initial Yld/Day</t>
  </si>
  <si>
    <t>Outlay</t>
  </si>
  <si>
    <t>Max Yield</t>
  </si>
  <si>
    <t>Min Yield</t>
  </si>
  <si>
    <t>Max Stock Drawdown %</t>
  </si>
  <si>
    <t>Avg Yield</t>
  </si>
  <si>
    <t>CALL_Chng_in_OI</t>
  </si>
  <si>
    <t>CALL_Net_Chng</t>
  </si>
  <si>
    <t>PUT_Net_Chng</t>
  </si>
  <si>
    <t>PUT_Chng_in_OI</t>
  </si>
  <si>
    <t>Strike_Price</t>
  </si>
  <si>
    <t>Symbol</t>
  </si>
  <si>
    <t>Underlying</t>
  </si>
  <si>
    <t>Lot</t>
  </si>
  <si>
    <t>MaxDrawdown</t>
  </si>
  <si>
    <t>MTM</t>
  </si>
  <si>
    <t>Stock Drawdown %</t>
  </si>
  <si>
    <t>Current Stock Price</t>
  </si>
  <si>
    <t>Current Yield</t>
  </si>
  <si>
    <t xml:space="preserve"> ABAN| ACC|OC Downloaded | PCR and IVSKEW test passed |  valid expiry of [datetime.date(2019, 1, 31)]| Final OC Accepted 
 ALBK|OC Downloaded | PCR and IVSKEW test passed |  valid expiry of [datetime.date(2019, 1, 31)]| AMBUJACEM|OC Downloaded | PCR and IVSKEW test passed |  ANDHRABANK| APOLLOHOSP|OC Downloaded | PCR and IVSKEW test passed |  APOLLOTYRE|OC Downloaded | PCR and IVSKEW test passed |  ASIANPAINT|OC Downloaded | PCR and IVSKEW test passed |  valid expiry of [datetime.date(2019, 1, 31)]| Final OC Accepted 
 AUROPHARMA|OC Downloaded | PCR and IVSKEW test passed |  valid expiry of [datetime.date(2019, 1, 31)]| Final OC Accepted 
 AXISBANK|OC Downloaded | PCR and IVSKEW test passed |  valid expiry of [datetime.date(2019, 1, 31)]| Final OC Accepted 
 BAJAJHIND| BALRAMCHIN| BANKBARODA|OC Downloaded | PCR and IVSKEW test passed |  valid expiry of [datetime.date(2019, 1, 31)]| Final OC Accepted 
 BANKINDIA|OC Downloaded | PCR and IVSKEW test passed |  valid expiry of [datetime.date(2019, 1, 31)]| Final OC Accepted 
 BATAINDIA|OC Downloaded | PCR and IVSKEW test passed |  valid expiry of [datetime.date(2019, 1, 31)]| Final OC Accepted 
 BEL|OC Downloaded | PCR and IVSKEW test passed |  valid expiry of [datetime.date(2019, 1, 31)]| Final OC Accepted 
 BEML|OC Downloaded | PCR and IVSKEW test passed |  valid expiry of [datetime.date(2019, 1, 31)]| Final OC Accepted 
 BERGEPAINT|OC Downloaded | PCR and IVSKEW test passed |  BHARTIARTL|OC Downloaded | PCR and IVSKEW test passed |  valid expiry of [datetime.date(2019, 1, 31)]| Final OC Accepted 
 BHEL|OC Downloaded | PCR and IVSKEW test passed |  valid expiry of [datetime.date(2019, 1, 31)]| Final OC Accepted 
 BHUSANSTL| BIOCON|OC Downloaded | PCR and IVSKEW test passed |  valid expiry of [datetime.date(2019, 1, 31)]| BPCL|OC Downloaded | PCR and IVSKEW test passed |  valid expiry of [datetime.date(2019, 1, 31)]| Final OC Accepted 
 CADILAHC|OC Downloaded | PCR and IVSKEW test passed |  CANBK|OC Downloaded | PCR and IVSKEW test passed |  valid expiry of [datetime.date(2019, 1, 31)]| Final OC Accepted 
 CANFINHOME|OC Downloaded | PCR and IVSKEW test passed |  CEATLTD|OC Downloaded | PCR and IVSKEW test passed |  CENTRALBK| CENTURYTEX|OC Downloaded | PCR and IVSKEW test passed |  valid expiry of [datetime.date(2019, 1, 31)]| CHENNPETRO|OC Downloaded | PCR and IVSKEW test passed |  COLPAL|OC Downloaded | PCR and IVSKEW test passed |  CONCOR|OC Downloaded | PCR and IVSKEW test passed |  CUB| CUMMINSIND|OC Downloaded | PCR and IVSKEW test passed |  DAAWAT| DABUR|OC Downloaded | PCR and IVSKEW test passed |  DCBBANK|OC Downloaded | PCR and IVSKEW test passed |  DELTACORP| DENABANK| DHAMPURSUG| DHANBANK| DIVISLAB|OC Downloaded | PCR and IVSKEW test passed |  valid expiry of [datetime.date(2019, 1, 31)]| Final OC Accepted 
 DLF|OC Downloaded | PCR and IVSKEW test passed |  valid expiry of [datetime.date(2019, 1, 31)]| Final OC Accepted 
 DRREDDY|OC Downloaded | PCR and IVSKEW test passed |  valid expiry of [datetime.date(2019, 1, 31)]| Final OC Accepted 
 EDELWEISS| ENGINERSIN|OC Downloaded | PCR and IVSKEW test passed |  ESCORTS|OC Downloaded | PCR and IVSKEW test passed |  valid expiry of [datetime.date(2019, 1, 31)]| Final OC Accepted 
 EXIDEIND|OC Downloaded | PCR and IVSKEW test passed |  valid expiry of [datetime.date(2019, 1, 31)]| FEDERALBNK|OC Downloaded | PCR and IVSKEW test passed |  valid expiry of [datetime.date(2019, 1, 31)]| Final OC Accepted 
 FORTIS| GAIL|OC Downloaded | PCR and IVSKEW test passed |  valid expiry of [datetime.date(2019, 1, 31)]| Final OC Accepted 
 GATI| GLENMARK|OC Downloaded | PCR and IVSKEW test passed |  GMRINFRA|OC Downloaded | PCR and IVSKEW test passed |  valid expiry of [datetime.date(2019, 1, 31)]| Final OC Accepted 
 GNFC| GODREJCP|OC Downloaded | PCR and IVSKEW test passed |  GODREJIND|OC Downloaded | PCR and IVSKEW test passed |  valid expiry of [datetime.date(2019, 1, 31)]| Final OC Accepted 
 GRASIM|OC Downloaded | PCR and IVSKEW test passed |  valid expiry of [datetime.date(2019, 1, 31)]| Final OC Accepted 
 GSFC|OC Downloaded | PCR and IVSKEW test passed |  HAVELLS|OC Downloaded | PCR and IVSKEW test passed |  valid expiry of [datetime.date(2019, 1, 31)]| Final OC Accepted 
 HCL-INSYS| HDFC|OC Downloaded | PCR and IVSKEW test passed |  valid expiry of [datetime.date(2019, 1, 31)]| Final OC Accepted 
 HDFCBANK|OC Downloaded | PCR and IVSKEW test passed |  valid expiry of [datetime.date(2019, 1, 31)]| Final OC Accepted 
 HDIL| HINDALCO|OC Downloaded | PCR and IVSKEW test passed |  valid expiry of [datetime.date(2019, 1, 31)]| Final OC Accepted 
 HINDPETRO|OC Downloaded | PCR and IVSKEW test passed |  valid expiry of [datetime.date(2019, 1, 31)]| Final OC Accepted 
 HINDUNILVR|OC Downloaded | PCR and IVSKEW test passed |  valid expiry of [datetime.date(2019, 1, 31)]| HOTELEELA| IBREALEST| ICICIBANK|OC Downloaded | PCR and IVSKEW test passed |  valid expiry of [datetime.date(2019, 1, 31)]| Final OC Accepted 
 IDBI|OC Downloaded | PCR and IVSKEW test passed |  valid expiry of [datetime.date(2019, 1, 31)]| Final OC Accepted 
 IDEA|OC Downloaded | PCR and IVSKEW test passed |  valid expiry of [datetime.date(2019, 1, 31)]| IDFC|OC Downloaded | PCR and IVSKEW test passed |  valid expiry of [datetime.date(2019, 1, 31)]| IFCI|OC Downloaded | PCR and IVSKEW test passed |  IGL|OC Downloaded | PCR and IVSKEW test passed |  INDHOTEL| INDIACEM|OC Downloaded | PCR and IVSKEW test passed |  valid expiry of [datetime.date(2019, 1, 31)]| Final OC Accepted 
 INDIANB|OC Downloaded | PCR and IVSKEW test passed |  INDUSINDBK|OC Downloaded | PCR and IVSKEW test passed |  valid expiry of [datetime.date(2019, 1, 31)]| Final OC Accepted 
 IOB| IOC|OC Downloaded | PCR and IVSKEW test passed |  valid expiry of [datetime.date(2019, 1, 31)]| Final OC Accepted 
 IRB|OC Downloaded | PCR and IVSKEW test passed |  ITI| JAICORPLTD| JETAIRWAYS|OC Downloaded | PCR and IVSKEW test passed |  JINDALSAW| JINDALSTEL|OC Downloaded | PCR and IVSKEW test passed |  valid expiry of [datetime.date(2019, 1, 31)]| Final OC Accepted 
 JISLJALEQS|OC Downloaded | PCR and IVSKEW test passed |  valid expiry of [datetime.date(2019, 1, 31)]| Final OC Accepted 
 JKTYRE| JMFINANCIL| KAJARIACER|OC Downloaded | PCR and IVSKEW test passed |  KARURVYSYA| KESORAMIND| KOTAKBANK|OC Downloaded | PCR and IVSKEW test passed |  valid expiry of [datetime.date(2019, 1, 31)]| Final OC Accepted 
 KPIT|OC Downloaded | PCR and IVSKEW test passed |  KTKBANK|OC Downloaded | PCR and IVSKEW test passed |  valid expiry of [datetime.date(2019, 1, 31)]| LAKSHVILAS| LICHSGFIN|OC Downloaded | PCR and IVSKEW test passed |  valid expiry of [datetime.date(2019, 1, 31)]| LT|OC Downloaded | PCR and IVSKEW test passed |  valid expiry of [datetime.date(2019, 1, 31)]| Final OC Accepted 
 LUPIN|OC Downloaded | PCR and IVSKEW test passed |  valid expiry of [datetime.date(2019, 1, 31)]| Final OC Accepted 
 M&amp;M| M&amp;MFIN| MAHABANK| MARICO|OC Downloaded | PCR and IVSKEW test passed |  valid expiry of [datetime.date(2019, 1, 31)]| Final OC Accepted 
 MARKSANS| MARUTI|OC Downloaded | PCR and IVSKEW test passed |  valid expiry of [datetime.date(2019, 1, 31)]| Final OC Accepted 
 MCDOWELL-N|OC Downloaded | PCR and IVSKEW test passed |  MINDTREE|OC Downloaded | PCR and IVSKEW test passed |  MOREPENLAB| MOTHERSUMI|OC Downloaded | PCR and IVSKEW test passed |  valid expiry of [datetime.date(2019, 1, 31)]| MTNL| NIITLTD| NOCIL| ORIENTBANK|OC Downloaded | PCR and IVSKEW test passed |  valid expiry of [datetime.date(2019, 1, 31)]| PARACABLES| PETRONET|OC Downloaded | PCR and IVSKEW test passed |  valid expiry of [datetime.date(2019, 1, 31)]| Final OC Accepted 
 PFC|OC Downloaded | PCR and IVSKEW test passed |  valid expiry of [datetime.date(2019, 1, 31)]| Final OC Accepted 
 PIDILITIND|OC Downloaded | PCR and IVSKEW test passed |  valid expiry of [datetime.date(2019, 1, 31)]| PNB|OC Downloaded | PCR and IVSKEW test passed |  valid expiry of [datetime.date(2019, 1, 31)]| Final OC Accepted 
 POWERGRID|OC Downloaded | PCR and IVSKEW test passed |  PRAJIND| PTC|OC Downloaded | PCR and IVSKEW test passed |  valid expiry of [datetime.date(2019, 1, 31)]| Final OC Accepted 
 RADICO| RAYMOND|OC Downloaded | PCR and IVSKEW test passed |  RCF| RCOM|OC Downloaded | PCR and IVSKEW test passed |  valid expiry of [datetime.date(2019, 1, 31)]| Final OC Accepted 
 RECLTD|OC Downloaded | PCR and IVSKEW test passed |  valid expiry of [datetime.date(2019, 1, 31)]| RELIANCE|OC Downloaded | PCR and IVSKEW test passed |  valid expiry of [datetime.date(2019, 1, 31)]| Final OC Accepted 
 RPOWER|OC Downloaded | PCR and IVSKEW test passed |  valid expiry of [datetime.date(2019, 1, 31)]| Final OC Accepted 
 SBIN|OC Downloaded | PCR and IVSKEW test passed |  valid expiry of [datetime.date(2019, 1, 31)]| Final OC Accepted 
 SCI| SIEMENS|OC Downloaded | PCR and IVSKEW test passed |  valid expiry of [datetime.date(2019, 1, 31)]| Final OC Accepted 
 SINTEX| SOUTHBANK|OC Downloaded | PCR and IVSKEW test passed |  valid expiry of [datetime.date(2019, 1, 31)]| SRTRANSFIN|OC Downloaded | PCR and IVSKEW test passed |  valid expiry of [datetime.date(2019, 1, 31)]| STAR|OC Downloaded | PCR and IVSKEW test passed |  valid expiry of [datetime.date(2019, 1, 31)]| SYNDIBANK|OC Downloaded | PCR and IVSKEW test passed |  valid expiry of [datetime.date(2019, 1, 31)]| Final OC Accepted 
 TATACHEM|OC Downloaded | PCR and IVSKEW test passed |  TATAELXSI|OC Downloaded | PCR and IVSKEW test passed |  valid expiry of [datetime.date(2019, 1, 31)]| Final OC Accepted 
 TATAMOTORS|OC Downloaded | PCR and IVSKEW test passed |  valid expiry of [datetime.date(2019, 1, 31)]| Final OC Accepted 
 TATAMTRDVR|OC Downloaded | PCR and IVSKEW test passed |  valid expiry of [datetime.date(2019, 1, 31)]| Final OC Accepted 
 TATAPOWER|OC Downloaded | PCR and IVSKEW test passed |  valid expiry of [datetime.date(2019, 1, 31)]| TCS|OC Downloaded | PCR and IVSKEW test passed |  valid expiry of [datetime.date(2019, 1, 31)]| Final OC Accepted 
 TECHM|OC Downloaded | PCR and IVSKEW test passed |  valid expiry of [datetime.date(2019, 1, 31)]| Final OC Accepted 
 TITAN|OC Downloaded | PCR and IVSKEW test passed |  valid expiry of [datetime.date(2019, 1, 31)]| Final OC Accepted 
 TORNTPOWER|OC Downloaded | PCR and IVSKEW test passed |  TRIVENI| TVSMOTOR|OC Downloaded | PCR and IVSKEW test passed |  UBL|OC Downloaded | PCR and IVSKEW test passed |  UCOBANK| UNIONBANK|OC Downloaded | PCR and IVSKEW test passed |  valid expiry of [datetime.date(2019, 1, 31)]| USHAMART| UTTAMSTL| VGUARD|OC Downloaded | PCR and IVSKEW test passed |  VIJAYABANK| VOLTAS|OC Downloaded | PCR and IVSKEW test passed |  WELSPUNIND| WIPRO|OC Downloaded | PCR and IVSKEW test passed |  valid expiry of [datetime.date(2019, 1, 31)]| Final OC Accepted 
 WOCKPHARMA|OC Downloaded | PCR and IVSKEW test passed |  valid expiry of [datetime.date(2019, 1, 31)]| Final OC Accepted 
 YESBANK|OC Downloaded | PCR and IVSKEW test passed |  valid expiry of [datetime.date(2019, 1, 31)]| Final OC Accepted 
 ZEEL|OC Downloaded | PCR and IVSKEW test passed |  valid expiry of [datetime.date(2019, 1, 31)]| Final OC Accepted 
</t>
  </si>
  <si>
    <t>Avg Stock Drawdown %</t>
  </si>
  <si>
    <t>Avg Loss</t>
  </si>
  <si>
    <t>Max Stock Drawdown Scenario</t>
  </si>
  <si>
    <t>Avg Stock Drawdown Scenario</t>
  </si>
  <si>
    <t>Max Profit Scenario</t>
  </si>
  <si>
    <t>BULL PUT SPREAD TRADES</t>
  </si>
  <si>
    <t>BEAR CALL SPREAD TRADES</t>
  </si>
  <si>
    <t>Higher_Strike</t>
  </si>
  <si>
    <t>Higher_Strike_LTP</t>
  </si>
  <si>
    <t>Net Credit</t>
  </si>
  <si>
    <t>Max Risk</t>
  </si>
  <si>
    <t>Lower_Strike</t>
  </si>
  <si>
    <t>Lower_Strike_LTP</t>
  </si>
  <si>
    <t xml:space="preserve"> ADANIENT|OC Downloaded | PCR and IVSKEW test passed |  valid expiry of [datetime.date(2019, 1, 31)]| Final OC Accepted 
 AKSHOPTFBR| ARVIND|OC Downloaded | PCR and IVSKEW test passed |  valid expiry of [datetime.date(2019, 1, 31), datetime.date(2019, 2, 28)]| ASHOKLEY|OC Downloaded | PCR and IVSKEW test passed |  valid expiry of [datetime.date(2019, 1, 31), datetime.date(2019, 2, 28)]| Final OC Accepted 
 AUROPHARMA|OC Downloaded | PCR and IVSKEW test passed |  valid expiry of [datetime.date(2019, 1, 31), datetime.date(2019, 2, 28)]| Final OC Accepted 
 BAJAJHIND| BALKRISIND|OC Downloaded | PCR and IVSKEW test passed |  valid expiry of [datetime.date(2019, 1, 31)]| BALRAMCHIN| BEL|OC Downloaded | PCR and IVSKEW test passed |  valid expiry of [datetime.date(2019, 1, 31), datetime.date(2019, 2, 28)]| Final OC Accepted 
 BHARATFORG|OC Downloaded | PCR and IVSKEW test passed |  valid expiry of [datetime.date(2019, 1, 31), datetime.date(2019, 2, 28)]| Final OC Accepted 
 BOMDYEING| CADILAHC|OC Downloaded | PCR and IVSKEW test passed |  valid expiry of [datetime.date(2019, 1, 31)]| Final OC Accepted 
 CIPLA|OC Downloaded | PCR and IVSKEW test passed |  valid expiry of [datetime.date(2019, 1, 31), datetime.date(2019, 2, 28)]| DAAWAT| DENABANK| DIVISLAB|OC Downloaded | PCR and IVSKEW test passed |  valid expiry of [datetime.date(2019, 1, 31), datetime.date(2019, 2, 28)]| Final OC Accepted 
 DWARKESH| FORTIS| FSL| GATI| GLENMARK|OC Downloaded | PCR and IVSKEW test passed |  valid expiry of [datetime.date(2019, 1, 31)]| Final OC Accepted 
 GMRINFRA|OC Downloaded | PCR and IVSKEW test passed |  valid expiry of [datetime.date(2019, 1, 31), datetime.date(2019, 2, 28)]| Final OC Accepted 
 GRANULES| GRAPHITE| GRASIM|OC Downloaded | PCR and IVSKEW test passed |  valid expiry of [datetime.date(2019, 1, 31)]| GRUH| HAVELLS|OC Downloaded | PCR and IVSKEW test passed |  valid expiry of [datetime.date(2019, 1, 31)]| Final OC Accepted 
 HCC| HCL-INSYS| HCLTECH|OC Downloaded | PCR and IVSKEW test passed |  valid expiry of [datetime.date(2019, 1, 31)]| Final OC Accepted 
 HINDALCO|OC Downloaded | PCR and IVSKEW test passed |  valid expiry of [datetime.date(2019, 1, 31), datetime.date(2019, 2, 28)]| IBREALEST| IDEA| IOC| ITI| JAICORPLTD| JETAIRWAYS| JINDALSAW| JINDALSTEL| JISLJALEQS| JKPAPER| JKTYRE| JSL| JSWSTEEL| KPIT| LAKSHVILAS| LIQUIDBEES| LT| M&amp;M| MARKSANS| MCDOWELL-N| MEGH| MINDTREE| MRPL| NATIONALUM| NIITTECH| NMDC| NTPC| ONGC| ORIENTPPR| PENINLAND| PETRONET| PHILIPCARB| PRAKASH| RECLTD| RELCAPITAL| RELINFRA| RENUKA| ROLTA| RPOWER| SAIL| SANWARIA| SCI| SINTEX| SRTRANSFIN| STRTECH| SUNPHARMA| SUNTV| TATAELXSI| TATAMTRDVR| TATAPOWER| TATASTEEL| TECHM| TORNTPOWER| TVSMOTOR| USHAMART| VOLTAS| WOCKPHARMA| YESBANK|</t>
  </si>
  <si>
    <t>RISK</t>
  </si>
  <si>
    <t>Beta</t>
  </si>
  <si>
    <t>SD</t>
  </si>
  <si>
    <t>Sharpe</t>
  </si>
  <si>
    <t>Sortino</t>
  </si>
  <si>
    <t>Treynor</t>
  </si>
  <si>
    <t>FUNDAMENTAL</t>
  </si>
  <si>
    <t>VaR(95)</t>
  </si>
  <si>
    <t xml:space="preserve"> APOLLOHOSP|OC Downloaded | PCR and IVSKEW test passed |  valid expiry of [datetime.date(2019, 1, 31)]| ASIANPAINT|OC Downloaded | PCR and IVSKEW test passed |  valid expiry of [datetime.date(2019, 1, 31)]| Final OC Accepted 
 AXISBANK|OC Downloaded | PCR and IVSKEW test passed |  valid expiry of [datetime.date(2019, 1, 31)]| Final OC Accepted 
 BANKBARODA|OC Downloaded | PCR and IVSKEW test passed |  valid expiry of [datetime.date(2019, 1, 31)]| Final OC Accepted 
 BANKINDIA|OC Downloaded | PCR and IVSKEW test passed |  valid expiry of [datetime.date(2019, 1, 31)]| Final OC Accepted 
 BATAINDIA|OC Downloaded | PCR and IVSKEW test passed |  valid expiry of [datetime.date(2019, 1, 31)]| Final OC Accepted 
 BEML|OC Downloaded | PCR and IVSKEW test passed |  valid expiry of [datetime.date(2019, 1, 31)]| Final OC Accepted 
 BERGEPAINT|OC Downloaded | PCR and IVSKEW test passed |  valid expiry of [datetime.date(2019, 1, 31)]| BHUSANSTL| BIOCON|OC Downloaded | PCR and IVSKEW test passed |  valid expiry of [datetime.date(2019, 1, 31)]| BPCL|OC Downloaded | PCR and IVSKEW test passed |  valid expiry of [datetime.date(2019, 1, 31)]| Final OC Accepted 
 CANBK|OC Downloaded | PCR and IVSKEW test passed |  valid expiry of [datetime.date(2019, 1, 31)]| Final OC Accepted 
 CENTRALBK| COLPAL|OC Downloaded | PCR and IVSKEW test passed |  valid expiry of [datetime.date(2019, 1, 31)]| CONCOR|OC Downloaded | PCR and IVSKEW test passed |  valid expiry of [datetime.date(2019, 1, 31)]| CUB| CUMMINSIND|OC Downloaded | PCR and IVSKEW test passed |  DABUR|OC Downloaded | PCR and IVSKEW test passed |  valid expiry of [datetime.date(2019, 1, 31)]| Final OC Accepted 
 DCBBANK| DELTACORP| DREDGECORP| DRREDDY|OC Downloaded | PCR and IVSKEW test passed |  valid expiry of [datetime.date(2019, 1, 31)]| Final OC Accepted 
 ENGINERSIN|OC Downloaded | PCR and IVSKEW test passed |  valid expiry of [datetime.date(2019, 1, 31)]| Final OC Accepted 
 ESCORTS|OC Downloaded | PCR and IVSKEW test passed |  valid expiry of [datetime.date(2019, 1, 31)]| Final OC Accepted 
 EXIDEIND|OC Downloaded | PCR and IVSKEW test passed |  valid expiry of [datetime.date(2019, 1, 31), datetime.date(2019, 2, 28)]| Final OC Accepted 
 FEDERALBNK|OC Downloaded | PCR and IVSKEW test passed |  valid expiry of [datetime.date(2019, 1, 31)]| Final OC Accepted 
 GLENMARK|OC Downloaded | PCR and IVSKEW test passed |  valid expiry of [datetime.date(2019, 1, 31)]| Final OC Accepted 
 GODREJCP|OC Downloaded | PCR and IVSKEW test passed |  GSFC|OC Downloaded | PCR and IVSKEW test passed |  HAVELLS|OC Downloaded | PCR and IVSKEW test passed |  valid expiry of [datetime.date(2019, 1, 31)]| HCC| HDFC|OC Downloaded | PCR and IVSKEW test passed |  valid expiry of [datetime.date(2019, 1, 31)]| Final OC Accepted 
 HDFCBANK|OC Downloaded | PCR and IVSKEW test passed |  valid expiry of [datetime.date(2019, 1, 31)]| Final OC Accepted 
 HDIL| HEXAWARE|OC Downloaded | PCR and IVSKEW test passed |  valid expiry of [datetime.date(2019, 1, 31)]| HINDUNILVR|OC Downloaded | PCR and IVSKEW test passed |  valid expiry of [datetime.date(2019, 1, 31)]| HINDZINC|OC Downloaded | PCR and IVSKEW test passed |  valid expiry of [datetime.date(2019, 1, 31)]| Final OC Accepted 
 HOTELEELA| ICICIBANK|OC Downloaded | PCR and IVSKEW test passed |  valid expiry of [datetime.date(2019, 1, 31), datetime.date(2019, 2, 28)]| IDBI|OC Downloaded | PCR and IVSKEW test passed |  valid expiry of [datetime.date(2019, 1, 31)]| Final OC Accepted 
 IDFC|OC Downloaded | PCR and IVSKEW test passed |  valid expiry of [datetime.date(2019, 1, 31)]| Final OC Accepted 
 INDHOTEL| INDIANB|OC Downloaded | PCR and IVSKEW test passed |  valid expiry of [datetime.date(2019, 1, 31)]| Final OC Accepted 
 IRB|OC Downloaded | PCR and IVSKEW test passed |  valid expiry of [datetime.date(2019, 1, 31)]| Final OC Accepted 
 ITC|OC Downloaded | PCR and IVSKEW test passed |  valid expiry of [datetime.date(2019, 1, 31)]| Final OC Accepted 
 JMFINANCIL| KAJARIACER|OC Downloaded | PCR and IVSKEW test passed |  valid expiry of [datetime.date(2019, 1, 31)]| KARURVYSYA| KESORAMIND| KOTAKBANK|OC Downloaded | PCR and IVSKEW test passed |  valid expiry of [datetime.date(2019, 1, 31)]| Final OC Accepted 
 KTKBANK|OC Downloaded | PCR and IVSKEW test passed |  valid expiry of [datetime.date(2019, 1, 31)]| Final OC Accepted 
 LICHSGFIN|OC Downloaded | PCR and IVSKEW test passed |  valid expiry of [datetime.date(2019, 1, 31)]| Final OC Accepted 
 MARICO|OC Downloaded | PCR and IVSKEW test passed |  valid expiry of [datetime.date(2019, 1, 31)]| Final OC Accepted 
 MOTHERSUMI|OC Downloaded | PCR and IVSKEW test passed |  valid expiry of [datetime.date(2019, 1, 31)]| NIITTECH|OC Downloaded | PCR and IVSKEW test passed |  valid expiry of [datetime.date(2019, 1, 31)]| Final OC Accepted 
 ORIENTBANK|OC Downloaded | PCR and IVSKEW test passed |  valid expiry of [datetime.date(2019, 1, 31), datetime.date(2019, 2, 28)]| Final OC Accepted 
 PARACABLES| PFC|OC Downloaded | PCR and IVSKEW test passed |  valid expiry of [datetime.date(2019, 1, 31)]| Final OC Accepted 
 PNB|OC Downloaded | PCR and IVSKEW test passed |  valid expiry of [datetime.date(2019, 1, 31)]| Final OC Accepted 
 PRAJIND| PTC|OC Downloaded | PCR and IVSKEW test passed |  RCF| RECLTD|OC Downloaded | PCR and IVSKEW test passed |  valid expiry of [datetime.date(2019, 1, 31)]| SAKUMA| SBIN|OC Downloaded | PCR and IVSKEW test passed |  valid expiry of [datetime.date(2019, 1, 31), datetime.date(2019, 2, 28)]| Final OC Accepted 
 SCI| SIEMENS|OC Downloaded | PCR and IVSKEW test passed |  valid expiry of [datetime.date(2019, 1, 31)]| SOUTHBANK|OC Downloaded | PCR and IVSKEW test passed |  valid expiry of [datetime.date(2019, 1, 31)]| STAR|OC Downloaded | PCR and IVSKEW test passed |  valid expiry of [datetime.date(2019, 1, 31)]| Final OC Accepted 
 SYNDIBANK|OC Downloaded | PCR and IVSKEW test passed |  valid expiry of [datetime.date(2019, 1, 31)]| Final OC Accepted 
 TITAN|OC Downloaded | PCR and IVSKEW test passed |  valid expiry of [datetime.date(2019, 1, 31)]| Final OC Accepted 
 UBL|OC Downloaded | PCR and IVSKEW test passed |  UCOBANK| UNIONBANK|OC Downloaded | PCR and IVSKEW test passed |  valid expiry of [datetime.date(2019, 1, 31), datetime.date(2019, 2, 28)]| Final OC Accepted 
 VGUARD|OC Downloaded | PCR and IVSKEW test passed |  VIJAYABANK|</t>
  </si>
  <si>
    <t xml:space="preserve"> APOLLOHOSP| 1326.75|OC Downloaded | PCR and IVSKEW test passed |  valid expiry of [datetime.date(2019, 1, 31)]|10% yield test passed | yield and expiry test passed | OI of 500 test passed |  Final OC Accepted 
 ASIANPAINT| 1407.95|OC Downloaded | PCR and IVSKEW test passed |  valid expiry of [datetime.date(2019, 1, 31), datetime.date(2019, 2, 28)]| AXISBANK| 660.5|OC Downloaded | PCR and IVSKEW test passed |  valid expiry of [datetime.date(2019, 1, 31), datetime.date(2019, 2, 28)]| BANKBARODA| 121.3|OC Downloaded | PCR and IVSKEW test passed |  valid expiry of [datetime.date(2019, 1, 31), datetime.date(2019, 2, 28)]|10% yield test passed | yield and expiry test passed | OI of 500 test passed |  Final OC Accepted 
 BANKINDIA| 103.85|OC Downloaded | PCR and IVSKEW test passed |  valid expiry of [datetime.date(2019, 1, 31), datetime.date(2019, 2, 28)]| BATAINDIA| 1166.65|OC Downloaded | PCR and IVSKEW test passed |  valid expiry of [datetime.date(2019, 1, 31), datetime.date(2019, 2, 28)]| BEML| 909.2|OC Downloaded | PCR and IVSKEW test passed |  valid expiry of [datetime.date(2019, 1, 31), datetime.date(2019, 2, 28)]|10% yield test passed | yield and expiry test passed | OI of 500 test passed |  Final OC Accepted 
 BEPL| 86.95| BERGEPAINT| 325.6|OC Downloaded | PCR and IVSKEW test passed |  valid expiry of [datetime.date(2019, 1, 31)]| BHUSANSTL| BIOCON| 648.9|OC Downloaded | PCR and IVSKEW test passed |  valid expiry of [datetime.date(2019, 1, 31), datetime.date(2019, 2, 28)]| BOMDYEING| 124.5| BPCL| 341.85|OC Downloaded | PCR and IVSKEW test passed |  valid expiry of [datetime.date(2019, 1, 31), datetime.date(2019, 2, 28)]| CANBK| 275.2|OC Downloaded | PCR and IVSKEW test passed |  valid expiry of [datetime.date(2019, 1, 31), datetime.date(2019, 2, 28)]| CENTRALBK| 35.95| CHENNPETRO| 263.95|OC Downloaded | PCR and IVSKEW test passed |  valid expiry of [datetime.date(2019, 1, 31)]| COLPAL| 1323.35|OC Downloaded | PCR and IVSKEW test passed |  valid expiry of [datetime.date(2019, 1, 31)]|10% yield test passed | yield and expiry test passed | OI of 500 test passed |  Final OC Accepted 
 CONCOR| 682.0|OC Downloaded | PCR and IVSKEW test passed |  valid expiry of [datetime.date(2019, 1, 31)]| CUB| 189.0| CUMMINSIND| 879.0|OC Downloaded | PCR and IVSKEW test passed |  valid expiry of [datetime.date(2019, 1, 31)]| DABUR| 424.95|OC Downloaded | PCR and IVSKEW test passed |  valid expiry of [datetime.date(2019, 1, 31), datetime.date(2019, 2, 28)]| DCBBANK| 183.2| DHAMPURSUG| 181.0| DREDGECORP| 443.0| DRREDDY| 2601.0|OC Downloaded | PCR and IVSKEW test passed |  valid expiry of [datetime.date(2019, 1, 31), datetime.date(2019, 2, 28)]| ENGINERSIN| 126.5|OC Downloaded | PCR and IVSKEW test passed |  valid expiry of [datetime.date(2019, 1, 31)]| ESCORTS| 756.2|OC Downloaded | PCR and IVSKEW test passed |  valid expiry of [datetime.date(2019, 1, 31), datetime.date(2019, 2, 28)]| FEDERALBNK| 91.05|OC Downloaded | PCR and IVSKEW test passed |  valid expiry of [datetime.date(2019, 1, 31), datetime.date(2019, 2, 28)]|10% yield test passed | yield and expiry test passed | OI of 500 test passed |  Final OC Accepted 
 FSL| 52.9| GLENMARK| 665.1|OC Downloaded | PCR and IVSKEW test passed |  valid expiry of [datetime.date(2019, 1, 31)]|10% yield test passed | yield and expiry test passed | OI of 500 test passed |  Final OC Accepted 
 GODREJCP| 782.0|OC Downloaded | PCR and IVSKEW test passed |  valid expiry of [datetime.date(2019, 1, 31)]| GSFC| 112.6|OC Downloaded | PCR and IVSKEW test passed |  valid expiry of [datetime.date(2019, 1, 31), datetime.date(2019, 2, 28)]|10% yield test passed | yield and expiry test passed | OI of 500 test passed |  Final OC Accepted 
 HAVELLS| 682.1|OC Downloaded | PCR and IVSKEW test passed |  valid expiry of [datetime.date(2019, 1, 31), datetime.date(2019, 2, 28)]| HCC| 12.95| HDFC| 1988.4|OC Downloaded | PCR and IVSKEW test passed |  valid expiry of [datetime.date(2019, 1, 31), datetime.date(2019, 2, 28)]| HDFCBANK| 2117.0|OC Downloaded | PCR and IVSKEW test passed |  valid expiry of [datetime.date(2019, 1, 31), datetime.date(2019, 2, 28)]| HDIL| 28.0| HEXAWARE| 319.5|OC Downloaded | PCR and IVSKEW test passed |  valid expiry of [datetime.date(2019, 1, 31)]| HINDUNILVR| 1786.55|OC Downloaded | PCR and IVSKEW test passed |  valid expiry of [datetime.date(2019, 1, 31), datetime.date(2019, 2, 28)]| HINDZINC| 272.95|OC Downloaded | PCR and IVSKEW test passed |  valid expiry of [datetime.date(2019, 1, 31), datetime.date(2019, 2, 28)]| HOTELEELA| 14.7| ICICIBANK| 373.0|OC Downloaded | PCR and IVSKEW test passed |  valid expiry of [datetime.date(2019, 1, 31), datetime.date(2019, 2, 28)]| IDBI| 61.7|OC Downloaded | PCR and IVSKEW test passed |  valid expiry of [datetime.date(2019, 1, 31), datetime.date(2019, 2, 28)]|10% yield test passed | yield and expiry test passed | OI of 500 test passed |  Final OC Accepted 
 IDFC| 43.25|OC Downloaded | PCR and IVSKEW test passed |  valid expiry of [datetime.date(2019, 1, 31), datetime.date(2019, 2, 28)]| IFCI| 14.7|OC Downloaded | PCR and IVSKEW test passed |  valid expiry of [datetime.date(2019, 1, 31)]| INDHOTEL| 138.85| INDIANB| 252.3|OC Downloaded | PCR and IVSKEW test passed |  valid expiry of [datetime.date(2019, 1, 31)]|10% yield test passed | yield and expiry test passed | OI of 500 test passed |  Final OC Accepted 
 IRB| 158.35|OC Downloaded | PCR and IVSKEW test passed |  valid expiry of [datetime.date(2019, 1, 31)]|10% yield test passed | yield and expiry test passed | OI of 500 test passed |  Final OC Accepted 
 ITC| 295.95|OC Downloaded | PCR and IVSKEW test passed |  valid expiry of [datetime.date(2019, 1, 31), datetime.date(2019, 2, 28)]| J&amp;KBANK| 39.35| JMFINANCIL| 90.5| KAJARIACER| 530.7|OC Downloaded | PCR and IVSKEW test passed |  valid expiry of [datetime.date(2019, 1, 31)]| KARURVYSYA| 91.95| KESORAMIND| 80.4| KOTAKBANK| 1216.0|OC Downloaded | PCR and IVSKEW test passed |  valid expiry of [datetime.date(2019, 1, 31), datetime.date(2019, 2, 28)]| KTKBANK| 119.45|OC Downloaded | PCR and IVSKEW test passed |  valid expiry of [datetime.date(2019, 1, 31), datetime.date(2019, 2, 28)]| LICHSGFIN| 487.5|OC Downloaded | PCR and IVSKEW test passed |  valid expiry of [datetime.date(2019, 1, 31), datetime.date(2019, 2, 28)]| LIQUIDBEES| 1000.01| LUPIN| 850.5|OC Downloaded | PCR and IVSKEW test passed |  valid expiry of [datetime.date(2019, 1, 31), datetime.date(2019, 2, 28)]| MARICO| 382.8|OC Downloaded | PCR and IVSKEW test passed |  valid expiry of [datetime.date(2019, 1, 31)]| MINDTREE| 855.35|OC Downloaded | PCR and IVSKEW test passed |  valid expiry of [datetime.date(2019, 1, 31), datetime.date(2019, 2, 28)]| MOTHERSUMI| 160.2|OC Downloaded | PCR and IVSKEW test passed |  valid expiry of [datetime.date(2019, 1, 31)]|10% yield test passed | yield and expiry test passed | OI of 500 test passed |  Final OC Accepted 
 MTNL| 14.95| NIITTECH| 1184.2|OC Downloaded | PCR and IVSKEW test passed |  valid expiry of [datetime.date(2019, 1, 31), datetime.date(2019, 2, 28)]|10% yield test passed | yield and expiry test passed | OI of 500 test passed |  Final OC Accepted 
 ORIENTBANK| 97.6|OC Downloaded | PCR and IVSKEW test passed |  valid expiry of [datetime.date(2019, 1, 31), datetime.date(2019, 2, 28)]|10% yield test passed | yield and expiry test passed | OI of 500 test passed |  Final OC Accepted 
 PARACABLES| 12.7| PFC| 108.2|OC Downloaded | PCR and IVSKEW test passed |  valid expiry of [datetime.date(2019, 1, 31), datetime.date(2019, 2, 28)]| PNB| 82.05|OC Downloaded | PCR and IVSKEW test passed |  valid expiry of [datetime.date(2019, 1, 31), datetime.date(2019, 2, 28)]| POWERGRID| 192.3|OC Downloaded | PCR and IVSKEW test passed |  valid expiry of [datetime.date(2019, 1, 31), datetime.date(2019, 2, 28)]| PRAJIND| 154.4| PTC| 91.5|OC Downloaded | PCR and IVSKEW test passed |  valid expiry of [datetime.date(2019, 1, 31)]| RCF| 67.2| RECLTD| 126.0|OC Downloaded | PCR and IVSKEW test passed |  valid expiry of [datetime.date(2019, 1, 31), datetime.date(2019, 2, 28)]| SAKUMA| 39.15| SBIN| 301.65|OC Downloaded | PCR and IVSKEW test passed |  valid expiry of [datetime.date(2019, 1, 31), datetime.date(2019, 2, 28)]| SCI| 46.2| SIEMENS| 1064.4|OC Downloaded | PCR and IVSKEW test passed |  valid expiry of [datetime.date(2019, 1, 31)]|10% yield test passed | yield and expiry test passed | OI of 500 test passed |  Final OC Accepted 
 SOUTHBANK| 15.6|OC Downloaded | PCR and IVSKEW test passed |  valid expiry of [datetime.date(2019, 1, 31), datetime.date(2019, 2, 28)]| STAR| 516.0|OC Downloaded | PCR and IVSKEW test passed |  valid expiry of [datetime.date(2019, 1, 31), datetime.date(2019, 2, 28)]| SYNDIBANK| 39.2|OC Downloaded | PCR and IVSKEW test passed |  valid expiry of [datetime.date(2019, 1, 31), datetime.date(2019, 2, 28)]|10% yield test passed | yield and expiry test passed | OI of 500 test passed |  Final OC Accepted 
 TCS| 1866.0|OC Downloaded | PCR and IVSKEW test passed |  valid expiry of [datetime.date(2019, 1, 31), datetime.date(2019, 2, 28)]| TITAN| 967.65|OC Downloaded | PCR and IVSKEW test passed |  valid expiry of [datetime.date(2019, 1, 31), datetime.date(2019, 2, 28)]| UBL| 1425.0|OC Downloaded | PCR and IVSKEW test passed |  valid expiry of [datetime.date(2019, 1, 31), datetime.date(2019, 2, 28)]| UCOBANK| 20.5| UNIONBANK| 94.0|OC Downloaded | PCR and IVSKEW test passed |  valid expiry of [datetime.date(2019, 1, 31), datetime.date(2019, 2, 28)]|10% yield test passed | yield and expiry test passed | OI of 500 test passed |  Final OC Accepted 
 VGUARD| 208.5|OC Downloaded | PCR and IVSKEW test passed |  valid expiry of [datetime.date(2019, 1, 31)]| VIJAYABANK| 48.6| WIPRO| 329.7|OC Downloaded | PCR and IVSKEW test passed |  valid expiry of [datetime.date(2019, 1, 31), datetime.date(2019, 2, 28)]| ZEEL| 456.55|OC Downloaded | PCR and IVSKEW test passed |  valid expiry of [datetime.date(2019, 1, 31), datetime.date(2019, 2, 28)]|</t>
  </si>
  <si>
    <t>CASH EARNINGS RETENTION RATIO</t>
  </si>
  <si>
    <t>CURRENT RATIO</t>
  </si>
  <si>
    <t>DILUTED EPS</t>
  </si>
  <si>
    <t>DIVIDEND PAYOUT RATIO NP</t>
  </si>
  <si>
    <t>DIVIDEND PAYOUT RATIO CP</t>
  </si>
  <si>
    <t>EARNINGS RETENTION RATIO</t>
  </si>
  <si>
    <t>EV TO EBITDA</t>
  </si>
  <si>
    <t>EV TO NET OPERATING REVENUE</t>
  </si>
  <si>
    <t>INVENTORY TURNOVER RATIO</t>
  </si>
  <si>
    <t>MARKETCAP TO NET OPERATING REVENUE</t>
  </si>
  <si>
    <t>PBDIT MARGIN</t>
  </si>
  <si>
    <t>PBDIT PER SHARE</t>
  </si>
  <si>
    <t>PBIT MARGIN</t>
  </si>
  <si>
    <t>PBIT PER SHARE</t>
  </si>
  <si>
    <t>PBT MARGIN</t>
  </si>
  <si>
    <t>PBT PER SHARE</t>
  </si>
  <si>
    <t>PRICE TO BV</t>
  </si>
  <si>
    <t>PRICE TO NET OPERATING REVENUE</t>
  </si>
  <si>
    <t>QUICK RATIO</t>
  </si>
  <si>
    <t>RETURN ON CAPITAL EMPLOYED</t>
  </si>
  <si>
    <t>REVENUE FROM OPERATIONS PER SHARE</t>
  </si>
  <si>
    <t>DEBT TO EQUITY</t>
  </si>
  <si>
    <t>20MICRONS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</si>
</sst>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0.000%"/>
    <numFmt numFmtId="166" formatCode="[$-409]d\-mmm\-yy;@"/>
    <numFmt numFmtId="167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FF99FF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sz val="11"/>
      <color rgb="FFFFFF00"/>
      <name val="Calibri"/>
      <family val="2"/>
      <scheme val="minor"/>
    </font>
    <font>
      <b/>
      <u/>
      <sz val="11"/>
      <color rgb="FFFFFF00"/>
      <name val="Calibri"/>
      <family val="2"/>
      <scheme val="minor"/>
    </font>
    <font>
      <sz val="14"/>
      <color theme="5"/>
      <name val="Calibri"/>
      <family val="2"/>
      <scheme val="minor"/>
    </font>
    <font>
      <b/>
      <sz val="11"/>
      <color rgb="FF00FFFF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rgb="FFFFFF00"/>
      </bottom>
      <diagonal/>
    </border>
    <border>
      <left style="thin">
        <color rgb="FFFFFF00"/>
      </left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/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/>
      <top/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 style="thin">
        <color rgb="FFFFFF00"/>
      </bottom>
      <diagonal/>
    </border>
    <border>
      <left/>
      <right/>
      <top style="thin">
        <color rgb="FFFFFF00"/>
      </top>
      <bottom style="thin">
        <color rgb="FFFFFF00"/>
      </bottom>
      <diagonal/>
    </border>
    <border>
      <left/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/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/>
      <bottom style="thin">
        <color rgb="FFFFFF0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64">
    <xf numFmtId="0" fontId="0" fillId="0" borderId="0" xfId="0"/>
    <xf numFmtId="0" fontId="2" fillId="2" borderId="0" xfId="0" applyFont="1" applyFill="1"/>
    <xf numFmtId="0" fontId="6" fillId="2" borderId="0" xfId="0" applyFont="1" applyFill="1"/>
    <xf numFmtId="0" fontId="7" fillId="2" borderId="0" xfId="0" applyFont="1" applyFill="1"/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65" fontId="3" fillId="2" borderId="0" xfId="1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5" fontId="4" fillId="2" borderId="0" xfId="1" applyNumberFormat="1" applyFont="1" applyFill="1" applyAlignment="1">
      <alignment horizontal="center" vertical="center"/>
    </xf>
    <xf numFmtId="10" fontId="2" fillId="2" borderId="0" xfId="1" applyNumberFormat="1" applyFont="1" applyFill="1" applyAlignment="1">
      <alignment horizontal="left" vertical="center"/>
    </xf>
    <xf numFmtId="0" fontId="6" fillId="0" borderId="0" xfId="0" applyFont="1"/>
    <xf numFmtId="0" fontId="9" fillId="2" borderId="0" xfId="0" applyFont="1" applyFill="1" applyAlignment="1">
      <alignment wrapText="1"/>
    </xf>
    <xf numFmtId="0" fontId="8" fillId="2" borderId="0" xfId="0" applyFont="1" applyFill="1" applyAlignment="1">
      <alignment horizontal="right"/>
    </xf>
    <xf numFmtId="0" fontId="4" fillId="2" borderId="1" xfId="0" applyFont="1" applyFill="1" applyBorder="1" applyAlignment="1">
      <alignment horizontal="center" vertical="center"/>
    </xf>
    <xf numFmtId="10" fontId="3" fillId="2" borderId="0" xfId="1" applyNumberFormat="1" applyFont="1" applyFill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64" fontId="3" fillId="2" borderId="0" xfId="2" applyFont="1" applyFill="1" applyAlignment="1"/>
    <xf numFmtId="2" fontId="10" fillId="2" borderId="2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center"/>
    </xf>
    <xf numFmtId="164" fontId="6" fillId="2" borderId="0" xfId="2" applyFont="1" applyFill="1" applyAlignment="1"/>
    <xf numFmtId="0" fontId="11" fillId="2" borderId="0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166" fontId="2" fillId="2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12" fillId="2" borderId="3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0" fillId="0" borderId="0" xfId="2" applyFont="1"/>
    <xf numFmtId="167" fontId="2" fillId="2" borderId="0" xfId="2" applyNumberFormat="1" applyFont="1" applyFill="1" applyAlignment="1">
      <alignment horizontal="left" vertical="center"/>
    </xf>
    <xf numFmtId="0" fontId="9" fillId="2" borderId="3" xfId="0" applyFont="1" applyFill="1" applyBorder="1" applyAlignment="1"/>
    <xf numFmtId="9" fontId="3" fillId="2" borderId="0" xfId="1" applyNumberFormat="1" applyFont="1" applyFill="1" applyAlignment="1">
      <alignment horizontal="center" vertical="center"/>
    </xf>
    <xf numFmtId="164" fontId="3" fillId="2" borderId="0" xfId="0" applyNumberFormat="1" applyFont="1" applyFill="1"/>
    <xf numFmtId="0" fontId="0" fillId="0" borderId="0" xfId="0" applyAlignment="1"/>
    <xf numFmtId="14" fontId="0" fillId="0" borderId="0" xfId="0" applyNumberFormat="1"/>
    <xf numFmtId="10" fontId="2" fillId="2" borderId="0" xfId="1" applyNumberFormat="1" applyFont="1" applyFill="1"/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2" fillId="2" borderId="0" xfId="0" applyFont="1" applyFill="1" applyAlignment="1"/>
    <xf numFmtId="164" fontId="4" fillId="2" borderId="0" xfId="2" applyFont="1" applyFill="1" applyAlignment="1">
      <alignment horizontal="center" vertical="center"/>
    </xf>
    <xf numFmtId="0" fontId="2" fillId="2" borderId="0" xfId="0" applyFont="1" applyFill="1" applyAlignment="1">
      <alignment wrapText="1"/>
    </xf>
    <xf numFmtId="14" fontId="3" fillId="2" borderId="0" xfId="2" applyNumberFormat="1" applyFont="1" applyFill="1" applyAlignment="1"/>
    <xf numFmtId="0" fontId="9" fillId="2" borderId="0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166" fontId="2" fillId="2" borderId="4" xfId="0" applyNumberFormat="1" applyFont="1" applyFill="1" applyBorder="1" applyAlignment="1">
      <alignment horizontal="left"/>
    </xf>
    <xf numFmtId="166" fontId="2" fillId="2" borderId="16" xfId="0" applyNumberFormat="1" applyFont="1" applyFill="1" applyBorder="1" applyAlignment="1">
      <alignment horizontal="left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FF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76200</xdr:rowOff>
        </xdr:from>
        <xdr:to>
          <xdr:col>1</xdr:col>
          <xdr:colOff>1209675</xdr:colOff>
          <xdr:row>3</xdr:row>
          <xdr:rowOff>104775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</xdr:row>
      <xdr:rowOff>0</xdr:rowOff>
    </xdr:from>
    <xdr:to>
      <xdr:col>21</xdr:col>
      <xdr:colOff>254000</xdr:colOff>
      <xdr:row>14</xdr:row>
      <xdr:rowOff>63500</xdr:rowOff>
    </xdr:to>
    <xdr:pic>
      <xdr:nvPicPr>
        <xdr:cNvPr id="25" name="Price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590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34</xdr:row>
      <xdr:rowOff>0</xdr:rowOff>
    </xdr:from>
    <xdr:to>
      <xdr:col>21</xdr:col>
      <xdr:colOff>254000</xdr:colOff>
      <xdr:row>47</xdr:row>
      <xdr:rowOff>63500</xdr:rowOff>
    </xdr:to>
    <xdr:pic>
      <xdr:nvPicPr>
        <xdr:cNvPr id="26" name="Bands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68770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51</xdr:row>
      <xdr:rowOff>0</xdr:rowOff>
    </xdr:from>
    <xdr:to>
      <xdr:col>21</xdr:col>
      <xdr:colOff>254000</xdr:colOff>
      <xdr:row>64</xdr:row>
      <xdr:rowOff>63500</xdr:rowOff>
    </xdr:to>
    <xdr:pic>
      <xdr:nvPicPr>
        <xdr:cNvPr id="27" name="MACD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10115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16</xdr:row>
      <xdr:rowOff>0</xdr:rowOff>
    </xdr:from>
    <xdr:to>
      <xdr:col>21</xdr:col>
      <xdr:colOff>254000</xdr:colOff>
      <xdr:row>29</xdr:row>
      <xdr:rowOff>63500</xdr:rowOff>
    </xdr:to>
    <xdr:pic>
      <xdr:nvPicPr>
        <xdr:cNvPr id="28" name="Returns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3448050"/>
          <a:ext cx="6350000" cy="25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Z300"/>
  <sheetViews>
    <sheetView zoomScale="80" zoomScaleNormal="80" workbookViewId="0">
      <selection activeCell="B13" sqref="B13"/>
    </sheetView>
  </sheetViews>
  <sheetFormatPr defaultRowHeight="15" x14ac:dyDescent="0.25"/>
  <cols>
    <col min="2" max="2" width="19.140625" customWidth="1"/>
    <col min="4" max="4" width="13.85546875" customWidth="1"/>
    <col min="5" max="10" width="11.42578125" customWidth="1"/>
    <col min="23" max="23" width="14.5703125" bestFit="1" customWidth="1"/>
  </cols>
  <sheetData>
    <row r="1" spans="1:52" ht="15.75" thickBot="1" x14ac:dyDescent="0.3">
      <c r="A1" s="1"/>
      <c r="B1" s="1"/>
      <c r="C1" s="1"/>
      <c r="D1" s="20" t="s">
        <v>1801</v>
      </c>
      <c r="E1" s="19"/>
      <c r="F1" s="19"/>
      <c r="G1" s="19"/>
      <c r="H1" s="19"/>
      <c r="I1" s="19"/>
      <c r="J1" s="19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 t="s">
        <v>1778</v>
      </c>
    </row>
    <row r="2" spans="1:52" ht="30.75" thickBot="1" x14ac:dyDescent="0.3">
      <c r="A2" s="1"/>
      <c r="B2" s="14" t="s">
        <v>167</v>
      </c>
      <c r="C2" s="1"/>
      <c r="D2" s="19" t="s">
        <v>1781</v>
      </c>
      <c r="E2" s="19" t="s">
        <v>1774</v>
      </c>
      <c r="F2" s="19" t="s">
        <v>1777</v>
      </c>
      <c r="G2" s="19" t="s">
        <v>1779</v>
      </c>
      <c r="H2" s="19" t="s">
        <v>1780</v>
      </c>
      <c r="I2" s="19" t="s">
        <v>1775</v>
      </c>
      <c r="J2" s="19" t="s">
        <v>1776</v>
      </c>
      <c r="K2" s="1"/>
      <c r="L2" s="16" t="s">
        <v>1788</v>
      </c>
      <c r="M2" s="14" t="s">
        <v>1806</v>
      </c>
      <c r="N2" s="1"/>
      <c r="O2" s="1"/>
      <c r="P2" s="1"/>
      <c r="Q2" s="1"/>
      <c r="R2" s="1"/>
      <c r="S2" s="1"/>
      <c r="T2" s="1"/>
      <c r="U2" s="1"/>
      <c r="V2" s="1"/>
      <c r="W2" s="20" t="s">
        <v>1802</v>
      </c>
      <c r="X2" s="20"/>
      <c r="Y2" s="20"/>
      <c r="Z2" s="20"/>
      <c r="AA2" s="20"/>
      <c r="AB2" s="27" t="s">
        <v>1804</v>
      </c>
      <c r="AC2" s="20"/>
      <c r="AD2" s="20"/>
      <c r="AE2" s="20"/>
      <c r="AF2" s="20"/>
      <c r="AG2" s="20"/>
      <c r="AH2" s="22"/>
      <c r="AI2" s="20"/>
      <c r="AJ2" s="20"/>
      <c r="AK2" s="20"/>
      <c r="AL2" s="20"/>
      <c r="AM2" s="20"/>
      <c r="AN2" s="27" t="s">
        <v>1805</v>
      </c>
      <c r="AO2" s="20"/>
      <c r="AP2" s="20"/>
      <c r="AQ2" s="20"/>
      <c r="AR2" s="20"/>
      <c r="AS2" s="1"/>
      <c r="AT2" s="1"/>
      <c r="AU2" s="1"/>
      <c r="AV2" s="1"/>
      <c r="AW2" s="1"/>
      <c r="AX2" s="1"/>
      <c r="AY2" s="1"/>
      <c r="AZ2" s="1"/>
    </row>
    <row r="3" spans="1:52" ht="30" x14ac:dyDescent="0.25">
      <c r="A3" s="1"/>
      <c r="B3" s="1"/>
      <c r="C3" s="1"/>
      <c r="D3" s="18">
        <v>4256.05</v>
      </c>
      <c r="E3" s="6">
        <v>4203</v>
      </c>
      <c r="F3" s="6">
        <v>4202.25</v>
      </c>
      <c r="G3" s="6">
        <v>4350</v>
      </c>
      <c r="H3" s="6">
        <v>4203</v>
      </c>
      <c r="I3" s="6">
        <v>5445</v>
      </c>
      <c r="J3" s="6">
        <v>2923.2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23" t="s">
        <v>1803</v>
      </c>
      <c r="X3" s="50" t="s">
        <v>1807</v>
      </c>
      <c r="Y3" s="51" t="s">
        <v>1833</v>
      </c>
      <c r="Z3" s="51" t="s">
        <v>1808</v>
      </c>
      <c r="AA3" s="51" t="s">
        <v>1809</v>
      </c>
      <c r="AB3" s="51" t="s">
        <v>1810</v>
      </c>
      <c r="AC3" s="51" t="s">
        <v>1834</v>
      </c>
      <c r="AD3" s="51" t="s">
        <v>1811</v>
      </c>
      <c r="AE3" s="51" t="s">
        <v>1812</v>
      </c>
      <c r="AF3" s="51" t="s">
        <v>1813</v>
      </c>
      <c r="AG3" s="51" t="s">
        <v>1814</v>
      </c>
      <c r="AH3" s="23" t="s">
        <v>1837</v>
      </c>
      <c r="AI3" s="51" t="s">
        <v>1815</v>
      </c>
      <c r="AJ3" s="51" t="s">
        <v>1816</v>
      </c>
      <c r="AK3" s="51" t="s">
        <v>1817</v>
      </c>
      <c r="AL3" s="51" t="s">
        <v>1818</v>
      </c>
      <c r="AM3" s="51" t="s">
        <v>1835</v>
      </c>
      <c r="AN3" s="51" t="s">
        <v>1819</v>
      </c>
      <c r="AO3" s="51" t="s">
        <v>1820</v>
      </c>
      <c r="AP3" s="51" t="s">
        <v>1821</v>
      </c>
      <c r="AQ3" s="51" t="s">
        <v>1836</v>
      </c>
      <c r="AR3" s="52" t="s">
        <v>1822</v>
      </c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62"/>
      <c r="X4" s="53"/>
      <c r="Y4" s="54"/>
      <c r="Z4" s="54"/>
      <c r="AA4" s="54"/>
      <c r="AB4" s="55"/>
      <c r="AC4" s="54"/>
      <c r="AD4" s="54"/>
      <c r="AE4" s="54"/>
      <c r="AF4" s="54"/>
      <c r="AG4" s="54"/>
      <c r="AH4" s="49"/>
      <c r="AI4" s="54"/>
      <c r="AJ4" s="54"/>
      <c r="AK4" s="54"/>
      <c r="AL4" s="54"/>
      <c r="AM4" s="54"/>
      <c r="AN4" s="55"/>
      <c r="AO4" s="54"/>
      <c r="AP4" s="54"/>
      <c r="AQ4" s="54"/>
      <c r="AR4" s="56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62"/>
      <c r="X5" s="53"/>
      <c r="Y5" s="54"/>
      <c r="Z5" s="54"/>
      <c r="AA5" s="54"/>
      <c r="AB5" s="55"/>
      <c r="AC5" s="54"/>
      <c r="AD5" s="54"/>
      <c r="AE5" s="54"/>
      <c r="AF5" s="54"/>
      <c r="AG5" s="54"/>
      <c r="AH5" s="49"/>
      <c r="AI5" s="54"/>
      <c r="AJ5" s="54"/>
      <c r="AK5" s="54"/>
      <c r="AL5" s="54"/>
      <c r="AM5" s="54"/>
      <c r="AN5" s="55"/>
      <c r="AO5" s="54"/>
      <c r="AP5" s="54"/>
      <c r="AQ5" s="54"/>
      <c r="AR5" s="56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62"/>
      <c r="X6" s="53"/>
      <c r="Y6" s="54"/>
      <c r="Z6" s="54"/>
      <c r="AA6" s="54"/>
      <c r="AB6" s="55"/>
      <c r="AC6" s="54"/>
      <c r="AD6" s="54"/>
      <c r="AE6" s="54"/>
      <c r="AF6" s="54"/>
      <c r="AG6" s="54"/>
      <c r="AH6" s="49"/>
      <c r="AI6" s="54"/>
      <c r="AJ6" s="54"/>
      <c r="AK6" s="54"/>
      <c r="AL6" s="54"/>
      <c r="AM6" s="54"/>
      <c r="AN6" s="55"/>
      <c r="AO6" s="54"/>
      <c r="AP6" s="54"/>
      <c r="AQ6" s="54"/>
      <c r="AR6" s="56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20" t="s">
        <v>1800</v>
      </c>
      <c r="E7" s="19"/>
      <c r="F7" s="19"/>
      <c r="G7" s="19"/>
      <c r="H7" s="19"/>
      <c r="I7" s="19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62"/>
      <c r="X7" s="53"/>
      <c r="Y7" s="54"/>
      <c r="Z7" s="54"/>
      <c r="AA7" s="54"/>
      <c r="AB7" s="55"/>
      <c r="AC7" s="54"/>
      <c r="AD7" s="54"/>
      <c r="AE7" s="54"/>
      <c r="AF7" s="54"/>
      <c r="AG7" s="54"/>
      <c r="AH7" s="49"/>
      <c r="AI7" s="54"/>
      <c r="AJ7" s="54"/>
      <c r="AK7" s="54"/>
      <c r="AL7" s="54"/>
      <c r="AM7" s="54"/>
      <c r="AN7" s="55"/>
      <c r="AO7" s="54"/>
      <c r="AP7" s="54"/>
      <c r="AQ7" s="54"/>
      <c r="AR7" s="56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9" t="s">
        <v>1782</v>
      </c>
      <c r="E8" s="19" t="s">
        <v>1783</v>
      </c>
      <c r="F8" s="19" t="s">
        <v>1784</v>
      </c>
      <c r="G8" s="19" t="s">
        <v>1785</v>
      </c>
      <c r="H8" s="19" t="s">
        <v>1786</v>
      </c>
      <c r="I8" s="19" t="s">
        <v>1787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62"/>
      <c r="X8" s="53"/>
      <c r="Y8" s="54"/>
      <c r="Z8" s="54"/>
      <c r="AA8" s="54"/>
      <c r="AB8" s="55"/>
      <c r="AC8" s="54"/>
      <c r="AD8" s="54"/>
      <c r="AE8" s="54"/>
      <c r="AF8" s="54"/>
      <c r="AG8" s="54"/>
      <c r="AH8" s="49"/>
      <c r="AI8" s="54"/>
      <c r="AJ8" s="54"/>
      <c r="AK8" s="54"/>
      <c r="AL8" s="54"/>
      <c r="AM8" s="54"/>
      <c r="AN8" s="55"/>
      <c r="AO8" s="54"/>
      <c r="AP8" s="54"/>
      <c r="AQ8" s="54"/>
      <c r="AR8" s="56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5">
        <v>6.1436272431659104E-2</v>
      </c>
      <c r="E9" s="15">
        <v>0.12408969150665614</v>
      </c>
      <c r="F9" s="15">
        <v>-2.787833214699189E-2</v>
      </c>
      <c r="G9" s="15">
        <v>-1.1757605107041456E-2</v>
      </c>
      <c r="H9" s="15">
        <v>0.18127507598228335</v>
      </c>
      <c r="I9" s="15">
        <v>0.23815234193924201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62"/>
      <c r="X9" s="53"/>
      <c r="Y9" s="54"/>
      <c r="Z9" s="54"/>
      <c r="AA9" s="54"/>
      <c r="AB9" s="55"/>
      <c r="AC9" s="54"/>
      <c r="AD9" s="54"/>
      <c r="AE9" s="54"/>
      <c r="AF9" s="54"/>
      <c r="AG9" s="54"/>
      <c r="AH9" s="49"/>
      <c r="AI9" s="54"/>
      <c r="AJ9" s="54"/>
      <c r="AK9" s="54"/>
      <c r="AL9" s="54"/>
      <c r="AM9" s="54"/>
      <c r="AN9" s="55"/>
      <c r="AO9" s="54"/>
      <c r="AP9" s="54"/>
      <c r="AQ9" s="54"/>
      <c r="AR9" s="56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62"/>
      <c r="X10" s="53"/>
      <c r="Y10" s="54"/>
      <c r="Z10" s="54"/>
      <c r="AA10" s="54"/>
      <c r="AB10" s="55"/>
      <c r="AC10" s="54"/>
      <c r="AD10" s="54"/>
      <c r="AE10" s="54"/>
      <c r="AF10" s="54"/>
      <c r="AG10" s="54"/>
      <c r="AH10" s="49"/>
      <c r="AI10" s="54"/>
      <c r="AJ10" s="54"/>
      <c r="AK10" s="54"/>
      <c r="AL10" s="54"/>
      <c r="AM10" s="54"/>
      <c r="AN10" s="55"/>
      <c r="AO10" s="54"/>
      <c r="AP10" s="54"/>
      <c r="AQ10" s="54"/>
      <c r="AR10" s="56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62"/>
      <c r="X11" s="53"/>
      <c r="Y11" s="54"/>
      <c r="Z11" s="54"/>
      <c r="AA11" s="54"/>
      <c r="AB11" s="55"/>
      <c r="AC11" s="54"/>
      <c r="AD11" s="54"/>
      <c r="AE11" s="54"/>
      <c r="AF11" s="54"/>
      <c r="AG11" s="54"/>
      <c r="AH11" s="49"/>
      <c r="AI11" s="54"/>
      <c r="AJ11" s="54"/>
      <c r="AK11" s="54"/>
      <c r="AL11" s="54"/>
      <c r="AM11" s="54"/>
      <c r="AN11" s="55"/>
      <c r="AO11" s="54"/>
      <c r="AP11" s="54"/>
      <c r="AQ11" s="54"/>
      <c r="AR11" s="56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62"/>
      <c r="X12" s="53"/>
      <c r="Y12" s="54"/>
      <c r="Z12" s="54"/>
      <c r="AA12" s="54"/>
      <c r="AB12" s="55"/>
      <c r="AC12" s="54"/>
      <c r="AD12" s="54"/>
      <c r="AE12" s="54"/>
      <c r="AF12" s="54"/>
      <c r="AG12" s="54"/>
      <c r="AH12" s="49"/>
      <c r="AI12" s="54"/>
      <c r="AJ12" s="54"/>
      <c r="AK12" s="54"/>
      <c r="AL12" s="54"/>
      <c r="AM12" s="54"/>
      <c r="AN12" s="55"/>
      <c r="AO12" s="54"/>
      <c r="AP12" s="54"/>
      <c r="AQ12" s="54"/>
      <c r="AR12" s="56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20" t="s">
        <v>1861</v>
      </c>
      <c r="E13" s="20"/>
      <c r="F13" s="20"/>
      <c r="G13" s="20"/>
      <c r="H13" s="20"/>
      <c r="I13" s="20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62"/>
      <c r="X13" s="53"/>
      <c r="Y13" s="54"/>
      <c r="Z13" s="54"/>
      <c r="AA13" s="54"/>
      <c r="AB13" s="55"/>
      <c r="AC13" s="54"/>
      <c r="AD13" s="54"/>
      <c r="AE13" s="54"/>
      <c r="AF13" s="54"/>
      <c r="AG13" s="54"/>
      <c r="AH13" s="49"/>
      <c r="AI13" s="54"/>
      <c r="AJ13" s="54"/>
      <c r="AK13" s="54"/>
      <c r="AL13" s="54"/>
      <c r="AM13" s="54"/>
      <c r="AN13" s="55"/>
      <c r="AO13" s="54"/>
      <c r="AP13" s="54"/>
      <c r="AQ13" s="54"/>
      <c r="AR13" s="56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9" t="s">
        <v>1862</v>
      </c>
      <c r="E14" s="19" t="s">
        <v>1863</v>
      </c>
      <c r="F14" s="19" t="s">
        <v>1868</v>
      </c>
      <c r="G14" s="19" t="s">
        <v>1864</v>
      </c>
      <c r="H14" s="19" t="s">
        <v>1865</v>
      </c>
      <c r="I14" s="19" t="s">
        <v>1866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62"/>
      <c r="X14" s="53"/>
      <c r="Y14" s="54"/>
      <c r="Z14" s="54"/>
      <c r="AA14" s="54"/>
      <c r="AB14" s="55"/>
      <c r="AC14" s="54"/>
      <c r="AD14" s="54"/>
      <c r="AE14" s="54"/>
      <c r="AF14" s="54"/>
      <c r="AG14" s="54"/>
      <c r="AH14" s="49"/>
      <c r="AI14" s="54"/>
      <c r="AJ14" s="54"/>
      <c r="AK14" s="54"/>
      <c r="AL14" s="54"/>
      <c r="AM14" s="54"/>
      <c r="AN14" s="55"/>
      <c r="AO14" s="54"/>
      <c r="AP14" s="54"/>
      <c r="AQ14" s="54"/>
      <c r="AR14" s="56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6">
        <v>0.77964980959969221</v>
      </c>
      <c r="E15" s="15">
        <v>0.42178386322477135</v>
      </c>
      <c r="F15" s="15">
        <v>4.4015323707141916E-2</v>
      </c>
      <c r="G15" s="6">
        <v>0.1343788038805582</v>
      </c>
      <c r="H15" s="6">
        <v>2.9503832195671356</v>
      </c>
      <c r="I15" s="6">
        <v>7.2697780899051614E-2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62"/>
      <c r="X15" s="53"/>
      <c r="Y15" s="54"/>
      <c r="Z15" s="54"/>
      <c r="AA15" s="54"/>
      <c r="AB15" s="55"/>
      <c r="AC15" s="54"/>
      <c r="AD15" s="54"/>
      <c r="AE15" s="54"/>
      <c r="AF15" s="54"/>
      <c r="AG15" s="54"/>
      <c r="AH15" s="49"/>
      <c r="AI15" s="54"/>
      <c r="AJ15" s="54"/>
      <c r="AK15" s="54"/>
      <c r="AL15" s="54"/>
      <c r="AM15" s="54"/>
      <c r="AN15" s="55"/>
      <c r="AO15" s="54"/>
      <c r="AP15" s="54"/>
      <c r="AQ15" s="54"/>
      <c r="AR15" s="56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3"/>
      <c r="E16" s="17"/>
      <c r="F16" s="17"/>
      <c r="G16" s="17"/>
      <c r="H16" s="17"/>
      <c r="I16" s="17"/>
      <c r="J16" s="17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62"/>
      <c r="X16" s="53"/>
      <c r="Y16" s="54"/>
      <c r="Z16" s="54"/>
      <c r="AA16" s="54"/>
      <c r="AB16" s="55"/>
      <c r="AC16" s="54"/>
      <c r="AD16" s="54"/>
      <c r="AE16" s="54"/>
      <c r="AF16" s="54"/>
      <c r="AG16" s="54"/>
      <c r="AH16" s="49"/>
      <c r="AI16" s="54"/>
      <c r="AJ16" s="54"/>
      <c r="AK16" s="54"/>
      <c r="AL16" s="54"/>
      <c r="AM16" s="54"/>
      <c r="AN16" s="55"/>
      <c r="AO16" s="54"/>
      <c r="AP16" s="54"/>
      <c r="AQ16" s="54"/>
      <c r="AR16" s="56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20" t="s">
        <v>1867</v>
      </c>
      <c r="E17" s="20"/>
      <c r="F17" s="20"/>
      <c r="G17" s="20"/>
      <c r="H17" s="20"/>
      <c r="I17" s="20"/>
      <c r="J17" s="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62"/>
      <c r="X17" s="53"/>
      <c r="Y17" s="54"/>
      <c r="Z17" s="54"/>
      <c r="AA17" s="54"/>
      <c r="AB17" s="55"/>
      <c r="AC17" s="54"/>
      <c r="AD17" s="54"/>
      <c r="AE17" s="54"/>
      <c r="AF17" s="54"/>
      <c r="AG17" s="54"/>
      <c r="AH17" s="49"/>
      <c r="AI17" s="54"/>
      <c r="AJ17" s="54"/>
      <c r="AK17" s="54"/>
      <c r="AL17" s="54"/>
      <c r="AM17" s="54"/>
      <c r="AN17" s="55"/>
      <c r="AO17" s="54"/>
      <c r="AP17" s="54"/>
      <c r="AQ17" s="54"/>
      <c r="AR17" s="56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3"/>
      <c r="E18" s="43"/>
      <c r="F18" s="43"/>
      <c r="G18" s="43"/>
      <c r="H18" s="43"/>
      <c r="I18" s="43"/>
      <c r="J18" s="17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62"/>
      <c r="X18" s="53"/>
      <c r="Y18" s="54"/>
      <c r="Z18" s="54"/>
      <c r="AA18" s="54"/>
      <c r="AB18" s="55"/>
      <c r="AC18" s="54"/>
      <c r="AD18" s="54"/>
      <c r="AE18" s="54"/>
      <c r="AF18" s="54"/>
      <c r="AG18" s="54"/>
      <c r="AH18" s="49"/>
      <c r="AI18" s="54"/>
      <c r="AJ18" s="54"/>
      <c r="AK18" s="54"/>
      <c r="AL18" s="54"/>
      <c r="AM18" s="54"/>
      <c r="AN18" s="55"/>
      <c r="AO18" s="54"/>
      <c r="AP18" s="54"/>
      <c r="AQ18" s="54"/>
      <c r="AR18" s="56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3"/>
      <c r="E19" s="43">
        <v>43554</v>
      </c>
      <c r="F19" s="43">
        <v>43189</v>
      </c>
      <c r="G19" s="43">
        <v>42824</v>
      </c>
      <c r="H19" s="43">
        <v>42459</v>
      </c>
      <c r="I19" s="43">
        <v>42093</v>
      </c>
      <c r="J19" s="21">
        <v>41728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62"/>
      <c r="X19" s="53"/>
      <c r="Y19" s="54"/>
      <c r="Z19" s="54"/>
      <c r="AA19" s="54"/>
      <c r="AB19" s="55"/>
      <c r="AC19" s="54"/>
      <c r="AD19" s="54"/>
      <c r="AE19" s="54"/>
      <c r="AF19" s="54"/>
      <c r="AG19" s="54"/>
      <c r="AH19" s="49"/>
      <c r="AI19" s="54"/>
      <c r="AJ19" s="54"/>
      <c r="AK19" s="54"/>
      <c r="AL19" s="54"/>
      <c r="AM19" s="54"/>
      <c r="AN19" s="55"/>
      <c r="AO19" s="54"/>
      <c r="AP19" s="54"/>
      <c r="AQ19" s="54"/>
      <c r="AR19" s="56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3" t="s">
        <v>1789</v>
      </c>
      <c r="E20" s="17">
        <v>144.51</v>
      </c>
      <c r="F20" s="17">
        <v>91.16</v>
      </c>
      <c r="G20" s="17">
        <v>96.18</v>
      </c>
      <c r="H20" s="17">
        <v>92.53</v>
      </c>
      <c r="I20" s="17">
        <v>73.3</v>
      </c>
      <c r="J20" s="21">
        <v>71.739999999999995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62"/>
      <c r="X20" s="53"/>
      <c r="Y20" s="54"/>
      <c r="Z20" s="54"/>
      <c r="AA20" s="54"/>
      <c r="AB20" s="55"/>
      <c r="AC20" s="54"/>
      <c r="AD20" s="54"/>
      <c r="AE20" s="54"/>
      <c r="AF20" s="54"/>
      <c r="AG20" s="54"/>
      <c r="AH20" s="49"/>
      <c r="AI20" s="54"/>
      <c r="AJ20" s="54"/>
      <c r="AK20" s="54"/>
      <c r="AL20" s="54"/>
      <c r="AM20" s="54"/>
      <c r="AN20" s="55"/>
      <c r="AO20" s="54"/>
      <c r="AP20" s="54"/>
      <c r="AQ20" s="54"/>
      <c r="AR20" s="56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3" t="s">
        <v>1790</v>
      </c>
      <c r="E21" s="17">
        <v>892.71</v>
      </c>
      <c r="F21" s="17">
        <v>740.41</v>
      </c>
      <c r="G21" s="17">
        <v>647.17999999999995</v>
      </c>
      <c r="H21" s="17">
        <v>536.44000000000005</v>
      </c>
      <c r="I21" s="17">
        <v>342.24</v>
      </c>
      <c r="J21" s="21">
        <v>282.75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62"/>
      <c r="X21" s="53"/>
      <c r="Y21" s="54"/>
      <c r="Z21" s="54"/>
      <c r="AA21" s="54"/>
      <c r="AB21" s="55"/>
      <c r="AC21" s="54"/>
      <c r="AD21" s="54"/>
      <c r="AE21" s="54"/>
      <c r="AF21" s="54"/>
      <c r="AG21" s="54"/>
      <c r="AH21" s="49"/>
      <c r="AI21" s="54"/>
      <c r="AJ21" s="54"/>
      <c r="AK21" s="54"/>
      <c r="AL21" s="54"/>
      <c r="AM21" s="54"/>
      <c r="AN21" s="55"/>
      <c r="AO21" s="54"/>
      <c r="AP21" s="54"/>
      <c r="AQ21" s="54"/>
      <c r="AR21" s="56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3" t="s">
        <v>1791</v>
      </c>
      <c r="E22" s="17">
        <v>892.71</v>
      </c>
      <c r="F22" s="17">
        <v>740.41</v>
      </c>
      <c r="G22" s="17">
        <v>647.17999999999995</v>
      </c>
      <c r="H22" s="17">
        <v>536.44000000000005</v>
      </c>
      <c r="I22" s="17">
        <v>342.24</v>
      </c>
      <c r="J22" s="21">
        <v>317.25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62"/>
      <c r="X22" s="53"/>
      <c r="Y22" s="54"/>
      <c r="Z22" s="54"/>
      <c r="AA22" s="54"/>
      <c r="AB22" s="55"/>
      <c r="AC22" s="54"/>
      <c r="AD22" s="54"/>
      <c r="AE22" s="54"/>
      <c r="AF22" s="54"/>
      <c r="AG22" s="54"/>
      <c r="AH22" s="49"/>
      <c r="AI22" s="54"/>
      <c r="AJ22" s="54"/>
      <c r="AK22" s="54"/>
      <c r="AL22" s="54"/>
      <c r="AM22" s="54"/>
      <c r="AN22" s="55"/>
      <c r="AO22" s="54"/>
      <c r="AP22" s="54"/>
      <c r="AQ22" s="54"/>
      <c r="AR22" s="56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3" t="s">
        <v>1871</v>
      </c>
      <c r="E23" s="17">
        <v>0</v>
      </c>
      <c r="F23" s="17">
        <v>92.01</v>
      </c>
      <c r="G23" s="17">
        <v>92.04</v>
      </c>
      <c r="H23" s="17">
        <v>92.51</v>
      </c>
      <c r="I23" s="17">
        <v>90.76</v>
      </c>
      <c r="J23" s="21">
        <v>91.67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62"/>
      <c r="X23" s="53"/>
      <c r="Y23" s="54"/>
      <c r="Z23" s="54"/>
      <c r="AA23" s="54"/>
      <c r="AB23" s="55"/>
      <c r="AC23" s="54"/>
      <c r="AD23" s="54"/>
      <c r="AE23" s="54"/>
      <c r="AF23" s="54"/>
      <c r="AG23" s="54"/>
      <c r="AH23" s="49"/>
      <c r="AI23" s="54"/>
      <c r="AJ23" s="54"/>
      <c r="AK23" s="54"/>
      <c r="AL23" s="54"/>
      <c r="AM23" s="54"/>
      <c r="AN23" s="55"/>
      <c r="AO23" s="54"/>
      <c r="AP23" s="54"/>
      <c r="AQ23" s="54"/>
      <c r="AR23" s="56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3" t="s">
        <v>1792</v>
      </c>
      <c r="E24" s="17">
        <v>182.15</v>
      </c>
      <c r="F24" s="17">
        <v>126.41</v>
      </c>
      <c r="G24" s="17">
        <v>126.83</v>
      </c>
      <c r="H24" s="17">
        <v>113.33</v>
      </c>
      <c r="I24" s="17">
        <v>91.88</v>
      </c>
      <c r="J24" s="21">
        <v>89.97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62"/>
      <c r="X24" s="53"/>
      <c r="Y24" s="54"/>
      <c r="Z24" s="54"/>
      <c r="AA24" s="54"/>
      <c r="AB24" s="55"/>
      <c r="AC24" s="54"/>
      <c r="AD24" s="54"/>
      <c r="AE24" s="54"/>
      <c r="AF24" s="54"/>
      <c r="AG24" s="54"/>
      <c r="AH24" s="49"/>
      <c r="AI24" s="54"/>
      <c r="AJ24" s="54"/>
      <c r="AK24" s="54"/>
      <c r="AL24" s="54"/>
      <c r="AM24" s="54"/>
      <c r="AN24" s="55"/>
      <c r="AO24" s="54"/>
      <c r="AP24" s="54"/>
      <c r="AQ24" s="54"/>
      <c r="AR24" s="56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3" t="s">
        <v>1872</v>
      </c>
      <c r="E25" s="17">
        <v>2.99</v>
      </c>
      <c r="F25" s="17">
        <v>2.2999999999999998</v>
      </c>
      <c r="G25" s="17">
        <v>1.85</v>
      </c>
      <c r="H25" s="17">
        <v>1.43</v>
      </c>
      <c r="I25" s="17">
        <v>1.53</v>
      </c>
      <c r="J25" s="21">
        <v>1.43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62"/>
      <c r="X25" s="53"/>
      <c r="Y25" s="54"/>
      <c r="Z25" s="54"/>
      <c r="AA25" s="54"/>
      <c r="AB25" s="55"/>
      <c r="AC25" s="54"/>
      <c r="AD25" s="54"/>
      <c r="AE25" s="54"/>
      <c r="AF25" s="54"/>
      <c r="AG25" s="54"/>
      <c r="AH25" s="49"/>
      <c r="AI25" s="54"/>
      <c r="AJ25" s="54"/>
      <c r="AK25" s="54"/>
      <c r="AL25" s="54"/>
      <c r="AM25" s="54"/>
      <c r="AN25" s="55"/>
      <c r="AO25" s="54"/>
      <c r="AP25" s="54"/>
      <c r="AQ25" s="54"/>
      <c r="AR25" s="56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3" t="s">
        <v>1873</v>
      </c>
      <c r="E26" s="17">
        <v>144.51</v>
      </c>
      <c r="F26" s="17">
        <v>91.16</v>
      </c>
      <c r="G26" s="17">
        <v>96.18</v>
      </c>
      <c r="H26" s="17">
        <v>92.53</v>
      </c>
      <c r="I26" s="17">
        <v>73.3</v>
      </c>
      <c r="J26" s="21">
        <v>71.739999999999995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62"/>
      <c r="X26" s="53"/>
      <c r="Y26" s="54"/>
      <c r="Z26" s="54"/>
      <c r="AA26" s="54"/>
      <c r="AB26" s="55"/>
      <c r="AC26" s="54"/>
      <c r="AD26" s="54"/>
      <c r="AE26" s="54"/>
      <c r="AF26" s="54"/>
      <c r="AG26" s="54"/>
      <c r="AH26" s="49"/>
      <c r="AI26" s="54"/>
      <c r="AJ26" s="54"/>
      <c r="AK26" s="54"/>
      <c r="AL26" s="54"/>
      <c r="AM26" s="54"/>
      <c r="AN26" s="55"/>
      <c r="AO26" s="54"/>
      <c r="AP26" s="54"/>
      <c r="AQ26" s="54"/>
      <c r="AR26" s="56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3" t="s">
        <v>1874</v>
      </c>
      <c r="E27" s="17">
        <v>0</v>
      </c>
      <c r="F27" s="17">
        <v>11.09</v>
      </c>
      <c r="G27" s="17">
        <v>10.51</v>
      </c>
      <c r="H27" s="17">
        <v>9.18</v>
      </c>
      <c r="I27" s="17">
        <v>11.59</v>
      </c>
      <c r="J27" s="21">
        <v>10.45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62"/>
      <c r="X27" s="53"/>
      <c r="Y27" s="54"/>
      <c r="Z27" s="54"/>
      <c r="AA27" s="54"/>
      <c r="AB27" s="55"/>
      <c r="AC27" s="54"/>
      <c r="AD27" s="54"/>
      <c r="AE27" s="54"/>
      <c r="AF27" s="54"/>
      <c r="AG27" s="54"/>
      <c r="AH27" s="49"/>
      <c r="AI27" s="54"/>
      <c r="AJ27" s="54"/>
      <c r="AK27" s="54"/>
      <c r="AL27" s="54"/>
      <c r="AM27" s="54"/>
      <c r="AN27" s="55"/>
      <c r="AO27" s="54"/>
      <c r="AP27" s="54"/>
      <c r="AQ27" s="54"/>
      <c r="AR27" s="56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3" t="s">
        <v>1875</v>
      </c>
      <c r="E28" s="17">
        <v>0</v>
      </c>
      <c r="F28" s="17">
        <v>7.99</v>
      </c>
      <c r="G28" s="17">
        <v>7.96</v>
      </c>
      <c r="H28" s="17">
        <v>7.49</v>
      </c>
      <c r="I28" s="17">
        <v>9.24</v>
      </c>
      <c r="J28" s="21">
        <v>8.33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62"/>
      <c r="X28" s="53"/>
      <c r="Y28" s="54"/>
      <c r="Z28" s="54"/>
      <c r="AA28" s="54"/>
      <c r="AB28" s="55"/>
      <c r="AC28" s="54"/>
      <c r="AD28" s="54"/>
      <c r="AE28" s="54"/>
      <c r="AF28" s="54"/>
      <c r="AG28" s="54"/>
      <c r="AH28" s="49"/>
      <c r="AI28" s="54"/>
      <c r="AJ28" s="54"/>
      <c r="AK28" s="54"/>
      <c r="AL28" s="54"/>
      <c r="AM28" s="54"/>
      <c r="AN28" s="55"/>
      <c r="AO28" s="54"/>
      <c r="AP28" s="54"/>
      <c r="AQ28" s="54"/>
      <c r="AR28" s="56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3" t="s">
        <v>1793</v>
      </c>
      <c r="E29" s="17">
        <v>15</v>
      </c>
      <c r="F29" s="17">
        <v>10</v>
      </c>
      <c r="G29" s="17">
        <v>10</v>
      </c>
      <c r="H29" s="17">
        <v>10</v>
      </c>
      <c r="I29" s="17">
        <v>8.5</v>
      </c>
      <c r="J29" s="21">
        <v>7.5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62"/>
      <c r="X29" s="53"/>
      <c r="Y29" s="54"/>
      <c r="Z29" s="54"/>
      <c r="AA29" s="54"/>
      <c r="AB29" s="55"/>
      <c r="AC29" s="54"/>
      <c r="AD29" s="54"/>
      <c r="AE29" s="54"/>
      <c r="AF29" s="54"/>
      <c r="AG29" s="54"/>
      <c r="AH29" s="49"/>
      <c r="AI29" s="54"/>
      <c r="AJ29" s="54"/>
      <c r="AK29" s="54"/>
      <c r="AL29" s="54"/>
      <c r="AM29" s="54"/>
      <c r="AN29" s="55"/>
      <c r="AO29" s="54"/>
      <c r="AP29" s="54"/>
      <c r="AQ29" s="54"/>
      <c r="AR29" s="56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3" t="s">
        <v>1876</v>
      </c>
      <c r="E30" s="17">
        <v>0</v>
      </c>
      <c r="F30" s="17">
        <v>88.91</v>
      </c>
      <c r="G30" s="17">
        <v>89.49</v>
      </c>
      <c r="H30" s="17">
        <v>90.82</v>
      </c>
      <c r="I30" s="17">
        <v>88.41</v>
      </c>
      <c r="J30" s="21">
        <v>89.55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62"/>
      <c r="X30" s="53"/>
      <c r="Y30" s="54"/>
      <c r="Z30" s="54"/>
      <c r="AA30" s="54"/>
      <c r="AB30" s="55"/>
      <c r="AC30" s="54"/>
      <c r="AD30" s="54"/>
      <c r="AE30" s="54"/>
      <c r="AF30" s="54"/>
      <c r="AG30" s="54"/>
      <c r="AH30" s="49"/>
      <c r="AI30" s="54"/>
      <c r="AJ30" s="54"/>
      <c r="AK30" s="54"/>
      <c r="AL30" s="54"/>
      <c r="AM30" s="54"/>
      <c r="AN30" s="55"/>
      <c r="AO30" s="54"/>
      <c r="AP30" s="54"/>
      <c r="AQ30" s="54"/>
      <c r="AR30" s="56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3" t="s">
        <v>1794</v>
      </c>
      <c r="E31" s="17">
        <v>0.04</v>
      </c>
      <c r="F31" s="17">
        <v>0.03</v>
      </c>
      <c r="G31" s="17">
        <v>0.04</v>
      </c>
      <c r="H31" s="17">
        <v>0.06</v>
      </c>
      <c r="I31" s="17">
        <v>0.06</v>
      </c>
      <c r="J31" s="21">
        <v>0.17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62"/>
      <c r="X31" s="53"/>
      <c r="Y31" s="54"/>
      <c r="Z31" s="54"/>
      <c r="AA31" s="54"/>
      <c r="AB31" s="55"/>
      <c r="AC31" s="54"/>
      <c r="AD31" s="54"/>
      <c r="AE31" s="54"/>
      <c r="AF31" s="54"/>
      <c r="AG31" s="54"/>
      <c r="AH31" s="49"/>
      <c r="AI31" s="54"/>
      <c r="AJ31" s="54"/>
      <c r="AK31" s="54"/>
      <c r="AL31" s="54"/>
      <c r="AM31" s="54"/>
      <c r="AN31" s="55"/>
      <c r="AO31" s="54"/>
      <c r="AP31" s="54"/>
      <c r="AQ31" s="54"/>
      <c r="AR31" s="56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3" t="s">
        <v>1877</v>
      </c>
      <c r="E32" s="17">
        <v>13.78</v>
      </c>
      <c r="F32" s="17">
        <v>15.19</v>
      </c>
      <c r="G32" s="17">
        <v>14.03</v>
      </c>
      <c r="H32" s="17">
        <v>9.9600000000000009</v>
      </c>
      <c r="I32" s="17">
        <v>9.1</v>
      </c>
      <c r="J32" s="21">
        <v>4.12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62"/>
      <c r="X32" s="53"/>
      <c r="Y32" s="54"/>
      <c r="Z32" s="54"/>
      <c r="AA32" s="54"/>
      <c r="AB32" s="55"/>
      <c r="AC32" s="54"/>
      <c r="AD32" s="54"/>
      <c r="AE32" s="54"/>
      <c r="AF32" s="54"/>
      <c r="AG32" s="54"/>
      <c r="AH32" s="49"/>
      <c r="AI32" s="54"/>
      <c r="AJ32" s="54"/>
      <c r="AK32" s="54"/>
      <c r="AL32" s="54"/>
      <c r="AM32" s="54"/>
      <c r="AN32" s="55"/>
      <c r="AO32" s="54"/>
      <c r="AP32" s="54"/>
      <c r="AQ32" s="54"/>
      <c r="AR32" s="56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3" t="s">
        <v>1878</v>
      </c>
      <c r="E33" s="17">
        <v>2.7</v>
      </c>
      <c r="F33" s="17">
        <v>2.5</v>
      </c>
      <c r="G33" s="17">
        <v>2.67</v>
      </c>
      <c r="H33" s="17">
        <v>1.97</v>
      </c>
      <c r="I33" s="17">
        <v>1.39</v>
      </c>
      <c r="J33" s="21">
        <v>0.67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62"/>
      <c r="X33" s="53"/>
      <c r="Y33" s="54"/>
      <c r="Z33" s="54"/>
      <c r="AA33" s="54"/>
      <c r="AB33" s="55"/>
      <c r="AC33" s="54"/>
      <c r="AD33" s="54"/>
      <c r="AE33" s="54"/>
      <c r="AF33" s="54"/>
      <c r="AG33" s="54"/>
      <c r="AH33" s="49"/>
      <c r="AI33" s="54"/>
      <c r="AJ33" s="54"/>
      <c r="AK33" s="54"/>
      <c r="AL33" s="54"/>
      <c r="AM33" s="54"/>
      <c r="AN33" s="55"/>
      <c r="AO33" s="54"/>
      <c r="AP33" s="54"/>
      <c r="AQ33" s="54"/>
      <c r="AR33" s="56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3" t="s">
        <v>1879</v>
      </c>
      <c r="E34" s="17">
        <v>9.15</v>
      </c>
      <c r="F34" s="17">
        <v>8.1999999999999993</v>
      </c>
      <c r="G34" s="17">
        <v>7.32</v>
      </c>
      <c r="H34" s="17">
        <v>6.56</v>
      </c>
      <c r="I34" s="17">
        <v>7.31</v>
      </c>
      <c r="J34" s="17">
        <v>6.3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62"/>
      <c r="X34" s="53"/>
      <c r="Y34" s="54"/>
      <c r="Z34" s="54"/>
      <c r="AA34" s="54"/>
      <c r="AB34" s="55"/>
      <c r="AC34" s="54"/>
      <c r="AD34" s="54"/>
      <c r="AE34" s="54"/>
      <c r="AF34" s="54"/>
      <c r="AG34" s="54"/>
      <c r="AH34" s="49"/>
      <c r="AI34" s="54"/>
      <c r="AJ34" s="54"/>
      <c r="AK34" s="54"/>
      <c r="AL34" s="54"/>
      <c r="AM34" s="54"/>
      <c r="AN34" s="55"/>
      <c r="AO34" s="54"/>
      <c r="AP34" s="54"/>
      <c r="AQ34" s="54"/>
      <c r="AR34" s="56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3" t="s">
        <v>1880</v>
      </c>
      <c r="E35" s="17">
        <v>2.71</v>
      </c>
      <c r="F35" s="17">
        <v>2.5</v>
      </c>
      <c r="G35" s="17">
        <v>2.62</v>
      </c>
      <c r="H35" s="17">
        <v>1.86</v>
      </c>
      <c r="I35" s="17">
        <v>1.31</v>
      </c>
      <c r="J35" s="17">
        <v>0.54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62"/>
      <c r="X35" s="53"/>
      <c r="Y35" s="54"/>
      <c r="Z35" s="54"/>
      <c r="AA35" s="54"/>
      <c r="AB35" s="55"/>
      <c r="AC35" s="54"/>
      <c r="AD35" s="54"/>
      <c r="AE35" s="54"/>
      <c r="AF35" s="54"/>
      <c r="AG35" s="54"/>
      <c r="AH35" s="49"/>
      <c r="AI35" s="54"/>
      <c r="AJ35" s="54"/>
      <c r="AK35" s="54"/>
      <c r="AL35" s="54"/>
      <c r="AM35" s="54"/>
      <c r="AN35" s="55"/>
      <c r="AO35" s="54"/>
      <c r="AP35" s="54"/>
      <c r="AQ35" s="54"/>
      <c r="AR35" s="56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3" t="s">
        <v>1795</v>
      </c>
      <c r="E36" s="17">
        <v>10.94</v>
      </c>
      <c r="F36" s="17">
        <v>8.6999999999999993</v>
      </c>
      <c r="G36" s="17">
        <v>10.58</v>
      </c>
      <c r="H36" s="17">
        <v>11.18</v>
      </c>
      <c r="I36" s="17">
        <v>8.5</v>
      </c>
      <c r="J36" s="17">
        <v>8.99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62"/>
      <c r="X36" s="53"/>
      <c r="Y36" s="54"/>
      <c r="Z36" s="54"/>
      <c r="AA36" s="54"/>
      <c r="AB36" s="55"/>
      <c r="AC36" s="54"/>
      <c r="AD36" s="54"/>
      <c r="AE36" s="54"/>
      <c r="AF36" s="54"/>
      <c r="AG36" s="54"/>
      <c r="AH36" s="49"/>
      <c r="AI36" s="54"/>
      <c r="AJ36" s="54"/>
      <c r="AK36" s="54"/>
      <c r="AL36" s="54"/>
      <c r="AM36" s="54"/>
      <c r="AN36" s="55"/>
      <c r="AO36" s="54"/>
      <c r="AP36" s="54"/>
      <c r="AQ36" s="54"/>
      <c r="AR36" s="56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3" t="s">
        <v>1796</v>
      </c>
      <c r="E37" s="17">
        <v>144.41999999999999</v>
      </c>
      <c r="F37" s="17">
        <v>91.11</v>
      </c>
      <c r="G37" s="17">
        <v>96.13</v>
      </c>
      <c r="H37" s="17">
        <v>92.47</v>
      </c>
      <c r="I37" s="17">
        <v>73.25</v>
      </c>
      <c r="J37" s="17">
        <v>71.69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62"/>
      <c r="X37" s="53"/>
      <c r="Y37" s="54"/>
      <c r="Z37" s="54"/>
      <c r="AA37" s="54"/>
      <c r="AB37" s="55"/>
      <c r="AC37" s="54"/>
      <c r="AD37" s="54"/>
      <c r="AE37" s="54"/>
      <c r="AF37" s="54"/>
      <c r="AG37" s="54"/>
      <c r="AH37" s="49"/>
      <c r="AI37" s="54"/>
      <c r="AJ37" s="54"/>
      <c r="AK37" s="54"/>
      <c r="AL37" s="54"/>
      <c r="AM37" s="54"/>
      <c r="AN37" s="55"/>
      <c r="AO37" s="54"/>
      <c r="AP37" s="54"/>
      <c r="AQ37" s="54"/>
      <c r="AR37" s="56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3" t="s">
        <v>1881</v>
      </c>
      <c r="E38" s="17">
        <v>19.600000000000001</v>
      </c>
      <c r="F38" s="17">
        <v>16.440000000000001</v>
      </c>
      <c r="G38" s="17">
        <v>19.02</v>
      </c>
      <c r="H38" s="17">
        <v>19.77</v>
      </c>
      <c r="I38" s="17">
        <v>15.3</v>
      </c>
      <c r="J38" s="17">
        <v>16.18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62"/>
      <c r="X38" s="53"/>
      <c r="Y38" s="54"/>
      <c r="Z38" s="54"/>
      <c r="AA38" s="54"/>
      <c r="AB38" s="55"/>
      <c r="AC38" s="54"/>
      <c r="AD38" s="54"/>
      <c r="AE38" s="54"/>
      <c r="AF38" s="54"/>
      <c r="AG38" s="54"/>
      <c r="AH38" s="49"/>
      <c r="AI38" s="54"/>
      <c r="AJ38" s="54"/>
      <c r="AK38" s="54"/>
      <c r="AL38" s="54"/>
      <c r="AM38" s="54"/>
      <c r="AN38" s="55"/>
      <c r="AO38" s="54"/>
      <c r="AP38" s="54"/>
      <c r="AQ38" s="54"/>
      <c r="AR38" s="56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3" t="s">
        <v>1882</v>
      </c>
      <c r="E39" s="17">
        <v>258.61</v>
      </c>
      <c r="F39" s="17">
        <v>172.15</v>
      </c>
      <c r="G39" s="17">
        <v>172.73</v>
      </c>
      <c r="H39" s="17">
        <v>163.51</v>
      </c>
      <c r="I39" s="17">
        <v>131.75</v>
      </c>
      <c r="J39" s="17">
        <v>128.96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62"/>
      <c r="X39" s="53"/>
      <c r="Y39" s="54"/>
      <c r="Z39" s="54"/>
      <c r="AA39" s="54"/>
      <c r="AB39" s="55"/>
      <c r="AC39" s="54"/>
      <c r="AD39" s="54"/>
      <c r="AE39" s="54"/>
      <c r="AF39" s="54"/>
      <c r="AG39" s="54"/>
      <c r="AH39" s="49"/>
      <c r="AI39" s="54"/>
      <c r="AJ39" s="54"/>
      <c r="AK39" s="54"/>
      <c r="AL39" s="54"/>
      <c r="AM39" s="54"/>
      <c r="AN39" s="55"/>
      <c r="AO39" s="54"/>
      <c r="AP39" s="54"/>
      <c r="AQ39" s="54"/>
      <c r="AR39" s="56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3" t="s">
        <v>1883</v>
      </c>
      <c r="E40" s="17">
        <v>16.739999999999998</v>
      </c>
      <c r="F40" s="17">
        <v>13.07</v>
      </c>
      <c r="G40" s="17">
        <v>15.64</v>
      </c>
      <c r="H40" s="17">
        <v>17.239999999999998</v>
      </c>
      <c r="I40" s="17">
        <v>13.13</v>
      </c>
      <c r="J40" s="17">
        <v>13.88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62"/>
      <c r="X40" s="53"/>
      <c r="Y40" s="54"/>
      <c r="Z40" s="54"/>
      <c r="AA40" s="54"/>
      <c r="AB40" s="55"/>
      <c r="AC40" s="54"/>
      <c r="AD40" s="54"/>
      <c r="AE40" s="54"/>
      <c r="AF40" s="54"/>
      <c r="AG40" s="54"/>
      <c r="AH40" s="49"/>
      <c r="AI40" s="54"/>
      <c r="AJ40" s="54"/>
      <c r="AK40" s="54"/>
      <c r="AL40" s="54"/>
      <c r="AM40" s="54"/>
      <c r="AN40" s="55"/>
      <c r="AO40" s="54"/>
      <c r="AP40" s="54"/>
      <c r="AQ40" s="54"/>
      <c r="AR40" s="56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3" t="s">
        <v>1884</v>
      </c>
      <c r="E41" s="17">
        <v>220.88</v>
      </c>
      <c r="F41" s="17">
        <v>136.84</v>
      </c>
      <c r="G41" s="17">
        <v>142.03</v>
      </c>
      <c r="H41" s="17">
        <v>142.63999999999999</v>
      </c>
      <c r="I41" s="17">
        <v>113.12</v>
      </c>
      <c r="J41" s="17">
        <v>110.69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62"/>
      <c r="X41" s="53"/>
      <c r="Y41" s="54"/>
      <c r="Z41" s="54"/>
      <c r="AA41" s="54"/>
      <c r="AB41" s="55"/>
      <c r="AC41" s="54"/>
      <c r="AD41" s="54"/>
      <c r="AE41" s="54"/>
      <c r="AF41" s="54"/>
      <c r="AG41" s="54"/>
      <c r="AH41" s="49"/>
      <c r="AI41" s="54"/>
      <c r="AJ41" s="54"/>
      <c r="AK41" s="54"/>
      <c r="AL41" s="54"/>
      <c r="AM41" s="54"/>
      <c r="AN41" s="55"/>
      <c r="AO41" s="54"/>
      <c r="AP41" s="54"/>
      <c r="AQ41" s="54"/>
      <c r="AR41" s="56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3" t="s">
        <v>1885</v>
      </c>
      <c r="E42" s="17">
        <v>16.64</v>
      </c>
      <c r="F42" s="17">
        <v>12.78</v>
      </c>
      <c r="G42" s="17">
        <v>14.86</v>
      </c>
      <c r="H42" s="17">
        <v>16.3</v>
      </c>
      <c r="I42" s="17">
        <v>12.21</v>
      </c>
      <c r="J42" s="17">
        <v>12.55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62"/>
      <c r="X42" s="53"/>
      <c r="Y42" s="54"/>
      <c r="Z42" s="54"/>
      <c r="AA42" s="54"/>
      <c r="AB42" s="55"/>
      <c r="AC42" s="54"/>
      <c r="AD42" s="54"/>
      <c r="AE42" s="54"/>
      <c r="AF42" s="54"/>
      <c r="AG42" s="54"/>
      <c r="AH42" s="49"/>
      <c r="AI42" s="54"/>
      <c r="AJ42" s="54"/>
      <c r="AK42" s="54"/>
      <c r="AL42" s="54"/>
      <c r="AM42" s="54"/>
      <c r="AN42" s="55"/>
      <c r="AO42" s="54"/>
      <c r="AP42" s="54"/>
      <c r="AQ42" s="54"/>
      <c r="AR42" s="56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3" t="s">
        <v>1886</v>
      </c>
      <c r="E43" s="17">
        <v>219.64</v>
      </c>
      <c r="F43" s="17">
        <v>133.84</v>
      </c>
      <c r="G43" s="17">
        <v>134.94999999999999</v>
      </c>
      <c r="H43" s="17">
        <v>134.84</v>
      </c>
      <c r="I43" s="17">
        <v>105.16</v>
      </c>
      <c r="J43" s="17">
        <v>100.1</v>
      </c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62"/>
      <c r="X43" s="53"/>
      <c r="Y43" s="54"/>
      <c r="Z43" s="54"/>
      <c r="AA43" s="54"/>
      <c r="AB43" s="55"/>
      <c r="AC43" s="54"/>
      <c r="AD43" s="54"/>
      <c r="AE43" s="54"/>
      <c r="AF43" s="54"/>
      <c r="AG43" s="54"/>
      <c r="AH43" s="49"/>
      <c r="AI43" s="54"/>
      <c r="AJ43" s="54"/>
      <c r="AK43" s="54"/>
      <c r="AL43" s="54"/>
      <c r="AM43" s="54"/>
      <c r="AN43" s="55"/>
      <c r="AO43" s="54"/>
      <c r="AP43" s="54"/>
      <c r="AQ43" s="54"/>
      <c r="AR43" s="56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3" t="s">
        <v>1887</v>
      </c>
      <c r="E44" s="17">
        <v>4</v>
      </c>
      <c r="F44" s="17">
        <v>3.54</v>
      </c>
      <c r="G44" s="17">
        <v>3.68</v>
      </c>
      <c r="H44" s="17">
        <v>2.87</v>
      </c>
      <c r="I44" s="17">
        <v>3.29</v>
      </c>
      <c r="J44" s="17">
        <v>1.53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62"/>
      <c r="X44" s="53"/>
      <c r="Y44" s="54"/>
      <c r="Z44" s="54"/>
      <c r="AA44" s="54"/>
      <c r="AB44" s="55"/>
      <c r="AC44" s="54"/>
      <c r="AD44" s="54"/>
      <c r="AE44" s="54"/>
      <c r="AF44" s="54"/>
      <c r="AG44" s="54"/>
      <c r="AH44" s="49"/>
      <c r="AI44" s="54"/>
      <c r="AJ44" s="54"/>
      <c r="AK44" s="54"/>
      <c r="AL44" s="54"/>
      <c r="AM44" s="54"/>
      <c r="AN44" s="55"/>
      <c r="AO44" s="54"/>
      <c r="AP44" s="54"/>
      <c r="AQ44" s="54"/>
      <c r="AR44" s="56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3" t="s">
        <v>1888</v>
      </c>
      <c r="E45" s="17">
        <v>2.71</v>
      </c>
      <c r="F45" s="17">
        <v>2.5</v>
      </c>
      <c r="G45" s="17">
        <v>2.62</v>
      </c>
      <c r="H45" s="17">
        <v>1.86</v>
      </c>
      <c r="I45" s="17">
        <v>1.31</v>
      </c>
      <c r="J45" s="17">
        <v>0.54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62"/>
      <c r="X45" s="53"/>
      <c r="Y45" s="54"/>
      <c r="Z45" s="54"/>
      <c r="AA45" s="54"/>
      <c r="AB45" s="55"/>
      <c r="AC45" s="54"/>
      <c r="AD45" s="54"/>
      <c r="AE45" s="54"/>
      <c r="AF45" s="54"/>
      <c r="AG45" s="54"/>
      <c r="AH45" s="49"/>
      <c r="AI45" s="54"/>
      <c r="AJ45" s="54"/>
      <c r="AK45" s="54"/>
      <c r="AL45" s="54"/>
      <c r="AM45" s="54"/>
      <c r="AN45" s="55"/>
      <c r="AO45" s="54"/>
      <c r="AP45" s="54"/>
      <c r="AQ45" s="54"/>
      <c r="AR45" s="56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3" t="s">
        <v>1889</v>
      </c>
      <c r="E46" s="17">
        <v>2.1800000000000002</v>
      </c>
      <c r="F46" s="17">
        <v>1.62</v>
      </c>
      <c r="G46" s="17">
        <v>1.19</v>
      </c>
      <c r="H46" s="17">
        <v>0.87</v>
      </c>
      <c r="I46" s="17">
        <v>0.96</v>
      </c>
      <c r="J46" s="17">
        <v>0.88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62"/>
      <c r="X46" s="53"/>
      <c r="Y46" s="54"/>
      <c r="Z46" s="54"/>
      <c r="AA46" s="54"/>
      <c r="AB46" s="55"/>
      <c r="AC46" s="54"/>
      <c r="AD46" s="54"/>
      <c r="AE46" s="54"/>
      <c r="AF46" s="54"/>
      <c r="AG46" s="54"/>
      <c r="AH46" s="49"/>
      <c r="AI46" s="54"/>
      <c r="AJ46" s="54"/>
      <c r="AK46" s="54"/>
      <c r="AL46" s="54"/>
      <c r="AM46" s="54"/>
      <c r="AN46" s="55"/>
      <c r="AO46" s="54"/>
      <c r="AP46" s="54"/>
      <c r="AQ46" s="54"/>
      <c r="AR46" s="56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3" t="s">
        <v>1797</v>
      </c>
      <c r="E47" s="17">
        <v>0</v>
      </c>
      <c r="F47" s="17">
        <v>88.9</v>
      </c>
      <c r="G47" s="17">
        <v>89.48</v>
      </c>
      <c r="H47" s="17">
        <v>90.81</v>
      </c>
      <c r="I47" s="17">
        <v>88.4</v>
      </c>
      <c r="J47" s="17">
        <v>89.54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62"/>
      <c r="X47" s="53"/>
      <c r="Y47" s="54"/>
      <c r="Z47" s="54"/>
      <c r="AA47" s="54"/>
      <c r="AB47" s="55"/>
      <c r="AC47" s="54"/>
      <c r="AD47" s="54"/>
      <c r="AE47" s="54"/>
      <c r="AF47" s="54"/>
      <c r="AG47" s="54"/>
      <c r="AH47" s="49"/>
      <c r="AI47" s="54"/>
      <c r="AJ47" s="54"/>
      <c r="AK47" s="54"/>
      <c r="AL47" s="54"/>
      <c r="AM47" s="54"/>
      <c r="AN47" s="55"/>
      <c r="AO47" s="54"/>
      <c r="AP47" s="54"/>
      <c r="AQ47" s="54"/>
      <c r="AR47" s="56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3" t="s">
        <v>1798</v>
      </c>
      <c r="E48" s="17">
        <v>12.81</v>
      </c>
      <c r="F48" s="17">
        <v>9.26</v>
      </c>
      <c r="G48" s="17">
        <v>10.89</v>
      </c>
      <c r="H48" s="17">
        <v>11.51</v>
      </c>
      <c r="I48" s="17">
        <v>12.34</v>
      </c>
      <c r="J48" s="17">
        <v>11.99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62"/>
      <c r="X48" s="53"/>
      <c r="Y48" s="54"/>
      <c r="Z48" s="54"/>
      <c r="AA48" s="54"/>
      <c r="AB48" s="55"/>
      <c r="AC48" s="54"/>
      <c r="AD48" s="54"/>
      <c r="AE48" s="54"/>
      <c r="AF48" s="54"/>
      <c r="AG48" s="54"/>
      <c r="AH48" s="49"/>
      <c r="AI48" s="54"/>
      <c r="AJ48" s="54"/>
      <c r="AK48" s="54"/>
      <c r="AL48" s="54"/>
      <c r="AM48" s="54"/>
      <c r="AN48" s="55"/>
      <c r="AO48" s="54"/>
      <c r="AP48" s="54"/>
      <c r="AQ48" s="54"/>
      <c r="AR48" s="56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3" t="s">
        <v>1890</v>
      </c>
      <c r="E49" s="17">
        <v>23.28</v>
      </c>
      <c r="F49" s="17">
        <v>11.44</v>
      </c>
      <c r="G49" s="17">
        <v>13.83</v>
      </c>
      <c r="H49" s="17">
        <v>15.98</v>
      </c>
      <c r="I49" s="17">
        <v>18.899999999999999</v>
      </c>
      <c r="J49" s="17">
        <v>19.420000000000002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62"/>
      <c r="X49" s="53"/>
      <c r="Y49" s="54"/>
      <c r="Z49" s="54"/>
      <c r="AA49" s="54"/>
      <c r="AB49" s="55"/>
      <c r="AC49" s="54"/>
      <c r="AD49" s="54"/>
      <c r="AE49" s="54"/>
      <c r="AF49" s="54"/>
      <c r="AG49" s="54"/>
      <c r="AH49" s="49"/>
      <c r="AI49" s="54"/>
      <c r="AJ49" s="54"/>
      <c r="AK49" s="54"/>
      <c r="AL49" s="54"/>
      <c r="AM49" s="54"/>
      <c r="AN49" s="55"/>
      <c r="AO49" s="54"/>
      <c r="AP49" s="54"/>
      <c r="AQ49" s="54"/>
      <c r="AR49" s="56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3" t="s">
        <v>1799</v>
      </c>
      <c r="E50" s="17">
        <v>16.170000000000002</v>
      </c>
      <c r="F50" s="17">
        <v>12.3</v>
      </c>
      <c r="G50" s="17">
        <v>14.85</v>
      </c>
      <c r="H50" s="17">
        <v>17.23</v>
      </c>
      <c r="I50" s="17">
        <v>21.4</v>
      </c>
      <c r="J50" s="17">
        <v>25.35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62"/>
      <c r="X50" s="53"/>
      <c r="Y50" s="54"/>
      <c r="Z50" s="54"/>
      <c r="AA50" s="54"/>
      <c r="AB50" s="55"/>
      <c r="AC50" s="54"/>
      <c r="AD50" s="54"/>
      <c r="AE50" s="54"/>
      <c r="AF50" s="54"/>
      <c r="AG50" s="54"/>
      <c r="AH50" s="49"/>
      <c r="AI50" s="54"/>
      <c r="AJ50" s="54"/>
      <c r="AK50" s="54"/>
      <c r="AL50" s="54"/>
      <c r="AM50" s="54"/>
      <c r="AN50" s="55"/>
      <c r="AO50" s="54"/>
      <c r="AP50" s="54"/>
      <c r="AQ50" s="54"/>
      <c r="AR50" s="56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3" t="s">
        <v>1891</v>
      </c>
      <c r="E51" s="17">
        <v>1319.34</v>
      </c>
      <c r="F51" s="17">
        <v>1047</v>
      </c>
      <c r="G51" s="17">
        <v>907.86</v>
      </c>
      <c r="H51" s="17">
        <v>826.99</v>
      </c>
      <c r="I51" s="17">
        <v>861.07</v>
      </c>
      <c r="J51" s="17">
        <v>796.98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62"/>
      <c r="X51" s="53"/>
      <c r="Y51" s="54"/>
      <c r="Z51" s="54"/>
      <c r="AA51" s="54"/>
      <c r="AB51" s="55"/>
      <c r="AC51" s="54"/>
      <c r="AD51" s="54"/>
      <c r="AE51" s="54"/>
      <c r="AF51" s="54"/>
      <c r="AG51" s="54"/>
      <c r="AH51" s="49"/>
      <c r="AI51" s="54"/>
      <c r="AJ51" s="54"/>
      <c r="AK51" s="54"/>
      <c r="AL51" s="54"/>
      <c r="AM51" s="54"/>
      <c r="AN51" s="55"/>
      <c r="AO51" s="54"/>
      <c r="AP51" s="54"/>
      <c r="AQ51" s="54"/>
      <c r="AR51" s="56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3" t="s">
        <v>1892</v>
      </c>
      <c r="E52" s="17">
        <v>0</v>
      </c>
      <c r="F52" s="17">
        <v>0</v>
      </c>
      <c r="G52" s="17">
        <v>7.0000000000000007E-2</v>
      </c>
      <c r="H52" s="17">
        <v>0.17</v>
      </c>
      <c r="I52" s="17">
        <v>0.21</v>
      </c>
      <c r="J52" s="17">
        <v>0.35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62"/>
      <c r="X52" s="53"/>
      <c r="Y52" s="54"/>
      <c r="Z52" s="54"/>
      <c r="AA52" s="54"/>
      <c r="AB52" s="55"/>
      <c r="AC52" s="54"/>
      <c r="AD52" s="54"/>
      <c r="AE52" s="54"/>
      <c r="AF52" s="54"/>
      <c r="AG52" s="54"/>
      <c r="AH52" s="49"/>
      <c r="AI52" s="54"/>
      <c r="AJ52" s="54"/>
      <c r="AK52" s="54"/>
      <c r="AL52" s="54"/>
      <c r="AM52" s="54"/>
      <c r="AN52" s="55"/>
      <c r="AO52" s="54"/>
      <c r="AP52" s="54"/>
      <c r="AQ52" s="54"/>
      <c r="AR52" s="56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3"/>
      <c r="E53" s="17"/>
      <c r="F53" s="17"/>
      <c r="G53" s="17"/>
      <c r="H53" s="17"/>
      <c r="I53" s="17"/>
      <c r="J53" s="17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62"/>
      <c r="X53" s="53"/>
      <c r="Y53" s="54"/>
      <c r="Z53" s="54"/>
      <c r="AA53" s="54"/>
      <c r="AB53" s="55"/>
      <c r="AC53" s="54"/>
      <c r="AD53" s="54"/>
      <c r="AE53" s="54"/>
      <c r="AF53" s="54"/>
      <c r="AG53" s="54"/>
      <c r="AH53" s="49"/>
      <c r="AI53" s="54"/>
      <c r="AJ53" s="54"/>
      <c r="AK53" s="54"/>
      <c r="AL53" s="54"/>
      <c r="AM53" s="54"/>
      <c r="AN53" s="55"/>
      <c r="AO53" s="54"/>
      <c r="AP53" s="54"/>
      <c r="AQ53" s="54"/>
      <c r="AR53" s="56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3"/>
      <c r="E54" s="17"/>
      <c r="F54" s="17"/>
      <c r="G54" s="17"/>
      <c r="H54" s="17"/>
      <c r="I54" s="17"/>
      <c r="J54" s="17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62"/>
      <c r="X54" s="53"/>
      <c r="Y54" s="54"/>
      <c r="Z54" s="54"/>
      <c r="AA54" s="54"/>
      <c r="AB54" s="55"/>
      <c r="AC54" s="54"/>
      <c r="AD54" s="54"/>
      <c r="AE54" s="54"/>
      <c r="AF54" s="54"/>
      <c r="AG54" s="54"/>
      <c r="AH54" s="49"/>
      <c r="AI54" s="54"/>
      <c r="AJ54" s="54"/>
      <c r="AK54" s="54"/>
      <c r="AL54" s="54"/>
      <c r="AM54" s="54"/>
      <c r="AN54" s="55"/>
      <c r="AO54" s="54"/>
      <c r="AP54" s="54"/>
      <c r="AQ54" s="54"/>
      <c r="AR54" s="56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3"/>
      <c r="E55" s="17"/>
      <c r="F55" s="17"/>
      <c r="G55" s="17"/>
      <c r="H55" s="17"/>
      <c r="I55" s="17"/>
      <c r="J55" s="17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62"/>
      <c r="X55" s="53"/>
      <c r="Y55" s="54"/>
      <c r="Z55" s="54"/>
      <c r="AA55" s="54"/>
      <c r="AB55" s="55"/>
      <c r="AC55" s="54"/>
      <c r="AD55" s="54"/>
      <c r="AE55" s="54"/>
      <c r="AF55" s="54"/>
      <c r="AG55" s="54"/>
      <c r="AH55" s="49"/>
      <c r="AI55" s="54"/>
      <c r="AJ55" s="54"/>
      <c r="AK55" s="54"/>
      <c r="AL55" s="54"/>
      <c r="AM55" s="54"/>
      <c r="AN55" s="55"/>
      <c r="AO55" s="54"/>
      <c r="AP55" s="54"/>
      <c r="AQ55" s="54"/>
      <c r="AR55" s="56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3"/>
      <c r="E56" s="17"/>
      <c r="F56" s="17"/>
      <c r="G56" s="17"/>
      <c r="H56" s="17"/>
      <c r="I56" s="17"/>
      <c r="J56" s="17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62"/>
      <c r="X56" s="53"/>
      <c r="Y56" s="54"/>
      <c r="Z56" s="54"/>
      <c r="AA56" s="54"/>
      <c r="AB56" s="55"/>
      <c r="AC56" s="54"/>
      <c r="AD56" s="54"/>
      <c r="AE56" s="54"/>
      <c r="AF56" s="54"/>
      <c r="AG56" s="54"/>
      <c r="AH56" s="49"/>
      <c r="AI56" s="54"/>
      <c r="AJ56" s="54"/>
      <c r="AK56" s="54"/>
      <c r="AL56" s="54"/>
      <c r="AM56" s="54"/>
      <c r="AN56" s="55"/>
      <c r="AO56" s="54"/>
      <c r="AP56" s="54"/>
      <c r="AQ56" s="54"/>
      <c r="AR56" s="56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3"/>
      <c r="E57" s="17"/>
      <c r="F57" s="17"/>
      <c r="G57" s="17"/>
      <c r="H57" s="17"/>
      <c r="I57" s="17"/>
      <c r="J57" s="17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62"/>
      <c r="X57" s="53"/>
      <c r="Y57" s="54"/>
      <c r="Z57" s="54"/>
      <c r="AA57" s="54"/>
      <c r="AB57" s="55"/>
      <c r="AC57" s="54"/>
      <c r="AD57" s="54"/>
      <c r="AE57" s="54"/>
      <c r="AF57" s="54"/>
      <c r="AG57" s="54"/>
      <c r="AH57" s="49"/>
      <c r="AI57" s="54"/>
      <c r="AJ57" s="54"/>
      <c r="AK57" s="54"/>
      <c r="AL57" s="54"/>
      <c r="AM57" s="54"/>
      <c r="AN57" s="55"/>
      <c r="AO57" s="54"/>
      <c r="AP57" s="54"/>
      <c r="AQ57" s="54"/>
      <c r="AR57" s="56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3"/>
      <c r="E58" s="17"/>
      <c r="F58" s="17"/>
      <c r="G58" s="17"/>
      <c r="H58" s="17"/>
      <c r="I58" s="17"/>
      <c r="J58" s="17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62"/>
      <c r="X58" s="53"/>
      <c r="Y58" s="54"/>
      <c r="Z58" s="54"/>
      <c r="AA58" s="54"/>
      <c r="AB58" s="55"/>
      <c r="AC58" s="54"/>
      <c r="AD58" s="54"/>
      <c r="AE58" s="54"/>
      <c r="AF58" s="54"/>
      <c r="AG58" s="54"/>
      <c r="AH58" s="49"/>
      <c r="AI58" s="54"/>
      <c r="AJ58" s="54"/>
      <c r="AK58" s="54"/>
      <c r="AL58" s="54"/>
      <c r="AM58" s="54"/>
      <c r="AN58" s="55"/>
      <c r="AO58" s="54"/>
      <c r="AP58" s="54"/>
      <c r="AQ58" s="54"/>
      <c r="AR58" s="56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3"/>
      <c r="E59" s="17"/>
      <c r="F59" s="17"/>
      <c r="G59" s="17"/>
      <c r="H59" s="17"/>
      <c r="I59" s="17"/>
      <c r="J59" s="17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62"/>
      <c r="X59" s="53"/>
      <c r="Y59" s="54"/>
      <c r="Z59" s="54"/>
      <c r="AA59" s="54"/>
      <c r="AB59" s="55"/>
      <c r="AC59" s="54"/>
      <c r="AD59" s="54"/>
      <c r="AE59" s="54"/>
      <c r="AF59" s="54"/>
      <c r="AG59" s="54"/>
      <c r="AH59" s="49"/>
      <c r="AI59" s="54"/>
      <c r="AJ59" s="54"/>
      <c r="AK59" s="54"/>
      <c r="AL59" s="54"/>
      <c r="AM59" s="54"/>
      <c r="AN59" s="55"/>
      <c r="AO59" s="54"/>
      <c r="AP59" s="54"/>
      <c r="AQ59" s="54"/>
      <c r="AR59" s="56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3"/>
      <c r="E60" s="17"/>
      <c r="F60" s="17"/>
      <c r="G60" s="17"/>
      <c r="H60" s="17"/>
      <c r="I60" s="17"/>
      <c r="J60" s="17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62"/>
      <c r="X60" s="53"/>
      <c r="Y60" s="54"/>
      <c r="Z60" s="54"/>
      <c r="AA60" s="54"/>
      <c r="AB60" s="55"/>
      <c r="AC60" s="54"/>
      <c r="AD60" s="54"/>
      <c r="AE60" s="54"/>
      <c r="AF60" s="54"/>
      <c r="AG60" s="54"/>
      <c r="AH60" s="49"/>
      <c r="AI60" s="54"/>
      <c r="AJ60" s="54"/>
      <c r="AK60" s="54"/>
      <c r="AL60" s="54"/>
      <c r="AM60" s="54"/>
      <c r="AN60" s="55"/>
      <c r="AO60" s="54"/>
      <c r="AP60" s="54"/>
      <c r="AQ60" s="54"/>
      <c r="AR60" s="56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3"/>
      <c r="E61" s="17"/>
      <c r="F61" s="17"/>
      <c r="G61" s="17"/>
      <c r="H61" s="17"/>
      <c r="I61" s="17"/>
      <c r="J61" s="17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62"/>
      <c r="X61" s="53"/>
      <c r="Y61" s="54"/>
      <c r="Z61" s="54"/>
      <c r="AA61" s="54"/>
      <c r="AB61" s="55"/>
      <c r="AC61" s="54"/>
      <c r="AD61" s="54"/>
      <c r="AE61" s="54"/>
      <c r="AF61" s="54"/>
      <c r="AG61" s="54"/>
      <c r="AH61" s="49"/>
      <c r="AI61" s="54"/>
      <c r="AJ61" s="54"/>
      <c r="AK61" s="54"/>
      <c r="AL61" s="54"/>
      <c r="AM61" s="54"/>
      <c r="AN61" s="55"/>
      <c r="AO61" s="54"/>
      <c r="AP61" s="54"/>
      <c r="AQ61" s="54"/>
      <c r="AR61" s="56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3"/>
      <c r="E62" s="17"/>
      <c r="F62" s="17"/>
      <c r="G62" s="17"/>
      <c r="H62" s="17"/>
      <c r="I62" s="17"/>
      <c r="J62" s="17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62"/>
      <c r="X62" s="53"/>
      <c r="Y62" s="54"/>
      <c r="Z62" s="54"/>
      <c r="AA62" s="54"/>
      <c r="AB62" s="55"/>
      <c r="AC62" s="54"/>
      <c r="AD62" s="54"/>
      <c r="AE62" s="54"/>
      <c r="AF62" s="54"/>
      <c r="AG62" s="54"/>
      <c r="AH62" s="49"/>
      <c r="AI62" s="54"/>
      <c r="AJ62" s="54"/>
      <c r="AK62" s="54"/>
      <c r="AL62" s="54"/>
      <c r="AM62" s="54"/>
      <c r="AN62" s="55"/>
      <c r="AO62" s="54"/>
      <c r="AP62" s="54"/>
      <c r="AQ62" s="54"/>
      <c r="AR62" s="56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3"/>
      <c r="E63" s="17"/>
      <c r="F63" s="17"/>
      <c r="G63" s="17"/>
      <c r="H63" s="17"/>
      <c r="I63" s="17"/>
      <c r="J63" s="17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62"/>
      <c r="X63" s="53"/>
      <c r="Y63" s="54"/>
      <c r="Z63" s="54"/>
      <c r="AA63" s="54"/>
      <c r="AB63" s="55"/>
      <c r="AC63" s="54"/>
      <c r="AD63" s="54"/>
      <c r="AE63" s="54"/>
      <c r="AF63" s="54"/>
      <c r="AG63" s="54"/>
      <c r="AH63" s="49"/>
      <c r="AI63" s="54"/>
      <c r="AJ63" s="54"/>
      <c r="AK63" s="54"/>
      <c r="AL63" s="54"/>
      <c r="AM63" s="54"/>
      <c r="AN63" s="55"/>
      <c r="AO63" s="54"/>
      <c r="AP63" s="54"/>
      <c r="AQ63" s="54"/>
      <c r="AR63" s="56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3"/>
      <c r="E64" s="17"/>
      <c r="F64" s="17"/>
      <c r="G64" s="17"/>
      <c r="H64" s="17"/>
      <c r="I64" s="17"/>
      <c r="J64" s="17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62"/>
      <c r="X64" s="53"/>
      <c r="Y64" s="54"/>
      <c r="Z64" s="54"/>
      <c r="AA64" s="54"/>
      <c r="AB64" s="55"/>
      <c r="AC64" s="54"/>
      <c r="AD64" s="54"/>
      <c r="AE64" s="54"/>
      <c r="AF64" s="54"/>
      <c r="AG64" s="54"/>
      <c r="AH64" s="49"/>
      <c r="AI64" s="54"/>
      <c r="AJ64" s="54"/>
      <c r="AK64" s="54"/>
      <c r="AL64" s="54"/>
      <c r="AM64" s="54"/>
      <c r="AN64" s="55"/>
      <c r="AO64" s="54"/>
      <c r="AP64" s="54"/>
      <c r="AQ64" s="54"/>
      <c r="AR64" s="56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3"/>
      <c r="E65" s="17"/>
      <c r="F65" s="17"/>
      <c r="G65" s="17"/>
      <c r="H65" s="17"/>
      <c r="I65" s="17"/>
      <c r="J65" s="17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62"/>
      <c r="X65" s="53"/>
      <c r="Y65" s="54"/>
      <c r="Z65" s="54"/>
      <c r="AA65" s="54"/>
      <c r="AB65" s="55"/>
      <c r="AC65" s="54"/>
      <c r="AD65" s="54"/>
      <c r="AE65" s="54"/>
      <c r="AF65" s="54"/>
      <c r="AG65" s="54"/>
      <c r="AH65" s="49"/>
      <c r="AI65" s="54"/>
      <c r="AJ65" s="54"/>
      <c r="AK65" s="54"/>
      <c r="AL65" s="54"/>
      <c r="AM65" s="54"/>
      <c r="AN65" s="55"/>
      <c r="AO65" s="54"/>
      <c r="AP65" s="54"/>
      <c r="AQ65" s="54"/>
      <c r="AR65" s="56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3"/>
      <c r="E66" s="17"/>
      <c r="F66" s="17"/>
      <c r="G66" s="17"/>
      <c r="H66" s="17"/>
      <c r="I66" s="17"/>
      <c r="J66" s="17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62"/>
      <c r="X66" s="53"/>
      <c r="Y66" s="54"/>
      <c r="Z66" s="54"/>
      <c r="AA66" s="54"/>
      <c r="AB66" s="55"/>
      <c r="AC66" s="54"/>
      <c r="AD66" s="54"/>
      <c r="AE66" s="54"/>
      <c r="AF66" s="54"/>
      <c r="AG66" s="54"/>
      <c r="AH66" s="49"/>
      <c r="AI66" s="54"/>
      <c r="AJ66" s="54"/>
      <c r="AK66" s="54"/>
      <c r="AL66" s="54"/>
      <c r="AM66" s="54"/>
      <c r="AN66" s="55"/>
      <c r="AO66" s="54"/>
      <c r="AP66" s="54"/>
      <c r="AQ66" s="54"/>
      <c r="AR66" s="56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3"/>
      <c r="E67" s="17"/>
      <c r="F67" s="17"/>
      <c r="G67" s="17"/>
      <c r="H67" s="17"/>
      <c r="I67" s="17"/>
      <c r="J67" s="17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62"/>
      <c r="X67" s="53"/>
      <c r="Y67" s="54"/>
      <c r="Z67" s="54"/>
      <c r="AA67" s="54"/>
      <c r="AB67" s="55"/>
      <c r="AC67" s="54"/>
      <c r="AD67" s="54"/>
      <c r="AE67" s="54"/>
      <c r="AF67" s="54"/>
      <c r="AG67" s="54"/>
      <c r="AH67" s="49"/>
      <c r="AI67" s="54"/>
      <c r="AJ67" s="54"/>
      <c r="AK67" s="54"/>
      <c r="AL67" s="54"/>
      <c r="AM67" s="54"/>
      <c r="AN67" s="55"/>
      <c r="AO67" s="54"/>
      <c r="AP67" s="54"/>
      <c r="AQ67" s="54"/>
      <c r="AR67" s="56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3"/>
      <c r="E68" s="17"/>
      <c r="F68" s="17"/>
      <c r="G68" s="17"/>
      <c r="H68" s="17"/>
      <c r="I68" s="17"/>
      <c r="J68" s="17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62"/>
      <c r="X68" s="53"/>
      <c r="Y68" s="54"/>
      <c r="Z68" s="54"/>
      <c r="AA68" s="54"/>
      <c r="AB68" s="55"/>
      <c r="AC68" s="54"/>
      <c r="AD68" s="54"/>
      <c r="AE68" s="54"/>
      <c r="AF68" s="54"/>
      <c r="AG68" s="54"/>
      <c r="AH68" s="49"/>
      <c r="AI68" s="54"/>
      <c r="AJ68" s="54"/>
      <c r="AK68" s="54"/>
      <c r="AL68" s="54"/>
      <c r="AM68" s="54"/>
      <c r="AN68" s="55"/>
      <c r="AO68" s="54"/>
      <c r="AP68" s="54"/>
      <c r="AQ68" s="54"/>
      <c r="AR68" s="56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3"/>
      <c r="E69" s="17"/>
      <c r="F69" s="17"/>
      <c r="G69" s="17"/>
      <c r="H69" s="17"/>
      <c r="I69" s="17"/>
      <c r="J69" s="17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62"/>
      <c r="X69" s="53"/>
      <c r="Y69" s="54"/>
      <c r="Z69" s="54"/>
      <c r="AA69" s="54"/>
      <c r="AB69" s="55"/>
      <c r="AC69" s="54"/>
      <c r="AD69" s="54"/>
      <c r="AE69" s="54"/>
      <c r="AF69" s="54"/>
      <c r="AG69" s="54"/>
      <c r="AH69" s="49"/>
      <c r="AI69" s="54"/>
      <c r="AJ69" s="54"/>
      <c r="AK69" s="54"/>
      <c r="AL69" s="54"/>
      <c r="AM69" s="54"/>
      <c r="AN69" s="55"/>
      <c r="AO69" s="54"/>
      <c r="AP69" s="54"/>
      <c r="AQ69" s="54"/>
      <c r="AR69" s="56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3"/>
      <c r="E70" s="17"/>
      <c r="F70" s="17"/>
      <c r="G70" s="17"/>
      <c r="H70" s="17"/>
      <c r="I70" s="17"/>
      <c r="J70" s="17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62"/>
      <c r="X70" s="53"/>
      <c r="Y70" s="54"/>
      <c r="Z70" s="54"/>
      <c r="AA70" s="54"/>
      <c r="AB70" s="55"/>
      <c r="AC70" s="54"/>
      <c r="AD70" s="54"/>
      <c r="AE70" s="54"/>
      <c r="AF70" s="54"/>
      <c r="AG70" s="54"/>
      <c r="AH70" s="49"/>
      <c r="AI70" s="54"/>
      <c r="AJ70" s="54"/>
      <c r="AK70" s="54"/>
      <c r="AL70" s="54"/>
      <c r="AM70" s="54"/>
      <c r="AN70" s="55"/>
      <c r="AO70" s="54"/>
      <c r="AP70" s="54"/>
      <c r="AQ70" s="54"/>
      <c r="AR70" s="56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3"/>
      <c r="E71" s="17"/>
      <c r="F71" s="17"/>
      <c r="G71" s="17"/>
      <c r="H71" s="17"/>
      <c r="I71" s="17"/>
      <c r="J71" s="17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62"/>
      <c r="X71" s="53"/>
      <c r="Y71" s="54"/>
      <c r="Z71" s="54"/>
      <c r="AA71" s="54"/>
      <c r="AB71" s="55"/>
      <c r="AC71" s="54"/>
      <c r="AD71" s="54"/>
      <c r="AE71" s="54"/>
      <c r="AF71" s="54"/>
      <c r="AG71" s="54"/>
      <c r="AH71" s="49"/>
      <c r="AI71" s="54"/>
      <c r="AJ71" s="54"/>
      <c r="AK71" s="54"/>
      <c r="AL71" s="54"/>
      <c r="AM71" s="54"/>
      <c r="AN71" s="55"/>
      <c r="AO71" s="54"/>
      <c r="AP71" s="54"/>
      <c r="AQ71" s="54"/>
      <c r="AR71" s="56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3"/>
      <c r="E72" s="17"/>
      <c r="F72" s="17"/>
      <c r="G72" s="17"/>
      <c r="H72" s="17"/>
      <c r="I72" s="17"/>
      <c r="J72" s="17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62"/>
      <c r="X72" s="53"/>
      <c r="Y72" s="54"/>
      <c r="Z72" s="54"/>
      <c r="AA72" s="54"/>
      <c r="AB72" s="55"/>
      <c r="AC72" s="54"/>
      <c r="AD72" s="54"/>
      <c r="AE72" s="54"/>
      <c r="AF72" s="54"/>
      <c r="AG72" s="54"/>
      <c r="AH72" s="49"/>
      <c r="AI72" s="54"/>
      <c r="AJ72" s="54"/>
      <c r="AK72" s="54"/>
      <c r="AL72" s="54"/>
      <c r="AM72" s="54"/>
      <c r="AN72" s="55"/>
      <c r="AO72" s="54"/>
      <c r="AP72" s="54"/>
      <c r="AQ72" s="54"/>
      <c r="AR72" s="56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3"/>
      <c r="E73" s="17"/>
      <c r="F73" s="17"/>
      <c r="G73" s="17"/>
      <c r="H73" s="17"/>
      <c r="I73" s="17"/>
      <c r="J73" s="17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62"/>
      <c r="X73" s="53"/>
      <c r="Y73" s="54"/>
      <c r="Z73" s="54"/>
      <c r="AA73" s="54"/>
      <c r="AB73" s="55"/>
      <c r="AC73" s="54"/>
      <c r="AD73" s="54"/>
      <c r="AE73" s="54"/>
      <c r="AF73" s="54"/>
      <c r="AG73" s="54"/>
      <c r="AH73" s="49"/>
      <c r="AI73" s="54"/>
      <c r="AJ73" s="54"/>
      <c r="AK73" s="54"/>
      <c r="AL73" s="54"/>
      <c r="AM73" s="54"/>
      <c r="AN73" s="55"/>
      <c r="AO73" s="54"/>
      <c r="AP73" s="54"/>
      <c r="AQ73" s="54"/>
      <c r="AR73" s="56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3"/>
      <c r="E74" s="17"/>
      <c r="F74" s="17"/>
      <c r="G74" s="17"/>
      <c r="H74" s="17"/>
      <c r="I74" s="17"/>
      <c r="J74" s="17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62"/>
      <c r="X74" s="53"/>
      <c r="Y74" s="54"/>
      <c r="Z74" s="54"/>
      <c r="AA74" s="54"/>
      <c r="AB74" s="55"/>
      <c r="AC74" s="54"/>
      <c r="AD74" s="54"/>
      <c r="AE74" s="54"/>
      <c r="AF74" s="54"/>
      <c r="AG74" s="54"/>
      <c r="AH74" s="49"/>
      <c r="AI74" s="54"/>
      <c r="AJ74" s="54"/>
      <c r="AK74" s="54"/>
      <c r="AL74" s="54"/>
      <c r="AM74" s="54"/>
      <c r="AN74" s="55"/>
      <c r="AO74" s="54"/>
      <c r="AP74" s="54"/>
      <c r="AQ74" s="54"/>
      <c r="AR74" s="56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3"/>
      <c r="E75" s="17"/>
      <c r="F75" s="17"/>
      <c r="G75" s="17"/>
      <c r="H75" s="17"/>
      <c r="I75" s="17"/>
      <c r="J75" s="17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63"/>
      <c r="X75" s="57"/>
      <c r="Y75" s="58"/>
      <c r="Z75" s="58"/>
      <c r="AA75" s="58"/>
      <c r="AB75" s="59"/>
      <c r="AC75" s="58"/>
      <c r="AD75" s="58"/>
      <c r="AE75" s="58"/>
      <c r="AF75" s="58"/>
      <c r="AG75" s="58"/>
      <c r="AH75" s="60"/>
      <c r="AI75" s="58"/>
      <c r="AJ75" s="58"/>
      <c r="AK75" s="58"/>
      <c r="AL75" s="58"/>
      <c r="AM75" s="58"/>
      <c r="AN75" s="59"/>
      <c r="AO75" s="58"/>
      <c r="AP75" s="58"/>
      <c r="AQ75" s="58"/>
      <c r="AR75" s="6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3"/>
      <c r="E76" s="17"/>
      <c r="F76" s="17"/>
      <c r="G76" s="17"/>
      <c r="H76" s="17"/>
      <c r="I76" s="17"/>
      <c r="J76" s="17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25"/>
      <c r="X76" s="4"/>
      <c r="Y76" s="4"/>
      <c r="Z76" s="4"/>
      <c r="AA76" s="4"/>
      <c r="AB76" s="26"/>
      <c r="AC76" s="4"/>
      <c r="AD76" s="4"/>
      <c r="AE76" s="4"/>
      <c r="AF76" s="4"/>
      <c r="AG76" s="4"/>
      <c r="AH76" s="49"/>
      <c r="AI76" s="4"/>
      <c r="AJ76" s="4"/>
      <c r="AK76" s="4"/>
      <c r="AL76" s="4"/>
      <c r="AM76" s="4"/>
      <c r="AN76" s="26"/>
      <c r="AO76" s="4"/>
      <c r="AP76" s="4"/>
      <c r="AQ76" s="4"/>
      <c r="AR76" s="4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3"/>
      <c r="E77" s="17"/>
      <c r="F77" s="17"/>
      <c r="G77" s="17"/>
      <c r="H77" s="17"/>
      <c r="I77" s="17"/>
      <c r="J77" s="17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25"/>
      <c r="X77" s="4"/>
      <c r="Y77" s="4"/>
      <c r="Z77" s="4"/>
      <c r="AA77" s="4"/>
      <c r="AB77" s="26"/>
      <c r="AC77" s="4"/>
      <c r="AD77" s="4"/>
      <c r="AE77" s="4"/>
      <c r="AF77" s="4"/>
      <c r="AG77" s="4"/>
      <c r="AH77" s="49"/>
      <c r="AI77" s="4"/>
      <c r="AJ77" s="4"/>
      <c r="AK77" s="4"/>
      <c r="AL77" s="4"/>
      <c r="AM77" s="4"/>
      <c r="AN77" s="26"/>
      <c r="AO77" s="4"/>
      <c r="AP77" s="4"/>
      <c r="AQ77" s="4"/>
      <c r="AR77" s="4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3"/>
      <c r="E78" s="17"/>
      <c r="F78" s="17"/>
      <c r="G78" s="17"/>
      <c r="H78" s="17"/>
      <c r="I78" s="17"/>
      <c r="J78" s="17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25"/>
      <c r="X78" s="4"/>
      <c r="Y78" s="4"/>
      <c r="Z78" s="4"/>
      <c r="AA78" s="4"/>
      <c r="AB78" s="26"/>
      <c r="AC78" s="4"/>
      <c r="AD78" s="4"/>
      <c r="AE78" s="4"/>
      <c r="AF78" s="4"/>
      <c r="AG78" s="4"/>
      <c r="AH78" s="49"/>
      <c r="AI78" s="4"/>
      <c r="AJ78" s="4"/>
      <c r="AK78" s="4"/>
      <c r="AL78" s="4"/>
      <c r="AM78" s="4"/>
      <c r="AN78" s="26"/>
      <c r="AO78" s="4"/>
      <c r="AP78" s="4"/>
      <c r="AQ78" s="4"/>
      <c r="AR78" s="4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3"/>
      <c r="E79" s="17"/>
      <c r="F79" s="17"/>
      <c r="G79" s="17"/>
      <c r="H79" s="17"/>
      <c r="I79" s="17"/>
      <c r="J79" s="17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25"/>
      <c r="X79" s="4"/>
      <c r="Y79" s="4"/>
      <c r="Z79" s="4"/>
      <c r="AA79" s="4"/>
      <c r="AB79" s="26"/>
      <c r="AC79" s="4"/>
      <c r="AD79" s="4"/>
      <c r="AE79" s="4"/>
      <c r="AF79" s="4"/>
      <c r="AG79" s="4"/>
      <c r="AH79" s="49"/>
      <c r="AI79" s="4"/>
      <c r="AJ79" s="4"/>
      <c r="AK79" s="4"/>
      <c r="AL79" s="4"/>
      <c r="AM79" s="4"/>
      <c r="AN79" s="26"/>
      <c r="AO79" s="4"/>
      <c r="AP79" s="4"/>
      <c r="AQ79" s="4"/>
      <c r="AR79" s="4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3"/>
      <c r="E80" s="17"/>
      <c r="F80" s="17"/>
      <c r="G80" s="17"/>
      <c r="H80" s="17"/>
      <c r="I80" s="17"/>
      <c r="J80" s="17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25"/>
      <c r="X80" s="4"/>
      <c r="Y80" s="4"/>
      <c r="Z80" s="4"/>
      <c r="AA80" s="4"/>
      <c r="AB80" s="26"/>
      <c r="AC80" s="4"/>
      <c r="AD80" s="4"/>
      <c r="AE80" s="4"/>
      <c r="AF80" s="4"/>
      <c r="AG80" s="4"/>
      <c r="AH80" s="49"/>
      <c r="AI80" s="4"/>
      <c r="AJ80" s="4"/>
      <c r="AK80" s="4"/>
      <c r="AL80" s="4"/>
      <c r="AM80" s="4"/>
      <c r="AN80" s="26"/>
      <c r="AO80" s="4"/>
      <c r="AP80" s="4"/>
      <c r="AQ80" s="4"/>
      <c r="AR80" s="4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3"/>
      <c r="E81" s="17"/>
      <c r="F81" s="17"/>
      <c r="G81" s="17"/>
      <c r="H81" s="17"/>
      <c r="I81" s="17"/>
      <c r="J81" s="17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25"/>
      <c r="X81" s="4"/>
      <c r="Y81" s="4"/>
      <c r="Z81" s="4"/>
      <c r="AA81" s="4"/>
      <c r="AB81" s="26"/>
      <c r="AC81" s="4"/>
      <c r="AD81" s="4"/>
      <c r="AE81" s="4"/>
      <c r="AF81" s="4"/>
      <c r="AG81" s="4"/>
      <c r="AH81" s="49"/>
      <c r="AI81" s="4"/>
      <c r="AJ81" s="4"/>
      <c r="AK81" s="4"/>
      <c r="AL81" s="4"/>
      <c r="AM81" s="4"/>
      <c r="AN81" s="26"/>
      <c r="AO81" s="4"/>
      <c r="AP81" s="4"/>
      <c r="AQ81" s="4"/>
      <c r="AR81" s="4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3"/>
      <c r="E82" s="17"/>
      <c r="F82" s="17"/>
      <c r="G82" s="17"/>
      <c r="H82" s="17"/>
      <c r="I82" s="17"/>
      <c r="J82" s="17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25"/>
      <c r="X82" s="4"/>
      <c r="Y82" s="4"/>
      <c r="Z82" s="4"/>
      <c r="AA82" s="4"/>
      <c r="AB82" s="26"/>
      <c r="AC82" s="4"/>
      <c r="AD82" s="4"/>
      <c r="AE82" s="4"/>
      <c r="AF82" s="4"/>
      <c r="AG82" s="4"/>
      <c r="AH82" s="49"/>
      <c r="AI82" s="4"/>
      <c r="AJ82" s="4"/>
      <c r="AK82" s="4"/>
      <c r="AL82" s="4"/>
      <c r="AM82" s="4"/>
      <c r="AN82" s="26"/>
      <c r="AO82" s="4"/>
      <c r="AP82" s="4"/>
      <c r="AQ82" s="4"/>
      <c r="AR82" s="4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3"/>
      <c r="E83" s="17"/>
      <c r="F83" s="17"/>
      <c r="G83" s="17"/>
      <c r="H83" s="17"/>
      <c r="I83" s="17"/>
      <c r="J83" s="17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25"/>
      <c r="X83" s="4"/>
      <c r="Y83" s="4"/>
      <c r="Z83" s="4"/>
      <c r="AA83" s="4"/>
      <c r="AB83" s="26"/>
      <c r="AC83" s="4"/>
      <c r="AD83" s="4"/>
      <c r="AE83" s="4"/>
      <c r="AF83" s="4"/>
      <c r="AG83" s="4"/>
      <c r="AH83" s="49"/>
      <c r="AI83" s="4"/>
      <c r="AJ83" s="4"/>
      <c r="AK83" s="4"/>
      <c r="AL83" s="4"/>
      <c r="AM83" s="4"/>
      <c r="AN83" s="26"/>
      <c r="AO83" s="4"/>
      <c r="AP83" s="4"/>
      <c r="AQ83" s="4"/>
      <c r="AR83" s="4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3"/>
      <c r="E84" s="17"/>
      <c r="F84" s="17"/>
      <c r="G84" s="17"/>
      <c r="H84" s="17"/>
      <c r="I84" s="17"/>
      <c r="J84" s="17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25"/>
      <c r="X84" s="4"/>
      <c r="Y84" s="4"/>
      <c r="Z84" s="4"/>
      <c r="AA84" s="4"/>
      <c r="AB84" s="26"/>
      <c r="AC84" s="4"/>
      <c r="AD84" s="4"/>
      <c r="AE84" s="4"/>
      <c r="AF84" s="4"/>
      <c r="AG84" s="4"/>
      <c r="AH84" s="49"/>
      <c r="AI84" s="4"/>
      <c r="AJ84" s="4"/>
      <c r="AK84" s="4"/>
      <c r="AL84" s="4"/>
      <c r="AM84" s="4"/>
      <c r="AN84" s="26"/>
      <c r="AO84" s="4"/>
      <c r="AP84" s="4"/>
      <c r="AQ84" s="4"/>
      <c r="AR84" s="4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3"/>
      <c r="E85" s="17"/>
      <c r="F85" s="17"/>
      <c r="G85" s="17"/>
      <c r="H85" s="17"/>
      <c r="I85" s="17"/>
      <c r="J85" s="17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25"/>
      <c r="X85" s="4"/>
      <c r="Y85" s="4"/>
      <c r="Z85" s="4"/>
      <c r="AA85" s="4"/>
      <c r="AB85" s="26"/>
      <c r="AC85" s="4"/>
      <c r="AD85" s="4"/>
      <c r="AE85" s="4"/>
      <c r="AF85" s="4"/>
      <c r="AG85" s="4"/>
      <c r="AH85" s="49"/>
      <c r="AI85" s="4"/>
      <c r="AJ85" s="4"/>
      <c r="AK85" s="4"/>
      <c r="AL85" s="4"/>
      <c r="AM85" s="4"/>
      <c r="AN85" s="26"/>
      <c r="AO85" s="4"/>
      <c r="AP85" s="4"/>
      <c r="AQ85" s="4"/>
      <c r="AR85" s="4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3"/>
      <c r="E86" s="17"/>
      <c r="F86" s="17"/>
      <c r="G86" s="17"/>
      <c r="H86" s="17"/>
      <c r="I86" s="17"/>
      <c r="J86" s="17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25"/>
      <c r="X86" s="4"/>
      <c r="Y86" s="4"/>
      <c r="Z86" s="4"/>
      <c r="AA86" s="4"/>
      <c r="AB86" s="26"/>
      <c r="AC86" s="4"/>
      <c r="AD86" s="4"/>
      <c r="AE86" s="4"/>
      <c r="AF86" s="4"/>
      <c r="AG86" s="4"/>
      <c r="AH86" s="49"/>
      <c r="AI86" s="4"/>
      <c r="AJ86" s="4"/>
      <c r="AK86" s="4"/>
      <c r="AL86" s="4"/>
      <c r="AM86" s="4"/>
      <c r="AN86" s="26"/>
      <c r="AO86" s="4"/>
      <c r="AP86" s="4"/>
      <c r="AQ86" s="4"/>
      <c r="AR86" s="4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3"/>
      <c r="E87" s="17"/>
      <c r="F87" s="17"/>
      <c r="G87" s="17"/>
      <c r="H87" s="17"/>
      <c r="I87" s="17"/>
      <c r="J87" s="17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25"/>
      <c r="X87" s="4"/>
      <c r="Y87" s="4"/>
      <c r="Z87" s="4"/>
      <c r="AA87" s="4"/>
      <c r="AB87" s="26"/>
      <c r="AC87" s="4"/>
      <c r="AD87" s="4"/>
      <c r="AE87" s="4"/>
      <c r="AF87" s="4"/>
      <c r="AG87" s="4"/>
      <c r="AH87" s="49"/>
      <c r="AI87" s="4"/>
      <c r="AJ87" s="4"/>
      <c r="AK87" s="4"/>
      <c r="AL87" s="4"/>
      <c r="AM87" s="4"/>
      <c r="AN87" s="26"/>
      <c r="AO87" s="4"/>
      <c r="AP87" s="4"/>
      <c r="AQ87" s="4"/>
      <c r="AR87" s="4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3"/>
      <c r="E88" s="17"/>
      <c r="F88" s="17"/>
      <c r="G88" s="17"/>
      <c r="H88" s="17"/>
      <c r="I88" s="17"/>
      <c r="J88" s="17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25"/>
      <c r="X88" s="4"/>
      <c r="Y88" s="4"/>
      <c r="Z88" s="4"/>
      <c r="AA88" s="4"/>
      <c r="AB88" s="26"/>
      <c r="AC88" s="4"/>
      <c r="AD88" s="4"/>
      <c r="AE88" s="4"/>
      <c r="AF88" s="4"/>
      <c r="AG88" s="4"/>
      <c r="AH88" s="49"/>
      <c r="AI88" s="4"/>
      <c r="AJ88" s="4"/>
      <c r="AK88" s="4"/>
      <c r="AL88" s="4"/>
      <c r="AM88" s="4"/>
      <c r="AN88" s="26"/>
      <c r="AO88" s="4"/>
      <c r="AP88" s="4"/>
      <c r="AQ88" s="4"/>
      <c r="AR88" s="4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3"/>
      <c r="E89" s="17"/>
      <c r="F89" s="17"/>
      <c r="G89" s="17"/>
      <c r="H89" s="17"/>
      <c r="I89" s="17"/>
      <c r="J89" s="17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25"/>
      <c r="X89" s="4"/>
      <c r="Y89" s="4"/>
      <c r="Z89" s="4"/>
      <c r="AA89" s="4"/>
      <c r="AB89" s="26"/>
      <c r="AC89" s="4"/>
      <c r="AD89" s="4"/>
      <c r="AE89" s="4"/>
      <c r="AF89" s="4"/>
      <c r="AG89" s="4"/>
      <c r="AH89" s="49"/>
      <c r="AI89" s="4"/>
      <c r="AJ89" s="4"/>
      <c r="AK89" s="4"/>
      <c r="AL89" s="4"/>
      <c r="AM89" s="4"/>
      <c r="AN89" s="26"/>
      <c r="AO89" s="4"/>
      <c r="AP89" s="4"/>
      <c r="AQ89" s="4"/>
      <c r="AR89" s="4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3"/>
      <c r="E90" s="17"/>
      <c r="F90" s="17"/>
      <c r="G90" s="17"/>
      <c r="H90" s="17"/>
      <c r="I90" s="17"/>
      <c r="J90" s="17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25"/>
      <c r="X90" s="4"/>
      <c r="Y90" s="4"/>
      <c r="Z90" s="4"/>
      <c r="AA90" s="4"/>
      <c r="AB90" s="26"/>
      <c r="AC90" s="4"/>
      <c r="AD90" s="4"/>
      <c r="AE90" s="4"/>
      <c r="AF90" s="4"/>
      <c r="AG90" s="4"/>
      <c r="AH90" s="49"/>
      <c r="AI90" s="4"/>
      <c r="AJ90" s="4"/>
      <c r="AK90" s="4"/>
      <c r="AL90" s="4"/>
      <c r="AM90" s="4"/>
      <c r="AN90" s="26"/>
      <c r="AO90" s="4"/>
      <c r="AP90" s="4"/>
      <c r="AQ90" s="4"/>
      <c r="AR90" s="4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3"/>
      <c r="E91" s="17"/>
      <c r="F91" s="17"/>
      <c r="G91" s="17"/>
      <c r="H91" s="17"/>
      <c r="I91" s="17"/>
      <c r="J91" s="17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25"/>
      <c r="X91" s="4"/>
      <c r="Y91" s="4"/>
      <c r="Z91" s="4"/>
      <c r="AA91" s="4"/>
      <c r="AB91" s="26"/>
      <c r="AC91" s="4"/>
      <c r="AD91" s="4"/>
      <c r="AE91" s="4"/>
      <c r="AF91" s="4"/>
      <c r="AG91" s="4"/>
      <c r="AH91" s="49"/>
      <c r="AI91" s="4"/>
      <c r="AJ91" s="4"/>
      <c r="AK91" s="4"/>
      <c r="AL91" s="4"/>
      <c r="AM91" s="4"/>
      <c r="AN91" s="26"/>
      <c r="AO91" s="4"/>
      <c r="AP91" s="4"/>
      <c r="AQ91" s="4"/>
      <c r="AR91" s="4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3"/>
      <c r="E92" s="17"/>
      <c r="F92" s="17"/>
      <c r="G92" s="17"/>
      <c r="H92" s="17"/>
      <c r="I92" s="17"/>
      <c r="J92" s="17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25"/>
      <c r="X92" s="4"/>
      <c r="Y92" s="4"/>
      <c r="Z92" s="4"/>
      <c r="AA92" s="4"/>
      <c r="AB92" s="26"/>
      <c r="AC92" s="4"/>
      <c r="AD92" s="4"/>
      <c r="AE92" s="4"/>
      <c r="AF92" s="4"/>
      <c r="AG92" s="4"/>
      <c r="AH92" s="49"/>
      <c r="AI92" s="4"/>
      <c r="AJ92" s="4"/>
      <c r="AK92" s="4"/>
      <c r="AL92" s="4"/>
      <c r="AM92" s="4"/>
      <c r="AN92" s="26"/>
      <c r="AO92" s="4"/>
      <c r="AP92" s="4"/>
      <c r="AQ92" s="4"/>
      <c r="AR92" s="4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3"/>
      <c r="E93" s="17"/>
      <c r="F93" s="17"/>
      <c r="G93" s="17"/>
      <c r="H93" s="17"/>
      <c r="I93" s="17"/>
      <c r="J93" s="17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25"/>
      <c r="X93" s="4"/>
      <c r="Y93" s="4"/>
      <c r="Z93" s="4"/>
      <c r="AA93" s="4"/>
      <c r="AB93" s="26"/>
      <c r="AC93" s="4"/>
      <c r="AD93" s="4"/>
      <c r="AE93" s="4"/>
      <c r="AF93" s="4"/>
      <c r="AG93" s="4"/>
      <c r="AH93" s="49"/>
      <c r="AI93" s="4"/>
      <c r="AJ93" s="4"/>
      <c r="AK93" s="4"/>
      <c r="AL93" s="4"/>
      <c r="AM93" s="4"/>
      <c r="AN93" s="26"/>
      <c r="AO93" s="4"/>
      <c r="AP93" s="4"/>
      <c r="AQ93" s="4"/>
      <c r="AR93" s="4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3"/>
      <c r="E94" s="17"/>
      <c r="F94" s="17"/>
      <c r="G94" s="17"/>
      <c r="H94" s="17"/>
      <c r="I94" s="17"/>
      <c r="J94" s="17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25"/>
      <c r="X94" s="4"/>
      <c r="Y94" s="4"/>
      <c r="Z94" s="4"/>
      <c r="AA94" s="4"/>
      <c r="AB94" s="26"/>
      <c r="AC94" s="4"/>
      <c r="AD94" s="4"/>
      <c r="AE94" s="4"/>
      <c r="AF94" s="4"/>
      <c r="AG94" s="4"/>
      <c r="AH94" s="49"/>
      <c r="AI94" s="4"/>
      <c r="AJ94" s="4"/>
      <c r="AK94" s="4"/>
      <c r="AL94" s="4"/>
      <c r="AM94" s="4"/>
      <c r="AN94" s="26"/>
      <c r="AO94" s="4"/>
      <c r="AP94" s="4"/>
      <c r="AQ94" s="4"/>
      <c r="AR94" s="4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3"/>
      <c r="E95" s="17"/>
      <c r="F95" s="17"/>
      <c r="G95" s="17"/>
      <c r="H95" s="17"/>
      <c r="I95" s="17"/>
      <c r="J95" s="17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25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9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3"/>
      <c r="E96" s="17"/>
      <c r="F96" s="17"/>
      <c r="G96" s="17"/>
      <c r="H96" s="17"/>
      <c r="I96" s="17"/>
      <c r="J96" s="17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25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2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3"/>
      <c r="E97" s="17"/>
      <c r="F97" s="17"/>
      <c r="G97" s="17"/>
      <c r="H97" s="17"/>
      <c r="I97" s="17"/>
      <c r="J97" s="17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25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2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3"/>
      <c r="E98" s="17"/>
      <c r="F98" s="17"/>
      <c r="G98" s="17"/>
      <c r="H98" s="17"/>
      <c r="I98" s="17"/>
      <c r="J98" s="17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25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2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3"/>
      <c r="E99" s="17"/>
      <c r="F99" s="17"/>
      <c r="G99" s="17"/>
      <c r="H99" s="17"/>
      <c r="I99" s="17"/>
      <c r="J99" s="17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25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2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3"/>
      <c r="E100" s="17"/>
      <c r="F100" s="17"/>
      <c r="G100" s="17"/>
      <c r="H100" s="17"/>
      <c r="I100" s="17"/>
      <c r="J100" s="17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25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2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25">
      <c r="A101" s="1"/>
      <c r="B101" s="1"/>
      <c r="C101" s="1"/>
      <c r="D101" s="13"/>
      <c r="E101" s="17"/>
      <c r="F101" s="17"/>
      <c r="G101" s="17"/>
      <c r="H101" s="17"/>
      <c r="I101" s="17"/>
      <c r="J101" s="17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25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2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25">
      <c r="A102" s="1"/>
      <c r="B102" s="1"/>
      <c r="C102" s="1"/>
      <c r="D102" s="13"/>
      <c r="E102" s="17"/>
      <c r="F102" s="17"/>
      <c r="G102" s="17"/>
      <c r="H102" s="17"/>
      <c r="I102" s="17"/>
      <c r="J102" s="17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25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2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25">
      <c r="A103" s="1"/>
      <c r="B103" s="1"/>
      <c r="C103" s="1"/>
      <c r="D103" s="13"/>
      <c r="E103" s="17"/>
      <c r="F103" s="17"/>
      <c r="G103" s="17"/>
      <c r="H103" s="17"/>
      <c r="I103" s="17"/>
      <c r="J103" s="17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25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2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25">
      <c r="A104" s="1"/>
      <c r="B104" s="1"/>
      <c r="C104" s="1"/>
      <c r="D104" s="13"/>
      <c r="E104" s="17"/>
      <c r="F104" s="17"/>
      <c r="G104" s="17"/>
      <c r="H104" s="17"/>
      <c r="I104" s="17"/>
      <c r="J104" s="17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25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2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25">
      <c r="A105" s="1"/>
      <c r="B105" s="1"/>
      <c r="C105" s="1"/>
      <c r="D105" s="13"/>
      <c r="E105" s="17"/>
      <c r="F105" s="17"/>
      <c r="G105" s="17"/>
      <c r="H105" s="17"/>
      <c r="I105" s="17"/>
      <c r="J105" s="17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25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2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25">
      <c r="A106" s="1"/>
      <c r="B106" s="1"/>
      <c r="C106" s="1"/>
      <c r="D106" s="13"/>
      <c r="E106" s="17"/>
      <c r="F106" s="17"/>
      <c r="G106" s="17"/>
      <c r="H106" s="17"/>
      <c r="I106" s="17"/>
      <c r="J106" s="17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25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2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25">
      <c r="A107" s="1"/>
      <c r="B107" s="1"/>
      <c r="C107" s="1"/>
      <c r="D107" s="13"/>
      <c r="E107" s="17"/>
      <c r="F107" s="17"/>
      <c r="G107" s="17"/>
      <c r="H107" s="17"/>
      <c r="I107" s="17"/>
      <c r="J107" s="17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25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2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25">
      <c r="A108" s="1"/>
      <c r="B108" s="1"/>
      <c r="C108" s="1"/>
      <c r="D108" s="13"/>
      <c r="E108" s="17"/>
      <c r="F108" s="17"/>
      <c r="G108" s="17"/>
      <c r="H108" s="17"/>
      <c r="I108" s="17"/>
      <c r="J108" s="17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25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2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25">
      <c r="A109" s="1"/>
      <c r="B109" s="1"/>
      <c r="C109" s="1"/>
      <c r="D109" s="13"/>
      <c r="E109" s="17"/>
      <c r="F109" s="17"/>
      <c r="G109" s="17"/>
      <c r="H109" s="17"/>
      <c r="I109" s="17"/>
      <c r="J109" s="17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25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2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25">
      <c r="A110" s="1"/>
      <c r="B110" s="1"/>
      <c r="C110" s="1"/>
      <c r="D110" s="13"/>
      <c r="E110" s="17"/>
      <c r="F110" s="17"/>
      <c r="G110" s="17"/>
      <c r="H110" s="17"/>
      <c r="I110" s="17"/>
      <c r="J110" s="17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25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2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25">
      <c r="A111" s="1"/>
      <c r="B111" s="1"/>
      <c r="C111" s="1"/>
      <c r="D111" s="13"/>
      <c r="E111" s="17"/>
      <c r="F111" s="17"/>
      <c r="G111" s="17"/>
      <c r="H111" s="17"/>
      <c r="I111" s="17"/>
      <c r="J111" s="17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25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2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25">
      <c r="A112" s="1"/>
      <c r="B112" s="1"/>
      <c r="C112" s="1"/>
      <c r="D112" s="13"/>
      <c r="E112" s="17"/>
      <c r="F112" s="17"/>
      <c r="G112" s="17"/>
      <c r="H112" s="17"/>
      <c r="I112" s="17"/>
      <c r="J112" s="17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25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2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25">
      <c r="A113" s="1"/>
      <c r="B113" s="1"/>
      <c r="C113" s="1"/>
      <c r="D113" s="13"/>
      <c r="E113" s="17"/>
      <c r="F113" s="17"/>
      <c r="G113" s="17"/>
      <c r="H113" s="17"/>
      <c r="I113" s="17"/>
      <c r="J113" s="17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25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2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25">
      <c r="A114" s="1"/>
      <c r="B114" s="1"/>
      <c r="C114" s="1"/>
      <c r="D114" s="13"/>
      <c r="E114" s="17"/>
      <c r="F114" s="17"/>
      <c r="G114" s="17"/>
      <c r="H114" s="17"/>
      <c r="I114" s="17"/>
      <c r="J114" s="17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25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2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25">
      <c r="A115" s="1"/>
      <c r="B115" s="1"/>
      <c r="C115" s="1"/>
      <c r="D115" s="13"/>
      <c r="E115" s="17"/>
      <c r="F115" s="17"/>
      <c r="G115" s="17"/>
      <c r="H115" s="17"/>
      <c r="I115" s="17"/>
      <c r="J115" s="17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25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2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25">
      <c r="A116" s="1"/>
      <c r="B116" s="1"/>
      <c r="C116" s="1"/>
      <c r="D116" s="13"/>
      <c r="E116" s="17"/>
      <c r="F116" s="17"/>
      <c r="G116" s="17"/>
      <c r="H116" s="17"/>
      <c r="I116" s="17"/>
      <c r="J116" s="17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25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2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25">
      <c r="A117" s="1"/>
      <c r="B117" s="1"/>
      <c r="C117" s="1"/>
      <c r="D117" s="13"/>
      <c r="E117" s="17"/>
      <c r="F117" s="17"/>
      <c r="G117" s="17"/>
      <c r="H117" s="17"/>
      <c r="I117" s="17"/>
      <c r="J117" s="17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25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2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25">
      <c r="A118" s="1"/>
      <c r="B118" s="1"/>
      <c r="C118" s="1"/>
      <c r="D118" s="13"/>
      <c r="E118" s="17"/>
      <c r="F118" s="17"/>
      <c r="G118" s="17"/>
      <c r="H118" s="17"/>
      <c r="I118" s="17"/>
      <c r="J118" s="17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25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2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25">
      <c r="A119" s="1"/>
      <c r="B119" s="1"/>
      <c r="C119" s="1"/>
      <c r="D119" s="13"/>
      <c r="E119" s="17"/>
      <c r="F119" s="17"/>
      <c r="G119" s="17"/>
      <c r="H119" s="17"/>
      <c r="I119" s="17"/>
      <c r="J119" s="17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25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2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25">
      <c r="A120" s="1"/>
      <c r="B120" s="1"/>
      <c r="C120" s="1"/>
      <c r="D120" s="13"/>
      <c r="E120" s="17"/>
      <c r="F120" s="17"/>
      <c r="G120" s="17"/>
      <c r="H120" s="17"/>
      <c r="I120" s="17"/>
      <c r="J120" s="17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25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2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25">
      <c r="A121" s="1"/>
      <c r="B121" s="1"/>
      <c r="C121" s="1"/>
      <c r="D121" s="13"/>
      <c r="E121" s="17"/>
      <c r="F121" s="17"/>
      <c r="G121" s="17"/>
      <c r="H121" s="17"/>
      <c r="I121" s="17"/>
      <c r="J121" s="17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25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2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25">
      <c r="A122" s="1"/>
      <c r="B122" s="1"/>
      <c r="C122" s="1"/>
      <c r="D122" s="13"/>
      <c r="E122" s="17"/>
      <c r="F122" s="17"/>
      <c r="G122" s="17"/>
      <c r="H122" s="17"/>
      <c r="I122" s="17"/>
      <c r="J122" s="17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25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2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25">
      <c r="A123" s="1"/>
      <c r="B123" s="1"/>
      <c r="C123" s="1"/>
      <c r="D123" s="13"/>
      <c r="E123" s="17"/>
      <c r="F123" s="17"/>
      <c r="G123" s="17"/>
      <c r="H123" s="17"/>
      <c r="I123" s="17"/>
      <c r="J123" s="17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25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2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25">
      <c r="A124" s="1"/>
      <c r="B124" s="1"/>
      <c r="C124" s="1"/>
      <c r="D124" s="13"/>
      <c r="E124" s="17"/>
      <c r="F124" s="17"/>
      <c r="G124" s="17"/>
      <c r="H124" s="17"/>
      <c r="I124" s="17"/>
      <c r="J124" s="17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25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2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25">
      <c r="A125" s="1"/>
      <c r="B125" s="1"/>
      <c r="C125" s="1"/>
      <c r="D125" s="13"/>
      <c r="E125" s="17"/>
      <c r="F125" s="17"/>
      <c r="G125" s="17"/>
      <c r="H125" s="17"/>
      <c r="I125" s="17"/>
      <c r="J125" s="17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25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2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25">
      <c r="A126" s="1"/>
      <c r="B126" s="1"/>
      <c r="C126" s="1"/>
      <c r="D126" s="13"/>
      <c r="E126" s="17"/>
      <c r="F126" s="17"/>
      <c r="G126" s="17"/>
      <c r="H126" s="17"/>
      <c r="I126" s="17"/>
      <c r="J126" s="17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25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2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25">
      <c r="A127" s="1"/>
      <c r="B127" s="1"/>
      <c r="C127" s="1"/>
      <c r="D127" s="13"/>
      <c r="E127" s="17"/>
      <c r="F127" s="17"/>
      <c r="G127" s="17"/>
      <c r="H127" s="17"/>
      <c r="I127" s="17"/>
      <c r="J127" s="17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25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2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25">
      <c r="A128" s="1"/>
      <c r="B128" s="1"/>
      <c r="C128" s="1"/>
      <c r="D128" s="13"/>
      <c r="E128" s="17"/>
      <c r="F128" s="17"/>
      <c r="G128" s="17"/>
      <c r="H128" s="17"/>
      <c r="I128" s="17"/>
      <c r="J128" s="17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25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2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25">
      <c r="A129" s="1"/>
      <c r="B129" s="1"/>
      <c r="C129" s="1"/>
      <c r="D129" s="13"/>
      <c r="E129" s="17"/>
      <c r="F129" s="17"/>
      <c r="G129" s="17"/>
      <c r="H129" s="17"/>
      <c r="I129" s="17"/>
      <c r="J129" s="17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25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2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25">
      <c r="A130" s="1"/>
      <c r="B130" s="1"/>
      <c r="C130" s="1"/>
      <c r="D130" s="13"/>
      <c r="E130" s="17"/>
      <c r="F130" s="17"/>
      <c r="G130" s="17"/>
      <c r="H130" s="17"/>
      <c r="I130" s="17"/>
      <c r="J130" s="17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25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2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25">
      <c r="A131" s="1"/>
      <c r="B131" s="1"/>
      <c r="C131" s="1"/>
      <c r="D131" s="13"/>
      <c r="E131" s="17"/>
      <c r="F131" s="17"/>
      <c r="G131" s="17"/>
      <c r="H131" s="17"/>
      <c r="I131" s="17"/>
      <c r="J131" s="17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25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2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25">
      <c r="A132" s="1"/>
      <c r="B132" s="1"/>
      <c r="C132" s="1"/>
      <c r="D132" s="13"/>
      <c r="E132" s="17"/>
      <c r="F132" s="17"/>
      <c r="G132" s="17"/>
      <c r="H132" s="17"/>
      <c r="I132" s="17"/>
      <c r="J132" s="17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25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2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25">
      <c r="A133" s="1"/>
      <c r="B133" s="1"/>
      <c r="C133" s="1"/>
      <c r="D133" s="13"/>
      <c r="E133" s="17"/>
      <c r="F133" s="17"/>
      <c r="G133" s="17"/>
      <c r="H133" s="17"/>
      <c r="I133" s="17"/>
      <c r="J133" s="17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25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2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25">
      <c r="A134" s="1"/>
      <c r="B134" s="1"/>
      <c r="C134" s="1"/>
      <c r="D134" s="13"/>
      <c r="E134" s="17"/>
      <c r="F134" s="17"/>
      <c r="G134" s="17"/>
      <c r="H134" s="17"/>
      <c r="I134" s="17"/>
      <c r="J134" s="17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25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2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25">
      <c r="A135" s="1"/>
      <c r="B135" s="1"/>
      <c r="C135" s="1"/>
      <c r="D135" s="13"/>
      <c r="E135" s="17"/>
      <c r="F135" s="17"/>
      <c r="G135" s="17"/>
      <c r="H135" s="17"/>
      <c r="I135" s="17"/>
      <c r="J135" s="17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25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2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25">
      <c r="A136" s="1"/>
      <c r="B136" s="1"/>
      <c r="C136" s="1"/>
      <c r="D136" s="13"/>
      <c r="E136" s="17"/>
      <c r="F136" s="17"/>
      <c r="G136" s="17"/>
      <c r="H136" s="17"/>
      <c r="I136" s="17"/>
      <c r="J136" s="17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25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2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25">
      <c r="A137" s="1"/>
      <c r="B137" s="1"/>
      <c r="C137" s="1"/>
      <c r="D137" s="13"/>
      <c r="E137" s="17"/>
      <c r="F137" s="17"/>
      <c r="G137" s="17"/>
      <c r="H137" s="17"/>
      <c r="I137" s="17"/>
      <c r="J137" s="17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25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2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25">
      <c r="A138" s="1"/>
      <c r="B138" s="1"/>
      <c r="C138" s="1"/>
      <c r="D138" s="13"/>
      <c r="E138" s="17"/>
      <c r="F138" s="17"/>
      <c r="G138" s="17"/>
      <c r="H138" s="17"/>
      <c r="I138" s="17"/>
      <c r="J138" s="17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25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2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25">
      <c r="A139" s="1"/>
      <c r="B139" s="1"/>
      <c r="C139" s="1"/>
      <c r="D139" s="13"/>
      <c r="E139" s="17"/>
      <c r="F139" s="17"/>
      <c r="G139" s="17"/>
      <c r="H139" s="17"/>
      <c r="I139" s="17"/>
      <c r="J139" s="17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25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2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25">
      <c r="A140" s="1"/>
      <c r="B140" s="1"/>
      <c r="C140" s="1"/>
      <c r="D140" s="13"/>
      <c r="E140" s="17"/>
      <c r="F140" s="17"/>
      <c r="G140" s="17"/>
      <c r="H140" s="17"/>
      <c r="I140" s="17"/>
      <c r="J140" s="17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25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2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25">
      <c r="A141" s="1"/>
      <c r="B141" s="1"/>
      <c r="C141" s="1"/>
      <c r="D141" s="13"/>
      <c r="E141" s="17"/>
      <c r="F141" s="17"/>
      <c r="G141" s="17"/>
      <c r="H141" s="17"/>
      <c r="I141" s="17"/>
      <c r="J141" s="17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25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2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25">
      <c r="A142" s="1"/>
      <c r="B142" s="1"/>
      <c r="C142" s="1"/>
      <c r="D142" s="13"/>
      <c r="E142" s="17"/>
      <c r="F142" s="17"/>
      <c r="G142" s="17"/>
      <c r="H142" s="17"/>
      <c r="I142" s="17"/>
      <c r="J142" s="17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25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2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25">
      <c r="A143" s="1"/>
      <c r="B143" s="1"/>
      <c r="C143" s="1"/>
      <c r="D143" s="13"/>
      <c r="E143" s="17"/>
      <c r="F143" s="17"/>
      <c r="G143" s="17"/>
      <c r="H143" s="17"/>
      <c r="I143" s="17"/>
      <c r="J143" s="17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25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2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25">
      <c r="A144" s="1"/>
      <c r="B144" s="1"/>
      <c r="C144" s="1"/>
      <c r="D144" s="13"/>
      <c r="E144" s="17"/>
      <c r="F144" s="17"/>
      <c r="G144" s="17"/>
      <c r="H144" s="17"/>
      <c r="I144" s="17"/>
      <c r="J144" s="17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25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2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25">
      <c r="A145" s="1"/>
      <c r="B145" s="1"/>
      <c r="C145" s="1"/>
      <c r="D145" s="13"/>
      <c r="E145" s="17"/>
      <c r="F145" s="17"/>
      <c r="G145" s="17"/>
      <c r="H145" s="17"/>
      <c r="I145" s="17"/>
      <c r="J145" s="17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25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2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25">
      <c r="A146" s="1"/>
      <c r="B146" s="1"/>
      <c r="C146" s="1"/>
      <c r="D146" s="13"/>
      <c r="E146" s="17"/>
      <c r="F146" s="17"/>
      <c r="G146" s="17"/>
      <c r="H146" s="17"/>
      <c r="I146" s="17"/>
      <c r="J146" s="17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25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2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25">
      <c r="A147" s="1"/>
      <c r="B147" s="1"/>
      <c r="C147" s="1"/>
      <c r="D147" s="13"/>
      <c r="E147" s="17"/>
      <c r="F147" s="17"/>
      <c r="G147" s="17"/>
      <c r="H147" s="17"/>
      <c r="I147" s="17"/>
      <c r="J147" s="17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25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2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25">
      <c r="A148" s="1"/>
      <c r="B148" s="1"/>
      <c r="C148" s="1"/>
      <c r="D148" s="13"/>
      <c r="E148" s="17"/>
      <c r="F148" s="17"/>
      <c r="G148" s="17"/>
      <c r="H148" s="17"/>
      <c r="I148" s="17"/>
      <c r="J148" s="17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25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2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25">
      <c r="A149" s="1"/>
      <c r="B149" s="1"/>
      <c r="C149" s="1"/>
      <c r="D149" s="13"/>
      <c r="E149" s="17"/>
      <c r="F149" s="17"/>
      <c r="G149" s="17"/>
      <c r="H149" s="17"/>
      <c r="I149" s="17"/>
      <c r="J149" s="17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25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2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25">
      <c r="A150" s="1"/>
      <c r="B150" s="1"/>
      <c r="C150" s="1"/>
      <c r="D150" s="13"/>
      <c r="E150" s="17"/>
      <c r="F150" s="17"/>
      <c r="G150" s="17"/>
      <c r="H150" s="17"/>
      <c r="I150" s="17"/>
      <c r="J150" s="17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25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2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25">
      <c r="A151" s="1"/>
      <c r="B151" s="1"/>
      <c r="C151" s="1"/>
      <c r="D151" s="13"/>
      <c r="E151" s="17"/>
      <c r="F151" s="17"/>
      <c r="G151" s="17"/>
      <c r="H151" s="17"/>
      <c r="I151" s="17"/>
      <c r="J151" s="17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25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2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25">
      <c r="A152" s="1"/>
      <c r="B152" s="1"/>
      <c r="C152" s="1"/>
      <c r="D152" s="13"/>
      <c r="E152" s="17"/>
      <c r="F152" s="17"/>
      <c r="G152" s="17"/>
      <c r="H152" s="17"/>
      <c r="I152" s="17"/>
      <c r="J152" s="17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25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2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25">
      <c r="A153" s="1"/>
      <c r="B153" s="1"/>
      <c r="C153" s="1"/>
      <c r="D153" s="13"/>
      <c r="E153" s="17"/>
      <c r="F153" s="17"/>
      <c r="G153" s="17"/>
      <c r="H153" s="17"/>
      <c r="I153" s="17"/>
      <c r="J153" s="17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25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2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25">
      <c r="A154" s="1"/>
      <c r="B154" s="1"/>
      <c r="C154" s="1"/>
      <c r="D154" s="13"/>
      <c r="E154" s="17"/>
      <c r="F154" s="17"/>
      <c r="G154" s="17"/>
      <c r="H154" s="17"/>
      <c r="I154" s="17"/>
      <c r="J154" s="17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25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2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25">
      <c r="A155" s="1"/>
      <c r="B155" s="1"/>
      <c r="C155" s="1"/>
      <c r="D155" s="13"/>
      <c r="E155" s="17"/>
      <c r="F155" s="17"/>
      <c r="G155" s="17"/>
      <c r="H155" s="17"/>
      <c r="I155" s="17"/>
      <c r="J155" s="17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25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2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25">
      <c r="A156" s="1"/>
      <c r="B156" s="1"/>
      <c r="C156" s="1"/>
      <c r="D156" s="13"/>
      <c r="E156" s="17"/>
      <c r="F156" s="17"/>
      <c r="G156" s="17"/>
      <c r="H156" s="17"/>
      <c r="I156" s="17"/>
      <c r="J156" s="17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25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2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25">
      <c r="A157" s="1"/>
      <c r="B157" s="1"/>
      <c r="C157" s="1"/>
      <c r="D157" s="13"/>
      <c r="E157" s="17"/>
      <c r="F157" s="17"/>
      <c r="G157" s="17"/>
      <c r="H157" s="17"/>
      <c r="I157" s="17"/>
      <c r="J157" s="17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25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2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25">
      <c r="A158" s="1"/>
      <c r="B158" s="1"/>
      <c r="C158" s="1"/>
      <c r="D158" s="13"/>
      <c r="E158" s="17"/>
      <c r="F158" s="17"/>
      <c r="G158" s="17"/>
      <c r="H158" s="17"/>
      <c r="I158" s="17"/>
      <c r="J158" s="17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25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2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25">
      <c r="A159" s="1"/>
      <c r="B159" s="1"/>
      <c r="C159" s="1"/>
      <c r="D159" s="13"/>
      <c r="E159" s="17"/>
      <c r="F159" s="17"/>
      <c r="G159" s="17"/>
      <c r="H159" s="17"/>
      <c r="I159" s="17"/>
      <c r="J159" s="17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25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2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25">
      <c r="A160" s="1"/>
      <c r="B160" s="1"/>
      <c r="C160" s="1"/>
      <c r="D160" s="13"/>
      <c r="E160" s="17"/>
      <c r="F160" s="17"/>
      <c r="G160" s="17"/>
      <c r="H160" s="17"/>
      <c r="I160" s="17"/>
      <c r="J160" s="17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25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2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25">
      <c r="A161" s="1"/>
      <c r="B161" s="1"/>
      <c r="C161" s="1"/>
      <c r="D161" s="13"/>
      <c r="E161" s="17"/>
      <c r="F161" s="17"/>
      <c r="G161" s="17"/>
      <c r="H161" s="17"/>
      <c r="I161" s="17"/>
      <c r="J161" s="17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25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2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25">
      <c r="A162" s="1"/>
      <c r="B162" s="1"/>
      <c r="C162" s="1"/>
      <c r="D162" s="13"/>
      <c r="E162" s="17"/>
      <c r="F162" s="17"/>
      <c r="G162" s="17"/>
      <c r="H162" s="17"/>
      <c r="I162" s="17"/>
      <c r="J162" s="17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25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2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25">
      <c r="A163" s="1"/>
      <c r="B163" s="1"/>
      <c r="C163" s="1"/>
      <c r="D163" s="13"/>
      <c r="E163" s="17"/>
      <c r="F163" s="17"/>
      <c r="G163" s="17"/>
      <c r="H163" s="17"/>
      <c r="I163" s="17"/>
      <c r="J163" s="17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25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2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25">
      <c r="A164" s="1"/>
      <c r="B164" s="1"/>
      <c r="C164" s="1"/>
      <c r="D164" s="13"/>
      <c r="E164" s="17"/>
      <c r="F164" s="17"/>
      <c r="G164" s="17"/>
      <c r="H164" s="17"/>
      <c r="I164" s="17"/>
      <c r="J164" s="17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25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2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25">
      <c r="A165" s="1"/>
      <c r="B165" s="1"/>
      <c r="C165" s="1"/>
      <c r="D165" s="13"/>
      <c r="E165" s="17"/>
      <c r="F165" s="17"/>
      <c r="G165" s="17"/>
      <c r="H165" s="17"/>
      <c r="I165" s="17"/>
      <c r="J165" s="17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25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2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25">
      <c r="A166" s="1"/>
      <c r="B166" s="1"/>
      <c r="C166" s="1"/>
      <c r="D166" s="13"/>
      <c r="E166" s="17"/>
      <c r="F166" s="17"/>
      <c r="G166" s="17"/>
      <c r="H166" s="17"/>
      <c r="I166" s="17"/>
      <c r="J166" s="17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25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2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25">
      <c r="A167" s="1"/>
      <c r="B167" s="1"/>
      <c r="C167" s="1"/>
      <c r="D167" s="13"/>
      <c r="E167" s="17"/>
      <c r="F167" s="17"/>
      <c r="G167" s="17"/>
      <c r="H167" s="17"/>
      <c r="I167" s="17"/>
      <c r="J167" s="17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25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2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25">
      <c r="A168" s="1"/>
      <c r="B168" s="1"/>
      <c r="C168" s="1"/>
      <c r="D168" s="13"/>
      <c r="E168" s="17"/>
      <c r="F168" s="17"/>
      <c r="G168" s="17"/>
      <c r="H168" s="17"/>
      <c r="I168" s="17"/>
      <c r="J168" s="17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25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2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25">
      <c r="A169" s="1"/>
      <c r="B169" s="1"/>
      <c r="C169" s="1"/>
      <c r="D169" s="13"/>
      <c r="E169" s="17"/>
      <c r="F169" s="17"/>
      <c r="G169" s="17"/>
      <c r="H169" s="17"/>
      <c r="I169" s="17"/>
      <c r="J169" s="17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25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2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25">
      <c r="A170" s="1"/>
      <c r="B170" s="1"/>
      <c r="C170" s="1"/>
      <c r="D170" s="13"/>
      <c r="E170" s="17"/>
      <c r="F170" s="17"/>
      <c r="G170" s="17"/>
      <c r="H170" s="17"/>
      <c r="I170" s="17"/>
      <c r="J170" s="17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25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2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25">
      <c r="A171" s="1"/>
      <c r="B171" s="1"/>
      <c r="C171" s="1"/>
      <c r="D171" s="13"/>
      <c r="E171" s="17"/>
      <c r="F171" s="17"/>
      <c r="G171" s="17"/>
      <c r="H171" s="17"/>
      <c r="I171" s="17"/>
      <c r="J171" s="17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25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2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25">
      <c r="A172" s="1"/>
      <c r="B172" s="1"/>
      <c r="C172" s="1"/>
      <c r="D172" s="13"/>
      <c r="E172" s="17"/>
      <c r="F172" s="17"/>
      <c r="G172" s="17"/>
      <c r="H172" s="17"/>
      <c r="I172" s="17"/>
      <c r="J172" s="17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25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2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25">
      <c r="A173" s="1"/>
      <c r="B173" s="1"/>
      <c r="C173" s="1"/>
      <c r="D173" s="13"/>
      <c r="E173" s="17"/>
      <c r="F173" s="17"/>
      <c r="G173" s="17"/>
      <c r="H173" s="17"/>
      <c r="I173" s="17"/>
      <c r="J173" s="17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25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2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25">
      <c r="A174" s="1"/>
      <c r="B174" s="1"/>
      <c r="C174" s="1"/>
      <c r="D174" s="13"/>
      <c r="E174" s="17"/>
      <c r="F174" s="17"/>
      <c r="G174" s="17"/>
      <c r="H174" s="17"/>
      <c r="I174" s="17"/>
      <c r="J174" s="17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25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2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25">
      <c r="A175" s="1"/>
      <c r="B175" s="1"/>
      <c r="C175" s="1"/>
      <c r="D175" s="13"/>
      <c r="E175" s="17"/>
      <c r="F175" s="17"/>
      <c r="G175" s="17"/>
      <c r="H175" s="17"/>
      <c r="I175" s="17"/>
      <c r="J175" s="17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25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2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25">
      <c r="A176" s="1"/>
      <c r="B176" s="1"/>
      <c r="C176" s="1"/>
      <c r="D176" s="13"/>
      <c r="E176" s="17"/>
      <c r="F176" s="17"/>
      <c r="G176" s="17"/>
      <c r="H176" s="17"/>
      <c r="I176" s="17"/>
      <c r="J176" s="17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25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2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25">
      <c r="A177" s="1"/>
      <c r="B177" s="1"/>
      <c r="C177" s="1"/>
      <c r="D177" s="13"/>
      <c r="E177" s="17"/>
      <c r="F177" s="17"/>
      <c r="G177" s="17"/>
      <c r="H177" s="17"/>
      <c r="I177" s="17"/>
      <c r="J177" s="17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25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2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25">
      <c r="A178" s="1"/>
      <c r="B178" s="1"/>
      <c r="C178" s="1"/>
      <c r="D178" s="13"/>
      <c r="E178" s="17"/>
      <c r="F178" s="17"/>
      <c r="G178" s="17"/>
      <c r="H178" s="17"/>
      <c r="I178" s="17"/>
      <c r="J178" s="17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25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2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25">
      <c r="A179" s="1"/>
      <c r="B179" s="1"/>
      <c r="C179" s="1"/>
      <c r="D179" s="13"/>
      <c r="E179" s="17"/>
      <c r="F179" s="17"/>
      <c r="G179" s="17"/>
      <c r="H179" s="17"/>
      <c r="I179" s="17"/>
      <c r="J179" s="17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25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2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25">
      <c r="A180" s="1"/>
      <c r="B180" s="1"/>
      <c r="C180" s="1"/>
      <c r="D180" s="13"/>
      <c r="E180" s="17"/>
      <c r="F180" s="17"/>
      <c r="G180" s="17"/>
      <c r="H180" s="17"/>
      <c r="I180" s="17"/>
      <c r="J180" s="17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25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2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25">
      <c r="A181" s="1"/>
      <c r="B181" s="1"/>
      <c r="C181" s="1"/>
      <c r="D181" s="13"/>
      <c r="E181" s="17"/>
      <c r="F181" s="17"/>
      <c r="G181" s="17"/>
      <c r="H181" s="17"/>
      <c r="I181" s="17"/>
      <c r="J181" s="17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25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2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25">
      <c r="A182" s="1"/>
      <c r="B182" s="1"/>
      <c r="C182" s="1"/>
      <c r="D182" s="13"/>
      <c r="E182" s="17"/>
      <c r="F182" s="17"/>
      <c r="G182" s="17"/>
      <c r="H182" s="17"/>
      <c r="I182" s="17"/>
      <c r="J182" s="17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25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2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25">
      <c r="A183" s="1"/>
      <c r="B183" s="1"/>
      <c r="C183" s="1"/>
      <c r="D183" s="13"/>
      <c r="E183" s="17"/>
      <c r="F183" s="17"/>
      <c r="G183" s="17"/>
      <c r="H183" s="17"/>
      <c r="I183" s="17"/>
      <c r="J183" s="17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25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2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25">
      <c r="A184" s="1"/>
      <c r="B184" s="1"/>
      <c r="C184" s="1"/>
      <c r="D184" s="13"/>
      <c r="E184" s="17"/>
      <c r="F184" s="17"/>
      <c r="G184" s="17"/>
      <c r="H184" s="17"/>
      <c r="I184" s="17"/>
      <c r="J184" s="17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25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2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25">
      <c r="A185" s="1"/>
      <c r="B185" s="1"/>
      <c r="C185" s="1"/>
      <c r="D185" s="13"/>
      <c r="E185" s="17"/>
      <c r="F185" s="17"/>
      <c r="G185" s="17"/>
      <c r="H185" s="17"/>
      <c r="I185" s="17"/>
      <c r="J185" s="17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25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2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25">
      <c r="A186" s="1"/>
      <c r="B186" s="1"/>
      <c r="C186" s="1"/>
      <c r="D186" s="13"/>
      <c r="E186" s="17"/>
      <c r="F186" s="17"/>
      <c r="G186" s="17"/>
      <c r="H186" s="17"/>
      <c r="I186" s="17"/>
      <c r="J186" s="17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25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2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25">
      <c r="A187" s="1"/>
      <c r="B187" s="1"/>
      <c r="C187" s="1"/>
      <c r="D187" s="13"/>
      <c r="E187" s="17"/>
      <c r="F187" s="17"/>
      <c r="G187" s="17"/>
      <c r="H187" s="17"/>
      <c r="I187" s="17"/>
      <c r="J187" s="17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25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2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25">
      <c r="A188" s="1"/>
      <c r="B188" s="1"/>
      <c r="C188" s="1"/>
      <c r="D188" s="13"/>
      <c r="E188" s="17"/>
      <c r="F188" s="17"/>
      <c r="G188" s="17"/>
      <c r="H188" s="17"/>
      <c r="I188" s="17"/>
      <c r="J188" s="17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25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2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25">
      <c r="A189" s="1"/>
      <c r="B189" s="1"/>
      <c r="C189" s="1"/>
      <c r="D189" s="13"/>
      <c r="E189" s="17"/>
      <c r="F189" s="17"/>
      <c r="G189" s="17"/>
      <c r="H189" s="17"/>
      <c r="I189" s="17"/>
      <c r="J189" s="17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25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2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25">
      <c r="A190" s="1"/>
      <c r="B190" s="1"/>
      <c r="C190" s="1"/>
      <c r="D190" s="13"/>
      <c r="E190" s="17"/>
      <c r="F190" s="17"/>
      <c r="G190" s="17"/>
      <c r="H190" s="17"/>
      <c r="I190" s="17"/>
      <c r="J190" s="17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25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2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25">
      <c r="A191" s="1"/>
      <c r="B191" s="1"/>
      <c r="C191" s="1"/>
      <c r="D191" s="13"/>
      <c r="E191" s="17"/>
      <c r="F191" s="17"/>
      <c r="G191" s="17"/>
      <c r="H191" s="17"/>
      <c r="I191" s="17"/>
      <c r="J191" s="17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25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2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25">
      <c r="A192" s="1"/>
      <c r="B192" s="1"/>
      <c r="C192" s="1"/>
      <c r="D192" s="13"/>
      <c r="E192" s="17"/>
      <c r="F192" s="17"/>
      <c r="G192" s="17"/>
      <c r="H192" s="17"/>
      <c r="I192" s="17"/>
      <c r="J192" s="17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25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2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25">
      <c r="A193" s="1"/>
      <c r="B193" s="1"/>
      <c r="C193" s="1"/>
      <c r="D193" s="13"/>
      <c r="E193" s="17"/>
      <c r="F193" s="17"/>
      <c r="G193" s="17"/>
      <c r="H193" s="17"/>
      <c r="I193" s="17"/>
      <c r="J193" s="17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25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2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25">
      <c r="A194" s="1"/>
      <c r="B194" s="1"/>
      <c r="C194" s="1"/>
      <c r="D194" s="13"/>
      <c r="E194" s="17"/>
      <c r="F194" s="17"/>
      <c r="G194" s="17"/>
      <c r="H194" s="17"/>
      <c r="I194" s="17"/>
      <c r="J194" s="17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25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2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25">
      <c r="A195" s="1"/>
      <c r="B195" s="1"/>
      <c r="C195" s="1"/>
      <c r="D195" s="13"/>
      <c r="E195" s="17"/>
      <c r="F195" s="17"/>
      <c r="G195" s="17"/>
      <c r="H195" s="17"/>
      <c r="I195" s="17"/>
      <c r="J195" s="17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25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2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25">
      <c r="A196" s="1"/>
      <c r="B196" s="1"/>
      <c r="C196" s="1"/>
      <c r="D196" s="13"/>
      <c r="E196" s="17"/>
      <c r="F196" s="17"/>
      <c r="G196" s="17"/>
      <c r="H196" s="17"/>
      <c r="I196" s="17"/>
      <c r="J196" s="17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25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2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25">
      <c r="A197" s="1"/>
      <c r="B197" s="1"/>
      <c r="C197" s="1"/>
      <c r="D197" s="13"/>
      <c r="E197" s="17"/>
      <c r="F197" s="17"/>
      <c r="G197" s="17"/>
      <c r="H197" s="17"/>
      <c r="I197" s="17"/>
      <c r="J197" s="17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25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2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25">
      <c r="A198" s="1"/>
      <c r="B198" s="1"/>
      <c r="C198" s="1"/>
      <c r="D198" s="13"/>
      <c r="E198" s="17"/>
      <c r="F198" s="17"/>
      <c r="G198" s="17"/>
      <c r="H198" s="17"/>
      <c r="I198" s="17"/>
      <c r="J198" s="17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25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2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25">
      <c r="A199" s="1"/>
      <c r="B199" s="1"/>
      <c r="C199" s="1"/>
      <c r="D199" s="13"/>
      <c r="E199" s="17"/>
      <c r="F199" s="17"/>
      <c r="G199" s="17"/>
      <c r="H199" s="17"/>
      <c r="I199" s="17"/>
      <c r="J199" s="17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25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2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25">
      <c r="A200" s="1"/>
      <c r="B200" s="1"/>
      <c r="C200" s="1"/>
      <c r="D200" s="13"/>
      <c r="E200" s="17"/>
      <c r="F200" s="17"/>
      <c r="G200" s="17"/>
      <c r="H200" s="17"/>
      <c r="I200" s="17"/>
      <c r="J200" s="17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25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2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25">
      <c r="A201" s="1"/>
      <c r="B201" s="1"/>
      <c r="C201" s="1"/>
      <c r="D201" s="13"/>
      <c r="E201" s="17"/>
      <c r="F201" s="17"/>
      <c r="G201" s="17"/>
      <c r="H201" s="17"/>
      <c r="I201" s="17"/>
      <c r="J201" s="17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25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2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25">
      <c r="A202" s="1"/>
      <c r="B202" s="1"/>
      <c r="C202" s="1"/>
      <c r="D202" s="13"/>
      <c r="E202" s="17"/>
      <c r="F202" s="17"/>
      <c r="G202" s="17"/>
      <c r="H202" s="17"/>
      <c r="I202" s="17"/>
      <c r="J202" s="17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25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2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25">
      <c r="A203" s="1"/>
      <c r="B203" s="1"/>
      <c r="C203" s="1"/>
      <c r="D203" s="13"/>
      <c r="E203" s="17"/>
      <c r="F203" s="17"/>
      <c r="G203" s="17"/>
      <c r="H203" s="17"/>
      <c r="I203" s="17"/>
      <c r="J203" s="17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25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2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25">
      <c r="A204" s="1"/>
      <c r="B204" s="1"/>
      <c r="C204" s="1"/>
      <c r="D204" s="13"/>
      <c r="E204" s="17"/>
      <c r="F204" s="17"/>
      <c r="G204" s="17"/>
      <c r="H204" s="17"/>
      <c r="I204" s="17"/>
      <c r="J204" s="17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25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2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25">
      <c r="A205" s="1"/>
      <c r="B205" s="1"/>
      <c r="C205" s="1"/>
      <c r="D205" s="13"/>
      <c r="E205" s="17"/>
      <c r="F205" s="17"/>
      <c r="G205" s="17"/>
      <c r="H205" s="17"/>
      <c r="I205" s="17"/>
      <c r="J205" s="17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25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2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25">
      <c r="A206" s="1"/>
      <c r="B206" s="1"/>
      <c r="C206" s="1"/>
      <c r="D206" s="13"/>
      <c r="E206" s="17"/>
      <c r="F206" s="17"/>
      <c r="G206" s="17"/>
      <c r="H206" s="17"/>
      <c r="I206" s="17"/>
      <c r="J206" s="17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25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2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25">
      <c r="A207" s="1"/>
      <c r="B207" s="1"/>
      <c r="C207" s="1"/>
      <c r="D207" s="13"/>
      <c r="E207" s="17"/>
      <c r="F207" s="17"/>
      <c r="G207" s="17"/>
      <c r="H207" s="17"/>
      <c r="I207" s="17"/>
      <c r="J207" s="17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25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2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25">
      <c r="A208" s="1"/>
      <c r="B208" s="1"/>
      <c r="C208" s="1"/>
      <c r="D208" s="13"/>
      <c r="E208" s="17"/>
      <c r="F208" s="17"/>
      <c r="G208" s="17"/>
      <c r="H208" s="17"/>
      <c r="I208" s="17"/>
      <c r="J208" s="17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25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2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25">
      <c r="A209" s="1"/>
      <c r="B209" s="1"/>
      <c r="C209" s="1"/>
      <c r="D209" s="13"/>
      <c r="E209" s="17"/>
      <c r="F209" s="17"/>
      <c r="G209" s="17"/>
      <c r="H209" s="17"/>
      <c r="I209" s="17"/>
      <c r="J209" s="17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25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2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25">
      <c r="A210" s="1"/>
      <c r="B210" s="1"/>
      <c r="C210" s="1"/>
      <c r="D210" s="13"/>
      <c r="E210" s="17"/>
      <c r="F210" s="17"/>
      <c r="G210" s="17"/>
      <c r="H210" s="17"/>
      <c r="I210" s="17"/>
      <c r="J210" s="17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25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2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25">
      <c r="A211" s="1"/>
      <c r="B211" s="1"/>
      <c r="C211" s="1"/>
      <c r="D211" s="13"/>
      <c r="E211" s="17"/>
      <c r="F211" s="17"/>
      <c r="G211" s="17"/>
      <c r="H211" s="17"/>
      <c r="I211" s="17"/>
      <c r="J211" s="17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25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2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25">
      <c r="A212" s="1"/>
      <c r="B212" s="1"/>
      <c r="C212" s="1"/>
      <c r="D212" s="13"/>
      <c r="E212" s="17"/>
      <c r="F212" s="17"/>
      <c r="G212" s="17"/>
      <c r="H212" s="17"/>
      <c r="I212" s="17"/>
      <c r="J212" s="17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25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2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25">
      <c r="A213" s="1"/>
      <c r="B213" s="1"/>
      <c r="C213" s="1"/>
      <c r="D213" s="13"/>
      <c r="E213" s="17"/>
      <c r="F213" s="17"/>
      <c r="G213" s="17"/>
      <c r="H213" s="17"/>
      <c r="I213" s="17"/>
      <c r="J213" s="17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25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2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25">
      <c r="A214" s="1"/>
      <c r="B214" s="1"/>
      <c r="C214" s="1"/>
      <c r="D214" s="13"/>
      <c r="E214" s="17"/>
      <c r="F214" s="17"/>
      <c r="G214" s="17"/>
      <c r="H214" s="17"/>
      <c r="I214" s="17"/>
      <c r="J214" s="17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25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2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25">
      <c r="A215" s="1"/>
      <c r="B215" s="1"/>
      <c r="C215" s="1"/>
      <c r="D215" s="13"/>
      <c r="E215" s="17"/>
      <c r="F215" s="17"/>
      <c r="G215" s="17"/>
      <c r="H215" s="17"/>
      <c r="I215" s="17"/>
      <c r="J215" s="17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25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2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25">
      <c r="A216" s="1"/>
      <c r="B216" s="1"/>
      <c r="C216" s="1"/>
      <c r="D216" s="13"/>
      <c r="E216" s="17"/>
      <c r="F216" s="17"/>
      <c r="G216" s="17"/>
      <c r="H216" s="17"/>
      <c r="I216" s="17"/>
      <c r="J216" s="17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25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2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25">
      <c r="A217" s="1"/>
      <c r="B217" s="1"/>
      <c r="C217" s="1"/>
      <c r="D217" s="13"/>
      <c r="E217" s="17"/>
      <c r="F217" s="17"/>
      <c r="G217" s="17"/>
      <c r="H217" s="17"/>
      <c r="I217" s="17"/>
      <c r="J217" s="17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25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2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25">
      <c r="A218" s="1"/>
      <c r="B218" s="1"/>
      <c r="C218" s="1"/>
      <c r="D218" s="13"/>
      <c r="E218" s="17"/>
      <c r="F218" s="17"/>
      <c r="G218" s="17"/>
      <c r="H218" s="17"/>
      <c r="I218" s="17"/>
      <c r="J218" s="17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25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2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25">
      <c r="A219" s="1"/>
      <c r="B219" s="1"/>
      <c r="C219" s="1"/>
      <c r="D219" s="13"/>
      <c r="E219" s="17"/>
      <c r="F219" s="17"/>
      <c r="G219" s="17"/>
      <c r="H219" s="17"/>
      <c r="I219" s="17"/>
      <c r="J219" s="17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25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2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25">
      <c r="A220" s="1"/>
      <c r="B220" s="1"/>
      <c r="C220" s="1"/>
      <c r="D220" s="13"/>
      <c r="E220" s="17"/>
      <c r="F220" s="17"/>
      <c r="G220" s="17"/>
      <c r="H220" s="17"/>
      <c r="I220" s="17"/>
      <c r="J220" s="17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25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2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25">
      <c r="A221" s="1"/>
      <c r="B221" s="1"/>
      <c r="C221" s="1"/>
      <c r="D221" s="13"/>
      <c r="E221" s="17"/>
      <c r="F221" s="17"/>
      <c r="G221" s="17"/>
      <c r="H221" s="17"/>
      <c r="I221" s="17"/>
      <c r="J221" s="17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25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2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25">
      <c r="A222" s="1"/>
      <c r="B222" s="1"/>
      <c r="C222" s="1"/>
      <c r="D222" s="13"/>
      <c r="E222" s="17"/>
      <c r="F222" s="17"/>
      <c r="G222" s="17"/>
      <c r="H222" s="17"/>
      <c r="I222" s="17"/>
      <c r="J222" s="17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25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2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25">
      <c r="A223" s="1"/>
      <c r="B223" s="1"/>
      <c r="C223" s="1"/>
      <c r="D223" s="13"/>
      <c r="E223" s="17"/>
      <c r="F223" s="17"/>
      <c r="G223" s="17"/>
      <c r="H223" s="17"/>
      <c r="I223" s="17"/>
      <c r="J223" s="17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25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2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25">
      <c r="A224" s="1"/>
      <c r="B224" s="1"/>
      <c r="C224" s="1"/>
      <c r="D224" s="13"/>
      <c r="E224" s="17"/>
      <c r="F224" s="17"/>
      <c r="G224" s="17"/>
      <c r="H224" s="17"/>
      <c r="I224" s="17"/>
      <c r="J224" s="17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25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2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25">
      <c r="A225" s="1"/>
      <c r="B225" s="1"/>
      <c r="C225" s="1"/>
      <c r="D225" s="13"/>
      <c r="E225" s="17"/>
      <c r="F225" s="17"/>
      <c r="G225" s="17"/>
      <c r="H225" s="17"/>
      <c r="I225" s="17"/>
      <c r="J225" s="17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25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2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25">
      <c r="A226" s="1"/>
      <c r="B226" s="1"/>
      <c r="C226" s="1"/>
      <c r="D226" s="13"/>
      <c r="E226" s="17"/>
      <c r="F226" s="17"/>
      <c r="G226" s="17"/>
      <c r="H226" s="17"/>
      <c r="I226" s="17"/>
      <c r="J226" s="17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25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2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25">
      <c r="A227" s="1"/>
      <c r="B227" s="1"/>
      <c r="C227" s="1"/>
      <c r="D227" s="13"/>
      <c r="E227" s="17"/>
      <c r="F227" s="17"/>
      <c r="G227" s="17"/>
      <c r="H227" s="17"/>
      <c r="I227" s="17"/>
      <c r="J227" s="17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25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2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25">
      <c r="A228" s="1"/>
      <c r="B228" s="1"/>
      <c r="C228" s="1"/>
      <c r="D228" s="13"/>
      <c r="E228" s="17"/>
      <c r="F228" s="17"/>
      <c r="G228" s="17"/>
      <c r="H228" s="17"/>
      <c r="I228" s="17"/>
      <c r="J228" s="17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25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2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25">
      <c r="A229" s="1"/>
      <c r="B229" s="1"/>
      <c r="C229" s="1"/>
      <c r="D229" s="13"/>
      <c r="E229" s="17"/>
      <c r="F229" s="17"/>
      <c r="G229" s="17"/>
      <c r="H229" s="17"/>
      <c r="I229" s="17"/>
      <c r="J229" s="17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25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2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25">
      <c r="A230" s="1"/>
      <c r="B230" s="1"/>
      <c r="C230" s="1"/>
      <c r="D230" s="13"/>
      <c r="E230" s="17"/>
      <c r="F230" s="17"/>
      <c r="G230" s="17"/>
      <c r="H230" s="17"/>
      <c r="I230" s="17"/>
      <c r="J230" s="17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25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2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25">
      <c r="A231" s="1"/>
      <c r="B231" s="1"/>
      <c r="C231" s="1"/>
      <c r="D231" s="13"/>
      <c r="E231" s="17"/>
      <c r="F231" s="17"/>
      <c r="G231" s="17"/>
      <c r="H231" s="17"/>
      <c r="I231" s="17"/>
      <c r="J231" s="17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25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2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25">
      <c r="A232" s="1"/>
      <c r="B232" s="1"/>
      <c r="C232" s="1"/>
      <c r="D232" s="13"/>
      <c r="E232" s="17"/>
      <c r="F232" s="17"/>
      <c r="G232" s="17"/>
      <c r="H232" s="17"/>
      <c r="I232" s="17"/>
      <c r="J232" s="17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25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2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25">
      <c r="A233" s="1"/>
      <c r="B233" s="1"/>
      <c r="C233" s="1"/>
      <c r="D233" s="13"/>
      <c r="E233" s="17"/>
      <c r="F233" s="17"/>
      <c r="G233" s="17"/>
      <c r="H233" s="17"/>
      <c r="I233" s="17"/>
      <c r="J233" s="17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25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2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25">
      <c r="A234" s="1"/>
      <c r="B234" s="1"/>
      <c r="C234" s="1"/>
      <c r="D234" s="13"/>
      <c r="E234" s="17"/>
      <c r="F234" s="17"/>
      <c r="G234" s="17"/>
      <c r="H234" s="17"/>
      <c r="I234" s="17"/>
      <c r="J234" s="17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25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2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25">
      <c r="A235" s="1"/>
      <c r="B235" s="1"/>
      <c r="C235" s="1"/>
      <c r="D235" s="13"/>
      <c r="E235" s="17"/>
      <c r="F235" s="17"/>
      <c r="G235" s="17"/>
      <c r="H235" s="17"/>
      <c r="I235" s="17"/>
      <c r="J235" s="17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25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2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25">
      <c r="A236" s="1"/>
      <c r="B236" s="1"/>
      <c r="C236" s="1"/>
      <c r="D236" s="13"/>
      <c r="E236" s="17"/>
      <c r="F236" s="17"/>
      <c r="G236" s="17"/>
      <c r="H236" s="17"/>
      <c r="I236" s="17"/>
      <c r="J236" s="17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25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2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25">
      <c r="A237" s="1"/>
      <c r="B237" s="1"/>
      <c r="C237" s="1"/>
      <c r="D237" s="13"/>
      <c r="E237" s="17"/>
      <c r="F237" s="17"/>
      <c r="G237" s="17"/>
      <c r="H237" s="17"/>
      <c r="I237" s="17"/>
      <c r="J237" s="17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25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2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25">
      <c r="A238" s="1"/>
      <c r="B238" s="1"/>
      <c r="C238" s="1"/>
      <c r="D238" s="13"/>
      <c r="E238" s="17"/>
      <c r="F238" s="17"/>
      <c r="G238" s="17"/>
      <c r="H238" s="17"/>
      <c r="I238" s="17"/>
      <c r="J238" s="17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25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2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25">
      <c r="A239" s="1"/>
      <c r="B239" s="1"/>
      <c r="C239" s="1"/>
      <c r="D239" s="13"/>
      <c r="E239" s="17"/>
      <c r="F239" s="17"/>
      <c r="G239" s="17"/>
      <c r="H239" s="17"/>
      <c r="I239" s="17"/>
      <c r="J239" s="17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25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2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25">
      <c r="A240" s="1"/>
      <c r="B240" s="1"/>
      <c r="C240" s="1"/>
      <c r="D240" s="13"/>
      <c r="E240" s="17"/>
      <c r="F240" s="17"/>
      <c r="G240" s="17"/>
      <c r="H240" s="17"/>
      <c r="I240" s="17"/>
      <c r="J240" s="17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25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2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25">
      <c r="A241" s="1"/>
      <c r="B241" s="1"/>
      <c r="C241" s="1"/>
      <c r="D241" s="13"/>
      <c r="E241" s="17"/>
      <c r="F241" s="17"/>
      <c r="G241" s="17"/>
      <c r="H241" s="17"/>
      <c r="I241" s="17"/>
      <c r="J241" s="17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25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2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25">
      <c r="A242" s="1"/>
      <c r="B242" s="1"/>
      <c r="C242" s="1"/>
      <c r="D242" s="13"/>
      <c r="E242" s="17"/>
      <c r="F242" s="17"/>
      <c r="G242" s="17"/>
      <c r="H242" s="17"/>
      <c r="I242" s="17"/>
      <c r="J242" s="17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25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2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25">
      <c r="A243" s="1"/>
      <c r="B243" s="1"/>
      <c r="C243" s="1"/>
      <c r="D243" s="13"/>
      <c r="E243" s="17"/>
      <c r="F243" s="17"/>
      <c r="G243" s="17"/>
      <c r="H243" s="17"/>
      <c r="I243" s="17"/>
      <c r="J243" s="17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25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2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25">
      <c r="A244" s="1"/>
      <c r="B244" s="1"/>
      <c r="C244" s="1"/>
      <c r="D244" s="13"/>
      <c r="E244" s="17"/>
      <c r="F244" s="17"/>
      <c r="G244" s="17"/>
      <c r="H244" s="17"/>
      <c r="I244" s="17"/>
      <c r="J244" s="17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25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2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25">
      <c r="A245" s="1"/>
      <c r="B245" s="1"/>
      <c r="C245" s="1"/>
      <c r="D245" s="13"/>
      <c r="E245" s="17"/>
      <c r="F245" s="17"/>
      <c r="G245" s="17"/>
      <c r="H245" s="17"/>
      <c r="I245" s="17"/>
      <c r="J245" s="17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25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2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25">
      <c r="A246" s="1"/>
      <c r="B246" s="1"/>
      <c r="C246" s="1"/>
      <c r="D246" s="13"/>
      <c r="E246" s="17"/>
      <c r="F246" s="17"/>
      <c r="G246" s="17"/>
      <c r="H246" s="17"/>
      <c r="I246" s="17"/>
      <c r="J246" s="17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25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2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25">
      <c r="A247" s="1"/>
      <c r="B247" s="1"/>
      <c r="C247" s="1"/>
      <c r="D247" s="13"/>
      <c r="E247" s="17"/>
      <c r="F247" s="17"/>
      <c r="G247" s="17"/>
      <c r="H247" s="17"/>
      <c r="I247" s="17"/>
      <c r="J247" s="17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25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2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25">
      <c r="A248" s="1"/>
      <c r="B248" s="1"/>
      <c r="C248" s="1"/>
      <c r="D248" s="13"/>
      <c r="E248" s="17"/>
      <c r="F248" s="17"/>
      <c r="G248" s="17"/>
      <c r="H248" s="17"/>
      <c r="I248" s="17"/>
      <c r="J248" s="17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25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2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25">
      <c r="A249" s="1"/>
      <c r="B249" s="1"/>
      <c r="C249" s="1"/>
      <c r="D249" s="13"/>
      <c r="E249" s="17"/>
      <c r="F249" s="17"/>
      <c r="G249" s="17"/>
      <c r="H249" s="17"/>
      <c r="I249" s="17"/>
      <c r="J249" s="17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25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2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25">
      <c r="A250" s="1"/>
      <c r="B250" s="1"/>
      <c r="C250" s="1"/>
      <c r="D250" s="13"/>
      <c r="E250" s="17"/>
      <c r="F250" s="17"/>
      <c r="G250" s="17"/>
      <c r="H250" s="17"/>
      <c r="I250" s="17"/>
      <c r="J250" s="17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25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2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25">
      <c r="A251" s="1"/>
      <c r="B251" s="1"/>
      <c r="C251" s="1"/>
      <c r="D251" s="13"/>
      <c r="E251" s="17"/>
      <c r="F251" s="17"/>
      <c r="G251" s="17"/>
      <c r="H251" s="17"/>
      <c r="I251" s="17"/>
      <c r="J251" s="17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25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2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25">
      <c r="A252" s="1"/>
      <c r="B252" s="1"/>
      <c r="C252" s="1"/>
      <c r="D252" s="13"/>
      <c r="E252" s="17"/>
      <c r="F252" s="17"/>
      <c r="G252" s="17"/>
      <c r="H252" s="17"/>
      <c r="I252" s="17"/>
      <c r="J252" s="17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25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2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25">
      <c r="A253" s="1"/>
      <c r="B253" s="1"/>
      <c r="C253" s="1"/>
      <c r="D253" s="13"/>
      <c r="E253" s="17"/>
      <c r="F253" s="17"/>
      <c r="G253" s="17"/>
      <c r="H253" s="17"/>
      <c r="I253" s="17"/>
      <c r="J253" s="17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25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2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25">
      <c r="A254" s="1"/>
      <c r="B254" s="1"/>
      <c r="C254" s="1"/>
      <c r="D254" s="13"/>
      <c r="E254" s="17"/>
      <c r="F254" s="17"/>
      <c r="G254" s="17"/>
      <c r="H254" s="17"/>
      <c r="I254" s="17"/>
      <c r="J254" s="17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25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2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25">
      <c r="A255" s="1"/>
      <c r="B255" s="1"/>
      <c r="C255" s="1"/>
      <c r="D255" s="13"/>
      <c r="E255" s="17"/>
      <c r="F255" s="17"/>
      <c r="G255" s="17"/>
      <c r="H255" s="17"/>
      <c r="I255" s="17"/>
      <c r="J255" s="17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25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2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25">
      <c r="A256" s="1"/>
      <c r="B256" s="1"/>
      <c r="C256" s="1"/>
      <c r="D256" s="13"/>
      <c r="E256" s="17"/>
      <c r="F256" s="17"/>
      <c r="G256" s="17"/>
      <c r="H256" s="17"/>
      <c r="I256" s="17"/>
      <c r="J256" s="17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25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2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25">
      <c r="A257" s="1"/>
      <c r="B257" s="1"/>
      <c r="C257" s="1"/>
      <c r="D257" s="13"/>
      <c r="E257" s="17"/>
      <c r="F257" s="17"/>
      <c r="G257" s="17"/>
      <c r="H257" s="17"/>
      <c r="I257" s="17"/>
      <c r="J257" s="17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25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2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25">
      <c r="A258" s="1"/>
      <c r="B258" s="1"/>
      <c r="C258" s="1"/>
      <c r="D258" s="13"/>
      <c r="E258" s="17"/>
      <c r="F258" s="17"/>
      <c r="G258" s="17"/>
      <c r="H258" s="17"/>
      <c r="I258" s="17"/>
      <c r="J258" s="17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25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2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25">
      <c r="A259" s="1"/>
      <c r="B259" s="1"/>
      <c r="C259" s="1"/>
      <c r="D259" s="13"/>
      <c r="E259" s="17"/>
      <c r="F259" s="17"/>
      <c r="G259" s="17"/>
      <c r="H259" s="17"/>
      <c r="I259" s="17"/>
      <c r="J259" s="17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25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2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25">
      <c r="A260" s="1"/>
      <c r="B260" s="1"/>
      <c r="C260" s="1"/>
      <c r="D260" s="13"/>
      <c r="E260" s="17"/>
      <c r="F260" s="17"/>
      <c r="G260" s="17"/>
      <c r="H260" s="17"/>
      <c r="I260" s="17"/>
      <c r="J260" s="17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25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2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25">
      <c r="A261" s="1"/>
      <c r="B261" s="1"/>
      <c r="C261" s="1"/>
      <c r="D261" s="13"/>
      <c r="E261" s="17"/>
      <c r="F261" s="17"/>
      <c r="G261" s="17"/>
      <c r="H261" s="17"/>
      <c r="I261" s="17"/>
      <c r="J261" s="17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25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2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25">
      <c r="A262" s="1"/>
      <c r="B262" s="1"/>
      <c r="C262" s="1"/>
      <c r="D262" s="13"/>
      <c r="E262" s="17"/>
      <c r="F262" s="17"/>
      <c r="G262" s="17"/>
      <c r="H262" s="17"/>
      <c r="I262" s="17"/>
      <c r="J262" s="17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25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2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25">
      <c r="A263" s="1"/>
      <c r="B263" s="1"/>
      <c r="C263" s="1"/>
      <c r="D263" s="13"/>
      <c r="E263" s="17"/>
      <c r="F263" s="17"/>
      <c r="G263" s="17"/>
      <c r="H263" s="17"/>
      <c r="I263" s="17"/>
      <c r="J263" s="17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25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2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25">
      <c r="A264" s="1"/>
      <c r="B264" s="1"/>
      <c r="C264" s="1"/>
      <c r="D264" s="13"/>
      <c r="E264" s="17"/>
      <c r="F264" s="17"/>
      <c r="G264" s="17"/>
      <c r="H264" s="17"/>
      <c r="I264" s="17"/>
      <c r="J264" s="17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25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2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25">
      <c r="A265" s="1"/>
      <c r="B265" s="1"/>
      <c r="C265" s="1"/>
      <c r="D265" s="13"/>
      <c r="E265" s="17"/>
      <c r="F265" s="17"/>
      <c r="G265" s="17"/>
      <c r="H265" s="17"/>
      <c r="I265" s="17"/>
      <c r="J265" s="17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25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2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25">
      <c r="A266" s="1"/>
      <c r="B266" s="1"/>
      <c r="C266" s="1"/>
      <c r="D266" s="13"/>
      <c r="E266" s="17"/>
      <c r="F266" s="17"/>
      <c r="G266" s="17"/>
      <c r="H266" s="17"/>
      <c r="I266" s="17"/>
      <c r="J266" s="17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25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2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25">
      <c r="A267" s="1"/>
      <c r="B267" s="1"/>
      <c r="C267" s="1"/>
      <c r="D267" s="13"/>
      <c r="E267" s="17"/>
      <c r="F267" s="17"/>
      <c r="G267" s="17"/>
      <c r="H267" s="17"/>
      <c r="I267" s="17"/>
      <c r="J267" s="17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25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2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25">
      <c r="A268" s="1"/>
      <c r="B268" s="1"/>
      <c r="C268" s="1"/>
      <c r="D268" s="13"/>
      <c r="E268" s="17"/>
      <c r="F268" s="17"/>
      <c r="G268" s="17"/>
      <c r="H268" s="17"/>
      <c r="I268" s="17"/>
      <c r="J268" s="17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25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2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25">
      <c r="A269" s="1"/>
      <c r="B269" s="1"/>
      <c r="C269" s="1"/>
      <c r="D269" s="13"/>
      <c r="E269" s="17"/>
      <c r="F269" s="17"/>
      <c r="G269" s="17"/>
      <c r="H269" s="17"/>
      <c r="I269" s="17"/>
      <c r="J269" s="17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25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2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25">
      <c r="A270" s="1"/>
      <c r="B270" s="1"/>
      <c r="C270" s="1"/>
      <c r="D270" s="13"/>
      <c r="E270" s="17"/>
      <c r="F270" s="17"/>
      <c r="G270" s="17"/>
      <c r="H270" s="17"/>
      <c r="I270" s="17"/>
      <c r="J270" s="17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25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2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25">
      <c r="A271" s="1"/>
      <c r="B271" s="1"/>
      <c r="C271" s="1"/>
      <c r="D271" s="13"/>
      <c r="E271" s="17"/>
      <c r="F271" s="17"/>
      <c r="G271" s="17"/>
      <c r="H271" s="17"/>
      <c r="I271" s="17"/>
      <c r="J271" s="17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25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2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25">
      <c r="A272" s="1"/>
      <c r="B272" s="1"/>
      <c r="C272" s="1"/>
      <c r="D272" s="13"/>
      <c r="E272" s="17"/>
      <c r="F272" s="17"/>
      <c r="G272" s="17"/>
      <c r="H272" s="17"/>
      <c r="I272" s="17"/>
      <c r="J272" s="17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25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2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25">
      <c r="A273" s="1"/>
      <c r="B273" s="1"/>
      <c r="C273" s="1"/>
      <c r="D273" s="13"/>
      <c r="E273" s="17"/>
      <c r="F273" s="17"/>
      <c r="G273" s="17"/>
      <c r="H273" s="17"/>
      <c r="I273" s="17"/>
      <c r="J273" s="17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25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2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25">
      <c r="A274" s="1"/>
      <c r="B274" s="1"/>
      <c r="C274" s="1"/>
      <c r="D274" s="13"/>
      <c r="E274" s="17"/>
      <c r="F274" s="17"/>
      <c r="G274" s="17"/>
      <c r="H274" s="17"/>
      <c r="I274" s="17"/>
      <c r="J274" s="17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25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2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25">
      <c r="A275" s="1"/>
      <c r="B275" s="1"/>
      <c r="C275" s="1"/>
      <c r="D275" s="13"/>
      <c r="E275" s="17"/>
      <c r="F275" s="17"/>
      <c r="G275" s="17"/>
      <c r="H275" s="17"/>
      <c r="I275" s="17"/>
      <c r="J275" s="17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25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2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25">
      <c r="A276" s="1"/>
      <c r="B276" s="1"/>
      <c r="C276" s="1"/>
      <c r="D276" s="13"/>
      <c r="E276" s="17"/>
      <c r="F276" s="17"/>
      <c r="G276" s="17"/>
      <c r="H276" s="17"/>
      <c r="I276" s="17"/>
      <c r="J276" s="17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25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2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25">
      <c r="A277" s="1"/>
      <c r="B277" s="1"/>
      <c r="C277" s="1"/>
      <c r="D277" s="13"/>
      <c r="E277" s="17"/>
      <c r="F277" s="17"/>
      <c r="G277" s="17"/>
      <c r="H277" s="17"/>
      <c r="I277" s="17"/>
      <c r="J277" s="17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25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2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25">
      <c r="A278" s="1"/>
      <c r="B278" s="1"/>
      <c r="C278" s="1"/>
      <c r="D278" s="13"/>
      <c r="E278" s="17"/>
      <c r="F278" s="17"/>
      <c r="G278" s="17"/>
      <c r="H278" s="17"/>
      <c r="I278" s="17"/>
      <c r="J278" s="17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25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2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25">
      <c r="A279" s="1"/>
      <c r="B279" s="1"/>
      <c r="C279" s="1"/>
      <c r="D279" s="13"/>
      <c r="E279" s="17"/>
      <c r="F279" s="17"/>
      <c r="G279" s="17"/>
      <c r="H279" s="17"/>
      <c r="I279" s="17"/>
      <c r="J279" s="17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25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2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25">
      <c r="A280" s="1"/>
      <c r="B280" s="1"/>
      <c r="C280" s="1"/>
      <c r="D280" s="13"/>
      <c r="E280" s="17"/>
      <c r="F280" s="17"/>
      <c r="G280" s="17"/>
      <c r="H280" s="17"/>
      <c r="I280" s="17"/>
      <c r="J280" s="17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25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2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25">
      <c r="A281" s="1"/>
      <c r="B281" s="1"/>
      <c r="C281" s="1"/>
      <c r="D281" s="13"/>
      <c r="E281" s="17"/>
      <c r="F281" s="17"/>
      <c r="G281" s="17"/>
      <c r="H281" s="17"/>
      <c r="I281" s="17"/>
      <c r="J281" s="17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25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2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25">
      <c r="A282" s="1"/>
      <c r="B282" s="1"/>
      <c r="C282" s="1"/>
      <c r="D282" s="13"/>
      <c r="E282" s="17"/>
      <c r="F282" s="17"/>
      <c r="G282" s="17"/>
      <c r="H282" s="17"/>
      <c r="I282" s="17"/>
      <c r="J282" s="17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25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2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25">
      <c r="A283" s="1"/>
      <c r="B283" s="1"/>
      <c r="C283" s="1"/>
      <c r="D283" s="13"/>
      <c r="E283" s="17"/>
      <c r="F283" s="17"/>
      <c r="G283" s="17"/>
      <c r="H283" s="17"/>
      <c r="I283" s="17"/>
      <c r="J283" s="17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25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2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25">
      <c r="A284" s="1"/>
      <c r="B284" s="1"/>
      <c r="C284" s="1"/>
      <c r="D284" s="13"/>
      <c r="E284" s="17"/>
      <c r="F284" s="17"/>
      <c r="G284" s="17"/>
      <c r="H284" s="17"/>
      <c r="I284" s="17"/>
      <c r="J284" s="17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25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2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25">
      <c r="A285" s="1"/>
      <c r="B285" s="1"/>
      <c r="C285" s="1"/>
      <c r="D285" s="13"/>
      <c r="E285" s="17"/>
      <c r="F285" s="17"/>
      <c r="G285" s="17"/>
      <c r="H285" s="17"/>
      <c r="I285" s="17"/>
      <c r="J285" s="17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25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2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25">
      <c r="A286" s="1"/>
      <c r="B286" s="1"/>
      <c r="C286" s="1"/>
      <c r="D286" s="13"/>
      <c r="E286" s="17"/>
      <c r="F286" s="17"/>
      <c r="G286" s="17"/>
      <c r="H286" s="17"/>
      <c r="I286" s="17"/>
      <c r="J286" s="17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25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2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25">
      <c r="A287" s="1"/>
      <c r="B287" s="1"/>
      <c r="C287" s="1"/>
      <c r="D287" s="13"/>
      <c r="E287" s="17"/>
      <c r="F287" s="17"/>
      <c r="G287" s="17"/>
      <c r="H287" s="17"/>
      <c r="I287" s="17"/>
      <c r="J287" s="17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25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2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25">
      <c r="A288" s="1"/>
      <c r="B288" s="1"/>
      <c r="C288" s="1"/>
      <c r="D288" s="13"/>
      <c r="E288" s="17"/>
      <c r="F288" s="17"/>
      <c r="G288" s="17"/>
      <c r="H288" s="17"/>
      <c r="I288" s="17"/>
      <c r="J288" s="17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25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2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25">
      <c r="A289" s="1"/>
      <c r="B289" s="1"/>
      <c r="C289" s="1"/>
      <c r="D289" s="13"/>
      <c r="E289" s="17"/>
      <c r="F289" s="17"/>
      <c r="G289" s="17"/>
      <c r="H289" s="17"/>
      <c r="I289" s="17"/>
      <c r="J289" s="17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25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2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25">
      <c r="A290" s="1"/>
      <c r="B290" s="1"/>
      <c r="C290" s="1"/>
      <c r="D290" s="13"/>
      <c r="E290" s="17"/>
      <c r="F290" s="17"/>
      <c r="G290" s="17"/>
      <c r="H290" s="17"/>
      <c r="I290" s="17"/>
      <c r="J290" s="17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25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2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25">
      <c r="A291" s="1"/>
      <c r="B291" s="1"/>
      <c r="C291" s="1"/>
      <c r="D291" s="13"/>
      <c r="E291" s="17"/>
      <c r="F291" s="17"/>
      <c r="G291" s="17"/>
      <c r="H291" s="17"/>
      <c r="I291" s="17"/>
      <c r="J291" s="17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25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2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25">
      <c r="A292" s="1"/>
      <c r="B292" s="1"/>
      <c r="C292" s="1"/>
      <c r="D292" s="13"/>
      <c r="E292" s="17"/>
      <c r="F292" s="17"/>
      <c r="G292" s="17"/>
      <c r="H292" s="17"/>
      <c r="I292" s="17"/>
      <c r="J292" s="17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25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2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25">
      <c r="A293" s="1"/>
      <c r="B293" s="1"/>
      <c r="C293" s="1"/>
      <c r="D293" s="13"/>
      <c r="E293" s="17"/>
      <c r="F293" s="17"/>
      <c r="G293" s="17"/>
      <c r="H293" s="17"/>
      <c r="I293" s="17"/>
      <c r="J293" s="17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25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2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25">
      <c r="A294" s="1"/>
      <c r="B294" s="1"/>
      <c r="C294" s="1"/>
      <c r="D294" s="13"/>
      <c r="E294" s="17"/>
      <c r="F294" s="17"/>
      <c r="G294" s="17"/>
      <c r="H294" s="17"/>
      <c r="I294" s="17"/>
      <c r="J294" s="17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25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2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25">
      <c r="A295" s="1"/>
      <c r="B295" s="1"/>
      <c r="C295" s="1"/>
      <c r="D295" s="13"/>
      <c r="E295" s="17"/>
      <c r="F295" s="17"/>
      <c r="G295" s="17"/>
      <c r="H295" s="17"/>
      <c r="I295" s="17"/>
      <c r="J295" s="17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25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2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25">
      <c r="A296" s="1"/>
      <c r="B296" s="1"/>
      <c r="C296" s="1"/>
      <c r="D296" s="13"/>
      <c r="E296" s="17"/>
      <c r="F296" s="17"/>
      <c r="G296" s="17"/>
      <c r="H296" s="17"/>
      <c r="I296" s="17"/>
      <c r="J296" s="17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25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2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25">
      <c r="A297" s="1"/>
      <c r="B297" s="1"/>
      <c r="C297" s="1"/>
      <c r="D297" s="13"/>
      <c r="E297" s="17"/>
      <c r="F297" s="17"/>
      <c r="G297" s="17"/>
      <c r="H297" s="17"/>
      <c r="I297" s="17"/>
      <c r="J297" s="17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25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2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25">
      <c r="A298" s="1"/>
      <c r="B298" s="1"/>
      <c r="C298" s="1"/>
      <c r="D298" s="13"/>
      <c r="E298" s="17"/>
      <c r="F298" s="17"/>
      <c r="G298" s="17"/>
      <c r="H298" s="17"/>
      <c r="I298" s="17"/>
      <c r="J298" s="17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25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2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25">
      <c r="A299" s="1"/>
      <c r="B299" s="1"/>
      <c r="C299" s="1"/>
      <c r="D299" s="13"/>
      <c r="E299" s="17"/>
      <c r="F299" s="17"/>
      <c r="G299" s="17"/>
      <c r="H299" s="17"/>
      <c r="I299" s="17"/>
      <c r="J299" s="17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25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2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25">
      <c r="A300" s="1" t="s">
        <v>1778</v>
      </c>
      <c r="B300" s="1"/>
      <c r="C300" s="1"/>
      <c r="D300" s="13"/>
      <c r="E300" s="17"/>
      <c r="F300" s="17"/>
      <c r="G300" s="17"/>
      <c r="H300" s="17"/>
      <c r="I300" s="17"/>
      <c r="J300" s="17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25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2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1"/>
      <c r="AT300" s="1"/>
      <c r="AU300" s="1"/>
      <c r="AV300" s="1"/>
      <c r="AW300" s="1"/>
      <c r="AX300" s="1"/>
      <c r="AY300" s="1"/>
      <c r="AZ300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4" name="Button 11">
              <controlPr defaultSize="0" print="0" autoFill="0" autoPict="0" macro="[0]!stocks">
                <anchor moveWithCells="1" sizeWithCells="1">
                  <from>
                    <xdr:col>1</xdr:col>
                    <xdr:colOff>38100</xdr:colOff>
                    <xdr:row>2</xdr:row>
                    <xdr:rowOff>76200</xdr:rowOff>
                  </from>
                  <to>
                    <xdr:col>1</xdr:col>
                    <xdr:colOff>1209675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'Reference Information'!$B$3:$B$1778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I19" sqref="I19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J200"/>
  <sheetViews>
    <sheetView tabSelected="1" zoomScale="80" zoomScaleNormal="80" workbookViewId="0">
      <pane ySplit="3" topLeftCell="A4" activePane="bottomLeft" state="frozen"/>
      <selection pane="bottomLeft" activeCell="B1" sqref="B1:C2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2" width="11.5703125" style="8" bestFit="1" customWidth="1"/>
    <col min="13" max="13" width="10.42578125" style="8" bestFit="1" customWidth="1"/>
    <col min="14" max="14" width="15.28515625" style="8" bestFit="1" customWidth="1"/>
    <col min="16" max="16" width="12.28515625" bestFit="1" customWidth="1"/>
    <col min="17" max="17" width="11.28515625" bestFit="1" customWidth="1"/>
    <col min="18" max="18" width="11.28515625" customWidth="1"/>
    <col min="19" max="19" width="16.28515625" customWidth="1"/>
    <col min="20" max="20" width="15.7109375" bestFit="1" customWidth="1"/>
    <col min="21" max="22" width="12" customWidth="1"/>
    <col min="23" max="23" width="16.28515625" customWidth="1"/>
    <col min="24" max="24" width="15.7109375" bestFit="1" customWidth="1"/>
    <col min="25" max="26" width="12" customWidth="1"/>
  </cols>
  <sheetData>
    <row r="1" spans="1:36" x14ac:dyDescent="0.25">
      <c r="A1" s="1"/>
      <c r="B1" s="44" t="s">
        <v>1823</v>
      </c>
      <c r="C1" s="44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2"/>
    </row>
    <row r="2" spans="1:36" x14ac:dyDescent="0.25">
      <c r="A2" s="1"/>
      <c r="B2" s="45"/>
      <c r="C2" s="45"/>
      <c r="D2" s="31"/>
      <c r="E2" s="31"/>
      <c r="F2" s="31"/>
      <c r="G2" s="31"/>
      <c r="H2" s="31"/>
      <c r="I2" s="31"/>
      <c r="J2" s="31"/>
      <c r="K2" s="31"/>
      <c r="L2" s="31"/>
      <c r="M2" s="5"/>
      <c r="N2" s="4"/>
      <c r="O2" s="1"/>
      <c r="P2" s="1"/>
      <c r="Q2" s="46" t="s">
        <v>1851</v>
      </c>
      <c r="R2" s="48"/>
      <c r="S2" s="46" t="s">
        <v>1849</v>
      </c>
      <c r="T2" s="47"/>
      <c r="U2" s="47"/>
      <c r="V2" s="48"/>
      <c r="W2" s="46" t="s">
        <v>1850</v>
      </c>
      <c r="X2" s="47"/>
      <c r="Y2" s="47"/>
      <c r="Z2" s="48"/>
      <c r="AA2" s="1"/>
      <c r="AB2" s="1"/>
      <c r="AJ2" s="11"/>
    </row>
    <row r="3" spans="1:36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1810</v>
      </c>
      <c r="H3" s="19" t="s">
        <v>1807</v>
      </c>
      <c r="I3" s="19" t="s">
        <v>1811</v>
      </c>
      <c r="J3" s="19" t="s">
        <v>1812</v>
      </c>
      <c r="K3" s="19" t="s">
        <v>1813</v>
      </c>
      <c r="L3" s="19" t="s">
        <v>1814</v>
      </c>
      <c r="M3" s="5"/>
      <c r="N3" s="19" t="s">
        <v>1826</v>
      </c>
      <c r="O3" s="19" t="s">
        <v>1827</v>
      </c>
      <c r="P3" s="19" t="s">
        <v>1828</v>
      </c>
      <c r="Q3" s="37" t="s">
        <v>1824</v>
      </c>
      <c r="R3" s="38" t="s">
        <v>1829</v>
      </c>
      <c r="S3" s="37" t="s">
        <v>1831</v>
      </c>
      <c r="T3" s="19" t="s">
        <v>1825</v>
      </c>
      <c r="U3" s="19" t="s">
        <v>1830</v>
      </c>
      <c r="V3" s="38" t="s">
        <v>1832</v>
      </c>
      <c r="W3" s="37" t="s">
        <v>1847</v>
      </c>
      <c r="X3" s="19" t="s">
        <v>1848</v>
      </c>
      <c r="Y3" s="19" t="s">
        <v>1830</v>
      </c>
      <c r="Z3" s="38" t="s">
        <v>1832</v>
      </c>
      <c r="AA3" s="1"/>
      <c r="AB3" s="1"/>
      <c r="AD3" s="28" t="str">
        <f>B3</f>
        <v>Expiry</v>
      </c>
    </row>
    <row r="4" spans="1:36" x14ac:dyDescent="0.25">
      <c r="A4" s="1"/>
      <c r="B4" s="25">
        <v>43496</v>
      </c>
      <c r="C4" s="10" t="s">
        <v>206</v>
      </c>
      <c r="D4" s="1">
        <v>103.5</v>
      </c>
      <c r="E4" s="30">
        <v>6000</v>
      </c>
      <c r="F4" s="1">
        <v>105</v>
      </c>
      <c r="G4" s="1">
        <v>3.4</v>
      </c>
      <c r="H4" s="1">
        <v>1128000</v>
      </c>
      <c r="I4" s="1">
        <v>6000</v>
      </c>
      <c r="J4" s="1">
        <v>3.35</v>
      </c>
      <c r="K4" s="1">
        <v>3.45</v>
      </c>
      <c r="L4" s="1">
        <v>6000</v>
      </c>
      <c r="M4" s="9"/>
      <c r="N4" s="7">
        <f t="shared" ref="N4:N42" si="0">$G4/$D4</f>
        <v>3.2850241545893721E-2</v>
      </c>
      <c r="O4" s="7">
        <f t="shared" ref="O4:O42" ca="1" si="1">N4/($B4-TODAY())</f>
        <v>-7.4490343641482362E-5</v>
      </c>
      <c r="P4" s="33">
        <f t="shared" ref="P4:P42" si="2">$E4*$D4</f>
        <v>621000</v>
      </c>
      <c r="Q4" s="33">
        <f t="shared" ref="Q4:Q42" si="3">($G4+$F4-$D4)*$E4</f>
        <v>29400.000000000033</v>
      </c>
      <c r="R4" s="7">
        <f t="shared" ref="R4:R42" si="4">$Q4/$P4</f>
        <v>4.7342995169082178E-2</v>
      </c>
      <c r="S4" s="7" t="str">
        <f t="shared" ref="S4:S42" ca="1" si="5">mrigxl_max_drawdown($C4,INT($B4-TODAY()))</f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sh.symbol='BANKINDIA'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" s="33" t="e">
        <f t="shared" ref="T4:T42" ca="1" si="6">(S4*$D4+$G4)*$E4</f>
        <v>#VALUE!</v>
      </c>
      <c r="U4" s="7" t="e">
        <f t="shared" ref="U4:U42" ca="1" si="7">T4/$P4</f>
        <v>#VALUE!</v>
      </c>
      <c r="V4" s="7" t="e">
        <f t="shared" ref="V4:V42" ca="1" si="8">$R4+U4</f>
        <v>#VALUE!</v>
      </c>
      <c r="W4" s="7" t="str">
        <f t="shared" ref="W4:W42" ca="1" si="9">mrigxl_avg_drawdown($C4,INT($B4-TODAY()))</f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sh.symbol='BANKINDIA'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" s="33" t="e">
        <f t="shared" ref="X4:X42" ca="1" si="10">(W4*$D4+$G4)*$E4</f>
        <v>#VALUE!</v>
      </c>
      <c r="Y4" s="7" t="e">
        <f t="shared" ref="Y4:Y42" ca="1" si="11">X4/$P4</f>
        <v>#VALUE!</v>
      </c>
      <c r="Z4" s="7" t="e">
        <f t="shared" ref="Z4:Z42" ca="1" si="12">$R4+Y4</f>
        <v>#VALUE!</v>
      </c>
      <c r="AA4" s="1"/>
      <c r="AB4" s="1"/>
      <c r="AC4" s="34" t="s">
        <v>1869</v>
      </c>
      <c r="AE4" s="34" t="s">
        <v>1846</v>
      </c>
    </row>
    <row r="5" spans="1:36" x14ac:dyDescent="0.25">
      <c r="A5" s="3"/>
      <c r="B5" s="25">
        <v>43496</v>
      </c>
      <c r="C5" s="10" t="s">
        <v>266</v>
      </c>
      <c r="D5" s="1">
        <v>339.9</v>
      </c>
      <c r="E5" s="30">
        <v>1800</v>
      </c>
      <c r="F5" s="1">
        <v>330</v>
      </c>
      <c r="G5" s="1">
        <v>12.3</v>
      </c>
      <c r="H5" s="1">
        <v>84600</v>
      </c>
      <c r="I5" s="1">
        <v>1800</v>
      </c>
      <c r="J5" s="1">
        <v>12.45</v>
      </c>
      <c r="K5" s="1">
        <v>12.95</v>
      </c>
      <c r="L5" s="1">
        <v>1800</v>
      </c>
      <c r="M5" s="9"/>
      <c r="N5" s="7">
        <f t="shared" si="0"/>
        <v>3.6187113857016777E-2</v>
      </c>
      <c r="O5" s="7">
        <f t="shared" ca="1" si="1"/>
        <v>-8.2056947521579998E-5</v>
      </c>
      <c r="P5" s="33">
        <f t="shared" si="2"/>
        <v>611820</v>
      </c>
      <c r="Q5" s="33">
        <f t="shared" si="3"/>
        <v>4320.0000000000618</v>
      </c>
      <c r="R5" s="7">
        <f t="shared" si="4"/>
        <v>7.0609002647838608E-3</v>
      </c>
      <c r="S5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sh.symbol='BPCL'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" s="33" t="e">
        <f t="shared" ca="1" si="6"/>
        <v>#VALUE!</v>
      </c>
      <c r="U5" s="7" t="e">
        <f t="shared" ca="1" si="7"/>
        <v>#VALUE!</v>
      </c>
      <c r="V5" s="7" t="e">
        <f t="shared" ca="1" si="8"/>
        <v>#VALUE!</v>
      </c>
      <c r="W5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sh.symbol='BPCL'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" s="33" t="e">
        <f t="shared" ca="1" si="10"/>
        <v>#VALUE!</v>
      </c>
      <c r="Y5" s="7" t="e">
        <f t="shared" ca="1" si="11"/>
        <v>#VALUE!</v>
      </c>
      <c r="Z5" s="7" t="e">
        <f t="shared" ca="1" si="12"/>
        <v>#VALUE!</v>
      </c>
      <c r="AA5" s="1"/>
      <c r="AB5" s="1"/>
    </row>
    <row r="6" spans="1:36" x14ac:dyDescent="0.25">
      <c r="A6" s="3"/>
      <c r="B6" s="25">
        <v>43496</v>
      </c>
      <c r="C6" s="10" t="s">
        <v>286</v>
      </c>
      <c r="D6" s="1">
        <v>276</v>
      </c>
      <c r="E6" s="30">
        <v>2000</v>
      </c>
      <c r="F6" s="1">
        <v>280</v>
      </c>
      <c r="G6" s="1">
        <v>8.35</v>
      </c>
      <c r="H6" s="1">
        <v>358000</v>
      </c>
      <c r="I6" s="1">
        <v>2000</v>
      </c>
      <c r="J6" s="1">
        <v>8.4</v>
      </c>
      <c r="K6" s="1">
        <v>8.4499999999999993</v>
      </c>
      <c r="L6" s="1">
        <v>4000</v>
      </c>
      <c r="M6" s="9"/>
      <c r="N6" s="7">
        <f t="shared" si="0"/>
        <v>3.0253623188405795E-2</v>
      </c>
      <c r="O6" s="7">
        <f t="shared" ca="1" si="1"/>
        <v>-6.8602320155115179E-5</v>
      </c>
      <c r="P6" s="33">
        <f t="shared" si="2"/>
        <v>552000</v>
      </c>
      <c r="Q6" s="33">
        <f t="shared" si="3"/>
        <v>24700.000000000044</v>
      </c>
      <c r="R6" s="7">
        <f t="shared" si="4"/>
        <v>4.4746376811594282E-2</v>
      </c>
      <c r="S6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sh.symbol='CANBK'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" s="33" t="e">
        <f t="shared" ca="1" si="6"/>
        <v>#VALUE!</v>
      </c>
      <c r="U6" s="7" t="e">
        <f t="shared" ca="1" si="7"/>
        <v>#VALUE!</v>
      </c>
      <c r="V6" s="7" t="e">
        <f t="shared" ca="1" si="8"/>
        <v>#VALUE!</v>
      </c>
      <c r="W6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sh.symbol='CANBK'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" s="33" t="e">
        <f t="shared" ca="1" si="10"/>
        <v>#VALUE!</v>
      </c>
      <c r="Y6" s="7" t="e">
        <f t="shared" ca="1" si="11"/>
        <v>#VALUE!</v>
      </c>
      <c r="Z6" s="7" t="e">
        <f t="shared" ca="1" si="12"/>
        <v>#VALUE!</v>
      </c>
      <c r="AA6" s="1"/>
      <c r="AB6" s="1"/>
    </row>
    <row r="7" spans="1:36" x14ac:dyDescent="0.25">
      <c r="A7" s="3"/>
      <c r="B7" s="25">
        <v>43496</v>
      </c>
      <c r="C7" s="10" t="s">
        <v>409</v>
      </c>
      <c r="D7" s="1">
        <v>2593.1</v>
      </c>
      <c r="E7" s="30">
        <v>250</v>
      </c>
      <c r="F7" s="1">
        <v>2550</v>
      </c>
      <c r="G7" s="1">
        <v>86.4</v>
      </c>
      <c r="H7" s="1">
        <v>4250</v>
      </c>
      <c r="I7" s="1">
        <v>250</v>
      </c>
      <c r="J7" s="1">
        <v>81.599999999999994</v>
      </c>
      <c r="K7" s="1">
        <v>88.6</v>
      </c>
      <c r="L7" s="1">
        <v>250</v>
      </c>
      <c r="M7" s="9"/>
      <c r="N7" s="7">
        <f t="shared" si="0"/>
        <v>3.331919324360804E-2</v>
      </c>
      <c r="O7" s="7">
        <f t="shared" ca="1" si="1"/>
        <v>-7.5553726175981949E-5</v>
      </c>
      <c r="P7" s="33">
        <f t="shared" si="2"/>
        <v>648275</v>
      </c>
      <c r="Q7" s="33">
        <f t="shared" si="3"/>
        <v>10825.000000000045</v>
      </c>
      <c r="R7" s="7">
        <f t="shared" si="4"/>
        <v>1.669816050287308E-2</v>
      </c>
      <c r="S7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sh.symbol='DRREDDY'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" s="33" t="e">
        <f t="shared" ca="1" si="6"/>
        <v>#VALUE!</v>
      </c>
      <c r="U7" s="7" t="e">
        <f t="shared" ca="1" si="7"/>
        <v>#VALUE!</v>
      </c>
      <c r="V7" s="7" t="e">
        <f t="shared" ca="1" si="8"/>
        <v>#VALUE!</v>
      </c>
      <c r="W7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sh.symbol='DRREDDY'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" s="33" t="e">
        <f t="shared" ca="1" si="10"/>
        <v>#VALUE!</v>
      </c>
      <c r="Y7" s="7" t="e">
        <f t="shared" ca="1" si="11"/>
        <v>#VALUE!</v>
      </c>
      <c r="Z7" s="7" t="e">
        <f t="shared" ca="1" si="12"/>
        <v>#VALUE!</v>
      </c>
      <c r="AA7" s="1"/>
      <c r="AB7" s="1"/>
    </row>
    <row r="8" spans="1:36" x14ac:dyDescent="0.25">
      <c r="A8" s="3"/>
      <c r="B8" s="25">
        <v>43496</v>
      </c>
      <c r="C8" s="10" t="s">
        <v>449</v>
      </c>
      <c r="D8" s="1">
        <v>121</v>
      </c>
      <c r="E8" s="30">
        <v>4100</v>
      </c>
      <c r="F8" s="1">
        <v>120</v>
      </c>
      <c r="G8" s="1">
        <v>4.75</v>
      </c>
      <c r="H8" s="1">
        <v>28700</v>
      </c>
      <c r="I8" s="1">
        <v>36900</v>
      </c>
      <c r="J8" s="1">
        <v>4.75</v>
      </c>
      <c r="K8" s="1">
        <v>5.55</v>
      </c>
      <c r="L8" s="1">
        <v>41000</v>
      </c>
      <c r="M8" s="9"/>
      <c r="N8" s="7">
        <f t="shared" si="0"/>
        <v>3.9256198347107439E-2</v>
      </c>
      <c r="O8" s="7">
        <f t="shared" ca="1" si="1"/>
        <v>-8.9016322782556546E-5</v>
      </c>
      <c r="P8" s="33">
        <f t="shared" si="2"/>
        <v>496100</v>
      </c>
      <c r="Q8" s="33">
        <f t="shared" si="3"/>
        <v>15375</v>
      </c>
      <c r="R8" s="7">
        <f t="shared" si="4"/>
        <v>3.0991735537190084E-2</v>
      </c>
      <c r="S8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sh.symbol='ENGINERSIN'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8" s="33" t="e">
        <f t="shared" ca="1" si="6"/>
        <v>#VALUE!</v>
      </c>
      <c r="U8" s="7" t="e">
        <f t="shared" ca="1" si="7"/>
        <v>#VALUE!</v>
      </c>
      <c r="V8" s="7" t="e">
        <f t="shared" ca="1" si="8"/>
        <v>#VALUE!</v>
      </c>
      <c r="W8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sh.symbol='ENGINERSIN'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8" s="33" t="e">
        <f t="shared" ca="1" si="10"/>
        <v>#VALUE!</v>
      </c>
      <c r="Y8" s="7" t="e">
        <f t="shared" ca="1" si="11"/>
        <v>#VALUE!</v>
      </c>
      <c r="Z8" s="7" t="e">
        <f t="shared" ca="1" si="12"/>
        <v>#VALUE!</v>
      </c>
      <c r="AA8" s="1"/>
      <c r="AB8" s="1"/>
    </row>
    <row r="9" spans="1:36" x14ac:dyDescent="0.25">
      <c r="A9" s="3"/>
      <c r="B9" s="25">
        <v>43496</v>
      </c>
      <c r="C9" s="10" t="s">
        <v>458</v>
      </c>
      <c r="D9" s="1">
        <v>756.65</v>
      </c>
      <c r="E9" s="30">
        <v>1100</v>
      </c>
      <c r="F9" s="1">
        <v>740</v>
      </c>
      <c r="G9" s="1">
        <v>25.8</v>
      </c>
      <c r="H9" s="1">
        <v>201300</v>
      </c>
      <c r="I9" s="1">
        <v>5500</v>
      </c>
      <c r="J9" s="1">
        <v>25.75</v>
      </c>
      <c r="K9" s="1">
        <v>26.55</v>
      </c>
      <c r="L9" s="1">
        <v>2200</v>
      </c>
      <c r="M9" s="9"/>
      <c r="N9" s="7">
        <f t="shared" si="0"/>
        <v>3.4097667349501093E-2</v>
      </c>
      <c r="O9" s="7">
        <f t="shared" ca="1" si="1"/>
        <v>-7.7318973581635132E-5</v>
      </c>
      <c r="P9" s="33">
        <f t="shared" si="2"/>
        <v>832315</v>
      </c>
      <c r="Q9" s="33">
        <f t="shared" si="3"/>
        <v>10064.999999999975</v>
      </c>
      <c r="R9" s="7">
        <f t="shared" si="4"/>
        <v>1.2092777373950937E-2</v>
      </c>
      <c r="S9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sh.symbol='ESCORTS'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9" s="33" t="e">
        <f t="shared" ca="1" si="6"/>
        <v>#VALUE!</v>
      </c>
      <c r="U9" s="7" t="e">
        <f t="shared" ca="1" si="7"/>
        <v>#VALUE!</v>
      </c>
      <c r="V9" s="7" t="e">
        <f t="shared" ca="1" si="8"/>
        <v>#VALUE!</v>
      </c>
      <c r="W9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sh.symbol='ESCORTS'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9" s="33" t="e">
        <f t="shared" ca="1" si="10"/>
        <v>#VALUE!</v>
      </c>
      <c r="Y9" s="7" t="e">
        <f t="shared" ca="1" si="11"/>
        <v>#VALUE!</v>
      </c>
      <c r="Z9" s="7" t="e">
        <f t="shared" ca="1" si="12"/>
        <v>#VALUE!</v>
      </c>
      <c r="AA9" s="1"/>
      <c r="AB9" s="1"/>
    </row>
    <row r="10" spans="1:36" x14ac:dyDescent="0.25">
      <c r="A10" s="3"/>
      <c r="B10" s="25">
        <v>43496</v>
      </c>
      <c r="C10" s="10" t="s">
        <v>478</v>
      </c>
      <c r="D10" s="1">
        <v>91</v>
      </c>
      <c r="E10" s="30">
        <v>7000</v>
      </c>
      <c r="F10" s="1">
        <v>92.5</v>
      </c>
      <c r="G10" s="1">
        <v>2.8</v>
      </c>
      <c r="H10" s="1">
        <v>518000</v>
      </c>
      <c r="I10" s="1">
        <v>21000</v>
      </c>
      <c r="J10" s="1">
        <v>2.8</v>
      </c>
      <c r="K10" s="1">
        <v>2.9</v>
      </c>
      <c r="L10" s="1">
        <v>42000</v>
      </c>
      <c r="M10" s="9"/>
      <c r="N10" s="7">
        <f t="shared" si="0"/>
        <v>3.0769230769230767E-2</v>
      </c>
      <c r="O10" s="7">
        <f t="shared" ca="1" si="1"/>
        <v>-6.9771498342926908E-5</v>
      </c>
      <c r="P10" s="33">
        <f t="shared" si="2"/>
        <v>637000</v>
      </c>
      <c r="Q10" s="33">
        <f t="shared" si="3"/>
        <v>30099.999999999982</v>
      </c>
      <c r="R10" s="7">
        <f t="shared" si="4"/>
        <v>4.7252747252747224E-2</v>
      </c>
      <c r="S10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sh.symbol='FEDERALBNK'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0" s="33" t="e">
        <f t="shared" ca="1" si="6"/>
        <v>#VALUE!</v>
      </c>
      <c r="U10" s="7" t="e">
        <f t="shared" ca="1" si="7"/>
        <v>#VALUE!</v>
      </c>
      <c r="V10" s="7" t="e">
        <f t="shared" ca="1" si="8"/>
        <v>#VALUE!</v>
      </c>
      <c r="W10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sh.symbol='FEDERALBNK'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0" s="33" t="e">
        <f t="shared" ca="1" si="10"/>
        <v>#VALUE!</v>
      </c>
      <c r="Y10" s="7" t="e">
        <f t="shared" ca="1" si="11"/>
        <v>#VALUE!</v>
      </c>
      <c r="Z10" s="7" t="e">
        <f t="shared" ca="1" si="12"/>
        <v>#VALUE!</v>
      </c>
      <c r="AA10" s="1"/>
      <c r="AB10" s="1"/>
    </row>
    <row r="11" spans="1:36" x14ac:dyDescent="0.25">
      <c r="A11" s="3"/>
      <c r="B11" s="25">
        <v>43496</v>
      </c>
      <c r="C11" s="10" t="s">
        <v>539</v>
      </c>
      <c r="D11" s="1">
        <v>662.65</v>
      </c>
      <c r="E11" s="30">
        <v>1000</v>
      </c>
      <c r="F11" s="1">
        <v>660</v>
      </c>
      <c r="G11" s="1">
        <v>19.899999999999999</v>
      </c>
      <c r="H11" s="1">
        <v>62000</v>
      </c>
      <c r="I11" s="1">
        <v>1000</v>
      </c>
      <c r="J11" s="1">
        <v>19.899999999999999</v>
      </c>
      <c r="K11" s="1">
        <v>20.8</v>
      </c>
      <c r="L11" s="1">
        <v>2000</v>
      </c>
      <c r="M11" s="9"/>
      <c r="N11" s="7">
        <f t="shared" si="0"/>
        <v>3.0030936391760354E-2</v>
      </c>
      <c r="O11" s="7">
        <f t="shared" ca="1" si="1"/>
        <v>-6.8097361432563168E-5</v>
      </c>
      <c r="P11" s="33">
        <f t="shared" si="2"/>
        <v>662650</v>
      </c>
      <c r="Q11" s="33">
        <f t="shared" si="3"/>
        <v>17250</v>
      </c>
      <c r="R11" s="7">
        <f t="shared" si="4"/>
        <v>2.603184184712895E-2</v>
      </c>
      <c r="S11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sh.symbol='GLENMARK'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1" s="33" t="e">
        <f t="shared" ca="1" si="6"/>
        <v>#VALUE!</v>
      </c>
      <c r="U11" s="7" t="e">
        <f t="shared" ca="1" si="7"/>
        <v>#VALUE!</v>
      </c>
      <c r="V11" s="7" t="e">
        <f t="shared" ca="1" si="8"/>
        <v>#VALUE!</v>
      </c>
      <c r="W11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sh.symbol='GLENMARK'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1" s="33" t="e">
        <f t="shared" ca="1" si="10"/>
        <v>#VALUE!</v>
      </c>
      <c r="Y11" s="7" t="e">
        <f t="shared" ca="1" si="11"/>
        <v>#VALUE!</v>
      </c>
      <c r="Z11" s="7" t="e">
        <f t="shared" ca="1" si="12"/>
        <v>#VALUE!</v>
      </c>
      <c r="AA11" s="1"/>
      <c r="AB11" s="1"/>
    </row>
    <row r="12" spans="1:36" x14ac:dyDescent="0.25">
      <c r="A12" s="3"/>
      <c r="B12" s="25">
        <v>43496</v>
      </c>
      <c r="C12" s="10" t="s">
        <v>684</v>
      </c>
      <c r="D12" s="1">
        <v>61.75</v>
      </c>
      <c r="E12" s="30">
        <v>10000</v>
      </c>
      <c r="F12" s="1">
        <v>62.5</v>
      </c>
      <c r="G12" s="1">
        <v>2.25</v>
      </c>
      <c r="H12" s="1">
        <v>3160000</v>
      </c>
      <c r="I12" s="1">
        <v>20000</v>
      </c>
      <c r="J12" s="1">
        <v>2.25</v>
      </c>
      <c r="K12" s="1">
        <v>2.2999999999999998</v>
      </c>
      <c r="L12" s="1">
        <v>30000</v>
      </c>
      <c r="M12" s="9"/>
      <c r="N12" s="7">
        <f t="shared" si="0"/>
        <v>3.643724696356275E-2</v>
      </c>
      <c r="O12" s="7">
        <f t="shared" ca="1" si="1"/>
        <v>-8.2624142774518703E-5</v>
      </c>
      <c r="P12" s="33">
        <f t="shared" si="2"/>
        <v>617500</v>
      </c>
      <c r="Q12" s="33">
        <f t="shared" si="3"/>
        <v>30000</v>
      </c>
      <c r="R12" s="7">
        <f t="shared" si="4"/>
        <v>4.8582995951417005E-2</v>
      </c>
      <c r="S12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sh.symbol='IDBI'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2" s="33" t="e">
        <f t="shared" ca="1" si="6"/>
        <v>#VALUE!</v>
      </c>
      <c r="U12" s="7" t="e">
        <f t="shared" ca="1" si="7"/>
        <v>#VALUE!</v>
      </c>
      <c r="V12" s="7" t="e">
        <f t="shared" ca="1" si="8"/>
        <v>#VALUE!</v>
      </c>
      <c r="W12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sh.symbol='IDBI'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2" s="33" t="e">
        <f t="shared" ca="1" si="10"/>
        <v>#VALUE!</v>
      </c>
      <c r="Y12" s="7" t="e">
        <f t="shared" ca="1" si="11"/>
        <v>#VALUE!</v>
      </c>
      <c r="Z12" s="7" t="e">
        <f t="shared" ca="1" si="12"/>
        <v>#VALUE!</v>
      </c>
      <c r="AA12" s="1"/>
      <c r="AB12" s="1"/>
    </row>
    <row r="13" spans="1:36" x14ac:dyDescent="0.25">
      <c r="A13" s="3"/>
      <c r="B13" s="25">
        <v>43496</v>
      </c>
      <c r="C13" s="10" t="s">
        <v>687</v>
      </c>
      <c r="D13" s="1">
        <v>42.7</v>
      </c>
      <c r="E13" s="30">
        <v>13200</v>
      </c>
      <c r="F13" s="1">
        <v>43</v>
      </c>
      <c r="G13" s="1">
        <v>1.35</v>
      </c>
      <c r="H13" s="1">
        <v>330000</v>
      </c>
      <c r="I13" s="1">
        <v>118800</v>
      </c>
      <c r="J13" s="1">
        <v>1.35</v>
      </c>
      <c r="K13" s="1">
        <v>1.45</v>
      </c>
      <c r="L13" s="1">
        <v>66000</v>
      </c>
      <c r="M13" s="9"/>
      <c r="N13" s="7">
        <f t="shared" si="0"/>
        <v>3.161592505854801E-2</v>
      </c>
      <c r="O13" s="7">
        <f t="shared" ca="1" si="1"/>
        <v>-7.1691440042058973E-5</v>
      </c>
      <c r="P13" s="33">
        <f t="shared" si="2"/>
        <v>563640</v>
      </c>
      <c r="Q13" s="33">
        <f t="shared" si="3"/>
        <v>21779.999999999982</v>
      </c>
      <c r="R13" s="7">
        <f t="shared" si="4"/>
        <v>3.8641686182669756E-2</v>
      </c>
      <c r="S13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sh.symbol='IDFC'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3" s="33" t="e">
        <f t="shared" ca="1" si="6"/>
        <v>#VALUE!</v>
      </c>
      <c r="U13" s="7" t="e">
        <f t="shared" ca="1" si="7"/>
        <v>#VALUE!</v>
      </c>
      <c r="V13" s="7" t="e">
        <f t="shared" ca="1" si="8"/>
        <v>#VALUE!</v>
      </c>
      <c r="W13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sh.symbol='IDFC'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3" s="33" t="e">
        <f t="shared" ca="1" si="10"/>
        <v>#VALUE!</v>
      </c>
      <c r="Y13" s="7" t="e">
        <f t="shared" ca="1" si="11"/>
        <v>#VALUE!</v>
      </c>
      <c r="Z13" s="7" t="e">
        <f t="shared" ca="1" si="12"/>
        <v>#VALUE!</v>
      </c>
      <c r="AA13" s="1"/>
      <c r="AB13" s="1"/>
    </row>
    <row r="14" spans="1:36" x14ac:dyDescent="0.25">
      <c r="A14" s="3"/>
      <c r="B14" s="25">
        <v>43496</v>
      </c>
      <c r="C14" s="10" t="s">
        <v>711</v>
      </c>
      <c r="D14" s="1">
        <v>252.65</v>
      </c>
      <c r="E14" s="30">
        <v>2000</v>
      </c>
      <c r="F14" s="1">
        <v>250</v>
      </c>
      <c r="G14" s="1">
        <v>10.75</v>
      </c>
      <c r="H14" s="1">
        <v>106000</v>
      </c>
      <c r="I14" s="1">
        <v>20000</v>
      </c>
      <c r="J14" s="1">
        <v>10.1</v>
      </c>
      <c r="K14" s="1">
        <v>11.65</v>
      </c>
      <c r="L14" s="1">
        <v>2000</v>
      </c>
      <c r="M14" s="9"/>
      <c r="N14" s="7">
        <f t="shared" si="0"/>
        <v>4.2548980803483079E-2</v>
      </c>
      <c r="O14" s="7">
        <f t="shared" ca="1" si="1"/>
        <v>-9.6482949667762088E-5</v>
      </c>
      <c r="P14" s="33">
        <f t="shared" si="2"/>
        <v>505300</v>
      </c>
      <c r="Q14" s="33">
        <f t="shared" si="3"/>
        <v>16199.999999999989</v>
      </c>
      <c r="R14" s="7">
        <f t="shared" si="4"/>
        <v>3.2060162279833743E-2</v>
      </c>
      <c r="S14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sh.symbol='INDIANB'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4" s="33" t="e">
        <f t="shared" ca="1" si="6"/>
        <v>#VALUE!</v>
      </c>
      <c r="U14" s="7" t="e">
        <f t="shared" ca="1" si="7"/>
        <v>#VALUE!</v>
      </c>
      <c r="V14" s="7" t="e">
        <f t="shared" ca="1" si="8"/>
        <v>#VALUE!</v>
      </c>
      <c r="W14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sh.symbol='INDIANB'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4" s="33" t="e">
        <f t="shared" ca="1" si="10"/>
        <v>#VALUE!</v>
      </c>
      <c r="Y14" s="7" t="e">
        <f t="shared" ca="1" si="11"/>
        <v>#VALUE!</v>
      </c>
      <c r="Z14" s="7" t="e">
        <f t="shared" ca="1" si="12"/>
        <v>#VALUE!</v>
      </c>
      <c r="AA14" s="1"/>
      <c r="AB14" s="1"/>
    </row>
    <row r="15" spans="1:36" x14ac:dyDescent="0.25">
      <c r="A15" s="3"/>
      <c r="B15" s="25">
        <v>43496</v>
      </c>
      <c r="C15" s="10" t="s">
        <v>749</v>
      </c>
      <c r="D15" s="1">
        <v>153.6</v>
      </c>
      <c r="E15" s="30">
        <v>3200</v>
      </c>
      <c r="F15" s="1">
        <v>150</v>
      </c>
      <c r="G15" s="1">
        <v>7.75</v>
      </c>
      <c r="H15" s="1">
        <v>150400</v>
      </c>
      <c r="I15" s="1">
        <v>3200</v>
      </c>
      <c r="J15" s="1">
        <v>7</v>
      </c>
      <c r="K15" s="1">
        <v>7.65</v>
      </c>
      <c r="L15" s="1">
        <v>32000</v>
      </c>
      <c r="M15" s="9"/>
      <c r="N15" s="7">
        <f t="shared" si="0"/>
        <v>5.0455729166666671E-2</v>
      </c>
      <c r="O15" s="7">
        <f t="shared" ca="1" si="1"/>
        <v>-1.1441208427815572E-4</v>
      </c>
      <c r="P15" s="33">
        <f t="shared" si="2"/>
        <v>491520</v>
      </c>
      <c r="Q15" s="33">
        <f t="shared" si="3"/>
        <v>13280.000000000018</v>
      </c>
      <c r="R15" s="7">
        <f t="shared" si="4"/>
        <v>2.7018229166666703E-2</v>
      </c>
      <c r="S15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sh.symbol='IRB'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5" s="33" t="e">
        <f t="shared" ca="1" si="6"/>
        <v>#VALUE!</v>
      </c>
      <c r="U15" s="7" t="e">
        <f t="shared" ca="1" si="7"/>
        <v>#VALUE!</v>
      </c>
      <c r="V15" s="7" t="e">
        <f t="shared" ca="1" si="8"/>
        <v>#VALUE!</v>
      </c>
      <c r="W15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sh.symbol='IRB'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5" s="33" t="e">
        <f t="shared" ca="1" si="10"/>
        <v>#VALUE!</v>
      </c>
      <c r="Y15" s="7" t="e">
        <f t="shared" ca="1" si="11"/>
        <v>#VALUE!</v>
      </c>
      <c r="Z15" s="7" t="e">
        <f t="shared" ca="1" si="12"/>
        <v>#VALUE!</v>
      </c>
      <c r="AA15" s="1"/>
      <c r="AB15" s="1"/>
    </row>
    <row r="16" spans="1:36" x14ac:dyDescent="0.25">
      <c r="A16" s="3"/>
      <c r="B16" s="25">
        <v>43496</v>
      </c>
      <c r="C16" s="10" t="s">
        <v>889</v>
      </c>
      <c r="D16" s="1">
        <v>117.8</v>
      </c>
      <c r="E16" s="30">
        <v>4700</v>
      </c>
      <c r="F16" s="1">
        <v>117.5</v>
      </c>
      <c r="G16" s="1">
        <v>4.55</v>
      </c>
      <c r="H16" s="1">
        <v>141000</v>
      </c>
      <c r="I16" s="1">
        <v>14100</v>
      </c>
      <c r="J16" s="1">
        <v>4.2</v>
      </c>
      <c r="K16" s="1">
        <v>4.5999999999999996</v>
      </c>
      <c r="L16" s="1">
        <v>4700</v>
      </c>
      <c r="M16" s="9"/>
      <c r="N16" s="7">
        <f t="shared" si="0"/>
        <v>3.8624787775891338E-2</v>
      </c>
      <c r="O16" s="7">
        <f t="shared" ca="1" si="1"/>
        <v>-8.7584552779798952E-5</v>
      </c>
      <c r="P16" s="33">
        <f t="shared" si="2"/>
        <v>553660</v>
      </c>
      <c r="Q16" s="33">
        <f t="shared" si="3"/>
        <v>19975</v>
      </c>
      <c r="R16" s="7">
        <f t="shared" si="4"/>
        <v>3.6078098471986418E-2</v>
      </c>
      <c r="S16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sh.symbol='KTKBANK'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6" s="33" t="e">
        <f t="shared" ca="1" si="6"/>
        <v>#VALUE!</v>
      </c>
      <c r="U16" s="7" t="e">
        <f t="shared" ca="1" si="7"/>
        <v>#VALUE!</v>
      </c>
      <c r="V16" s="7" t="e">
        <f t="shared" ca="1" si="8"/>
        <v>#VALUE!</v>
      </c>
      <c r="W16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sh.symbol='KTKBANK'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6" s="33" t="e">
        <f t="shared" ca="1" si="10"/>
        <v>#VALUE!</v>
      </c>
      <c r="Y16" s="7" t="e">
        <f t="shared" ca="1" si="11"/>
        <v>#VALUE!</v>
      </c>
      <c r="Z16" s="7" t="e">
        <f t="shared" ca="1" si="12"/>
        <v>#VALUE!</v>
      </c>
      <c r="AA16" s="1"/>
      <c r="AB16" s="1"/>
    </row>
    <row r="17" spans="1:28" x14ac:dyDescent="0.25">
      <c r="A17" s="3"/>
      <c r="B17" s="25">
        <v>43496</v>
      </c>
      <c r="C17" s="10" t="s">
        <v>1106</v>
      </c>
      <c r="D17" s="1">
        <v>1190.7</v>
      </c>
      <c r="E17" s="30">
        <v>750</v>
      </c>
      <c r="F17" s="1">
        <v>1200</v>
      </c>
      <c r="G17" s="1">
        <v>45.4</v>
      </c>
      <c r="H17" s="1">
        <v>78000</v>
      </c>
      <c r="I17" s="1">
        <v>1500</v>
      </c>
      <c r="J17" s="1">
        <v>45.4</v>
      </c>
      <c r="K17" s="1">
        <v>45.6</v>
      </c>
      <c r="L17" s="1">
        <v>750</v>
      </c>
      <c r="M17" s="9"/>
      <c r="N17" s="7">
        <f t="shared" si="0"/>
        <v>3.8128831779625429E-2</v>
      </c>
      <c r="O17" s="7">
        <f t="shared" ca="1" si="1"/>
        <v>-8.645993600822093E-5</v>
      </c>
      <c r="P17" s="33">
        <f t="shared" si="2"/>
        <v>893025</v>
      </c>
      <c r="Q17" s="33">
        <f t="shared" si="3"/>
        <v>41025.000000000036</v>
      </c>
      <c r="R17" s="7">
        <f t="shared" si="4"/>
        <v>4.5939363399680903E-2</v>
      </c>
      <c r="S17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sh.symbol='NIITTECH'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7" s="33" t="e">
        <f t="shared" ca="1" si="6"/>
        <v>#VALUE!</v>
      </c>
      <c r="U17" s="7" t="e">
        <f t="shared" ca="1" si="7"/>
        <v>#VALUE!</v>
      </c>
      <c r="V17" s="7" t="e">
        <f t="shared" ca="1" si="8"/>
        <v>#VALUE!</v>
      </c>
      <c r="W17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sh.symbol='NIITTECH'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7" s="33" t="e">
        <f t="shared" ca="1" si="10"/>
        <v>#VALUE!</v>
      </c>
      <c r="Y17" s="7" t="e">
        <f t="shared" ca="1" si="11"/>
        <v>#VALUE!</v>
      </c>
      <c r="Z17" s="7" t="e">
        <f t="shared" ca="1" si="12"/>
        <v>#VALUE!</v>
      </c>
      <c r="AA17" s="1"/>
      <c r="AB17" s="1"/>
    </row>
    <row r="18" spans="1:28" x14ac:dyDescent="0.25">
      <c r="A18" s="3"/>
      <c r="B18" s="25">
        <v>43496</v>
      </c>
      <c r="C18" s="10" t="s">
        <v>1149</v>
      </c>
      <c r="D18" s="1">
        <v>97.65</v>
      </c>
      <c r="E18" s="30">
        <v>7000</v>
      </c>
      <c r="F18" s="1">
        <v>100</v>
      </c>
      <c r="G18" s="1">
        <v>2.95</v>
      </c>
      <c r="H18" s="1">
        <v>574000</v>
      </c>
      <c r="I18" s="1">
        <v>7000</v>
      </c>
      <c r="J18" s="1">
        <v>3</v>
      </c>
      <c r="K18" s="1">
        <v>3.15</v>
      </c>
      <c r="L18" s="1">
        <v>7000</v>
      </c>
      <c r="M18" s="9"/>
      <c r="N18" s="7">
        <f t="shared" si="0"/>
        <v>3.0209933435739886E-2</v>
      </c>
      <c r="O18" s="7">
        <f t="shared" ca="1" si="1"/>
        <v>-6.8503250421178875E-5</v>
      </c>
      <c r="P18" s="33">
        <f t="shared" si="2"/>
        <v>683550</v>
      </c>
      <c r="Q18" s="33">
        <f t="shared" si="3"/>
        <v>37099.999999999978</v>
      </c>
      <c r="R18" s="7">
        <f t="shared" si="4"/>
        <v>5.4275473630312307E-2</v>
      </c>
      <c r="S18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sh.symbol='ORIENTBANK'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8" s="33" t="e">
        <f t="shared" ca="1" si="6"/>
        <v>#VALUE!</v>
      </c>
      <c r="U18" s="7" t="e">
        <f t="shared" ca="1" si="7"/>
        <v>#VALUE!</v>
      </c>
      <c r="V18" s="7" t="e">
        <f t="shared" ca="1" si="8"/>
        <v>#VALUE!</v>
      </c>
      <c r="W18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sh.symbol='ORIENTBANK'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8" s="33" t="e">
        <f t="shared" ca="1" si="10"/>
        <v>#VALUE!</v>
      </c>
      <c r="Y18" s="7" t="e">
        <f t="shared" ca="1" si="11"/>
        <v>#VALUE!</v>
      </c>
      <c r="Z18" s="7" t="e">
        <f t="shared" ca="1" si="12"/>
        <v>#VALUE!</v>
      </c>
      <c r="AA18" s="1"/>
      <c r="AB18" s="1"/>
    </row>
    <row r="19" spans="1:28" ht="15" customHeight="1" x14ac:dyDescent="0.25">
      <c r="A19" s="3"/>
      <c r="B19" s="25">
        <v>43524</v>
      </c>
      <c r="C19" s="10" t="s">
        <v>1149</v>
      </c>
      <c r="D19" s="1">
        <v>97.65</v>
      </c>
      <c r="E19" s="30">
        <v>7000</v>
      </c>
      <c r="F19" s="1">
        <v>100</v>
      </c>
      <c r="G19" s="1">
        <v>5</v>
      </c>
      <c r="H19" s="1">
        <v>21000</v>
      </c>
      <c r="I19" s="1">
        <v>84000</v>
      </c>
      <c r="J19" s="1">
        <v>4.8499999999999996</v>
      </c>
      <c r="K19" s="1">
        <v>7.65</v>
      </c>
      <c r="L19" s="1">
        <v>14000</v>
      </c>
      <c r="M19" s="9"/>
      <c r="N19" s="7">
        <f t="shared" si="0"/>
        <v>5.1203277009728619E-2</v>
      </c>
      <c r="O19" s="7">
        <f t="shared" ca="1" si="1"/>
        <v>-1.2397887895818066E-4</v>
      </c>
      <c r="P19" s="33">
        <f t="shared" si="2"/>
        <v>683550</v>
      </c>
      <c r="Q19" s="33">
        <f t="shared" si="3"/>
        <v>51449.999999999964</v>
      </c>
      <c r="R19" s="7">
        <f t="shared" si="4"/>
        <v>7.5268817204301022E-2</v>
      </c>
      <c r="S19" s="7" t="str">
        <f t="shared" ca="1" si="5"/>
        <v xml:space="preserve"> [SQL: "select min(period_log_returns) from (select sh.date as date,                sum(sh.daily_log_returns) over (partition by sh.symbol order by sh.date rows between -413.0 preceding and current row ) as period_log_returns                 from daily_returns sh where sh.symbol='ORIENTBANK'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9" s="33" t="e">
        <f t="shared" ca="1" si="6"/>
        <v>#VALUE!</v>
      </c>
      <c r="U19" s="7" t="e">
        <f t="shared" ca="1" si="7"/>
        <v>#VALUE!</v>
      </c>
      <c r="V19" s="7" t="e">
        <f t="shared" ca="1" si="8"/>
        <v>#VALUE!</v>
      </c>
      <c r="W19" s="7" t="str">
        <f t="shared" ca="1" si="9"/>
        <v xml:space="preserve"> [SQL: "select avg(period_log_returns) from (select sh.date as date,                sum(sh.daily_log_returns) over (partition by sh.symbol order by sh.date rows between -413.0 preceding and current row ) as period_log_returns                 from daily_returns sh where sh.symbol='ORIENTBANK'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9" s="33" t="e">
        <f t="shared" ca="1" si="10"/>
        <v>#VALUE!</v>
      </c>
      <c r="Y19" s="7" t="e">
        <f t="shared" ca="1" si="11"/>
        <v>#VALUE!</v>
      </c>
      <c r="Z19" s="7" t="e">
        <f t="shared" ca="1" si="12"/>
        <v>#VALUE!</v>
      </c>
      <c r="AA19" s="1"/>
      <c r="AB19" s="1"/>
    </row>
    <row r="20" spans="1:28" ht="15" customHeight="1" x14ac:dyDescent="0.25">
      <c r="A20" s="3"/>
      <c r="B20" s="25">
        <v>43496</v>
      </c>
      <c r="C20" s="10" t="s">
        <v>21</v>
      </c>
      <c r="D20" s="1">
        <v>107.45</v>
      </c>
      <c r="E20" s="30">
        <v>6200</v>
      </c>
      <c r="F20" s="1">
        <v>105</v>
      </c>
      <c r="G20" s="1">
        <v>4.3</v>
      </c>
      <c r="H20" s="1">
        <v>1184200</v>
      </c>
      <c r="I20" s="1">
        <v>12400</v>
      </c>
      <c r="J20" s="1">
        <v>4.1500000000000004</v>
      </c>
      <c r="K20" s="1">
        <v>4.3499999999999996</v>
      </c>
      <c r="L20" s="1">
        <v>12400</v>
      </c>
      <c r="M20" s="9"/>
      <c r="N20" s="7">
        <f t="shared" si="0"/>
        <v>4.0018613308515583E-2</v>
      </c>
      <c r="O20" s="7">
        <f t="shared" ca="1" si="1"/>
        <v>-9.0745154894593164E-5</v>
      </c>
      <c r="P20" s="33">
        <f t="shared" si="2"/>
        <v>666190</v>
      </c>
      <c r="Q20" s="33">
        <f t="shared" si="3"/>
        <v>11469.999999999965</v>
      </c>
      <c r="R20" s="7">
        <f t="shared" si="4"/>
        <v>1.7217310376919447E-2</v>
      </c>
      <c r="S20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sh.symbol='PFC'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0" s="33" t="e">
        <f t="shared" ca="1" si="6"/>
        <v>#VALUE!</v>
      </c>
      <c r="U20" s="7" t="e">
        <f t="shared" ca="1" si="7"/>
        <v>#VALUE!</v>
      </c>
      <c r="V20" s="7" t="e">
        <f t="shared" ca="1" si="8"/>
        <v>#VALUE!</v>
      </c>
      <c r="W20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sh.symbol='PFC'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0" s="33" t="e">
        <f t="shared" ca="1" si="10"/>
        <v>#VALUE!</v>
      </c>
      <c r="Y20" s="7" t="e">
        <f t="shared" ca="1" si="11"/>
        <v>#VALUE!</v>
      </c>
      <c r="Z20" s="7" t="e">
        <f t="shared" ca="1" si="12"/>
        <v>#VALUE!</v>
      </c>
      <c r="AA20" s="1"/>
      <c r="AB20" s="1"/>
    </row>
    <row r="21" spans="1:28" x14ac:dyDescent="0.25">
      <c r="A21" s="3"/>
      <c r="B21" s="25">
        <v>43496</v>
      </c>
      <c r="C21" s="10" t="s">
        <v>1210</v>
      </c>
      <c r="D21" s="1">
        <v>82.35</v>
      </c>
      <c r="E21" s="30">
        <v>7000</v>
      </c>
      <c r="F21" s="1">
        <v>80</v>
      </c>
      <c r="G21" s="1">
        <v>4.6500000000000004</v>
      </c>
      <c r="H21" s="1">
        <v>3374000</v>
      </c>
      <c r="I21" s="1">
        <v>14000</v>
      </c>
      <c r="J21" s="1">
        <v>4.55</v>
      </c>
      <c r="K21" s="1">
        <v>4.75</v>
      </c>
      <c r="L21" s="1">
        <v>7000</v>
      </c>
      <c r="M21" s="9"/>
      <c r="N21" s="7">
        <f t="shared" si="0"/>
        <v>5.6466302367941722E-2</v>
      </c>
      <c r="O21" s="7">
        <f t="shared" ca="1" si="1"/>
        <v>-1.2804150196812182E-4</v>
      </c>
      <c r="P21" s="33">
        <f t="shared" si="2"/>
        <v>576450</v>
      </c>
      <c r="Q21" s="33">
        <f t="shared" si="3"/>
        <v>16100.00000000008</v>
      </c>
      <c r="R21" s="7">
        <f t="shared" si="4"/>
        <v>2.792956891317561E-2</v>
      </c>
      <c r="S21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sh.symbol='PNB'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1" s="33" t="e">
        <f t="shared" ca="1" si="6"/>
        <v>#VALUE!</v>
      </c>
      <c r="U21" s="7" t="e">
        <f t="shared" ca="1" si="7"/>
        <v>#VALUE!</v>
      </c>
      <c r="V21" s="7" t="e">
        <f t="shared" ca="1" si="8"/>
        <v>#VALUE!</v>
      </c>
      <c r="W21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sh.symbol='PNB'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1" s="33" t="e">
        <f t="shared" ca="1" si="10"/>
        <v>#VALUE!</v>
      </c>
      <c r="Y21" s="7" t="e">
        <f t="shared" ca="1" si="11"/>
        <v>#VALUE!</v>
      </c>
      <c r="Z21" s="7" t="e">
        <f t="shared" ca="1" si="12"/>
        <v>#VALUE!</v>
      </c>
      <c r="AA21" s="1"/>
      <c r="AB21" s="1"/>
    </row>
    <row r="22" spans="1:28" x14ac:dyDescent="0.25">
      <c r="A22" s="3"/>
      <c r="B22" s="25">
        <v>43496</v>
      </c>
      <c r="C22" s="10" t="s">
        <v>1210</v>
      </c>
      <c r="D22" s="1">
        <v>82.35</v>
      </c>
      <c r="E22" s="30">
        <v>7000</v>
      </c>
      <c r="F22" s="1">
        <v>82.5</v>
      </c>
      <c r="G22" s="1">
        <v>3.15</v>
      </c>
      <c r="H22" s="1">
        <v>1799000</v>
      </c>
      <c r="I22" s="1">
        <v>14000</v>
      </c>
      <c r="J22" s="1">
        <v>3.1</v>
      </c>
      <c r="K22" s="1">
        <v>3.2</v>
      </c>
      <c r="L22" s="1">
        <v>35000</v>
      </c>
      <c r="M22" s="9"/>
      <c r="N22" s="7">
        <f t="shared" si="0"/>
        <v>3.825136612021858E-2</v>
      </c>
      <c r="O22" s="7">
        <f t="shared" ca="1" si="1"/>
        <v>-8.6737791655824438E-5</v>
      </c>
      <c r="P22" s="33">
        <f t="shared" si="2"/>
        <v>576450</v>
      </c>
      <c r="Q22" s="33">
        <f t="shared" si="3"/>
        <v>23100.00000000008</v>
      </c>
      <c r="R22" s="7">
        <f t="shared" si="4"/>
        <v>4.007285974499103E-2</v>
      </c>
      <c r="S22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sh.symbol='PNB'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2" s="33" t="e">
        <f t="shared" ca="1" si="6"/>
        <v>#VALUE!</v>
      </c>
      <c r="U22" s="7" t="e">
        <f t="shared" ca="1" si="7"/>
        <v>#VALUE!</v>
      </c>
      <c r="V22" s="7" t="e">
        <f t="shared" ca="1" si="8"/>
        <v>#VALUE!</v>
      </c>
      <c r="W22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sh.symbol='PNB'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2" s="33" t="e">
        <f t="shared" ca="1" si="10"/>
        <v>#VALUE!</v>
      </c>
      <c r="Y22" s="7" t="e">
        <f t="shared" ca="1" si="11"/>
        <v>#VALUE!</v>
      </c>
      <c r="Z22" s="7" t="e">
        <f t="shared" ca="1" si="12"/>
        <v>#VALUE!</v>
      </c>
      <c r="AA22" s="1"/>
      <c r="AB22" s="1"/>
    </row>
    <row r="23" spans="1:28" x14ac:dyDescent="0.25">
      <c r="A23" s="3"/>
      <c r="B23" s="25">
        <v>43524</v>
      </c>
      <c r="C23" s="10" t="s">
        <v>1373</v>
      </c>
      <c r="D23" s="1">
        <v>301.95</v>
      </c>
      <c r="E23" s="30">
        <v>3000</v>
      </c>
      <c r="F23" s="1">
        <v>300</v>
      </c>
      <c r="G23" s="1">
        <v>15.65</v>
      </c>
      <c r="H23" s="1">
        <v>78000</v>
      </c>
      <c r="I23" s="1">
        <v>15000</v>
      </c>
      <c r="J23" s="1">
        <v>13.8</v>
      </c>
      <c r="K23" s="1">
        <v>14.55</v>
      </c>
      <c r="L23" s="1">
        <v>15000</v>
      </c>
      <c r="M23" s="9"/>
      <c r="N23" s="7">
        <f t="shared" si="0"/>
        <v>5.1829773141248557E-2</v>
      </c>
      <c r="O23" s="7">
        <f t="shared" ca="1" si="1"/>
        <v>-1.2549581874394324E-4</v>
      </c>
      <c r="P23" s="33">
        <f t="shared" si="2"/>
        <v>905850</v>
      </c>
      <c r="Q23" s="33">
        <f t="shared" si="3"/>
        <v>41099.999999999964</v>
      </c>
      <c r="R23" s="7">
        <f t="shared" si="4"/>
        <v>4.5371750289783033E-2</v>
      </c>
      <c r="S23" s="7" t="str">
        <f t="shared" ca="1" si="5"/>
        <v xml:space="preserve"> [SQL: "select min(period_log_returns) from (select sh.date as date,                sum(sh.daily_log_returns) over (partition by sh.symbol order by sh.date rows between -413.0 preceding and current row ) as period_log_returns                 from daily_returns sh where sh.symbol='SBIN'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3" s="33" t="e">
        <f t="shared" ca="1" si="6"/>
        <v>#VALUE!</v>
      </c>
      <c r="U23" s="7" t="e">
        <f t="shared" ca="1" si="7"/>
        <v>#VALUE!</v>
      </c>
      <c r="V23" s="7" t="e">
        <f t="shared" ca="1" si="8"/>
        <v>#VALUE!</v>
      </c>
      <c r="W23" s="7" t="str">
        <f t="shared" ca="1" si="9"/>
        <v xml:space="preserve"> [SQL: "select avg(period_log_returns) from (select sh.date as date,                sum(sh.daily_log_returns) over (partition by sh.symbol order by sh.date rows between -413.0 preceding and current row ) as period_log_returns                 from daily_returns sh where sh.symbol='SBIN'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3" s="33" t="e">
        <f t="shared" ca="1" si="10"/>
        <v>#VALUE!</v>
      </c>
      <c r="Y23" s="7" t="e">
        <f t="shared" ca="1" si="11"/>
        <v>#VALUE!</v>
      </c>
      <c r="Z23" s="7" t="e">
        <f t="shared" ca="1" si="12"/>
        <v>#VALUE!</v>
      </c>
      <c r="AA23" s="1"/>
      <c r="AB23" s="1"/>
    </row>
    <row r="24" spans="1:28" x14ac:dyDescent="0.25">
      <c r="A24" s="3"/>
      <c r="B24" s="25">
        <v>43496</v>
      </c>
      <c r="C24" s="10" t="s">
        <v>1507</v>
      </c>
      <c r="D24" s="1">
        <v>518.20000000000005</v>
      </c>
      <c r="E24" s="30">
        <v>1100</v>
      </c>
      <c r="F24" s="1">
        <v>520</v>
      </c>
      <c r="G24" s="1">
        <v>20.2</v>
      </c>
      <c r="H24" s="1">
        <v>88000</v>
      </c>
      <c r="I24" s="1">
        <v>1100</v>
      </c>
      <c r="J24" s="1">
        <v>19.5</v>
      </c>
      <c r="K24" s="1">
        <v>20.3</v>
      </c>
      <c r="L24" s="1">
        <v>1100</v>
      </c>
      <c r="M24" s="9"/>
      <c r="N24" s="7">
        <f t="shared" si="0"/>
        <v>3.8981088382863752E-2</v>
      </c>
      <c r="O24" s="7">
        <f t="shared" ca="1" si="1"/>
        <v>-8.8392490664090145E-5</v>
      </c>
      <c r="P24" s="33">
        <f t="shared" si="2"/>
        <v>570020</v>
      </c>
      <c r="Q24" s="33">
        <f t="shared" si="3"/>
        <v>24200</v>
      </c>
      <c r="R24" s="7">
        <f t="shared" si="4"/>
        <v>4.2454650714010035E-2</v>
      </c>
      <c r="S24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sh.symbol='STAR'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4" s="33" t="e">
        <f t="shared" ca="1" si="6"/>
        <v>#VALUE!</v>
      </c>
      <c r="U24" s="7" t="e">
        <f t="shared" ca="1" si="7"/>
        <v>#VALUE!</v>
      </c>
      <c r="V24" s="7" t="e">
        <f t="shared" ca="1" si="8"/>
        <v>#VALUE!</v>
      </c>
      <c r="W24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sh.symbol='STAR'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4" s="33" t="e">
        <f t="shared" ca="1" si="10"/>
        <v>#VALUE!</v>
      </c>
      <c r="Y24" s="7" t="e">
        <f t="shared" ca="1" si="11"/>
        <v>#VALUE!</v>
      </c>
      <c r="Z24" s="7" t="e">
        <f t="shared" ca="1" si="12"/>
        <v>#VALUE!</v>
      </c>
      <c r="AA24" s="1"/>
      <c r="AB24" s="1"/>
    </row>
    <row r="25" spans="1:28" x14ac:dyDescent="0.25">
      <c r="A25" s="3"/>
      <c r="B25" s="25">
        <v>43496</v>
      </c>
      <c r="C25" s="10" t="s">
        <v>1507</v>
      </c>
      <c r="D25" s="1">
        <v>518.20000000000005</v>
      </c>
      <c r="E25" s="30">
        <v>1100</v>
      </c>
      <c r="F25" s="1">
        <v>530</v>
      </c>
      <c r="G25" s="1">
        <v>16</v>
      </c>
      <c r="H25" s="1">
        <v>37400</v>
      </c>
      <c r="I25" s="1">
        <v>2200</v>
      </c>
      <c r="J25" s="1">
        <v>15</v>
      </c>
      <c r="K25" s="1">
        <v>16</v>
      </c>
      <c r="L25" s="1">
        <v>4400</v>
      </c>
      <c r="M25" s="9"/>
      <c r="N25" s="7">
        <f t="shared" si="0"/>
        <v>3.0876109610189113E-2</v>
      </c>
      <c r="O25" s="7">
        <f t="shared" ca="1" si="1"/>
        <v>-7.0013853991358527E-5</v>
      </c>
      <c r="P25" s="33">
        <f t="shared" si="2"/>
        <v>570020</v>
      </c>
      <c r="Q25" s="33">
        <f t="shared" si="3"/>
        <v>30579.999999999949</v>
      </c>
      <c r="R25" s="7">
        <f t="shared" si="4"/>
        <v>5.3647240447703498E-2</v>
      </c>
      <c r="S25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sh.symbol='STAR'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5" s="33" t="e">
        <f t="shared" ca="1" si="6"/>
        <v>#VALUE!</v>
      </c>
      <c r="U25" s="7" t="e">
        <f t="shared" ca="1" si="7"/>
        <v>#VALUE!</v>
      </c>
      <c r="V25" s="7" t="e">
        <f t="shared" ca="1" si="8"/>
        <v>#VALUE!</v>
      </c>
      <c r="W25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sh.symbol='STAR'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5" s="33" t="e">
        <f t="shared" ca="1" si="10"/>
        <v>#VALUE!</v>
      </c>
      <c r="Y25" s="7" t="e">
        <f t="shared" ca="1" si="11"/>
        <v>#VALUE!</v>
      </c>
      <c r="Z25" s="7" t="e">
        <f t="shared" ca="1" si="12"/>
        <v>#VALUE!</v>
      </c>
      <c r="AA25" s="1"/>
      <c r="AB25" s="1"/>
    </row>
    <row r="26" spans="1:28" x14ac:dyDescent="0.25">
      <c r="A26" s="3"/>
      <c r="B26" s="25">
        <v>43496</v>
      </c>
      <c r="C26" s="10" t="s">
        <v>1554</v>
      </c>
      <c r="D26" s="1">
        <v>39.25</v>
      </c>
      <c r="E26" s="30">
        <v>15000</v>
      </c>
      <c r="F26" s="1">
        <v>40</v>
      </c>
      <c r="G26" s="1">
        <v>1.4</v>
      </c>
      <c r="H26" s="1">
        <v>540000</v>
      </c>
      <c r="I26" s="1">
        <v>120000</v>
      </c>
      <c r="J26" s="1">
        <v>1.35</v>
      </c>
      <c r="K26" s="1">
        <v>1.55</v>
      </c>
      <c r="L26" s="1">
        <v>15000</v>
      </c>
      <c r="M26" s="9"/>
      <c r="N26" s="7">
        <f t="shared" si="0"/>
        <v>3.5668789808917196E-2</v>
      </c>
      <c r="O26" s="7">
        <f t="shared" ca="1" si="1"/>
        <v>-8.0881609544029929E-5</v>
      </c>
      <c r="P26" s="33">
        <f t="shared" si="2"/>
        <v>588750</v>
      </c>
      <c r="Q26" s="33">
        <f t="shared" si="3"/>
        <v>32249.999999999978</v>
      </c>
      <c r="R26" s="7">
        <f t="shared" si="4"/>
        <v>5.4777070063694228E-2</v>
      </c>
      <c r="S26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sh.symbol='SYNDIBANK'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6" s="33" t="e">
        <f t="shared" ca="1" si="6"/>
        <v>#VALUE!</v>
      </c>
      <c r="U26" s="7" t="e">
        <f t="shared" ca="1" si="7"/>
        <v>#VALUE!</v>
      </c>
      <c r="V26" s="7" t="e">
        <f t="shared" ca="1" si="8"/>
        <v>#VALUE!</v>
      </c>
      <c r="W26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sh.symbol='SYNDIBANK'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6" s="33" t="e">
        <f t="shared" ca="1" si="10"/>
        <v>#VALUE!</v>
      </c>
      <c r="Y26" s="7" t="e">
        <f t="shared" ca="1" si="11"/>
        <v>#VALUE!</v>
      </c>
      <c r="Z26" s="7" t="e">
        <f t="shared" ca="1" si="12"/>
        <v>#VALUE!</v>
      </c>
      <c r="AA26" s="1"/>
      <c r="AB26" s="1"/>
    </row>
    <row r="27" spans="1:28" x14ac:dyDescent="0.25">
      <c r="A27" s="3"/>
      <c r="B27" s="25">
        <v>43496</v>
      </c>
      <c r="C27" s="10" t="s">
        <v>1668</v>
      </c>
      <c r="D27" s="1">
        <v>93.85</v>
      </c>
      <c r="E27" s="30">
        <v>7000</v>
      </c>
      <c r="F27" s="1">
        <v>92.5</v>
      </c>
      <c r="G27" s="1">
        <v>4.3499999999999996</v>
      </c>
      <c r="H27" s="1">
        <v>154000</v>
      </c>
      <c r="I27" s="1">
        <v>14000</v>
      </c>
      <c r="J27" s="1">
        <v>4.3</v>
      </c>
      <c r="K27" s="1">
        <v>4.5999999999999996</v>
      </c>
      <c r="L27" s="1">
        <v>14000</v>
      </c>
      <c r="M27" s="9"/>
      <c r="N27" s="7">
        <f t="shared" si="0"/>
        <v>4.635055940330314E-2</v>
      </c>
      <c r="O27" s="7">
        <f t="shared" ca="1" si="1"/>
        <v>-1.0510330930454226E-4</v>
      </c>
      <c r="P27" s="33">
        <f t="shared" si="2"/>
        <v>656950</v>
      </c>
      <c r="Q27" s="33">
        <f t="shared" si="3"/>
        <v>21000</v>
      </c>
      <c r="R27" s="7">
        <f t="shared" si="4"/>
        <v>3.1965903036760786E-2</v>
      </c>
      <c r="S27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sh.symbol='UNIONBANK'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7" s="33" t="e">
        <f t="shared" ca="1" si="6"/>
        <v>#VALUE!</v>
      </c>
      <c r="U27" s="7" t="e">
        <f t="shared" ca="1" si="7"/>
        <v>#VALUE!</v>
      </c>
      <c r="V27" s="7" t="e">
        <f t="shared" ca="1" si="8"/>
        <v>#VALUE!</v>
      </c>
      <c r="W27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sh.symbol='UNIONBANK'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7" s="33" t="e">
        <f t="shared" ca="1" si="10"/>
        <v>#VALUE!</v>
      </c>
      <c r="Y27" s="7" t="e">
        <f t="shared" ca="1" si="11"/>
        <v>#VALUE!</v>
      </c>
      <c r="Z27" s="7" t="e">
        <f t="shared" ca="1" si="12"/>
        <v>#VALUE!</v>
      </c>
      <c r="AA27" s="1"/>
      <c r="AB27" s="1"/>
    </row>
    <row r="28" spans="1:28" x14ac:dyDescent="0.25">
      <c r="A28" s="3"/>
      <c r="B28" s="25">
        <v>43496</v>
      </c>
      <c r="C28" s="10" t="s">
        <v>1668</v>
      </c>
      <c r="D28" s="1">
        <v>93.85</v>
      </c>
      <c r="E28" s="30">
        <v>7000</v>
      </c>
      <c r="F28" s="1">
        <v>95</v>
      </c>
      <c r="G28" s="1">
        <v>3.05</v>
      </c>
      <c r="H28" s="1">
        <v>1337000</v>
      </c>
      <c r="I28" s="1">
        <v>28000</v>
      </c>
      <c r="J28" s="1">
        <v>3</v>
      </c>
      <c r="K28" s="1">
        <v>3.15</v>
      </c>
      <c r="L28" s="1">
        <v>14000</v>
      </c>
      <c r="M28" s="9"/>
      <c r="N28" s="7">
        <f t="shared" si="0"/>
        <v>3.2498668087373471E-2</v>
      </c>
      <c r="O28" s="7">
        <f t="shared" ca="1" si="1"/>
        <v>-7.3693124914679079E-5</v>
      </c>
      <c r="P28" s="33">
        <f t="shared" si="2"/>
        <v>656950</v>
      </c>
      <c r="Q28" s="33">
        <f t="shared" si="3"/>
        <v>29400.000000000018</v>
      </c>
      <c r="R28" s="7">
        <f t="shared" si="4"/>
        <v>4.4752264251465133E-2</v>
      </c>
      <c r="S28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sh.symbol='UNIONBANK'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8" s="33" t="e">
        <f t="shared" ca="1" si="6"/>
        <v>#VALUE!</v>
      </c>
      <c r="U28" s="7" t="e">
        <f t="shared" ca="1" si="7"/>
        <v>#VALUE!</v>
      </c>
      <c r="V28" s="7" t="e">
        <f t="shared" ca="1" si="8"/>
        <v>#VALUE!</v>
      </c>
      <c r="W28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sh.symbol='UNIONBANK'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8" s="33" t="e">
        <f t="shared" ca="1" si="10"/>
        <v>#VALUE!</v>
      </c>
      <c r="Y28" s="7" t="e">
        <f t="shared" ca="1" si="11"/>
        <v>#VALUE!</v>
      </c>
      <c r="Z28" s="7" t="e">
        <f t="shared" ca="1" si="12"/>
        <v>#VALUE!</v>
      </c>
      <c r="AA28" s="1"/>
      <c r="AB28" s="1"/>
    </row>
    <row r="29" spans="1:28" x14ac:dyDescent="0.25">
      <c r="A29" s="3"/>
      <c r="B29" s="25">
        <v>43524</v>
      </c>
      <c r="C29" s="10" t="s">
        <v>1668</v>
      </c>
      <c r="D29" s="1">
        <v>93.85</v>
      </c>
      <c r="E29" s="30">
        <v>7000</v>
      </c>
      <c r="F29" s="1">
        <v>95</v>
      </c>
      <c r="G29" s="1">
        <v>4.6500000000000004</v>
      </c>
      <c r="H29" s="1">
        <v>168000</v>
      </c>
      <c r="I29" s="1">
        <v>28000</v>
      </c>
      <c r="J29" s="1">
        <v>5.35</v>
      </c>
      <c r="K29" s="1">
        <v>11.8</v>
      </c>
      <c r="L29" s="1">
        <v>7000</v>
      </c>
      <c r="M29" s="9"/>
      <c r="N29" s="7">
        <f t="shared" si="0"/>
        <v>4.9547149706979231E-2</v>
      </c>
      <c r="O29" s="7">
        <f t="shared" ca="1" si="1"/>
        <v>-1.1996888548905383E-4</v>
      </c>
      <c r="P29" s="33">
        <f t="shared" si="2"/>
        <v>656950</v>
      </c>
      <c r="Q29" s="33">
        <f t="shared" si="3"/>
        <v>40600.00000000008</v>
      </c>
      <c r="R29" s="7">
        <f t="shared" si="4"/>
        <v>6.1800745871070976E-2</v>
      </c>
      <c r="S29" s="7" t="str">
        <f t="shared" ca="1" si="5"/>
        <v xml:space="preserve"> [SQL: "select min(period_log_returns) from (select sh.date as date,                sum(sh.daily_log_returns) over (partition by sh.symbol order by sh.date rows between -413.0 preceding and current row ) as period_log_returns                 from daily_returns sh where sh.symbol='UNIONBANK'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9" s="33" t="e">
        <f t="shared" ca="1" si="6"/>
        <v>#VALUE!</v>
      </c>
      <c r="U29" s="7" t="e">
        <f t="shared" ca="1" si="7"/>
        <v>#VALUE!</v>
      </c>
      <c r="V29" s="7" t="e">
        <f t="shared" ca="1" si="8"/>
        <v>#VALUE!</v>
      </c>
      <c r="W29" s="7" t="str">
        <f t="shared" ca="1" si="9"/>
        <v xml:space="preserve"> [SQL: "select avg(period_log_returns) from (select sh.date as date,                sum(sh.daily_log_returns) over (partition by sh.symbol order by sh.date rows between -413.0 preceding and current row ) as period_log_returns                 from daily_returns sh where sh.symbol='UNIONBANK'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9" s="33" t="e">
        <f t="shared" ca="1" si="10"/>
        <v>#VALUE!</v>
      </c>
      <c r="Y29" s="7" t="e">
        <f t="shared" ca="1" si="11"/>
        <v>#VALUE!</v>
      </c>
      <c r="Z29" s="7" t="e">
        <f t="shared" ca="1" si="12"/>
        <v>#VALUE!</v>
      </c>
      <c r="AA29" s="1"/>
      <c r="AB29" s="1"/>
    </row>
    <row r="30" spans="1:28" x14ac:dyDescent="0.25">
      <c r="A30" s="3"/>
      <c r="B30" s="25"/>
      <c r="C30" s="10"/>
      <c r="D30" s="1"/>
      <c r="E30" s="30"/>
      <c r="F30" s="1"/>
      <c r="G30" s="1"/>
      <c r="H30" s="1"/>
      <c r="I30" s="1"/>
      <c r="J30" s="1"/>
      <c r="K30" s="1"/>
      <c r="L30" s="1"/>
      <c r="M30" s="9"/>
      <c r="N30" s="7" t="e">
        <f t="shared" si="0"/>
        <v>#DIV/0!</v>
      </c>
      <c r="O30" s="7" t="e">
        <f t="shared" ca="1" si="1"/>
        <v>#DIV/0!</v>
      </c>
      <c r="P30" s="33">
        <f t="shared" si="2"/>
        <v>0</v>
      </c>
      <c r="Q30" s="33">
        <f t="shared" si="3"/>
        <v>0</v>
      </c>
      <c r="R30" s="7" t="e">
        <f t="shared" si="4"/>
        <v>#DIV/0!</v>
      </c>
      <c r="S3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0" s="33" t="e">
        <f t="shared" ca="1" si="6"/>
        <v>#VALUE!</v>
      </c>
      <c r="U30" s="7" t="e">
        <f t="shared" ca="1" si="7"/>
        <v>#VALUE!</v>
      </c>
      <c r="V30" s="7" t="e">
        <f t="shared" ca="1" si="8"/>
        <v>#DIV/0!</v>
      </c>
      <c r="W3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0" s="33" t="e">
        <f t="shared" ca="1" si="10"/>
        <v>#VALUE!</v>
      </c>
      <c r="Y30" s="7" t="e">
        <f t="shared" ca="1" si="11"/>
        <v>#VALUE!</v>
      </c>
      <c r="Z30" s="7" t="e">
        <f t="shared" ca="1" si="12"/>
        <v>#DIV/0!</v>
      </c>
      <c r="AA30" s="1"/>
      <c r="AB30" s="1"/>
    </row>
    <row r="31" spans="1:28" x14ac:dyDescent="0.25">
      <c r="A31" s="3"/>
      <c r="B31" s="25"/>
      <c r="C31" s="10"/>
      <c r="D31" s="1"/>
      <c r="E31" s="30"/>
      <c r="F31" s="1"/>
      <c r="G31" s="1"/>
      <c r="H31" s="1"/>
      <c r="I31" s="1"/>
      <c r="J31" s="1"/>
      <c r="K31" s="1"/>
      <c r="L31" s="1"/>
      <c r="M31" s="9"/>
      <c r="N31" s="7" t="e">
        <f t="shared" si="0"/>
        <v>#DIV/0!</v>
      </c>
      <c r="O31" s="7" t="e">
        <f t="shared" ca="1" si="1"/>
        <v>#DIV/0!</v>
      </c>
      <c r="P31" s="33">
        <f t="shared" si="2"/>
        <v>0</v>
      </c>
      <c r="Q31" s="33">
        <f t="shared" si="3"/>
        <v>0</v>
      </c>
      <c r="R31" s="7" t="e">
        <f t="shared" si="4"/>
        <v>#DIV/0!</v>
      </c>
      <c r="S3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1" s="33" t="e">
        <f t="shared" ca="1" si="6"/>
        <v>#VALUE!</v>
      </c>
      <c r="U31" s="7" t="e">
        <f t="shared" ca="1" si="7"/>
        <v>#VALUE!</v>
      </c>
      <c r="V31" s="7" t="e">
        <f t="shared" ca="1" si="8"/>
        <v>#DIV/0!</v>
      </c>
      <c r="W3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1" s="33" t="e">
        <f t="shared" ca="1" si="10"/>
        <v>#VALUE!</v>
      </c>
      <c r="Y31" s="7" t="e">
        <f t="shared" ca="1" si="11"/>
        <v>#VALUE!</v>
      </c>
      <c r="Z31" s="7" t="e">
        <f t="shared" ca="1" si="12"/>
        <v>#DIV/0!</v>
      </c>
      <c r="AA31" s="1"/>
      <c r="AB31" s="1"/>
    </row>
    <row r="32" spans="1:28" x14ac:dyDescent="0.25">
      <c r="A32" s="3"/>
      <c r="B32" s="25"/>
      <c r="C32" s="10"/>
      <c r="D32" s="1"/>
      <c r="E32" s="30"/>
      <c r="F32" s="1"/>
      <c r="G32" s="1"/>
      <c r="H32" s="1"/>
      <c r="I32" s="1"/>
      <c r="J32" s="1"/>
      <c r="K32" s="1"/>
      <c r="L32" s="1"/>
      <c r="M32" s="9"/>
      <c r="N32" s="7" t="e">
        <f t="shared" si="0"/>
        <v>#DIV/0!</v>
      </c>
      <c r="O32" s="7" t="e">
        <f t="shared" ca="1" si="1"/>
        <v>#DIV/0!</v>
      </c>
      <c r="P32" s="33">
        <f t="shared" si="2"/>
        <v>0</v>
      </c>
      <c r="Q32" s="33">
        <f t="shared" si="3"/>
        <v>0</v>
      </c>
      <c r="R32" s="7" t="e">
        <f t="shared" si="4"/>
        <v>#DIV/0!</v>
      </c>
      <c r="S3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2" s="33" t="e">
        <f t="shared" ca="1" si="6"/>
        <v>#VALUE!</v>
      </c>
      <c r="U32" s="7" t="e">
        <f t="shared" ca="1" si="7"/>
        <v>#VALUE!</v>
      </c>
      <c r="V32" s="7" t="e">
        <f t="shared" ca="1" si="8"/>
        <v>#DIV/0!</v>
      </c>
      <c r="W3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2" s="33" t="e">
        <f t="shared" ca="1" si="10"/>
        <v>#VALUE!</v>
      </c>
      <c r="Y32" s="7" t="e">
        <f t="shared" ca="1" si="11"/>
        <v>#VALUE!</v>
      </c>
      <c r="Z32" s="7" t="e">
        <f t="shared" ca="1" si="12"/>
        <v>#DIV/0!</v>
      </c>
      <c r="AA32" s="1"/>
      <c r="AB32" s="1"/>
    </row>
    <row r="33" spans="1:28" x14ac:dyDescent="0.25">
      <c r="A33" s="3"/>
      <c r="B33" s="25"/>
      <c r="C33" s="10"/>
      <c r="D33" s="1"/>
      <c r="E33" s="30"/>
      <c r="F33" s="1"/>
      <c r="G33" s="1"/>
      <c r="H33" s="1"/>
      <c r="I33" s="1"/>
      <c r="J33" s="1"/>
      <c r="K33" s="1"/>
      <c r="L33" s="1"/>
      <c r="M33" s="9"/>
      <c r="N33" s="7" t="e">
        <f t="shared" si="0"/>
        <v>#DIV/0!</v>
      </c>
      <c r="O33" s="7" t="e">
        <f t="shared" ca="1" si="1"/>
        <v>#DIV/0!</v>
      </c>
      <c r="P33" s="33">
        <f t="shared" si="2"/>
        <v>0</v>
      </c>
      <c r="Q33" s="33">
        <f t="shared" si="3"/>
        <v>0</v>
      </c>
      <c r="R33" s="7" t="e">
        <f t="shared" si="4"/>
        <v>#DIV/0!</v>
      </c>
      <c r="S3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3" s="33" t="e">
        <f t="shared" ca="1" si="6"/>
        <v>#VALUE!</v>
      </c>
      <c r="U33" s="7" t="e">
        <f t="shared" ca="1" si="7"/>
        <v>#VALUE!</v>
      </c>
      <c r="V33" s="7" t="e">
        <f t="shared" ca="1" si="8"/>
        <v>#DIV/0!</v>
      </c>
      <c r="W3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3" s="33" t="e">
        <f t="shared" ca="1" si="10"/>
        <v>#VALUE!</v>
      </c>
      <c r="Y33" s="7" t="e">
        <f t="shared" ca="1" si="11"/>
        <v>#VALUE!</v>
      </c>
      <c r="Z33" s="7" t="e">
        <f t="shared" ca="1" si="12"/>
        <v>#DIV/0!</v>
      </c>
      <c r="AA33" s="1"/>
      <c r="AB33" s="1"/>
    </row>
    <row r="34" spans="1:28" x14ac:dyDescent="0.25">
      <c r="A34" s="3"/>
      <c r="B34" s="25"/>
      <c r="C34" s="10"/>
      <c r="D34" s="1"/>
      <c r="E34" s="30"/>
      <c r="F34" s="1"/>
      <c r="G34" s="1"/>
      <c r="H34" s="1"/>
      <c r="I34" s="1"/>
      <c r="J34" s="1"/>
      <c r="K34" s="1"/>
      <c r="L34" s="1"/>
      <c r="M34" s="9"/>
      <c r="N34" s="7" t="e">
        <f t="shared" si="0"/>
        <v>#DIV/0!</v>
      </c>
      <c r="O34" s="7" t="e">
        <f t="shared" ca="1" si="1"/>
        <v>#DIV/0!</v>
      </c>
      <c r="P34" s="33">
        <f t="shared" si="2"/>
        <v>0</v>
      </c>
      <c r="Q34" s="33">
        <f t="shared" si="3"/>
        <v>0</v>
      </c>
      <c r="R34" s="7" t="e">
        <f t="shared" si="4"/>
        <v>#DIV/0!</v>
      </c>
      <c r="S3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4" s="33" t="e">
        <f t="shared" ca="1" si="6"/>
        <v>#VALUE!</v>
      </c>
      <c r="U34" s="7" t="e">
        <f t="shared" ca="1" si="7"/>
        <v>#VALUE!</v>
      </c>
      <c r="V34" s="7" t="e">
        <f t="shared" ca="1" si="8"/>
        <v>#DIV/0!</v>
      </c>
      <c r="W3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4" s="33" t="e">
        <f t="shared" ca="1" si="10"/>
        <v>#VALUE!</v>
      </c>
      <c r="Y34" s="7" t="e">
        <f t="shared" ca="1" si="11"/>
        <v>#VALUE!</v>
      </c>
      <c r="Z34" s="7" t="e">
        <f t="shared" ca="1" si="12"/>
        <v>#DIV/0!</v>
      </c>
      <c r="AA34" s="1"/>
      <c r="AB34" s="1"/>
    </row>
    <row r="35" spans="1:28" x14ac:dyDescent="0.25">
      <c r="A35" s="3"/>
      <c r="B35" s="25"/>
      <c r="C35" s="10"/>
      <c r="D35" s="1"/>
      <c r="E35" s="30"/>
      <c r="F35" s="1"/>
      <c r="G35" s="1"/>
      <c r="H35" s="1"/>
      <c r="I35" s="1"/>
      <c r="J35" s="1"/>
      <c r="K35" s="1"/>
      <c r="L35" s="1"/>
      <c r="M35" s="9"/>
      <c r="N35" s="7" t="e">
        <f t="shared" si="0"/>
        <v>#DIV/0!</v>
      </c>
      <c r="O35" s="7" t="e">
        <f t="shared" ca="1" si="1"/>
        <v>#DIV/0!</v>
      </c>
      <c r="P35" s="33">
        <f t="shared" si="2"/>
        <v>0</v>
      </c>
      <c r="Q35" s="33">
        <f t="shared" si="3"/>
        <v>0</v>
      </c>
      <c r="R35" s="7" t="e">
        <f t="shared" si="4"/>
        <v>#DIV/0!</v>
      </c>
      <c r="S3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5" s="33" t="e">
        <f t="shared" ca="1" si="6"/>
        <v>#VALUE!</v>
      </c>
      <c r="U35" s="7" t="e">
        <f t="shared" ca="1" si="7"/>
        <v>#VALUE!</v>
      </c>
      <c r="V35" s="7" t="e">
        <f t="shared" ca="1" si="8"/>
        <v>#DIV/0!</v>
      </c>
      <c r="W3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5" s="33" t="e">
        <f t="shared" ca="1" si="10"/>
        <v>#VALUE!</v>
      </c>
      <c r="Y35" s="7" t="e">
        <f t="shared" ca="1" si="11"/>
        <v>#VALUE!</v>
      </c>
      <c r="Z35" s="7" t="e">
        <f t="shared" ca="1" si="12"/>
        <v>#DIV/0!</v>
      </c>
      <c r="AA35" s="1"/>
      <c r="AB35" s="1"/>
    </row>
    <row r="36" spans="1:28" x14ac:dyDescent="0.25">
      <c r="A36" s="3"/>
      <c r="B36" s="25"/>
      <c r="C36" s="10"/>
      <c r="D36" s="1"/>
      <c r="E36" s="30"/>
      <c r="F36" s="1"/>
      <c r="G36" s="1"/>
      <c r="H36" s="1"/>
      <c r="I36" s="1"/>
      <c r="J36" s="1"/>
      <c r="K36" s="1"/>
      <c r="L36" s="1"/>
      <c r="M36" s="9"/>
      <c r="N36" s="7" t="e">
        <f t="shared" si="0"/>
        <v>#DIV/0!</v>
      </c>
      <c r="O36" s="7" t="e">
        <f t="shared" ca="1" si="1"/>
        <v>#DIV/0!</v>
      </c>
      <c r="P36" s="33">
        <f t="shared" si="2"/>
        <v>0</v>
      </c>
      <c r="Q36" s="33">
        <f t="shared" si="3"/>
        <v>0</v>
      </c>
      <c r="R36" s="7" t="e">
        <f t="shared" si="4"/>
        <v>#DIV/0!</v>
      </c>
      <c r="S3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6" s="33" t="e">
        <f t="shared" ca="1" si="6"/>
        <v>#VALUE!</v>
      </c>
      <c r="U36" s="7" t="e">
        <f t="shared" ca="1" si="7"/>
        <v>#VALUE!</v>
      </c>
      <c r="V36" s="7" t="e">
        <f t="shared" ca="1" si="8"/>
        <v>#DIV/0!</v>
      </c>
      <c r="W3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6" s="33" t="e">
        <f t="shared" ca="1" si="10"/>
        <v>#VALUE!</v>
      </c>
      <c r="Y36" s="7" t="e">
        <f t="shared" ca="1" si="11"/>
        <v>#VALUE!</v>
      </c>
      <c r="Z36" s="7" t="e">
        <f t="shared" ca="1" si="12"/>
        <v>#DIV/0!</v>
      </c>
      <c r="AA36" s="1"/>
      <c r="AB36" s="1"/>
    </row>
    <row r="37" spans="1:28" x14ac:dyDescent="0.25">
      <c r="A37" s="3"/>
      <c r="B37" s="25"/>
      <c r="C37" s="10"/>
      <c r="D37" s="1"/>
      <c r="E37" s="30"/>
      <c r="F37" s="1"/>
      <c r="G37" s="1"/>
      <c r="H37" s="1"/>
      <c r="I37" s="1"/>
      <c r="J37" s="1"/>
      <c r="K37" s="1"/>
      <c r="L37" s="1"/>
      <c r="M37" s="9"/>
      <c r="N37" s="7" t="e">
        <f t="shared" si="0"/>
        <v>#DIV/0!</v>
      </c>
      <c r="O37" s="7" t="e">
        <f t="shared" ca="1" si="1"/>
        <v>#DIV/0!</v>
      </c>
      <c r="P37" s="33">
        <f t="shared" si="2"/>
        <v>0</v>
      </c>
      <c r="Q37" s="33">
        <f t="shared" si="3"/>
        <v>0</v>
      </c>
      <c r="R37" s="7" t="e">
        <f t="shared" si="4"/>
        <v>#DIV/0!</v>
      </c>
      <c r="S3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7" s="33" t="e">
        <f t="shared" ca="1" si="6"/>
        <v>#VALUE!</v>
      </c>
      <c r="U37" s="7" t="e">
        <f t="shared" ca="1" si="7"/>
        <v>#VALUE!</v>
      </c>
      <c r="V37" s="7" t="e">
        <f t="shared" ca="1" si="8"/>
        <v>#DIV/0!</v>
      </c>
      <c r="W3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7" s="33" t="e">
        <f t="shared" ca="1" si="10"/>
        <v>#VALUE!</v>
      </c>
      <c r="Y37" s="7" t="e">
        <f t="shared" ca="1" si="11"/>
        <v>#VALUE!</v>
      </c>
      <c r="Z37" s="7" t="e">
        <f t="shared" ca="1" si="12"/>
        <v>#DIV/0!</v>
      </c>
      <c r="AA37" s="1"/>
      <c r="AB37" s="1"/>
    </row>
    <row r="38" spans="1:28" x14ac:dyDescent="0.25">
      <c r="A38" s="3"/>
      <c r="B38" s="25"/>
      <c r="C38" s="10"/>
      <c r="D38" s="1"/>
      <c r="E38" s="30"/>
      <c r="F38" s="1"/>
      <c r="G38" s="1"/>
      <c r="H38" s="1"/>
      <c r="I38" s="1"/>
      <c r="J38" s="1"/>
      <c r="K38" s="1"/>
      <c r="L38" s="1"/>
      <c r="M38" s="9"/>
      <c r="N38" s="7" t="e">
        <f t="shared" si="0"/>
        <v>#DIV/0!</v>
      </c>
      <c r="O38" s="7" t="e">
        <f t="shared" ca="1" si="1"/>
        <v>#DIV/0!</v>
      </c>
      <c r="P38" s="33">
        <f t="shared" si="2"/>
        <v>0</v>
      </c>
      <c r="Q38" s="33">
        <f t="shared" si="3"/>
        <v>0</v>
      </c>
      <c r="R38" s="7" t="e">
        <f t="shared" si="4"/>
        <v>#DIV/0!</v>
      </c>
      <c r="S3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8" s="33" t="e">
        <f t="shared" ca="1" si="6"/>
        <v>#VALUE!</v>
      </c>
      <c r="U38" s="7" t="e">
        <f t="shared" ca="1" si="7"/>
        <v>#VALUE!</v>
      </c>
      <c r="V38" s="7" t="e">
        <f t="shared" ca="1" si="8"/>
        <v>#DIV/0!</v>
      </c>
      <c r="W3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8" s="33" t="e">
        <f t="shared" ca="1" si="10"/>
        <v>#VALUE!</v>
      </c>
      <c r="Y38" s="7" t="e">
        <f t="shared" ca="1" si="11"/>
        <v>#VALUE!</v>
      </c>
      <c r="Z38" s="7" t="e">
        <f t="shared" ca="1" si="12"/>
        <v>#DIV/0!</v>
      </c>
      <c r="AA38" s="1"/>
      <c r="AB38" s="1"/>
    </row>
    <row r="39" spans="1:28" x14ac:dyDescent="0.25">
      <c r="A39" s="3"/>
      <c r="B39" s="25"/>
      <c r="C39" s="10"/>
      <c r="D39" s="1"/>
      <c r="E39" s="30"/>
      <c r="F39" s="1"/>
      <c r="G39" s="1"/>
      <c r="H39" s="1"/>
      <c r="I39" s="1"/>
      <c r="J39" s="1"/>
      <c r="K39" s="1"/>
      <c r="L39" s="1"/>
      <c r="M39" s="9"/>
      <c r="N39" s="7" t="e">
        <f t="shared" si="0"/>
        <v>#DIV/0!</v>
      </c>
      <c r="O39" s="7" t="e">
        <f t="shared" ca="1" si="1"/>
        <v>#DIV/0!</v>
      </c>
      <c r="P39" s="33">
        <f t="shared" si="2"/>
        <v>0</v>
      </c>
      <c r="Q39" s="33">
        <f t="shared" si="3"/>
        <v>0</v>
      </c>
      <c r="R39" s="7" t="e">
        <f t="shared" si="4"/>
        <v>#DIV/0!</v>
      </c>
      <c r="S3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9" s="33" t="e">
        <f t="shared" ca="1" si="6"/>
        <v>#VALUE!</v>
      </c>
      <c r="U39" s="7" t="e">
        <f t="shared" ca="1" si="7"/>
        <v>#VALUE!</v>
      </c>
      <c r="V39" s="7" t="e">
        <f t="shared" ca="1" si="8"/>
        <v>#DIV/0!</v>
      </c>
      <c r="W3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9" s="33" t="e">
        <f t="shared" ca="1" si="10"/>
        <v>#VALUE!</v>
      </c>
      <c r="Y39" s="7" t="e">
        <f t="shared" ca="1" si="11"/>
        <v>#VALUE!</v>
      </c>
      <c r="Z39" s="7" t="e">
        <f t="shared" ca="1" si="12"/>
        <v>#DIV/0!</v>
      </c>
      <c r="AA39" s="1"/>
      <c r="AB39" s="1"/>
    </row>
    <row r="40" spans="1:28" x14ac:dyDescent="0.25">
      <c r="A40" s="3"/>
      <c r="B40" s="25"/>
      <c r="C40" s="10"/>
      <c r="D40" s="1"/>
      <c r="E40" s="30"/>
      <c r="F40" s="1"/>
      <c r="G40" s="1"/>
      <c r="H40" s="1"/>
      <c r="I40" s="1"/>
      <c r="J40" s="1"/>
      <c r="K40" s="1"/>
      <c r="L40" s="1"/>
      <c r="M40" s="9"/>
      <c r="N40" s="7" t="e">
        <f t="shared" si="0"/>
        <v>#DIV/0!</v>
      </c>
      <c r="O40" s="7" t="e">
        <f t="shared" ca="1" si="1"/>
        <v>#DIV/0!</v>
      </c>
      <c r="P40" s="33">
        <f t="shared" si="2"/>
        <v>0</v>
      </c>
      <c r="Q40" s="33">
        <f t="shared" si="3"/>
        <v>0</v>
      </c>
      <c r="R40" s="7" t="e">
        <f t="shared" si="4"/>
        <v>#DIV/0!</v>
      </c>
      <c r="S4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0" s="33" t="e">
        <f t="shared" ca="1" si="6"/>
        <v>#VALUE!</v>
      </c>
      <c r="U40" s="7" t="e">
        <f t="shared" ca="1" si="7"/>
        <v>#VALUE!</v>
      </c>
      <c r="V40" s="7" t="e">
        <f t="shared" ca="1" si="8"/>
        <v>#DIV/0!</v>
      </c>
      <c r="W4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0" s="33" t="e">
        <f t="shared" ca="1" si="10"/>
        <v>#VALUE!</v>
      </c>
      <c r="Y40" s="7" t="e">
        <f t="shared" ca="1" si="11"/>
        <v>#VALUE!</v>
      </c>
      <c r="Z40" s="7" t="e">
        <f t="shared" ca="1" si="12"/>
        <v>#DIV/0!</v>
      </c>
      <c r="AA40" s="1"/>
      <c r="AB40" s="1"/>
    </row>
    <row r="41" spans="1:28" x14ac:dyDescent="0.25">
      <c r="A41" s="3"/>
      <c r="B41" s="25"/>
      <c r="C41" s="10"/>
      <c r="D41" s="1"/>
      <c r="E41" s="30"/>
      <c r="F41" s="1"/>
      <c r="G41" s="1"/>
      <c r="H41" s="1"/>
      <c r="I41" s="1"/>
      <c r="J41" s="1"/>
      <c r="K41" s="1"/>
      <c r="L41" s="1"/>
      <c r="M41" s="9"/>
      <c r="N41" s="7" t="e">
        <f t="shared" si="0"/>
        <v>#DIV/0!</v>
      </c>
      <c r="O41" s="7" t="e">
        <f t="shared" ca="1" si="1"/>
        <v>#DIV/0!</v>
      </c>
      <c r="P41" s="33">
        <f t="shared" si="2"/>
        <v>0</v>
      </c>
      <c r="Q41" s="33">
        <f t="shared" si="3"/>
        <v>0</v>
      </c>
      <c r="R41" s="7" t="e">
        <f t="shared" si="4"/>
        <v>#DIV/0!</v>
      </c>
      <c r="S4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1" s="33" t="e">
        <f t="shared" ca="1" si="6"/>
        <v>#VALUE!</v>
      </c>
      <c r="U41" s="7" t="e">
        <f t="shared" ca="1" si="7"/>
        <v>#VALUE!</v>
      </c>
      <c r="V41" s="7" t="e">
        <f t="shared" ca="1" si="8"/>
        <v>#DIV/0!</v>
      </c>
      <c r="W4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1" s="33" t="e">
        <f t="shared" ca="1" si="10"/>
        <v>#VALUE!</v>
      </c>
      <c r="Y41" s="7" t="e">
        <f t="shared" ca="1" si="11"/>
        <v>#VALUE!</v>
      </c>
      <c r="Z41" s="7" t="e">
        <f t="shared" ca="1" si="12"/>
        <v>#DIV/0!</v>
      </c>
      <c r="AA41" s="1"/>
      <c r="AB41" s="1"/>
    </row>
    <row r="42" spans="1:28" x14ac:dyDescent="0.25">
      <c r="A42" s="3"/>
      <c r="B42" s="25"/>
      <c r="C42" s="10"/>
      <c r="D42" s="1"/>
      <c r="E42" s="30"/>
      <c r="F42" s="1"/>
      <c r="G42" s="1"/>
      <c r="H42" s="1"/>
      <c r="I42" s="1"/>
      <c r="J42" s="1"/>
      <c r="K42" s="1"/>
      <c r="L42" s="1"/>
      <c r="M42" s="9"/>
      <c r="N42" s="7" t="e">
        <f t="shared" si="0"/>
        <v>#DIV/0!</v>
      </c>
      <c r="O42" s="7" t="e">
        <f t="shared" ca="1" si="1"/>
        <v>#DIV/0!</v>
      </c>
      <c r="P42" s="33">
        <f t="shared" si="2"/>
        <v>0</v>
      </c>
      <c r="Q42" s="33">
        <f t="shared" si="3"/>
        <v>0</v>
      </c>
      <c r="R42" s="7" t="e">
        <f t="shared" si="4"/>
        <v>#DIV/0!</v>
      </c>
      <c r="S4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2" s="33" t="e">
        <f t="shared" ca="1" si="6"/>
        <v>#VALUE!</v>
      </c>
      <c r="U42" s="7" t="e">
        <f t="shared" ca="1" si="7"/>
        <v>#VALUE!</v>
      </c>
      <c r="V42" s="7" t="e">
        <f t="shared" ca="1" si="8"/>
        <v>#DIV/0!</v>
      </c>
      <c r="W4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2" s="33" t="e">
        <f t="shared" ca="1" si="10"/>
        <v>#VALUE!</v>
      </c>
      <c r="Y42" s="7" t="e">
        <f t="shared" ca="1" si="11"/>
        <v>#VALUE!</v>
      </c>
      <c r="Z42" s="7" t="e">
        <f t="shared" ca="1" si="12"/>
        <v>#DIV/0!</v>
      </c>
      <c r="AA42" s="1"/>
      <c r="AB42" s="1"/>
    </row>
    <row r="43" spans="1:28" x14ac:dyDescent="0.25">
      <c r="A43" s="3"/>
      <c r="B43" s="25"/>
      <c r="C43" s="10"/>
      <c r="D43" s="1"/>
      <c r="E43" s="30"/>
      <c r="F43" s="1"/>
      <c r="G43" s="1"/>
      <c r="H43" s="1"/>
      <c r="I43" s="1"/>
      <c r="J43" s="1"/>
      <c r="K43" s="1"/>
      <c r="L43" s="1"/>
      <c r="M43" s="9"/>
      <c r="N43" s="7" t="e">
        <f t="shared" ref="N43:N67" si="13">$G43/$D43</f>
        <v>#DIV/0!</v>
      </c>
      <c r="O43" s="7" t="e">
        <f t="shared" ref="O43:O67" ca="1" si="14">N43/($B43-TODAY())</f>
        <v>#DIV/0!</v>
      </c>
      <c r="P43" s="33">
        <f t="shared" ref="P43:P67" si="15">$E43*$D43</f>
        <v>0</v>
      </c>
      <c r="Q43" s="33">
        <f t="shared" ref="Q43:Q67" si="16">($G43+$F43-$D43)*$E43</f>
        <v>0</v>
      </c>
      <c r="R43" s="7" t="e">
        <f t="shared" ref="R43:R67" si="17">$Q43/$P43</f>
        <v>#DIV/0!</v>
      </c>
      <c r="S43" s="7" t="str">
        <f t="shared" ref="S43:S67" ca="1" si="18">mrigxl_max_drawdown($C43,INT($B43-TODAY()))</f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3" s="33" t="e">
        <f t="shared" ref="T43:T67" ca="1" si="19">(S43*$D43+$G43)*$E43</f>
        <v>#VALUE!</v>
      </c>
      <c r="U43" s="7" t="e">
        <f t="shared" ref="U43:U67" ca="1" si="20">T43/$P43</f>
        <v>#VALUE!</v>
      </c>
      <c r="V43" s="7" t="e">
        <f t="shared" ref="V43:V67" ca="1" si="21">$R43+U43</f>
        <v>#DIV/0!</v>
      </c>
      <c r="W43" s="7" t="str">
        <f t="shared" ref="W43:W67" ca="1" si="22">mrigxl_avg_drawdown($C43,INT($B43-TODAY()))</f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3" s="33" t="e">
        <f t="shared" ref="X43:X67" ca="1" si="23">(W43*$D43+$G43)*$E43</f>
        <v>#VALUE!</v>
      </c>
      <c r="Y43" s="7" t="e">
        <f t="shared" ref="Y43:Y67" ca="1" si="24">X43/$P43</f>
        <v>#VALUE!</v>
      </c>
      <c r="Z43" s="7" t="e">
        <f t="shared" ref="Z43:Z67" ca="1" si="25">$R43+Y43</f>
        <v>#DIV/0!</v>
      </c>
      <c r="AA43" s="1"/>
      <c r="AB43" s="1"/>
    </row>
    <row r="44" spans="1:28" x14ac:dyDescent="0.25">
      <c r="A44" s="3"/>
      <c r="B44" s="25"/>
      <c r="C44" s="10"/>
      <c r="D44" s="1"/>
      <c r="E44" s="30"/>
      <c r="F44" s="1"/>
      <c r="G44" s="1"/>
      <c r="H44" s="1"/>
      <c r="I44" s="1"/>
      <c r="J44" s="1"/>
      <c r="K44" s="1"/>
      <c r="L44" s="1"/>
      <c r="M44" s="9"/>
      <c r="N44" s="7" t="e">
        <f t="shared" si="13"/>
        <v>#DIV/0!</v>
      </c>
      <c r="O44" s="7" t="e">
        <f t="shared" ca="1" si="14"/>
        <v>#DIV/0!</v>
      </c>
      <c r="P44" s="33">
        <f t="shared" si="15"/>
        <v>0</v>
      </c>
      <c r="Q44" s="33">
        <f t="shared" si="16"/>
        <v>0</v>
      </c>
      <c r="R44" s="7" t="e">
        <f t="shared" si="17"/>
        <v>#DIV/0!</v>
      </c>
      <c r="S4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4" s="33" t="e">
        <f t="shared" ca="1" si="19"/>
        <v>#VALUE!</v>
      </c>
      <c r="U44" s="7" t="e">
        <f t="shared" ca="1" si="20"/>
        <v>#VALUE!</v>
      </c>
      <c r="V44" s="7" t="e">
        <f t="shared" ca="1" si="21"/>
        <v>#DIV/0!</v>
      </c>
      <c r="W4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4" s="33" t="e">
        <f t="shared" ca="1" si="23"/>
        <v>#VALUE!</v>
      </c>
      <c r="Y44" s="7" t="e">
        <f t="shared" ca="1" si="24"/>
        <v>#VALUE!</v>
      </c>
      <c r="Z44" s="7" t="e">
        <f t="shared" ca="1" si="25"/>
        <v>#DIV/0!</v>
      </c>
      <c r="AA44" s="1"/>
      <c r="AB44" s="1"/>
    </row>
    <row r="45" spans="1:28" x14ac:dyDescent="0.25">
      <c r="A45" s="3"/>
      <c r="B45" s="25"/>
      <c r="C45" s="10"/>
      <c r="D45" s="1"/>
      <c r="E45" s="30"/>
      <c r="F45" s="1"/>
      <c r="G45" s="1"/>
      <c r="H45" s="1"/>
      <c r="I45" s="1"/>
      <c r="J45" s="1"/>
      <c r="K45" s="1"/>
      <c r="L45" s="1"/>
      <c r="M45" s="9"/>
      <c r="N45" s="7" t="e">
        <f t="shared" si="13"/>
        <v>#DIV/0!</v>
      </c>
      <c r="O45" s="7" t="e">
        <f t="shared" ca="1" si="14"/>
        <v>#DIV/0!</v>
      </c>
      <c r="P45" s="33">
        <f t="shared" si="15"/>
        <v>0</v>
      </c>
      <c r="Q45" s="33">
        <f t="shared" si="16"/>
        <v>0</v>
      </c>
      <c r="R45" s="7" t="e">
        <f t="shared" si="17"/>
        <v>#DIV/0!</v>
      </c>
      <c r="S4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5" s="33" t="e">
        <f t="shared" ca="1" si="19"/>
        <v>#VALUE!</v>
      </c>
      <c r="U45" s="7" t="e">
        <f t="shared" ca="1" si="20"/>
        <v>#VALUE!</v>
      </c>
      <c r="V45" s="7" t="e">
        <f t="shared" ca="1" si="21"/>
        <v>#DIV/0!</v>
      </c>
      <c r="W4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5" s="33" t="e">
        <f t="shared" ca="1" si="23"/>
        <v>#VALUE!</v>
      </c>
      <c r="Y45" s="7" t="e">
        <f t="shared" ca="1" si="24"/>
        <v>#VALUE!</v>
      </c>
      <c r="Z45" s="7" t="e">
        <f t="shared" ca="1" si="25"/>
        <v>#DIV/0!</v>
      </c>
      <c r="AA45" s="1"/>
      <c r="AB45" s="1"/>
    </row>
    <row r="46" spans="1:28" x14ac:dyDescent="0.25">
      <c r="A46" s="3"/>
      <c r="B46" s="25"/>
      <c r="C46" s="10"/>
      <c r="D46" s="1"/>
      <c r="E46" s="30"/>
      <c r="F46" s="1"/>
      <c r="G46" s="1"/>
      <c r="H46" s="1"/>
      <c r="I46" s="1"/>
      <c r="J46" s="1"/>
      <c r="K46" s="1"/>
      <c r="L46" s="1"/>
      <c r="M46" s="9"/>
      <c r="N46" s="7" t="e">
        <f t="shared" si="13"/>
        <v>#DIV/0!</v>
      </c>
      <c r="O46" s="7" t="e">
        <f t="shared" ca="1" si="14"/>
        <v>#DIV/0!</v>
      </c>
      <c r="P46" s="33">
        <f t="shared" si="15"/>
        <v>0</v>
      </c>
      <c r="Q46" s="33">
        <f t="shared" si="16"/>
        <v>0</v>
      </c>
      <c r="R46" s="7" t="e">
        <f t="shared" si="17"/>
        <v>#DIV/0!</v>
      </c>
      <c r="S4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6" s="33" t="e">
        <f t="shared" ca="1" si="19"/>
        <v>#VALUE!</v>
      </c>
      <c r="U46" s="7" t="e">
        <f t="shared" ca="1" si="20"/>
        <v>#VALUE!</v>
      </c>
      <c r="V46" s="7" t="e">
        <f t="shared" ca="1" si="21"/>
        <v>#DIV/0!</v>
      </c>
      <c r="W4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6" s="33" t="e">
        <f t="shared" ca="1" si="23"/>
        <v>#VALUE!</v>
      </c>
      <c r="Y46" s="7" t="e">
        <f t="shared" ca="1" si="24"/>
        <v>#VALUE!</v>
      </c>
      <c r="Z46" s="7" t="e">
        <f t="shared" ca="1" si="25"/>
        <v>#DIV/0!</v>
      </c>
      <c r="AA46" s="1"/>
      <c r="AB46" s="1"/>
    </row>
    <row r="47" spans="1:28" x14ac:dyDescent="0.25">
      <c r="A47" s="3"/>
      <c r="B47" s="25"/>
      <c r="C47" s="10"/>
      <c r="D47" s="1"/>
      <c r="E47" s="30"/>
      <c r="F47" s="1"/>
      <c r="G47" s="1"/>
      <c r="H47" s="1"/>
      <c r="I47" s="1"/>
      <c r="J47" s="1"/>
      <c r="K47" s="1"/>
      <c r="L47" s="1"/>
      <c r="M47" s="9"/>
      <c r="N47" s="7" t="e">
        <f t="shared" si="13"/>
        <v>#DIV/0!</v>
      </c>
      <c r="O47" s="7" t="e">
        <f t="shared" ca="1" si="14"/>
        <v>#DIV/0!</v>
      </c>
      <c r="P47" s="33">
        <f t="shared" si="15"/>
        <v>0</v>
      </c>
      <c r="Q47" s="33">
        <f t="shared" si="16"/>
        <v>0</v>
      </c>
      <c r="R47" s="7" t="e">
        <f t="shared" si="17"/>
        <v>#DIV/0!</v>
      </c>
      <c r="S4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7" s="33" t="e">
        <f t="shared" ca="1" si="19"/>
        <v>#VALUE!</v>
      </c>
      <c r="U47" s="7" t="e">
        <f t="shared" ca="1" si="20"/>
        <v>#VALUE!</v>
      </c>
      <c r="V47" s="7" t="e">
        <f t="shared" ca="1" si="21"/>
        <v>#DIV/0!</v>
      </c>
      <c r="W4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7" s="33" t="e">
        <f t="shared" ca="1" si="23"/>
        <v>#VALUE!</v>
      </c>
      <c r="Y47" s="7" t="e">
        <f t="shared" ca="1" si="24"/>
        <v>#VALUE!</v>
      </c>
      <c r="Z47" s="7" t="e">
        <f t="shared" ca="1" si="25"/>
        <v>#DIV/0!</v>
      </c>
      <c r="AA47" s="1"/>
      <c r="AB47" s="1"/>
    </row>
    <row r="48" spans="1:28" x14ac:dyDescent="0.25">
      <c r="A48" s="3"/>
      <c r="B48" s="25"/>
      <c r="C48" s="10"/>
      <c r="D48" s="1"/>
      <c r="E48" s="30"/>
      <c r="F48" s="1"/>
      <c r="G48" s="1"/>
      <c r="H48" s="1"/>
      <c r="I48" s="1"/>
      <c r="J48" s="1"/>
      <c r="K48" s="1"/>
      <c r="L48" s="1"/>
      <c r="M48" s="9"/>
      <c r="N48" s="7" t="e">
        <f t="shared" si="13"/>
        <v>#DIV/0!</v>
      </c>
      <c r="O48" s="7" t="e">
        <f t="shared" ca="1" si="14"/>
        <v>#DIV/0!</v>
      </c>
      <c r="P48" s="33">
        <f t="shared" si="15"/>
        <v>0</v>
      </c>
      <c r="Q48" s="33">
        <f t="shared" si="16"/>
        <v>0</v>
      </c>
      <c r="R48" s="7" t="e">
        <f t="shared" si="17"/>
        <v>#DIV/0!</v>
      </c>
      <c r="S48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8" s="33" t="e">
        <f t="shared" ca="1" si="19"/>
        <v>#VALUE!</v>
      </c>
      <c r="U48" s="7" t="e">
        <f t="shared" ca="1" si="20"/>
        <v>#VALUE!</v>
      </c>
      <c r="V48" s="7" t="e">
        <f t="shared" ca="1" si="21"/>
        <v>#DIV/0!</v>
      </c>
      <c r="W48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8" s="33" t="e">
        <f t="shared" ca="1" si="23"/>
        <v>#VALUE!</v>
      </c>
      <c r="Y48" s="7" t="e">
        <f t="shared" ca="1" si="24"/>
        <v>#VALUE!</v>
      </c>
      <c r="Z48" s="7" t="e">
        <f t="shared" ca="1" si="25"/>
        <v>#DIV/0!</v>
      </c>
      <c r="AA48" s="1"/>
      <c r="AB48" s="1"/>
    </row>
    <row r="49" spans="1:28" x14ac:dyDescent="0.25">
      <c r="A49" s="3"/>
      <c r="B49" s="25"/>
      <c r="C49" s="10"/>
      <c r="D49" s="1"/>
      <c r="E49" s="30"/>
      <c r="F49" s="1"/>
      <c r="G49" s="1"/>
      <c r="H49" s="1"/>
      <c r="I49" s="1"/>
      <c r="J49" s="1"/>
      <c r="K49" s="1"/>
      <c r="L49" s="1"/>
      <c r="M49" s="9"/>
      <c r="N49" s="7" t="e">
        <f t="shared" si="13"/>
        <v>#DIV/0!</v>
      </c>
      <c r="O49" s="7" t="e">
        <f t="shared" ca="1" si="14"/>
        <v>#DIV/0!</v>
      </c>
      <c r="P49" s="33">
        <f t="shared" si="15"/>
        <v>0</v>
      </c>
      <c r="Q49" s="33">
        <f t="shared" si="16"/>
        <v>0</v>
      </c>
      <c r="R49" s="7" t="e">
        <f t="shared" si="17"/>
        <v>#DIV/0!</v>
      </c>
      <c r="S49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9" s="33" t="e">
        <f t="shared" ca="1" si="19"/>
        <v>#VALUE!</v>
      </c>
      <c r="U49" s="7" t="e">
        <f t="shared" ca="1" si="20"/>
        <v>#VALUE!</v>
      </c>
      <c r="V49" s="7" t="e">
        <f t="shared" ca="1" si="21"/>
        <v>#DIV/0!</v>
      </c>
      <c r="W49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9" s="33" t="e">
        <f t="shared" ca="1" si="23"/>
        <v>#VALUE!</v>
      </c>
      <c r="Y49" s="7" t="e">
        <f t="shared" ca="1" si="24"/>
        <v>#VALUE!</v>
      </c>
      <c r="Z49" s="7" t="e">
        <f t="shared" ca="1" si="25"/>
        <v>#DIV/0!</v>
      </c>
      <c r="AA49" s="1"/>
      <c r="AB49" s="1"/>
    </row>
    <row r="50" spans="1:28" x14ac:dyDescent="0.25">
      <c r="A50" s="3"/>
      <c r="B50" s="25"/>
      <c r="C50" s="10"/>
      <c r="D50" s="1"/>
      <c r="E50" s="30"/>
      <c r="F50" s="1"/>
      <c r="G50" s="1"/>
      <c r="H50" s="1"/>
      <c r="I50" s="1"/>
      <c r="J50" s="1"/>
      <c r="K50" s="1"/>
      <c r="L50" s="1"/>
      <c r="M50" s="9"/>
      <c r="N50" s="7" t="e">
        <f t="shared" si="13"/>
        <v>#DIV/0!</v>
      </c>
      <c r="O50" s="7" t="e">
        <f t="shared" ca="1" si="14"/>
        <v>#DIV/0!</v>
      </c>
      <c r="P50" s="33">
        <f t="shared" si="15"/>
        <v>0</v>
      </c>
      <c r="Q50" s="33">
        <f t="shared" si="16"/>
        <v>0</v>
      </c>
      <c r="R50" s="7" t="e">
        <f t="shared" si="17"/>
        <v>#DIV/0!</v>
      </c>
      <c r="S50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0" s="33" t="e">
        <f t="shared" ca="1" si="19"/>
        <v>#VALUE!</v>
      </c>
      <c r="U50" s="7" t="e">
        <f t="shared" ca="1" si="20"/>
        <v>#VALUE!</v>
      </c>
      <c r="V50" s="7" t="e">
        <f t="shared" ca="1" si="21"/>
        <v>#DIV/0!</v>
      </c>
      <c r="W50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0" s="33" t="e">
        <f t="shared" ca="1" si="23"/>
        <v>#VALUE!</v>
      </c>
      <c r="Y50" s="7" t="e">
        <f t="shared" ca="1" si="24"/>
        <v>#VALUE!</v>
      </c>
      <c r="Z50" s="7" t="e">
        <f t="shared" ca="1" si="25"/>
        <v>#DIV/0!</v>
      </c>
      <c r="AA50" s="1"/>
      <c r="AB50" s="1"/>
    </row>
    <row r="51" spans="1:28" x14ac:dyDescent="0.25">
      <c r="A51" s="3"/>
      <c r="B51" s="25"/>
      <c r="C51" s="10"/>
      <c r="D51" s="1"/>
      <c r="E51" s="30"/>
      <c r="F51" s="1"/>
      <c r="G51" s="1"/>
      <c r="H51" s="1"/>
      <c r="I51" s="1"/>
      <c r="J51" s="1"/>
      <c r="K51" s="1"/>
      <c r="L51" s="1"/>
      <c r="M51" s="9"/>
      <c r="N51" s="7" t="e">
        <f t="shared" si="13"/>
        <v>#DIV/0!</v>
      </c>
      <c r="O51" s="7" t="e">
        <f t="shared" ca="1" si="14"/>
        <v>#DIV/0!</v>
      </c>
      <c r="P51" s="33">
        <f t="shared" si="15"/>
        <v>0</v>
      </c>
      <c r="Q51" s="33">
        <f t="shared" si="16"/>
        <v>0</v>
      </c>
      <c r="R51" s="7" t="e">
        <f t="shared" si="17"/>
        <v>#DIV/0!</v>
      </c>
      <c r="S51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1" s="33" t="e">
        <f t="shared" ca="1" si="19"/>
        <v>#VALUE!</v>
      </c>
      <c r="U51" s="7" t="e">
        <f t="shared" ca="1" si="20"/>
        <v>#VALUE!</v>
      </c>
      <c r="V51" s="7" t="e">
        <f t="shared" ca="1" si="21"/>
        <v>#DIV/0!</v>
      </c>
      <c r="W51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1" s="33" t="e">
        <f t="shared" ca="1" si="23"/>
        <v>#VALUE!</v>
      </c>
      <c r="Y51" s="7" t="e">
        <f t="shared" ca="1" si="24"/>
        <v>#VALUE!</v>
      </c>
      <c r="Z51" s="7" t="e">
        <f t="shared" ca="1" si="25"/>
        <v>#DIV/0!</v>
      </c>
      <c r="AA51" s="1"/>
      <c r="AB51" s="1"/>
    </row>
    <row r="52" spans="1:28" x14ac:dyDescent="0.25">
      <c r="A52" s="3"/>
      <c r="B52" s="25"/>
      <c r="C52" s="10"/>
      <c r="D52" s="1"/>
      <c r="E52" s="30"/>
      <c r="F52" s="1"/>
      <c r="G52" s="1"/>
      <c r="H52" s="1"/>
      <c r="I52" s="1"/>
      <c r="J52" s="1"/>
      <c r="K52" s="1"/>
      <c r="L52" s="1"/>
      <c r="M52" s="9"/>
      <c r="N52" s="7" t="e">
        <f t="shared" si="13"/>
        <v>#DIV/0!</v>
      </c>
      <c r="O52" s="7" t="e">
        <f t="shared" ca="1" si="14"/>
        <v>#DIV/0!</v>
      </c>
      <c r="P52" s="33">
        <f t="shared" si="15"/>
        <v>0</v>
      </c>
      <c r="Q52" s="33">
        <f t="shared" si="16"/>
        <v>0</v>
      </c>
      <c r="R52" s="7" t="e">
        <f t="shared" si="17"/>
        <v>#DIV/0!</v>
      </c>
      <c r="S52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2" s="33" t="e">
        <f t="shared" ca="1" si="19"/>
        <v>#VALUE!</v>
      </c>
      <c r="U52" s="7" t="e">
        <f t="shared" ca="1" si="20"/>
        <v>#VALUE!</v>
      </c>
      <c r="V52" s="7" t="e">
        <f t="shared" ca="1" si="21"/>
        <v>#DIV/0!</v>
      </c>
      <c r="W52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2" s="33" t="e">
        <f t="shared" ca="1" si="23"/>
        <v>#VALUE!</v>
      </c>
      <c r="Y52" s="7" t="e">
        <f t="shared" ca="1" si="24"/>
        <v>#VALUE!</v>
      </c>
      <c r="Z52" s="7" t="e">
        <f t="shared" ca="1" si="25"/>
        <v>#DIV/0!</v>
      </c>
      <c r="AA52" s="1"/>
      <c r="AB52" s="1"/>
    </row>
    <row r="53" spans="1:28" x14ac:dyDescent="0.25">
      <c r="A53" s="3"/>
      <c r="B53" s="25"/>
      <c r="C53" s="10"/>
      <c r="D53" s="1"/>
      <c r="E53" s="30"/>
      <c r="F53" s="1"/>
      <c r="G53" s="1"/>
      <c r="H53" s="1"/>
      <c r="I53" s="1"/>
      <c r="J53" s="1"/>
      <c r="K53" s="1"/>
      <c r="L53" s="1"/>
      <c r="M53" s="9"/>
      <c r="N53" s="7" t="e">
        <f t="shared" si="13"/>
        <v>#DIV/0!</v>
      </c>
      <c r="O53" s="7" t="e">
        <f t="shared" ca="1" si="14"/>
        <v>#DIV/0!</v>
      </c>
      <c r="P53" s="33">
        <f t="shared" si="15"/>
        <v>0</v>
      </c>
      <c r="Q53" s="33">
        <f t="shared" si="16"/>
        <v>0</v>
      </c>
      <c r="R53" s="7" t="e">
        <f t="shared" si="17"/>
        <v>#DIV/0!</v>
      </c>
      <c r="S53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3" s="33" t="e">
        <f t="shared" ca="1" si="19"/>
        <v>#VALUE!</v>
      </c>
      <c r="U53" s="7" t="e">
        <f t="shared" ca="1" si="20"/>
        <v>#VALUE!</v>
      </c>
      <c r="V53" s="7" t="e">
        <f t="shared" ca="1" si="21"/>
        <v>#DIV/0!</v>
      </c>
      <c r="W53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3" s="33" t="e">
        <f t="shared" ca="1" si="23"/>
        <v>#VALUE!</v>
      </c>
      <c r="Y53" s="7" t="e">
        <f t="shared" ca="1" si="24"/>
        <v>#VALUE!</v>
      </c>
      <c r="Z53" s="7" t="e">
        <f t="shared" ca="1" si="25"/>
        <v>#DIV/0!</v>
      </c>
      <c r="AA53" s="1"/>
      <c r="AB53" s="1"/>
    </row>
    <row r="54" spans="1:28" x14ac:dyDescent="0.25">
      <c r="A54" s="3"/>
      <c r="B54" s="25"/>
      <c r="C54" s="10"/>
      <c r="D54" s="1"/>
      <c r="E54" s="30"/>
      <c r="F54" s="1"/>
      <c r="G54" s="1"/>
      <c r="H54" s="1"/>
      <c r="I54" s="1"/>
      <c r="J54" s="1"/>
      <c r="K54" s="1"/>
      <c r="L54" s="1"/>
      <c r="M54" s="9"/>
      <c r="N54" s="7" t="e">
        <f t="shared" si="13"/>
        <v>#DIV/0!</v>
      </c>
      <c r="O54" s="7" t="e">
        <f t="shared" ca="1" si="14"/>
        <v>#DIV/0!</v>
      </c>
      <c r="P54" s="33">
        <f t="shared" si="15"/>
        <v>0</v>
      </c>
      <c r="Q54" s="33">
        <f t="shared" si="16"/>
        <v>0</v>
      </c>
      <c r="R54" s="7" t="e">
        <f t="shared" si="17"/>
        <v>#DIV/0!</v>
      </c>
      <c r="S5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4" s="33" t="e">
        <f t="shared" ca="1" si="19"/>
        <v>#VALUE!</v>
      </c>
      <c r="U54" s="7" t="e">
        <f t="shared" ca="1" si="20"/>
        <v>#VALUE!</v>
      </c>
      <c r="V54" s="7" t="e">
        <f t="shared" ca="1" si="21"/>
        <v>#DIV/0!</v>
      </c>
      <c r="W5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4" s="33" t="e">
        <f t="shared" ca="1" si="23"/>
        <v>#VALUE!</v>
      </c>
      <c r="Y54" s="7" t="e">
        <f t="shared" ca="1" si="24"/>
        <v>#VALUE!</v>
      </c>
      <c r="Z54" s="7" t="e">
        <f t="shared" ca="1" si="25"/>
        <v>#DIV/0!</v>
      </c>
      <c r="AA54" s="1"/>
      <c r="AB54" s="1"/>
    </row>
    <row r="55" spans="1:28" x14ac:dyDescent="0.25">
      <c r="A55" s="3"/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9"/>
      <c r="N55" s="7" t="e">
        <f t="shared" si="13"/>
        <v>#DIV/0!</v>
      </c>
      <c r="O55" s="7" t="e">
        <f t="shared" ca="1" si="14"/>
        <v>#DIV/0!</v>
      </c>
      <c r="P55" s="33">
        <f t="shared" si="15"/>
        <v>0</v>
      </c>
      <c r="Q55" s="33">
        <f t="shared" si="16"/>
        <v>0</v>
      </c>
      <c r="R55" s="7" t="e">
        <f t="shared" si="17"/>
        <v>#DIV/0!</v>
      </c>
      <c r="S5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5" s="33" t="e">
        <f t="shared" ca="1" si="19"/>
        <v>#VALUE!</v>
      </c>
      <c r="U55" s="7" t="e">
        <f t="shared" ca="1" si="20"/>
        <v>#VALUE!</v>
      </c>
      <c r="V55" s="7" t="e">
        <f t="shared" ca="1" si="21"/>
        <v>#DIV/0!</v>
      </c>
      <c r="W5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5" s="33" t="e">
        <f t="shared" ca="1" si="23"/>
        <v>#VALUE!</v>
      </c>
      <c r="Y55" s="7" t="e">
        <f t="shared" ca="1" si="24"/>
        <v>#VALUE!</v>
      </c>
      <c r="Z55" s="7" t="e">
        <f t="shared" ca="1" si="25"/>
        <v>#DIV/0!</v>
      </c>
      <c r="AA55" s="1"/>
      <c r="AB55" s="1"/>
    </row>
    <row r="56" spans="1:28" x14ac:dyDescent="0.25">
      <c r="A56" s="3"/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9"/>
      <c r="N56" s="7" t="e">
        <f t="shared" si="13"/>
        <v>#DIV/0!</v>
      </c>
      <c r="O56" s="7" t="e">
        <f t="shared" ca="1" si="14"/>
        <v>#DIV/0!</v>
      </c>
      <c r="P56" s="33">
        <f t="shared" si="15"/>
        <v>0</v>
      </c>
      <c r="Q56" s="33">
        <f t="shared" si="16"/>
        <v>0</v>
      </c>
      <c r="R56" s="7" t="e">
        <f t="shared" si="17"/>
        <v>#DIV/0!</v>
      </c>
      <c r="S5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6" s="33" t="e">
        <f t="shared" ca="1" si="19"/>
        <v>#VALUE!</v>
      </c>
      <c r="U56" s="7" t="e">
        <f t="shared" ca="1" si="20"/>
        <v>#VALUE!</v>
      </c>
      <c r="V56" s="7" t="e">
        <f t="shared" ca="1" si="21"/>
        <v>#DIV/0!</v>
      </c>
      <c r="W5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6" s="33" t="e">
        <f t="shared" ca="1" si="23"/>
        <v>#VALUE!</v>
      </c>
      <c r="Y56" s="7" t="e">
        <f t="shared" ca="1" si="24"/>
        <v>#VALUE!</v>
      </c>
      <c r="Z56" s="7" t="e">
        <f t="shared" ca="1" si="25"/>
        <v>#DIV/0!</v>
      </c>
      <c r="AA56" s="1"/>
      <c r="AB56" s="1"/>
    </row>
    <row r="57" spans="1:28" x14ac:dyDescent="0.25">
      <c r="A57" s="3"/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9"/>
      <c r="N57" s="7" t="e">
        <f t="shared" si="13"/>
        <v>#DIV/0!</v>
      </c>
      <c r="O57" s="7" t="e">
        <f t="shared" ca="1" si="14"/>
        <v>#DIV/0!</v>
      </c>
      <c r="P57" s="33">
        <f t="shared" si="15"/>
        <v>0</v>
      </c>
      <c r="Q57" s="33">
        <f t="shared" si="16"/>
        <v>0</v>
      </c>
      <c r="R57" s="7" t="e">
        <f t="shared" si="17"/>
        <v>#DIV/0!</v>
      </c>
      <c r="S5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7" s="33" t="e">
        <f t="shared" ca="1" si="19"/>
        <v>#VALUE!</v>
      </c>
      <c r="U57" s="7" t="e">
        <f t="shared" ca="1" si="20"/>
        <v>#VALUE!</v>
      </c>
      <c r="V57" s="7" t="e">
        <f t="shared" ca="1" si="21"/>
        <v>#DIV/0!</v>
      </c>
      <c r="W5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7" s="33" t="e">
        <f t="shared" ca="1" si="23"/>
        <v>#VALUE!</v>
      </c>
      <c r="Y57" s="7" t="e">
        <f t="shared" ca="1" si="24"/>
        <v>#VALUE!</v>
      </c>
      <c r="Z57" s="7" t="e">
        <f t="shared" ca="1" si="25"/>
        <v>#DIV/0!</v>
      </c>
      <c r="AA57" s="1"/>
      <c r="AB57" s="1"/>
    </row>
    <row r="58" spans="1:28" x14ac:dyDescent="0.25">
      <c r="A58" s="3"/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9"/>
      <c r="N58" s="7" t="e">
        <f t="shared" si="13"/>
        <v>#DIV/0!</v>
      </c>
      <c r="O58" s="7" t="e">
        <f t="shared" ca="1" si="14"/>
        <v>#DIV/0!</v>
      </c>
      <c r="P58" s="33">
        <f t="shared" si="15"/>
        <v>0</v>
      </c>
      <c r="Q58" s="33">
        <f t="shared" si="16"/>
        <v>0</v>
      </c>
      <c r="R58" s="7" t="e">
        <f t="shared" si="17"/>
        <v>#DIV/0!</v>
      </c>
      <c r="S58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8" s="33" t="e">
        <f t="shared" ca="1" si="19"/>
        <v>#VALUE!</v>
      </c>
      <c r="U58" s="7" t="e">
        <f t="shared" ca="1" si="20"/>
        <v>#VALUE!</v>
      </c>
      <c r="V58" s="7" t="e">
        <f t="shared" ca="1" si="21"/>
        <v>#DIV/0!</v>
      </c>
      <c r="W58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8" s="33" t="e">
        <f t="shared" ca="1" si="23"/>
        <v>#VALUE!</v>
      </c>
      <c r="Y58" s="7" t="e">
        <f t="shared" ca="1" si="24"/>
        <v>#VALUE!</v>
      </c>
      <c r="Z58" s="7" t="e">
        <f t="shared" ca="1" si="25"/>
        <v>#DIV/0!</v>
      </c>
      <c r="AA58" s="1"/>
      <c r="AB58" s="1"/>
    </row>
    <row r="59" spans="1:28" x14ac:dyDescent="0.25">
      <c r="A59" s="3"/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9"/>
      <c r="N59" s="7" t="e">
        <f t="shared" si="13"/>
        <v>#DIV/0!</v>
      </c>
      <c r="O59" s="7" t="e">
        <f t="shared" ca="1" si="14"/>
        <v>#DIV/0!</v>
      </c>
      <c r="P59" s="33">
        <f t="shared" si="15"/>
        <v>0</v>
      </c>
      <c r="Q59" s="33">
        <f t="shared" si="16"/>
        <v>0</v>
      </c>
      <c r="R59" s="7" t="e">
        <f t="shared" si="17"/>
        <v>#DIV/0!</v>
      </c>
      <c r="S59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9" s="33" t="e">
        <f t="shared" ca="1" si="19"/>
        <v>#VALUE!</v>
      </c>
      <c r="U59" s="7" t="e">
        <f t="shared" ca="1" si="20"/>
        <v>#VALUE!</v>
      </c>
      <c r="V59" s="7" t="e">
        <f t="shared" ca="1" si="21"/>
        <v>#DIV/0!</v>
      </c>
      <c r="W59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9" s="33" t="e">
        <f t="shared" ca="1" si="23"/>
        <v>#VALUE!</v>
      </c>
      <c r="Y59" s="7" t="e">
        <f t="shared" ca="1" si="24"/>
        <v>#VALUE!</v>
      </c>
      <c r="Z59" s="7" t="e">
        <f t="shared" ca="1" si="25"/>
        <v>#DIV/0!</v>
      </c>
      <c r="AA59" s="1"/>
      <c r="AB59" s="1"/>
    </row>
    <row r="60" spans="1:28" x14ac:dyDescent="0.25">
      <c r="A60" s="3"/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9"/>
      <c r="N60" s="7" t="e">
        <f t="shared" si="13"/>
        <v>#DIV/0!</v>
      </c>
      <c r="O60" s="7" t="e">
        <f t="shared" ca="1" si="14"/>
        <v>#DIV/0!</v>
      </c>
      <c r="P60" s="33">
        <f t="shared" si="15"/>
        <v>0</v>
      </c>
      <c r="Q60" s="33">
        <f t="shared" si="16"/>
        <v>0</v>
      </c>
      <c r="R60" s="7" t="e">
        <f t="shared" si="17"/>
        <v>#DIV/0!</v>
      </c>
      <c r="S60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0" s="33" t="e">
        <f t="shared" ca="1" si="19"/>
        <v>#VALUE!</v>
      </c>
      <c r="U60" s="7" t="e">
        <f t="shared" ca="1" si="20"/>
        <v>#VALUE!</v>
      </c>
      <c r="V60" s="7" t="e">
        <f t="shared" ca="1" si="21"/>
        <v>#DIV/0!</v>
      </c>
      <c r="W60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0" s="33" t="e">
        <f t="shared" ca="1" si="23"/>
        <v>#VALUE!</v>
      </c>
      <c r="Y60" s="7" t="e">
        <f t="shared" ca="1" si="24"/>
        <v>#VALUE!</v>
      </c>
      <c r="Z60" s="7" t="e">
        <f t="shared" ca="1" si="25"/>
        <v>#DIV/0!</v>
      </c>
      <c r="AA60" s="1"/>
      <c r="AB60" s="1"/>
    </row>
    <row r="61" spans="1:28" x14ac:dyDescent="0.25">
      <c r="A61" s="3"/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9"/>
      <c r="N61" s="7" t="e">
        <f t="shared" si="13"/>
        <v>#DIV/0!</v>
      </c>
      <c r="O61" s="7" t="e">
        <f t="shared" ca="1" si="14"/>
        <v>#DIV/0!</v>
      </c>
      <c r="P61" s="33">
        <f t="shared" si="15"/>
        <v>0</v>
      </c>
      <c r="Q61" s="33">
        <f t="shared" si="16"/>
        <v>0</v>
      </c>
      <c r="R61" s="7" t="e">
        <f t="shared" si="17"/>
        <v>#DIV/0!</v>
      </c>
      <c r="S61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1" s="33" t="e">
        <f t="shared" ca="1" si="19"/>
        <v>#VALUE!</v>
      </c>
      <c r="U61" s="7" t="e">
        <f t="shared" ca="1" si="20"/>
        <v>#VALUE!</v>
      </c>
      <c r="V61" s="7" t="e">
        <f t="shared" ca="1" si="21"/>
        <v>#DIV/0!</v>
      </c>
      <c r="W61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1" s="33" t="e">
        <f t="shared" ca="1" si="23"/>
        <v>#VALUE!</v>
      </c>
      <c r="Y61" s="7" t="e">
        <f t="shared" ca="1" si="24"/>
        <v>#VALUE!</v>
      </c>
      <c r="Z61" s="7" t="e">
        <f t="shared" ca="1" si="25"/>
        <v>#DIV/0!</v>
      </c>
      <c r="AA61" s="1"/>
      <c r="AB61" s="1"/>
    </row>
    <row r="62" spans="1:28" x14ac:dyDescent="0.25">
      <c r="A62" s="3"/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9"/>
      <c r="N62" s="7" t="e">
        <f t="shared" si="13"/>
        <v>#DIV/0!</v>
      </c>
      <c r="O62" s="7" t="e">
        <f t="shared" ca="1" si="14"/>
        <v>#DIV/0!</v>
      </c>
      <c r="P62" s="33">
        <f t="shared" si="15"/>
        <v>0</v>
      </c>
      <c r="Q62" s="33">
        <f t="shared" si="16"/>
        <v>0</v>
      </c>
      <c r="R62" s="7" t="e">
        <f t="shared" si="17"/>
        <v>#DIV/0!</v>
      </c>
      <c r="S62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2" s="33" t="e">
        <f t="shared" ca="1" si="19"/>
        <v>#VALUE!</v>
      </c>
      <c r="U62" s="7" t="e">
        <f t="shared" ca="1" si="20"/>
        <v>#VALUE!</v>
      </c>
      <c r="V62" s="7" t="e">
        <f t="shared" ca="1" si="21"/>
        <v>#DIV/0!</v>
      </c>
      <c r="W62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2" s="33" t="e">
        <f t="shared" ca="1" si="23"/>
        <v>#VALUE!</v>
      </c>
      <c r="Y62" s="7" t="e">
        <f t="shared" ca="1" si="24"/>
        <v>#VALUE!</v>
      </c>
      <c r="Z62" s="7" t="e">
        <f t="shared" ca="1" si="25"/>
        <v>#DIV/0!</v>
      </c>
      <c r="AA62" s="1"/>
      <c r="AB62" s="1"/>
    </row>
    <row r="63" spans="1:28" x14ac:dyDescent="0.25">
      <c r="A63" s="3"/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9"/>
      <c r="N63" s="7" t="e">
        <f t="shared" si="13"/>
        <v>#DIV/0!</v>
      </c>
      <c r="O63" s="7" t="e">
        <f t="shared" ca="1" si="14"/>
        <v>#DIV/0!</v>
      </c>
      <c r="P63" s="33">
        <f t="shared" si="15"/>
        <v>0</v>
      </c>
      <c r="Q63" s="33">
        <f t="shared" si="16"/>
        <v>0</v>
      </c>
      <c r="R63" s="7" t="e">
        <f t="shared" si="17"/>
        <v>#DIV/0!</v>
      </c>
      <c r="S63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3" s="33" t="e">
        <f t="shared" ca="1" si="19"/>
        <v>#VALUE!</v>
      </c>
      <c r="U63" s="7" t="e">
        <f t="shared" ca="1" si="20"/>
        <v>#VALUE!</v>
      </c>
      <c r="V63" s="7" t="e">
        <f t="shared" ca="1" si="21"/>
        <v>#DIV/0!</v>
      </c>
      <c r="W63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3" s="33" t="e">
        <f t="shared" ca="1" si="23"/>
        <v>#VALUE!</v>
      </c>
      <c r="Y63" s="7" t="e">
        <f t="shared" ca="1" si="24"/>
        <v>#VALUE!</v>
      </c>
      <c r="Z63" s="7" t="e">
        <f t="shared" ca="1" si="25"/>
        <v>#DIV/0!</v>
      </c>
      <c r="AA63" s="1"/>
      <c r="AB63" s="1"/>
    </row>
    <row r="64" spans="1:28" x14ac:dyDescent="0.25">
      <c r="A64" s="3"/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9"/>
      <c r="N64" s="7" t="e">
        <f t="shared" si="13"/>
        <v>#DIV/0!</v>
      </c>
      <c r="O64" s="7" t="e">
        <f t="shared" ca="1" si="14"/>
        <v>#DIV/0!</v>
      </c>
      <c r="P64" s="33">
        <f t="shared" si="15"/>
        <v>0</v>
      </c>
      <c r="Q64" s="33">
        <f t="shared" si="16"/>
        <v>0</v>
      </c>
      <c r="R64" s="7" t="e">
        <f t="shared" si="17"/>
        <v>#DIV/0!</v>
      </c>
      <c r="S6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4" s="33" t="e">
        <f t="shared" ca="1" si="19"/>
        <v>#VALUE!</v>
      </c>
      <c r="U64" s="7" t="e">
        <f t="shared" ca="1" si="20"/>
        <v>#VALUE!</v>
      </c>
      <c r="V64" s="7" t="e">
        <f t="shared" ca="1" si="21"/>
        <v>#DIV/0!</v>
      </c>
      <c r="W6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4" s="33" t="e">
        <f t="shared" ca="1" si="23"/>
        <v>#VALUE!</v>
      </c>
      <c r="Y64" s="7" t="e">
        <f t="shared" ca="1" si="24"/>
        <v>#VALUE!</v>
      </c>
      <c r="Z64" s="7" t="e">
        <f t="shared" ca="1" si="25"/>
        <v>#DIV/0!</v>
      </c>
      <c r="AA64" s="1"/>
      <c r="AB64" s="1"/>
    </row>
    <row r="65" spans="1:28" x14ac:dyDescent="0.25">
      <c r="A65" s="3"/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9"/>
      <c r="N65" s="7" t="e">
        <f t="shared" si="13"/>
        <v>#DIV/0!</v>
      </c>
      <c r="O65" s="7" t="e">
        <f t="shared" ca="1" si="14"/>
        <v>#DIV/0!</v>
      </c>
      <c r="P65" s="33">
        <f t="shared" si="15"/>
        <v>0</v>
      </c>
      <c r="Q65" s="33">
        <f t="shared" si="16"/>
        <v>0</v>
      </c>
      <c r="R65" s="7" t="e">
        <f t="shared" si="17"/>
        <v>#DIV/0!</v>
      </c>
      <c r="S6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5" s="33" t="e">
        <f t="shared" ca="1" si="19"/>
        <v>#VALUE!</v>
      </c>
      <c r="U65" s="7" t="e">
        <f t="shared" ca="1" si="20"/>
        <v>#VALUE!</v>
      </c>
      <c r="V65" s="7" t="e">
        <f t="shared" ca="1" si="21"/>
        <v>#DIV/0!</v>
      </c>
      <c r="W6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5" s="33" t="e">
        <f t="shared" ca="1" si="23"/>
        <v>#VALUE!</v>
      </c>
      <c r="Y65" s="7" t="e">
        <f t="shared" ca="1" si="24"/>
        <v>#VALUE!</v>
      </c>
      <c r="Z65" s="7" t="e">
        <f t="shared" ca="1" si="25"/>
        <v>#DIV/0!</v>
      </c>
      <c r="AA65" s="1"/>
      <c r="AB65" s="1"/>
    </row>
    <row r="66" spans="1:28" x14ac:dyDescent="0.25">
      <c r="A66" s="3"/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9"/>
      <c r="N66" s="7" t="e">
        <f t="shared" si="13"/>
        <v>#DIV/0!</v>
      </c>
      <c r="O66" s="7" t="e">
        <f t="shared" ca="1" si="14"/>
        <v>#DIV/0!</v>
      </c>
      <c r="P66" s="33">
        <f t="shared" si="15"/>
        <v>0</v>
      </c>
      <c r="Q66" s="33">
        <f t="shared" si="16"/>
        <v>0</v>
      </c>
      <c r="R66" s="7" t="e">
        <f t="shared" si="17"/>
        <v>#DIV/0!</v>
      </c>
      <c r="S6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6" s="33" t="e">
        <f t="shared" ca="1" si="19"/>
        <v>#VALUE!</v>
      </c>
      <c r="U66" s="7" t="e">
        <f t="shared" ca="1" si="20"/>
        <v>#VALUE!</v>
      </c>
      <c r="V66" s="7" t="e">
        <f t="shared" ca="1" si="21"/>
        <v>#DIV/0!</v>
      </c>
      <c r="W6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6" s="33" t="e">
        <f t="shared" ca="1" si="23"/>
        <v>#VALUE!</v>
      </c>
      <c r="Y66" s="7" t="e">
        <f t="shared" ca="1" si="24"/>
        <v>#VALUE!</v>
      </c>
      <c r="Z66" s="7" t="e">
        <f t="shared" ca="1" si="25"/>
        <v>#DIV/0!</v>
      </c>
      <c r="AA66" s="1"/>
      <c r="AB66" s="1"/>
    </row>
    <row r="67" spans="1:28" x14ac:dyDescent="0.25">
      <c r="A67" s="3"/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9"/>
      <c r="N67" s="7" t="e">
        <f t="shared" si="13"/>
        <v>#DIV/0!</v>
      </c>
      <c r="O67" s="7" t="e">
        <f t="shared" ca="1" si="14"/>
        <v>#DIV/0!</v>
      </c>
      <c r="P67" s="33">
        <f t="shared" si="15"/>
        <v>0</v>
      </c>
      <c r="Q67" s="33">
        <f t="shared" si="16"/>
        <v>0</v>
      </c>
      <c r="R67" s="7" t="e">
        <f t="shared" si="17"/>
        <v>#DIV/0!</v>
      </c>
      <c r="S6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7" s="33" t="e">
        <f t="shared" ca="1" si="19"/>
        <v>#VALUE!</v>
      </c>
      <c r="U67" s="7" t="e">
        <f t="shared" ca="1" si="20"/>
        <v>#VALUE!</v>
      </c>
      <c r="V67" s="7" t="e">
        <f t="shared" ca="1" si="21"/>
        <v>#DIV/0!</v>
      </c>
      <c r="W6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7" s="33" t="e">
        <f t="shared" ca="1" si="23"/>
        <v>#VALUE!</v>
      </c>
      <c r="Y67" s="7" t="e">
        <f t="shared" ca="1" si="24"/>
        <v>#VALUE!</v>
      </c>
      <c r="Z67" s="7" t="e">
        <f t="shared" ca="1" si="25"/>
        <v>#DIV/0!</v>
      </c>
      <c r="AA67" s="1"/>
      <c r="AB67" s="1"/>
    </row>
    <row r="68" spans="1:28" x14ac:dyDescent="0.25">
      <c r="A68" s="3"/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9"/>
      <c r="N68" s="7" t="e">
        <f t="shared" ref="N68:N77" si="26">$G68/$D68</f>
        <v>#DIV/0!</v>
      </c>
      <c r="O68" s="7" t="e">
        <f t="shared" ref="O68:O77" ca="1" si="27">N68/($B68-TODAY())</f>
        <v>#DIV/0!</v>
      </c>
      <c r="P68" s="33">
        <f t="shared" ref="P68:P77" si="28">$E68*$D68</f>
        <v>0</v>
      </c>
      <c r="Q68" s="33">
        <f t="shared" ref="Q68:Q77" si="29">($G68+$F68-$D68)*$E68</f>
        <v>0</v>
      </c>
      <c r="R68" s="7" t="e">
        <f t="shared" ref="R68:R77" si="30">$Q68/$P68</f>
        <v>#DIV/0!</v>
      </c>
      <c r="S68" s="7" t="str">
        <f t="shared" ref="S68:S77" ca="1" si="31">mrigxl_max_drawdown($C68,INT($B68-TODAY()))</f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8" s="33" t="e">
        <f t="shared" ref="T68:T77" ca="1" si="32">(S68*$D68+$G68)*$E68</f>
        <v>#VALUE!</v>
      </c>
      <c r="U68" s="7" t="e">
        <f t="shared" ref="U68:U77" ca="1" si="33">T68/$P68</f>
        <v>#VALUE!</v>
      </c>
      <c r="V68" s="7" t="e">
        <f t="shared" ref="V68:V77" ca="1" si="34">$R68+U68</f>
        <v>#DIV/0!</v>
      </c>
      <c r="W68" s="7" t="str">
        <f t="shared" ref="W68:W77" ca="1" si="35">mrigxl_avg_drawdown($C68,INT($B68-TODAY()))</f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8" s="33" t="e">
        <f t="shared" ref="X68:X77" ca="1" si="36">(W68*$D68+$G68)*$E68</f>
        <v>#VALUE!</v>
      </c>
      <c r="Y68" s="7" t="e">
        <f t="shared" ref="Y68:Y77" ca="1" si="37">X68/$P68</f>
        <v>#VALUE!</v>
      </c>
      <c r="Z68" s="7" t="e">
        <f t="shared" ref="Z68:Z77" ca="1" si="38">$R68+Y68</f>
        <v>#DIV/0!</v>
      </c>
      <c r="AA68" s="1"/>
      <c r="AB68" s="1"/>
    </row>
    <row r="69" spans="1:28" x14ac:dyDescent="0.25">
      <c r="A69" s="3"/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9"/>
      <c r="N69" s="7" t="e">
        <f t="shared" si="26"/>
        <v>#DIV/0!</v>
      </c>
      <c r="O69" s="7" t="e">
        <f t="shared" ca="1" si="27"/>
        <v>#DIV/0!</v>
      </c>
      <c r="P69" s="33">
        <f t="shared" si="28"/>
        <v>0</v>
      </c>
      <c r="Q69" s="33">
        <f t="shared" si="29"/>
        <v>0</v>
      </c>
      <c r="R69" s="7" t="e">
        <f t="shared" si="30"/>
        <v>#DIV/0!</v>
      </c>
      <c r="S69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9" s="33" t="e">
        <f t="shared" ca="1" si="32"/>
        <v>#VALUE!</v>
      </c>
      <c r="U69" s="7" t="e">
        <f t="shared" ca="1" si="33"/>
        <v>#VALUE!</v>
      </c>
      <c r="V69" s="7" t="e">
        <f t="shared" ca="1" si="34"/>
        <v>#DIV/0!</v>
      </c>
      <c r="W69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9" s="33" t="e">
        <f t="shared" ca="1" si="36"/>
        <v>#VALUE!</v>
      </c>
      <c r="Y69" s="7" t="e">
        <f t="shared" ca="1" si="37"/>
        <v>#VALUE!</v>
      </c>
      <c r="Z69" s="7" t="e">
        <f t="shared" ca="1" si="38"/>
        <v>#DIV/0!</v>
      </c>
      <c r="AA69" s="1"/>
      <c r="AB69" s="1"/>
    </row>
    <row r="70" spans="1:28" x14ac:dyDescent="0.25">
      <c r="A70" s="3"/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9"/>
      <c r="N70" s="7" t="e">
        <f t="shared" si="26"/>
        <v>#DIV/0!</v>
      </c>
      <c r="O70" s="7" t="e">
        <f t="shared" ca="1" si="27"/>
        <v>#DIV/0!</v>
      </c>
      <c r="P70" s="33">
        <f t="shared" si="28"/>
        <v>0</v>
      </c>
      <c r="Q70" s="33">
        <f t="shared" si="29"/>
        <v>0</v>
      </c>
      <c r="R70" s="7" t="e">
        <f t="shared" si="30"/>
        <v>#DIV/0!</v>
      </c>
      <c r="S70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0" s="33" t="e">
        <f t="shared" ca="1" si="32"/>
        <v>#VALUE!</v>
      </c>
      <c r="U70" s="7" t="e">
        <f t="shared" ca="1" si="33"/>
        <v>#VALUE!</v>
      </c>
      <c r="V70" s="7" t="e">
        <f t="shared" ca="1" si="34"/>
        <v>#DIV/0!</v>
      </c>
      <c r="W70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0" s="33" t="e">
        <f t="shared" ca="1" si="36"/>
        <v>#VALUE!</v>
      </c>
      <c r="Y70" s="7" t="e">
        <f t="shared" ca="1" si="37"/>
        <v>#VALUE!</v>
      </c>
      <c r="Z70" s="7" t="e">
        <f t="shared" ca="1" si="38"/>
        <v>#DIV/0!</v>
      </c>
      <c r="AA70" s="1"/>
      <c r="AB70" s="1"/>
    </row>
    <row r="71" spans="1:28" x14ac:dyDescent="0.25">
      <c r="A71" s="3"/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9"/>
      <c r="N71" s="7" t="e">
        <f t="shared" si="26"/>
        <v>#DIV/0!</v>
      </c>
      <c r="O71" s="7" t="e">
        <f t="shared" ca="1" si="27"/>
        <v>#DIV/0!</v>
      </c>
      <c r="P71" s="33">
        <f t="shared" si="28"/>
        <v>0</v>
      </c>
      <c r="Q71" s="33">
        <f t="shared" si="29"/>
        <v>0</v>
      </c>
      <c r="R71" s="7" t="e">
        <f t="shared" si="30"/>
        <v>#DIV/0!</v>
      </c>
      <c r="S71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1" s="33" t="e">
        <f t="shared" ca="1" si="32"/>
        <v>#VALUE!</v>
      </c>
      <c r="U71" s="7" t="e">
        <f t="shared" ca="1" si="33"/>
        <v>#VALUE!</v>
      </c>
      <c r="V71" s="7" t="e">
        <f t="shared" ca="1" si="34"/>
        <v>#DIV/0!</v>
      </c>
      <c r="W71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1" s="33" t="e">
        <f t="shared" ca="1" si="36"/>
        <v>#VALUE!</v>
      </c>
      <c r="Y71" s="7" t="e">
        <f t="shared" ca="1" si="37"/>
        <v>#VALUE!</v>
      </c>
      <c r="Z71" s="7" t="e">
        <f t="shared" ca="1" si="38"/>
        <v>#DIV/0!</v>
      </c>
      <c r="AA71" s="1"/>
      <c r="AB71" s="1"/>
    </row>
    <row r="72" spans="1:28" x14ac:dyDescent="0.25">
      <c r="A72" s="3"/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9"/>
      <c r="N72" s="7" t="e">
        <f t="shared" si="26"/>
        <v>#DIV/0!</v>
      </c>
      <c r="O72" s="7" t="e">
        <f t="shared" ca="1" si="27"/>
        <v>#DIV/0!</v>
      </c>
      <c r="P72" s="33">
        <f t="shared" si="28"/>
        <v>0</v>
      </c>
      <c r="Q72" s="33">
        <f t="shared" si="29"/>
        <v>0</v>
      </c>
      <c r="R72" s="7" t="e">
        <f t="shared" si="30"/>
        <v>#DIV/0!</v>
      </c>
      <c r="S72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2" s="33" t="e">
        <f t="shared" ca="1" si="32"/>
        <v>#VALUE!</v>
      </c>
      <c r="U72" s="7" t="e">
        <f t="shared" ca="1" si="33"/>
        <v>#VALUE!</v>
      </c>
      <c r="V72" s="7" t="e">
        <f t="shared" ca="1" si="34"/>
        <v>#DIV/0!</v>
      </c>
      <c r="W72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2" s="33" t="e">
        <f t="shared" ca="1" si="36"/>
        <v>#VALUE!</v>
      </c>
      <c r="Y72" s="7" t="e">
        <f t="shared" ca="1" si="37"/>
        <v>#VALUE!</v>
      </c>
      <c r="Z72" s="7" t="e">
        <f t="shared" ca="1" si="38"/>
        <v>#DIV/0!</v>
      </c>
      <c r="AA72" s="1"/>
      <c r="AB72" s="1"/>
    </row>
    <row r="73" spans="1:28" x14ac:dyDescent="0.25">
      <c r="A73" s="3"/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9"/>
      <c r="N73" s="7" t="e">
        <f t="shared" si="26"/>
        <v>#DIV/0!</v>
      </c>
      <c r="O73" s="7" t="e">
        <f t="shared" ca="1" si="27"/>
        <v>#DIV/0!</v>
      </c>
      <c r="P73" s="33">
        <f t="shared" si="28"/>
        <v>0</v>
      </c>
      <c r="Q73" s="33">
        <f t="shared" si="29"/>
        <v>0</v>
      </c>
      <c r="R73" s="7" t="e">
        <f t="shared" si="30"/>
        <v>#DIV/0!</v>
      </c>
      <c r="S73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3" s="33" t="e">
        <f t="shared" ca="1" si="32"/>
        <v>#VALUE!</v>
      </c>
      <c r="U73" s="7" t="e">
        <f t="shared" ca="1" si="33"/>
        <v>#VALUE!</v>
      </c>
      <c r="V73" s="7" t="e">
        <f t="shared" ca="1" si="34"/>
        <v>#DIV/0!</v>
      </c>
      <c r="W73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3" s="33" t="e">
        <f t="shared" ca="1" si="36"/>
        <v>#VALUE!</v>
      </c>
      <c r="Y73" s="7" t="e">
        <f t="shared" ca="1" si="37"/>
        <v>#VALUE!</v>
      </c>
      <c r="Z73" s="7" t="e">
        <f t="shared" ca="1" si="38"/>
        <v>#DIV/0!</v>
      </c>
      <c r="AA73" s="1"/>
      <c r="AB73" s="1"/>
    </row>
    <row r="74" spans="1:28" x14ac:dyDescent="0.25">
      <c r="A74" s="3"/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9"/>
      <c r="N74" s="7" t="e">
        <f t="shared" si="26"/>
        <v>#DIV/0!</v>
      </c>
      <c r="O74" s="7" t="e">
        <f t="shared" ca="1" si="27"/>
        <v>#DIV/0!</v>
      </c>
      <c r="P74" s="33">
        <f t="shared" si="28"/>
        <v>0</v>
      </c>
      <c r="Q74" s="33">
        <f t="shared" si="29"/>
        <v>0</v>
      </c>
      <c r="R74" s="7" t="e">
        <f t="shared" si="30"/>
        <v>#DIV/0!</v>
      </c>
      <c r="S74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4" s="33" t="e">
        <f t="shared" ca="1" si="32"/>
        <v>#VALUE!</v>
      </c>
      <c r="U74" s="7" t="e">
        <f t="shared" ca="1" si="33"/>
        <v>#VALUE!</v>
      </c>
      <c r="V74" s="7" t="e">
        <f t="shared" ca="1" si="34"/>
        <v>#DIV/0!</v>
      </c>
      <c r="W74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4" s="33" t="e">
        <f t="shared" ca="1" si="36"/>
        <v>#VALUE!</v>
      </c>
      <c r="Y74" s="7" t="e">
        <f t="shared" ca="1" si="37"/>
        <v>#VALUE!</v>
      </c>
      <c r="Z74" s="7" t="e">
        <f t="shared" ca="1" si="38"/>
        <v>#DIV/0!</v>
      </c>
      <c r="AA74" s="1"/>
      <c r="AB74" s="1"/>
    </row>
    <row r="75" spans="1:28" x14ac:dyDescent="0.25">
      <c r="A75" s="3"/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9"/>
      <c r="N75" s="7" t="e">
        <f t="shared" si="26"/>
        <v>#DIV/0!</v>
      </c>
      <c r="O75" s="7" t="e">
        <f t="shared" ca="1" si="27"/>
        <v>#DIV/0!</v>
      </c>
      <c r="P75" s="33">
        <f t="shared" si="28"/>
        <v>0</v>
      </c>
      <c r="Q75" s="33">
        <f t="shared" si="29"/>
        <v>0</v>
      </c>
      <c r="R75" s="7" t="e">
        <f t="shared" si="30"/>
        <v>#DIV/0!</v>
      </c>
      <c r="S75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5" s="33" t="e">
        <f t="shared" ca="1" si="32"/>
        <v>#VALUE!</v>
      </c>
      <c r="U75" s="7" t="e">
        <f t="shared" ca="1" si="33"/>
        <v>#VALUE!</v>
      </c>
      <c r="V75" s="7" t="e">
        <f t="shared" ca="1" si="34"/>
        <v>#DIV/0!</v>
      </c>
      <c r="W75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5" s="33" t="e">
        <f t="shared" ca="1" si="36"/>
        <v>#VALUE!</v>
      </c>
      <c r="Y75" s="7" t="e">
        <f t="shared" ca="1" si="37"/>
        <v>#VALUE!</v>
      </c>
      <c r="Z75" s="7" t="e">
        <f t="shared" ca="1" si="38"/>
        <v>#DIV/0!</v>
      </c>
      <c r="AA75" s="1"/>
      <c r="AB75" s="1"/>
    </row>
    <row r="76" spans="1:28" x14ac:dyDescent="0.25">
      <c r="A76" s="3"/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9"/>
      <c r="N76" s="7" t="e">
        <f t="shared" si="26"/>
        <v>#DIV/0!</v>
      </c>
      <c r="O76" s="7" t="e">
        <f t="shared" ca="1" si="27"/>
        <v>#DIV/0!</v>
      </c>
      <c r="P76" s="33">
        <f t="shared" si="28"/>
        <v>0</v>
      </c>
      <c r="Q76" s="33">
        <f t="shared" si="29"/>
        <v>0</v>
      </c>
      <c r="R76" s="7" t="e">
        <f t="shared" si="30"/>
        <v>#DIV/0!</v>
      </c>
      <c r="S76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6" s="33" t="e">
        <f t="shared" ca="1" si="32"/>
        <v>#VALUE!</v>
      </c>
      <c r="U76" s="7" t="e">
        <f t="shared" ca="1" si="33"/>
        <v>#VALUE!</v>
      </c>
      <c r="V76" s="7" t="e">
        <f t="shared" ca="1" si="34"/>
        <v>#DIV/0!</v>
      </c>
      <c r="W76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6" s="33" t="e">
        <f t="shared" ca="1" si="36"/>
        <v>#VALUE!</v>
      </c>
      <c r="Y76" s="7" t="e">
        <f t="shared" ca="1" si="37"/>
        <v>#VALUE!</v>
      </c>
      <c r="Z76" s="7" t="e">
        <f t="shared" ca="1" si="38"/>
        <v>#DIV/0!</v>
      </c>
      <c r="AA76" s="1"/>
      <c r="AB76" s="1"/>
    </row>
    <row r="77" spans="1:28" x14ac:dyDescent="0.25">
      <c r="A77" s="3"/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9"/>
      <c r="N77" s="7" t="e">
        <f t="shared" si="26"/>
        <v>#DIV/0!</v>
      </c>
      <c r="O77" s="7" t="e">
        <f t="shared" ca="1" si="27"/>
        <v>#DIV/0!</v>
      </c>
      <c r="P77" s="33">
        <f t="shared" si="28"/>
        <v>0</v>
      </c>
      <c r="Q77" s="33">
        <f t="shared" si="29"/>
        <v>0</v>
      </c>
      <c r="R77" s="7" t="e">
        <f t="shared" si="30"/>
        <v>#DIV/0!</v>
      </c>
      <c r="S77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7" s="33" t="e">
        <f t="shared" ca="1" si="32"/>
        <v>#VALUE!</v>
      </c>
      <c r="U77" s="7" t="e">
        <f t="shared" ca="1" si="33"/>
        <v>#VALUE!</v>
      </c>
      <c r="V77" s="7" t="e">
        <f t="shared" ca="1" si="34"/>
        <v>#DIV/0!</v>
      </c>
      <c r="W77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7" s="33" t="e">
        <f t="shared" ca="1" si="36"/>
        <v>#VALUE!</v>
      </c>
      <c r="Y77" s="7" t="e">
        <f t="shared" ca="1" si="37"/>
        <v>#VALUE!</v>
      </c>
      <c r="Z77" s="7" t="e">
        <f t="shared" ca="1" si="38"/>
        <v>#DIV/0!</v>
      </c>
      <c r="AA77" s="1"/>
      <c r="AB77" s="1"/>
    </row>
    <row r="78" spans="1:28" x14ac:dyDescent="0.25">
      <c r="A78" s="3"/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9"/>
      <c r="N78" s="7"/>
      <c r="O78" s="7"/>
      <c r="P78" s="33"/>
      <c r="Q78" s="33"/>
      <c r="R78" s="7"/>
      <c r="S78" s="7"/>
      <c r="T78" s="33"/>
      <c r="U78" s="7"/>
      <c r="V78" s="7"/>
      <c r="W78" s="7"/>
      <c r="X78" s="33"/>
      <c r="Y78" s="7"/>
      <c r="Z78" s="7"/>
      <c r="AA78" s="1"/>
      <c r="AB78" s="1"/>
    </row>
    <row r="79" spans="1:28" x14ac:dyDescent="0.25">
      <c r="A79" s="3"/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9"/>
      <c r="N79" s="7"/>
      <c r="O79" s="7"/>
      <c r="P79" s="33"/>
      <c r="Q79" s="33"/>
      <c r="R79" s="7"/>
      <c r="S79" s="7"/>
      <c r="T79" s="33"/>
      <c r="U79" s="7"/>
      <c r="V79" s="7"/>
      <c r="W79" s="7"/>
      <c r="X79" s="33"/>
      <c r="Y79" s="7"/>
      <c r="Z79" s="7"/>
      <c r="AA79" s="1"/>
      <c r="AB79" s="1"/>
    </row>
    <row r="80" spans="1:28" x14ac:dyDescent="0.25">
      <c r="A80" s="3"/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9"/>
      <c r="N80" s="7"/>
      <c r="O80" s="7"/>
      <c r="P80" s="33"/>
      <c r="Q80" s="33"/>
      <c r="R80" s="7"/>
      <c r="S80" s="7"/>
      <c r="T80" s="33"/>
      <c r="U80" s="7"/>
      <c r="V80" s="7"/>
      <c r="W80" s="7"/>
      <c r="X80" s="33"/>
      <c r="Y80" s="7"/>
      <c r="Z80" s="7"/>
      <c r="AA80" s="1"/>
      <c r="AB80" s="1"/>
    </row>
    <row r="81" spans="1:28" x14ac:dyDescent="0.25">
      <c r="A81" s="3"/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9"/>
      <c r="N81" s="7"/>
      <c r="O81" s="7"/>
      <c r="P81" s="33"/>
      <c r="Q81" s="33"/>
      <c r="R81" s="7"/>
      <c r="S81" s="7"/>
      <c r="T81" s="33"/>
      <c r="U81" s="7"/>
      <c r="V81" s="7"/>
      <c r="W81" s="7"/>
      <c r="X81" s="33"/>
      <c r="Y81" s="7"/>
      <c r="Z81" s="7"/>
      <c r="AA81" s="1"/>
      <c r="AB81" s="1"/>
    </row>
    <row r="82" spans="1:28" x14ac:dyDescent="0.25">
      <c r="A82" s="3"/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7"/>
      <c r="N82" s="7"/>
      <c r="O82" s="7"/>
      <c r="P82" s="33"/>
      <c r="Q82" s="33"/>
      <c r="R82" s="7"/>
      <c r="S82" s="7"/>
      <c r="T82" s="33"/>
      <c r="U82" s="7"/>
      <c r="V82" s="7"/>
      <c r="W82" s="7"/>
      <c r="X82" s="33"/>
      <c r="Y82" s="7"/>
      <c r="Z82" s="7"/>
      <c r="AA82" s="1"/>
      <c r="AB82" s="1"/>
    </row>
    <row r="83" spans="1:28" x14ac:dyDescent="0.25">
      <c r="A83" s="3"/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9"/>
      <c r="N83" s="7"/>
      <c r="O83" s="7"/>
      <c r="P83" s="33"/>
      <c r="Q83" s="33"/>
      <c r="R83" s="7"/>
      <c r="S83" s="7"/>
      <c r="T83" s="33"/>
      <c r="U83" s="7"/>
      <c r="V83" s="7"/>
      <c r="W83" s="7"/>
      <c r="X83" s="33"/>
      <c r="Y83" s="7"/>
      <c r="Z83" s="7"/>
      <c r="AA83" s="1"/>
      <c r="AB83" s="1"/>
    </row>
    <row r="84" spans="1:28" x14ac:dyDescent="0.25">
      <c r="A84" s="3"/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9"/>
      <c r="N84" s="7"/>
      <c r="O84" s="7"/>
      <c r="P84" s="33"/>
      <c r="Q84" s="33"/>
      <c r="R84" s="7"/>
      <c r="S84" s="7"/>
      <c r="T84" s="33"/>
      <c r="U84" s="7"/>
      <c r="V84" s="7"/>
      <c r="W84" s="7"/>
      <c r="X84" s="33"/>
      <c r="Y84" s="7"/>
      <c r="Z84" s="7"/>
      <c r="AA84" s="1"/>
      <c r="AB84" s="1"/>
    </row>
    <row r="85" spans="1:28" x14ac:dyDescent="0.25">
      <c r="A85" s="3"/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9"/>
      <c r="N85" s="7"/>
      <c r="O85" s="7"/>
      <c r="P85" s="33"/>
      <c r="Q85" s="33"/>
      <c r="R85" s="7"/>
      <c r="S85" s="7"/>
      <c r="T85" s="33"/>
      <c r="U85" s="7"/>
      <c r="V85" s="7"/>
      <c r="W85" s="7"/>
      <c r="X85" s="33"/>
      <c r="Y85" s="7"/>
      <c r="Z85" s="7"/>
      <c r="AA85" s="1"/>
      <c r="AB85" s="1"/>
    </row>
    <row r="86" spans="1:28" x14ac:dyDescent="0.25">
      <c r="A86" s="3"/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9"/>
      <c r="N86" s="7"/>
      <c r="O86" s="7"/>
      <c r="P86" s="33"/>
      <c r="Q86" s="33"/>
      <c r="R86" s="7"/>
      <c r="S86" s="7"/>
      <c r="T86" s="33"/>
      <c r="U86" s="7"/>
      <c r="V86" s="7"/>
      <c r="W86" s="7"/>
      <c r="X86" s="33"/>
      <c r="Y86" s="7"/>
      <c r="Z86" s="7"/>
      <c r="AA86" s="1"/>
      <c r="AB86" s="1"/>
    </row>
    <row r="87" spans="1:28" x14ac:dyDescent="0.25">
      <c r="A87" s="3"/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9"/>
      <c r="N87" s="7"/>
      <c r="O87" s="7"/>
      <c r="P87" s="33"/>
      <c r="Q87" s="33"/>
      <c r="R87" s="7"/>
      <c r="S87" s="7"/>
      <c r="T87" s="33"/>
      <c r="U87" s="7"/>
      <c r="V87" s="7"/>
      <c r="W87" s="7"/>
      <c r="X87" s="33"/>
      <c r="Y87" s="7"/>
      <c r="Z87" s="7"/>
      <c r="AA87" s="1"/>
      <c r="AB87" s="1"/>
    </row>
    <row r="88" spans="1:28" x14ac:dyDescent="0.25">
      <c r="A88" s="3"/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9"/>
      <c r="N88" s="7"/>
      <c r="O88" s="7"/>
      <c r="P88" s="33"/>
      <c r="Q88" s="33"/>
      <c r="R88" s="7"/>
      <c r="S88" s="7"/>
      <c r="T88" s="33"/>
      <c r="U88" s="7"/>
      <c r="V88" s="7"/>
      <c r="W88" s="7"/>
      <c r="X88" s="33"/>
      <c r="Y88" s="7"/>
      <c r="Z88" s="7"/>
      <c r="AA88" s="1"/>
      <c r="AB88" s="1"/>
    </row>
    <row r="89" spans="1:28" x14ac:dyDescent="0.25">
      <c r="A89" s="3"/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9"/>
      <c r="N89" s="7"/>
      <c r="O89" s="7"/>
      <c r="P89" s="33"/>
      <c r="Q89" s="33"/>
      <c r="R89" s="7"/>
      <c r="S89" s="7"/>
      <c r="T89" s="33"/>
      <c r="U89" s="7"/>
      <c r="V89" s="7"/>
      <c r="W89" s="7"/>
      <c r="X89" s="33"/>
      <c r="Y89" s="7"/>
      <c r="Z89" s="7"/>
      <c r="AA89" s="1"/>
      <c r="AB89" s="1"/>
    </row>
    <row r="90" spans="1:28" x14ac:dyDescent="0.25">
      <c r="A90" s="3"/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9"/>
      <c r="N90" s="7"/>
      <c r="O90" s="7"/>
      <c r="P90" s="33"/>
      <c r="Q90" s="33"/>
      <c r="R90" s="7"/>
      <c r="S90" s="7"/>
      <c r="T90" s="33"/>
      <c r="U90" s="7"/>
      <c r="V90" s="7"/>
      <c r="W90" s="7"/>
      <c r="X90" s="33"/>
      <c r="Y90" s="7"/>
      <c r="Z90" s="7"/>
      <c r="AA90" s="1"/>
      <c r="AB90" s="1"/>
    </row>
    <row r="91" spans="1:28" x14ac:dyDescent="0.25">
      <c r="A91" s="3"/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9"/>
      <c r="N91" s="7"/>
      <c r="O91" s="7"/>
      <c r="P91" s="33"/>
      <c r="Q91" s="33"/>
      <c r="R91" s="7"/>
      <c r="S91" s="7"/>
      <c r="T91" s="33"/>
      <c r="U91" s="7"/>
      <c r="V91" s="7"/>
      <c r="W91" s="7"/>
      <c r="X91" s="33"/>
      <c r="Y91" s="7"/>
      <c r="Z91" s="7"/>
      <c r="AA91" s="1"/>
      <c r="AB91" s="1"/>
    </row>
    <row r="92" spans="1:28" x14ac:dyDescent="0.25">
      <c r="A92" s="3"/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9"/>
      <c r="N92" s="7"/>
      <c r="O92" s="7"/>
      <c r="P92" s="33"/>
      <c r="Q92" s="33"/>
      <c r="R92" s="7"/>
      <c r="S92" s="7"/>
      <c r="T92" s="33"/>
      <c r="U92" s="7"/>
      <c r="V92" s="7"/>
      <c r="W92" s="7"/>
      <c r="X92" s="33"/>
      <c r="Y92" s="7"/>
      <c r="Z92" s="7"/>
      <c r="AA92" s="1"/>
      <c r="AB92" s="1"/>
    </row>
    <row r="93" spans="1:28" x14ac:dyDescent="0.25">
      <c r="A93" s="3"/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9"/>
      <c r="N93" s="7"/>
      <c r="O93" s="7"/>
      <c r="P93" s="33"/>
      <c r="Q93" s="33"/>
      <c r="R93" s="7"/>
      <c r="S93" s="7"/>
      <c r="T93" s="33"/>
      <c r="U93" s="7"/>
      <c r="V93" s="7"/>
      <c r="W93" s="7"/>
      <c r="X93" s="33"/>
      <c r="Y93" s="7"/>
      <c r="Z93" s="7"/>
      <c r="AA93" s="1"/>
      <c r="AB93" s="1"/>
    </row>
    <row r="94" spans="1:28" x14ac:dyDescent="0.25">
      <c r="A94" s="3"/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9"/>
      <c r="N94" s="7"/>
      <c r="O94" s="7"/>
      <c r="P94" s="33"/>
      <c r="Q94" s="33"/>
      <c r="R94" s="7"/>
      <c r="S94" s="7"/>
      <c r="T94" s="33"/>
      <c r="U94" s="7"/>
      <c r="V94" s="7"/>
      <c r="W94" s="7"/>
      <c r="X94" s="33"/>
      <c r="Y94" s="7"/>
      <c r="Z94" s="7"/>
      <c r="AA94" s="1"/>
      <c r="AB94" s="1"/>
    </row>
    <row r="95" spans="1:28" x14ac:dyDescent="0.25">
      <c r="A95" s="3"/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9"/>
      <c r="N95" s="7"/>
      <c r="O95" s="7"/>
      <c r="P95" s="33"/>
      <c r="Q95" s="33"/>
      <c r="R95" s="7"/>
      <c r="S95" s="7"/>
      <c r="T95" s="33"/>
      <c r="U95" s="7"/>
      <c r="V95" s="7"/>
      <c r="W95" s="7"/>
      <c r="X95" s="33"/>
      <c r="Y95" s="7"/>
      <c r="Z95" s="7"/>
      <c r="AA95" s="1"/>
      <c r="AB95" s="1"/>
    </row>
    <row r="96" spans="1:28" x14ac:dyDescent="0.25">
      <c r="A96" s="3"/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9"/>
      <c r="N96" s="7"/>
      <c r="O96" s="7"/>
      <c r="P96" s="33"/>
      <c r="Q96" s="33"/>
      <c r="R96" s="7"/>
      <c r="S96" s="7"/>
      <c r="T96" s="33"/>
      <c r="U96" s="7"/>
      <c r="V96" s="7"/>
      <c r="W96" s="7"/>
      <c r="X96" s="33"/>
      <c r="Y96" s="7"/>
      <c r="Z96" s="7"/>
      <c r="AA96" s="1"/>
      <c r="AB96" s="1"/>
    </row>
    <row r="97" spans="1:28" x14ac:dyDescent="0.25">
      <c r="A97" s="3"/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9"/>
      <c r="N97" s="7"/>
      <c r="O97" s="7"/>
      <c r="P97" s="33"/>
      <c r="Q97" s="33"/>
      <c r="R97" s="7"/>
      <c r="S97" s="7"/>
      <c r="T97" s="33"/>
      <c r="U97" s="7"/>
      <c r="V97" s="7"/>
      <c r="W97" s="7"/>
      <c r="X97" s="33"/>
      <c r="Y97" s="7"/>
      <c r="Z97" s="7"/>
      <c r="AA97" s="1"/>
      <c r="AB97" s="1"/>
    </row>
    <row r="98" spans="1:28" x14ac:dyDescent="0.25">
      <c r="A98" s="3"/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9"/>
      <c r="N98" s="7"/>
      <c r="O98" s="7"/>
      <c r="P98" s="33"/>
      <c r="Q98" s="33"/>
      <c r="R98" s="7"/>
      <c r="S98" s="7"/>
      <c r="T98" s="33"/>
      <c r="U98" s="7"/>
      <c r="V98" s="7"/>
      <c r="W98" s="7"/>
      <c r="X98" s="33"/>
      <c r="Y98" s="7"/>
      <c r="Z98" s="7"/>
      <c r="AA98" s="1"/>
      <c r="AB98" s="1"/>
    </row>
    <row r="99" spans="1:28" x14ac:dyDescent="0.25">
      <c r="A99" s="3"/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9"/>
      <c r="N99" s="7"/>
      <c r="O99" s="7"/>
      <c r="P99" s="33"/>
      <c r="Q99" s="33"/>
      <c r="R99" s="7"/>
      <c r="S99" s="7"/>
      <c r="T99" s="33"/>
      <c r="U99" s="7"/>
      <c r="V99" s="7"/>
      <c r="W99" s="7"/>
      <c r="X99" s="33"/>
      <c r="Y99" s="7"/>
      <c r="Z99" s="7"/>
      <c r="AA99" s="1"/>
      <c r="AB99" s="1"/>
    </row>
    <row r="100" spans="1:28" x14ac:dyDescent="0.25">
      <c r="A100" s="3"/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9"/>
      <c r="N100" s="7"/>
      <c r="O100" s="7"/>
      <c r="P100" s="33"/>
      <c r="Q100" s="33"/>
      <c r="R100" s="7"/>
      <c r="S100" s="7"/>
      <c r="T100" s="33"/>
      <c r="U100" s="7"/>
      <c r="V100" s="7"/>
      <c r="W100" s="7"/>
      <c r="X100" s="33"/>
      <c r="Y100" s="7"/>
      <c r="Z100" s="7"/>
      <c r="AA100" s="1"/>
      <c r="AB100" s="1"/>
    </row>
    <row r="101" spans="1:28" x14ac:dyDescent="0.25">
      <c r="A101" s="3"/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9"/>
      <c r="N101" s="7"/>
      <c r="O101" s="7"/>
      <c r="P101" s="33"/>
      <c r="Q101" s="33"/>
      <c r="R101" s="7"/>
      <c r="S101" s="7"/>
      <c r="T101" s="33"/>
      <c r="U101" s="7"/>
      <c r="V101" s="7"/>
      <c r="W101" s="7"/>
      <c r="X101" s="33"/>
      <c r="Y101" s="7"/>
      <c r="Z101" s="7"/>
      <c r="AA101" s="1"/>
      <c r="AB101" s="1"/>
    </row>
    <row r="102" spans="1:28" x14ac:dyDescent="0.25">
      <c r="A102" s="3"/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9"/>
      <c r="N102" s="7"/>
      <c r="O102" s="7"/>
      <c r="P102" s="33"/>
      <c r="Q102" s="33"/>
      <c r="R102" s="7"/>
      <c r="S102" s="7"/>
      <c r="T102" s="33"/>
      <c r="U102" s="7"/>
      <c r="V102" s="7"/>
      <c r="W102" s="7"/>
      <c r="X102" s="33"/>
      <c r="Y102" s="7"/>
      <c r="Z102" s="7"/>
      <c r="AA102" s="1"/>
      <c r="AB102" s="1"/>
    </row>
    <row r="103" spans="1:28" x14ac:dyDescent="0.25">
      <c r="A103" s="3"/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9"/>
      <c r="N103" s="7"/>
      <c r="O103" s="7"/>
      <c r="P103" s="33"/>
      <c r="Q103" s="33"/>
      <c r="R103" s="7"/>
      <c r="S103" s="7"/>
      <c r="T103" s="33"/>
      <c r="U103" s="7"/>
      <c r="V103" s="7"/>
      <c r="W103" s="7"/>
      <c r="X103" s="33"/>
      <c r="Y103" s="7"/>
      <c r="Z103" s="7"/>
      <c r="AA103" s="1"/>
      <c r="AB103" s="1"/>
    </row>
    <row r="104" spans="1:28" x14ac:dyDescent="0.25">
      <c r="A104" s="3"/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9"/>
      <c r="N104" s="7"/>
      <c r="O104" s="7"/>
      <c r="P104" s="33"/>
      <c r="Q104" s="33"/>
      <c r="R104" s="7"/>
      <c r="S104" s="7"/>
      <c r="T104" s="33"/>
      <c r="U104" s="7"/>
      <c r="V104" s="7"/>
      <c r="W104" s="7"/>
      <c r="X104" s="33"/>
      <c r="Y104" s="7"/>
      <c r="Z104" s="7"/>
      <c r="AA104" s="1"/>
      <c r="AB104" s="1"/>
    </row>
    <row r="105" spans="1:28" x14ac:dyDescent="0.25">
      <c r="A105" s="3"/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9"/>
      <c r="N105" s="7"/>
      <c r="O105" s="7"/>
      <c r="P105" s="33"/>
      <c r="Q105" s="33"/>
      <c r="R105" s="7"/>
      <c r="S105" s="7"/>
      <c r="T105" s="33"/>
      <c r="U105" s="7"/>
      <c r="V105" s="7"/>
      <c r="W105" s="7"/>
      <c r="X105" s="33"/>
      <c r="Y105" s="7"/>
      <c r="Z105" s="7"/>
      <c r="AA105" s="1"/>
      <c r="AB105" s="1"/>
    </row>
    <row r="106" spans="1:28" x14ac:dyDescent="0.25">
      <c r="A106" s="3"/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9"/>
      <c r="N106" s="7"/>
      <c r="O106" s="7"/>
      <c r="P106" s="33"/>
      <c r="Q106" s="33"/>
      <c r="R106" s="7"/>
      <c r="S106" s="7"/>
      <c r="T106" s="33"/>
      <c r="U106" s="7"/>
      <c r="V106" s="7"/>
      <c r="W106" s="7"/>
      <c r="X106" s="33"/>
      <c r="Y106" s="7"/>
      <c r="Z106" s="7"/>
      <c r="AA106" s="1"/>
      <c r="AB106" s="1"/>
    </row>
    <row r="107" spans="1:28" x14ac:dyDescent="0.25">
      <c r="A107" s="3"/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9"/>
      <c r="N107" s="7"/>
      <c r="O107" s="7"/>
      <c r="P107" s="33"/>
      <c r="Q107" s="33"/>
      <c r="R107" s="7"/>
      <c r="S107" s="7"/>
      <c r="T107" s="33"/>
      <c r="U107" s="7"/>
      <c r="V107" s="7"/>
      <c r="W107" s="7"/>
      <c r="X107" s="33"/>
      <c r="Y107" s="7"/>
      <c r="Z107" s="7"/>
      <c r="AA107" s="1"/>
      <c r="AB107" s="1"/>
    </row>
    <row r="108" spans="1:28" x14ac:dyDescent="0.25">
      <c r="A108" s="3"/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9"/>
      <c r="N108" s="7"/>
      <c r="O108" s="7"/>
      <c r="P108" s="33"/>
      <c r="Q108" s="33"/>
      <c r="R108" s="7"/>
      <c r="S108" s="7"/>
      <c r="T108" s="33"/>
      <c r="U108" s="7"/>
      <c r="V108" s="7"/>
      <c r="W108" s="7"/>
      <c r="X108" s="33"/>
      <c r="Y108" s="7"/>
      <c r="Z108" s="7"/>
      <c r="AA108" s="1"/>
      <c r="AB108" s="1"/>
    </row>
    <row r="109" spans="1:28" x14ac:dyDescent="0.25">
      <c r="A109" s="3"/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9"/>
      <c r="N109" s="7"/>
      <c r="O109" s="7"/>
      <c r="P109" s="33"/>
      <c r="Q109" s="33"/>
      <c r="R109" s="7"/>
      <c r="S109" s="7"/>
      <c r="T109" s="33"/>
      <c r="U109" s="7"/>
      <c r="V109" s="7"/>
      <c r="W109" s="7"/>
      <c r="X109" s="33"/>
      <c r="Y109" s="7"/>
      <c r="Z109" s="7"/>
      <c r="AA109" s="1"/>
      <c r="AB109" s="1"/>
    </row>
    <row r="110" spans="1:28" x14ac:dyDescent="0.25">
      <c r="A110" s="3"/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9"/>
      <c r="N110" s="7"/>
      <c r="O110" s="7"/>
      <c r="P110" s="33"/>
      <c r="Q110" s="33"/>
      <c r="R110" s="7"/>
      <c r="S110" s="7"/>
      <c r="T110" s="33"/>
      <c r="U110" s="7"/>
      <c r="V110" s="7"/>
      <c r="W110" s="7"/>
      <c r="X110" s="33"/>
      <c r="Y110" s="7"/>
      <c r="Z110" s="7"/>
      <c r="AA110" s="1"/>
      <c r="AB110" s="1"/>
    </row>
    <row r="111" spans="1:28" x14ac:dyDescent="0.25">
      <c r="A111" s="3"/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9"/>
      <c r="N111" s="7"/>
      <c r="O111" s="7"/>
      <c r="P111" s="33"/>
      <c r="Q111" s="33"/>
      <c r="R111" s="7"/>
      <c r="S111" s="7"/>
      <c r="T111" s="33"/>
      <c r="U111" s="7"/>
      <c r="V111" s="7"/>
      <c r="W111" s="7"/>
      <c r="X111" s="33"/>
      <c r="Y111" s="7"/>
      <c r="Z111" s="7"/>
      <c r="AA111" s="1"/>
      <c r="AB111" s="1"/>
    </row>
    <row r="112" spans="1:28" x14ac:dyDescent="0.25">
      <c r="A112" s="3"/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9"/>
      <c r="N112" s="7"/>
      <c r="O112" s="7"/>
      <c r="P112" s="33"/>
      <c r="Q112" s="33"/>
      <c r="R112" s="7"/>
      <c r="S112" s="7"/>
      <c r="T112" s="33"/>
      <c r="U112" s="7"/>
      <c r="V112" s="7"/>
      <c r="W112" s="7"/>
      <c r="X112" s="33"/>
      <c r="Y112" s="7"/>
      <c r="Z112" s="7"/>
      <c r="AA112" s="1"/>
      <c r="AB112" s="1"/>
    </row>
    <row r="113" spans="1:28" x14ac:dyDescent="0.25">
      <c r="A113" s="3"/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9"/>
      <c r="N113" s="7"/>
      <c r="O113" s="7"/>
      <c r="P113" s="33"/>
      <c r="Q113" s="33"/>
      <c r="R113" s="7"/>
      <c r="S113" s="7"/>
      <c r="T113" s="33"/>
      <c r="U113" s="7"/>
      <c r="V113" s="7"/>
      <c r="W113" s="7"/>
      <c r="X113" s="33"/>
      <c r="Y113" s="7"/>
      <c r="Z113" s="7"/>
      <c r="AA113" s="1"/>
      <c r="AB113" s="1"/>
    </row>
    <row r="114" spans="1:28" x14ac:dyDescent="0.25">
      <c r="A114" s="3"/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9"/>
      <c r="N114" s="7"/>
      <c r="O114" s="7"/>
      <c r="P114" s="33"/>
      <c r="Q114" s="33"/>
      <c r="R114" s="7"/>
      <c r="S114" s="7"/>
      <c r="T114" s="33"/>
      <c r="U114" s="7"/>
      <c r="V114" s="7"/>
      <c r="W114" s="7"/>
      <c r="X114" s="33"/>
      <c r="Y114" s="7"/>
      <c r="Z114" s="7"/>
      <c r="AA114" s="1"/>
      <c r="AB114" s="1"/>
    </row>
    <row r="115" spans="1:28" x14ac:dyDescent="0.25">
      <c r="A115" s="3"/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9"/>
      <c r="N115" s="7"/>
      <c r="O115" s="7"/>
      <c r="P115" s="33"/>
      <c r="Q115" s="33"/>
      <c r="R115" s="7"/>
      <c r="S115" s="7"/>
      <c r="T115" s="33"/>
      <c r="U115" s="7"/>
      <c r="V115" s="7"/>
      <c r="W115" s="7"/>
      <c r="X115" s="33"/>
      <c r="Y115" s="7"/>
      <c r="Z115" s="7"/>
      <c r="AA115" s="1"/>
      <c r="AB115" s="1"/>
    </row>
    <row r="116" spans="1:28" x14ac:dyDescent="0.25">
      <c r="A116" s="3"/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9"/>
      <c r="N116" s="7"/>
      <c r="O116" s="7"/>
      <c r="P116" s="33"/>
      <c r="Q116" s="33"/>
      <c r="R116" s="7"/>
      <c r="S116" s="7"/>
      <c r="T116" s="33"/>
      <c r="U116" s="7"/>
      <c r="V116" s="7"/>
      <c r="W116" s="7"/>
      <c r="X116" s="33"/>
      <c r="Y116" s="7"/>
      <c r="Z116" s="7"/>
      <c r="AA116" s="1"/>
      <c r="AB116" s="1"/>
    </row>
    <row r="117" spans="1:28" x14ac:dyDescent="0.25">
      <c r="A117" s="3"/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9"/>
      <c r="N117" s="7"/>
      <c r="O117" s="7"/>
      <c r="P117" s="33"/>
      <c r="Q117" s="33"/>
      <c r="R117" s="7"/>
      <c r="S117" s="7"/>
      <c r="T117" s="33"/>
      <c r="U117" s="7"/>
      <c r="V117" s="7"/>
      <c r="W117" s="7"/>
      <c r="X117" s="33"/>
      <c r="Y117" s="7"/>
      <c r="Z117" s="7"/>
      <c r="AA117" s="1"/>
      <c r="AB117" s="1"/>
    </row>
    <row r="118" spans="1:28" x14ac:dyDescent="0.25">
      <c r="A118" s="3"/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9"/>
      <c r="N118" s="7"/>
      <c r="O118" s="7"/>
      <c r="P118" s="33"/>
      <c r="Q118" s="33"/>
      <c r="R118" s="7"/>
      <c r="S118" s="7"/>
      <c r="T118" s="33"/>
      <c r="U118" s="7"/>
      <c r="V118" s="7"/>
      <c r="W118" s="7"/>
      <c r="X118" s="33"/>
      <c r="Y118" s="7"/>
      <c r="Z118" s="7"/>
      <c r="AA118" s="1"/>
      <c r="AB118" s="1"/>
    </row>
    <row r="119" spans="1:28" x14ac:dyDescent="0.25">
      <c r="A119" s="3"/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9"/>
      <c r="N119" s="7"/>
      <c r="O119" s="7"/>
      <c r="P119" s="33"/>
      <c r="Q119" s="33"/>
      <c r="R119" s="7"/>
      <c r="S119" s="7"/>
      <c r="T119" s="33"/>
      <c r="U119" s="7"/>
      <c r="V119" s="7"/>
      <c r="W119" s="7"/>
      <c r="X119" s="33"/>
      <c r="Y119" s="7"/>
      <c r="Z119" s="7"/>
      <c r="AA119" s="1"/>
      <c r="AB119" s="1"/>
    </row>
    <row r="120" spans="1:28" x14ac:dyDescent="0.25">
      <c r="A120" s="3"/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9"/>
      <c r="N120" s="7"/>
      <c r="O120" s="7"/>
      <c r="P120" s="33"/>
      <c r="Q120" s="33"/>
      <c r="R120" s="7"/>
      <c r="S120" s="7"/>
      <c r="T120" s="33"/>
      <c r="U120" s="7"/>
      <c r="V120" s="7"/>
      <c r="W120" s="7"/>
      <c r="X120" s="33"/>
      <c r="Y120" s="7"/>
      <c r="Z120" s="7"/>
      <c r="AA120" s="1"/>
      <c r="AB120" s="1"/>
    </row>
    <row r="121" spans="1:28" x14ac:dyDescent="0.25">
      <c r="A121" s="3"/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9"/>
      <c r="N121" s="7"/>
      <c r="O121" s="7"/>
      <c r="P121" s="33"/>
      <c r="Q121" s="33"/>
      <c r="R121" s="7"/>
      <c r="S121" s="7"/>
      <c r="T121" s="33"/>
      <c r="U121" s="7"/>
      <c r="V121" s="7"/>
      <c r="W121" s="7"/>
      <c r="X121" s="33"/>
      <c r="Y121" s="7"/>
      <c r="Z121" s="7"/>
      <c r="AA121" s="1"/>
      <c r="AB121" s="1"/>
    </row>
    <row r="122" spans="1:28" x14ac:dyDescent="0.25">
      <c r="A122" s="3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9"/>
      <c r="N122" s="7"/>
      <c r="O122" s="7"/>
      <c r="P122" s="33"/>
      <c r="Q122" s="33"/>
      <c r="R122" s="7"/>
      <c r="S122" s="32"/>
      <c r="T122" s="33"/>
      <c r="U122" s="7"/>
      <c r="V122" s="7"/>
      <c r="W122" s="32"/>
      <c r="X122" s="33"/>
      <c r="Y122" s="7"/>
      <c r="Z122" s="7"/>
      <c r="AA122" s="1"/>
      <c r="AB122" s="1"/>
    </row>
    <row r="123" spans="1:28" x14ac:dyDescent="0.25">
      <c r="A123" s="3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9"/>
      <c r="N123" s="7"/>
      <c r="O123" s="7"/>
      <c r="P123" s="33"/>
      <c r="Q123" s="33"/>
      <c r="R123" s="7"/>
      <c r="S123" s="32"/>
      <c r="T123" s="33"/>
      <c r="U123" s="7"/>
      <c r="V123" s="7"/>
      <c r="W123" s="32"/>
      <c r="X123" s="33"/>
      <c r="Y123" s="7"/>
      <c r="Z123" s="7"/>
      <c r="AA123" s="1"/>
      <c r="AB123" s="1"/>
    </row>
    <row r="124" spans="1:28" x14ac:dyDescent="0.25">
      <c r="A124" s="3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9"/>
      <c r="N124" s="7"/>
      <c r="O124" s="7"/>
      <c r="P124" s="33"/>
      <c r="Q124" s="33"/>
      <c r="R124" s="7"/>
      <c r="S124" s="32"/>
      <c r="T124" s="33"/>
      <c r="U124" s="7"/>
      <c r="V124" s="7"/>
      <c r="W124" s="32"/>
      <c r="X124" s="33"/>
      <c r="Y124" s="7"/>
      <c r="Z124" s="7"/>
      <c r="AA124" s="1"/>
      <c r="AB124" s="1"/>
    </row>
    <row r="125" spans="1:28" x14ac:dyDescent="0.25">
      <c r="A125" s="3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9"/>
      <c r="N125" s="7"/>
      <c r="O125" s="7"/>
      <c r="P125" s="33"/>
      <c r="Q125" s="33"/>
      <c r="R125" s="7"/>
      <c r="S125" s="32"/>
      <c r="T125" s="33"/>
      <c r="U125" s="7"/>
      <c r="V125" s="7"/>
      <c r="W125" s="32"/>
      <c r="X125" s="33"/>
      <c r="Y125" s="7"/>
      <c r="Z125" s="7"/>
      <c r="AA125" s="1"/>
      <c r="AB125" s="1"/>
    </row>
    <row r="126" spans="1:28" x14ac:dyDescent="0.25">
      <c r="A126" s="3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9"/>
      <c r="N126" s="7"/>
      <c r="O126" s="7"/>
      <c r="P126" s="33"/>
      <c r="Q126" s="33"/>
      <c r="R126" s="7"/>
      <c r="S126" s="32"/>
      <c r="T126" s="33"/>
      <c r="U126" s="7"/>
      <c r="V126" s="7"/>
      <c r="W126" s="32"/>
      <c r="X126" s="33"/>
      <c r="Y126" s="7"/>
      <c r="Z126" s="7"/>
      <c r="AA126" s="1"/>
      <c r="AB126" s="1"/>
    </row>
    <row r="127" spans="1:28" x14ac:dyDescent="0.25">
      <c r="A127" s="3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9"/>
      <c r="N127" s="7"/>
      <c r="O127" s="7"/>
      <c r="P127" s="33"/>
      <c r="Q127" s="33"/>
      <c r="R127" s="7"/>
      <c r="S127" s="32"/>
      <c r="T127" s="33"/>
      <c r="U127" s="7"/>
      <c r="V127" s="7"/>
      <c r="W127" s="32"/>
      <c r="X127" s="33"/>
      <c r="Y127" s="7"/>
      <c r="Z127" s="7"/>
      <c r="AA127" s="1"/>
      <c r="AB127" s="1"/>
    </row>
    <row r="128" spans="1:28" x14ac:dyDescent="0.25">
      <c r="A128" s="3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9"/>
      <c r="N128" s="7"/>
      <c r="O128" s="7"/>
      <c r="P128" s="33"/>
      <c r="Q128" s="33"/>
      <c r="R128" s="7"/>
      <c r="S128" s="32"/>
      <c r="T128" s="33"/>
      <c r="U128" s="7"/>
      <c r="V128" s="7"/>
      <c r="W128" s="32"/>
      <c r="X128" s="33"/>
      <c r="Y128" s="7"/>
      <c r="Z128" s="7"/>
      <c r="AA128" s="1"/>
      <c r="AB128" s="1"/>
    </row>
    <row r="129" spans="1:28" x14ac:dyDescent="0.25">
      <c r="A129" s="3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9"/>
      <c r="N129" s="7"/>
      <c r="O129" s="7"/>
      <c r="P129" s="33"/>
      <c r="Q129" s="33"/>
      <c r="R129" s="7"/>
      <c r="S129" s="32"/>
      <c r="T129" s="33"/>
      <c r="U129" s="7"/>
      <c r="V129" s="7"/>
      <c r="W129" s="32"/>
      <c r="X129" s="33"/>
      <c r="Y129" s="7"/>
      <c r="Z129" s="7"/>
      <c r="AA129" s="1"/>
      <c r="AB129" s="1"/>
    </row>
    <row r="130" spans="1:28" x14ac:dyDescent="0.25">
      <c r="A130" s="3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9"/>
      <c r="N130" s="7"/>
      <c r="O130" s="7"/>
      <c r="P130" s="33"/>
      <c r="Q130" s="33"/>
      <c r="R130" s="7"/>
      <c r="S130" s="32"/>
      <c r="T130" s="33"/>
      <c r="U130" s="7"/>
      <c r="V130" s="7"/>
      <c r="W130" s="32"/>
      <c r="X130" s="33"/>
      <c r="Y130" s="7"/>
      <c r="Z130" s="7"/>
      <c r="AA130" s="1"/>
      <c r="AB130" s="1"/>
    </row>
    <row r="131" spans="1:28" x14ac:dyDescent="0.25">
      <c r="A131" s="3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9"/>
      <c r="N131" s="7"/>
      <c r="O131" s="7"/>
      <c r="P131" s="33"/>
      <c r="Q131" s="33"/>
      <c r="R131" s="7"/>
      <c r="S131" s="32"/>
      <c r="T131" s="33"/>
      <c r="U131" s="7"/>
      <c r="V131" s="7"/>
      <c r="W131" s="32"/>
      <c r="X131" s="33"/>
      <c r="Y131" s="7"/>
      <c r="Z131" s="7"/>
      <c r="AA131" s="1"/>
      <c r="AB131" s="1"/>
    </row>
    <row r="132" spans="1:28" x14ac:dyDescent="0.25">
      <c r="A132" s="3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9"/>
      <c r="N132" s="7"/>
      <c r="O132" s="7"/>
      <c r="P132" s="33"/>
      <c r="Q132" s="33"/>
      <c r="R132" s="7"/>
      <c r="S132" s="32"/>
      <c r="T132" s="33"/>
      <c r="U132" s="7"/>
      <c r="V132" s="7"/>
      <c r="W132" s="32"/>
      <c r="X132" s="33"/>
      <c r="Y132" s="7"/>
      <c r="Z132" s="7"/>
      <c r="AA132" s="1"/>
      <c r="AB132" s="1"/>
    </row>
    <row r="133" spans="1:28" x14ac:dyDescent="0.25">
      <c r="A133" s="3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9"/>
      <c r="N133" s="7"/>
      <c r="O133" s="7"/>
      <c r="P133" s="33"/>
      <c r="Q133" s="33"/>
      <c r="R133" s="7"/>
      <c r="S133" s="32"/>
      <c r="T133" s="33"/>
      <c r="U133" s="7"/>
      <c r="V133" s="7"/>
      <c r="W133" s="32"/>
      <c r="X133" s="33"/>
      <c r="Y133" s="7"/>
      <c r="Z133" s="7"/>
      <c r="AA133" s="1"/>
      <c r="AB133" s="1"/>
    </row>
    <row r="134" spans="1:28" x14ac:dyDescent="0.25">
      <c r="A134" s="3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9"/>
      <c r="N134" s="7"/>
      <c r="O134" s="7"/>
      <c r="P134" s="33"/>
      <c r="Q134" s="33"/>
      <c r="R134" s="7"/>
      <c r="S134" s="32"/>
      <c r="T134" s="33"/>
      <c r="U134" s="7"/>
      <c r="V134" s="7"/>
      <c r="W134" s="32"/>
      <c r="X134" s="33"/>
      <c r="Y134" s="7"/>
      <c r="Z134" s="7"/>
      <c r="AA134" s="1"/>
      <c r="AB134" s="1"/>
    </row>
    <row r="135" spans="1:28" x14ac:dyDescent="0.25">
      <c r="A135" s="3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9"/>
      <c r="N135" s="7"/>
      <c r="O135" s="7"/>
      <c r="P135" s="33"/>
      <c r="Q135" s="33"/>
      <c r="R135" s="7"/>
      <c r="S135" s="32"/>
      <c r="T135" s="33"/>
      <c r="U135" s="7"/>
      <c r="V135" s="7"/>
      <c r="W135" s="32"/>
      <c r="X135" s="33"/>
      <c r="Y135" s="7"/>
      <c r="Z135" s="7"/>
      <c r="AA135" s="1"/>
      <c r="AB135" s="1"/>
    </row>
    <row r="136" spans="1:28" x14ac:dyDescent="0.25">
      <c r="A136" s="3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9"/>
      <c r="N136" s="7"/>
      <c r="O136" s="7"/>
      <c r="P136" s="33"/>
      <c r="Q136" s="33"/>
      <c r="R136" s="7"/>
      <c r="S136" s="32"/>
      <c r="T136" s="33"/>
      <c r="U136" s="7"/>
      <c r="V136" s="7"/>
      <c r="W136" s="32"/>
      <c r="X136" s="33"/>
      <c r="Y136" s="7"/>
      <c r="Z136" s="7"/>
      <c r="AA136" s="1"/>
      <c r="AB136" s="1"/>
    </row>
    <row r="137" spans="1:28" x14ac:dyDescent="0.25">
      <c r="A137" s="3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9"/>
      <c r="N137" s="7"/>
      <c r="O137" s="7"/>
      <c r="P137" s="33"/>
      <c r="Q137" s="33"/>
      <c r="R137" s="7"/>
      <c r="S137" s="32"/>
      <c r="T137" s="33"/>
      <c r="U137" s="7"/>
      <c r="V137" s="7"/>
      <c r="W137" s="32"/>
      <c r="X137" s="33"/>
      <c r="Y137" s="7"/>
      <c r="Z137" s="7"/>
      <c r="AA137" s="1"/>
      <c r="AB137" s="1"/>
    </row>
    <row r="138" spans="1:28" x14ac:dyDescent="0.25">
      <c r="A138" s="3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9"/>
      <c r="N138" s="7"/>
      <c r="O138" s="7"/>
      <c r="P138" s="33"/>
      <c r="Q138" s="33"/>
      <c r="R138" s="7"/>
      <c r="S138" s="32"/>
      <c r="T138" s="33"/>
      <c r="U138" s="7"/>
      <c r="V138" s="7"/>
      <c r="W138" s="32"/>
      <c r="X138" s="33"/>
      <c r="Y138" s="7"/>
      <c r="Z138" s="7"/>
      <c r="AA138" s="1"/>
      <c r="AB138" s="1"/>
    </row>
    <row r="139" spans="1:28" x14ac:dyDescent="0.25">
      <c r="A139" s="3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9"/>
      <c r="N139" s="7"/>
      <c r="O139" s="7"/>
      <c r="P139" s="33"/>
      <c r="Q139" s="33"/>
      <c r="R139" s="7"/>
      <c r="S139" s="32"/>
      <c r="T139" s="33"/>
      <c r="U139" s="7"/>
      <c r="V139" s="7"/>
      <c r="W139" s="32"/>
      <c r="X139" s="33"/>
      <c r="Y139" s="7"/>
      <c r="Z139" s="7"/>
      <c r="AA139" s="1"/>
      <c r="AB139" s="1"/>
    </row>
    <row r="140" spans="1:28" x14ac:dyDescent="0.25">
      <c r="A140" s="3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9"/>
      <c r="N140" s="7"/>
      <c r="O140" s="7"/>
      <c r="P140" s="33"/>
      <c r="Q140" s="33"/>
      <c r="R140" s="7"/>
      <c r="S140" s="32"/>
      <c r="T140" s="33"/>
      <c r="U140" s="7"/>
      <c r="V140" s="7"/>
      <c r="W140" s="32"/>
      <c r="X140" s="33"/>
      <c r="Y140" s="7"/>
      <c r="Z140" s="7"/>
      <c r="AA140" s="1"/>
      <c r="AB140" s="1"/>
    </row>
    <row r="141" spans="1:28" x14ac:dyDescent="0.25">
      <c r="A141" s="3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9"/>
      <c r="N141" s="7"/>
      <c r="O141" s="7"/>
      <c r="P141" s="33"/>
      <c r="Q141" s="33"/>
      <c r="R141" s="7"/>
      <c r="S141" s="32"/>
      <c r="T141" s="33"/>
      <c r="U141" s="7"/>
      <c r="V141" s="7"/>
      <c r="W141" s="32"/>
      <c r="X141" s="33"/>
      <c r="Y141" s="7"/>
      <c r="Z141" s="7"/>
      <c r="AA141" s="1"/>
      <c r="AB141" s="1"/>
    </row>
    <row r="142" spans="1:28" x14ac:dyDescent="0.25">
      <c r="A142" s="3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9"/>
      <c r="N142" s="7"/>
      <c r="O142" s="7"/>
      <c r="P142" s="33"/>
      <c r="Q142" s="33"/>
      <c r="R142" s="7"/>
      <c r="S142" s="32"/>
      <c r="T142" s="33"/>
      <c r="U142" s="7"/>
      <c r="V142" s="7"/>
      <c r="W142" s="32"/>
      <c r="X142" s="33"/>
      <c r="Y142" s="7"/>
      <c r="Z142" s="7"/>
      <c r="AA142" s="1"/>
      <c r="AB142" s="1"/>
    </row>
    <row r="143" spans="1:28" x14ac:dyDescent="0.25">
      <c r="A143" s="3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9"/>
      <c r="N143" s="7"/>
      <c r="O143" s="7"/>
      <c r="P143" s="33"/>
      <c r="Q143" s="33"/>
      <c r="R143" s="7"/>
      <c r="S143" s="32"/>
      <c r="T143" s="33"/>
      <c r="U143" s="7"/>
      <c r="V143" s="7"/>
      <c r="W143" s="32"/>
      <c r="X143" s="33"/>
      <c r="Y143" s="7"/>
      <c r="Z143" s="7"/>
      <c r="AA143" s="1"/>
      <c r="AB143" s="1"/>
    </row>
    <row r="144" spans="1:28" x14ac:dyDescent="0.25">
      <c r="A144" s="3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9"/>
      <c r="N144" s="7"/>
      <c r="O144" s="7"/>
      <c r="P144" s="33"/>
      <c r="Q144" s="33"/>
      <c r="R144" s="7"/>
      <c r="S144" s="32"/>
      <c r="T144" s="33"/>
      <c r="U144" s="7"/>
      <c r="V144" s="7"/>
      <c r="W144" s="32"/>
      <c r="X144" s="33"/>
      <c r="Y144" s="7"/>
      <c r="Z144" s="7"/>
      <c r="AA144" s="1"/>
      <c r="AB144" s="1"/>
    </row>
    <row r="145" spans="1:28" x14ac:dyDescent="0.25">
      <c r="A145" s="3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9"/>
      <c r="N145" s="7"/>
      <c r="O145" s="7"/>
      <c r="P145" s="33"/>
      <c r="Q145" s="33"/>
      <c r="R145" s="7"/>
      <c r="S145" s="32"/>
      <c r="T145" s="33"/>
      <c r="U145" s="7"/>
      <c r="V145" s="7"/>
      <c r="W145" s="32"/>
      <c r="X145" s="33"/>
      <c r="Y145" s="7"/>
      <c r="Z145" s="7"/>
      <c r="AA145" s="1"/>
      <c r="AB145" s="1"/>
    </row>
    <row r="146" spans="1:28" x14ac:dyDescent="0.25">
      <c r="A146" s="3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9"/>
      <c r="N146" s="9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x14ac:dyDescent="0.25">
      <c r="A147" s="3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9"/>
      <c r="N147" s="9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x14ac:dyDescent="0.25">
      <c r="A148" s="3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9"/>
      <c r="N148" s="9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x14ac:dyDescent="0.25">
      <c r="A149" s="3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9"/>
      <c r="N149" s="9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x14ac:dyDescent="0.25">
      <c r="A150" s="3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9"/>
      <c r="N150" s="9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x14ac:dyDescent="0.25">
      <c r="A151" s="3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9"/>
      <c r="N151" s="9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x14ac:dyDescent="0.25">
      <c r="A152" s="3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9"/>
      <c r="N152" s="9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x14ac:dyDescent="0.25">
      <c r="A153" s="3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9"/>
      <c r="N153" s="9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x14ac:dyDescent="0.25">
      <c r="A154" s="3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9"/>
      <c r="N154" s="9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x14ac:dyDescent="0.25">
      <c r="A155" s="3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9"/>
      <c r="N155" s="9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x14ac:dyDescent="0.25">
      <c r="A156" s="3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9"/>
      <c r="N156" s="9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x14ac:dyDescent="0.25">
      <c r="A157" s="3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9"/>
      <c r="N157" s="9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x14ac:dyDescent="0.25">
      <c r="A158" s="3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9"/>
      <c r="N158" s="9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x14ac:dyDescent="0.25">
      <c r="A159" s="3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9"/>
      <c r="N159" s="9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x14ac:dyDescent="0.25">
      <c r="A160" s="3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9"/>
      <c r="N160" s="9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x14ac:dyDescent="0.25">
      <c r="A161" s="3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9"/>
      <c r="N161" s="9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x14ac:dyDescent="0.25">
      <c r="A162" s="3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9"/>
      <c r="N162" s="9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x14ac:dyDescent="0.25">
      <c r="A163" s="3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9"/>
      <c r="N163" s="9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x14ac:dyDescent="0.25">
      <c r="A164" s="3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9"/>
      <c r="N164" s="9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x14ac:dyDescent="0.25">
      <c r="A165" s="3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9"/>
      <c r="N165" s="9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x14ac:dyDescent="0.25">
      <c r="A166" s="3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9"/>
      <c r="N166" s="9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x14ac:dyDescent="0.25">
      <c r="A167" s="3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9"/>
      <c r="N167" s="9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x14ac:dyDescent="0.25">
      <c r="A168" s="3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9"/>
      <c r="N168" s="9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x14ac:dyDescent="0.25">
      <c r="A169" s="3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9"/>
      <c r="N169" s="9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x14ac:dyDescent="0.25">
      <c r="A170" s="3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9"/>
      <c r="N170" s="9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x14ac:dyDescent="0.25">
      <c r="A171" s="3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9"/>
      <c r="N171" s="9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x14ac:dyDescent="0.25">
      <c r="A172" s="3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9"/>
      <c r="N172" s="9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x14ac:dyDescent="0.25">
      <c r="A173" s="3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9"/>
      <c r="N173" s="9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x14ac:dyDescent="0.25">
      <c r="A174" s="3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9"/>
      <c r="N174" s="9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x14ac:dyDescent="0.25">
      <c r="A175" s="3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9"/>
      <c r="N175" s="9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x14ac:dyDescent="0.25">
      <c r="A176" s="3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9"/>
      <c r="N176" s="9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x14ac:dyDescent="0.25">
      <c r="A177" s="3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9"/>
      <c r="N177" s="9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x14ac:dyDescent="0.25">
      <c r="A178" s="3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9"/>
      <c r="N178" s="9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x14ac:dyDescent="0.25">
      <c r="A179" s="3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9"/>
      <c r="N179" s="9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x14ac:dyDescent="0.25">
      <c r="A180" s="3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9"/>
      <c r="N180" s="9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x14ac:dyDescent="0.25">
      <c r="A181" s="3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9"/>
      <c r="N181" s="9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x14ac:dyDescent="0.25">
      <c r="A182" s="3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9"/>
      <c r="N182" s="9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x14ac:dyDescent="0.25">
      <c r="A183" s="3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9"/>
      <c r="N183" s="9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x14ac:dyDescent="0.25">
      <c r="A184" s="3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9"/>
      <c r="N184" s="9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x14ac:dyDescent="0.25">
      <c r="A185" s="3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9"/>
      <c r="N185" s="9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x14ac:dyDescent="0.25">
      <c r="A186" s="3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9"/>
      <c r="N186" s="9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x14ac:dyDescent="0.25">
      <c r="A187" s="3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9"/>
      <c r="N187" s="9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x14ac:dyDescent="0.25">
      <c r="A188" s="3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9"/>
      <c r="N188" s="9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x14ac:dyDescent="0.25">
      <c r="A189" s="3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9"/>
      <c r="N189" s="9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x14ac:dyDescent="0.25">
      <c r="A190" s="3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9"/>
      <c r="N190" s="9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x14ac:dyDescent="0.25">
      <c r="A191" s="3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9"/>
      <c r="N191" s="9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x14ac:dyDescent="0.25">
      <c r="A192" s="3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9"/>
      <c r="N192" s="9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x14ac:dyDescent="0.25">
      <c r="A193" s="3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9"/>
      <c r="N193" s="9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x14ac:dyDescent="0.25">
      <c r="A194" s="3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9"/>
      <c r="N194" s="9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x14ac:dyDescent="0.25">
      <c r="A195" s="3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9"/>
      <c r="N195" s="9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x14ac:dyDescent="0.25">
      <c r="A196" s="3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9"/>
      <c r="N196" s="9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x14ac:dyDescent="0.25">
      <c r="A197" s="3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9"/>
      <c r="N197" s="9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x14ac:dyDescent="0.25">
      <c r="A198" s="3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9"/>
      <c r="N198" s="9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x14ac:dyDescent="0.25">
      <c r="A199" s="3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9"/>
      <c r="N199" s="9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x14ac:dyDescent="0.25">
      <c r="A200" s="3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9"/>
      <c r="N200" s="9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</sheetData>
  <autoFilter ref="B3:Z3">
    <sortState ref="B4:Z42">
      <sortCondition descending="1" ref="R3"/>
    </sortState>
  </autoFilter>
  <mergeCells count="4">
    <mergeCell ref="B1:C2"/>
    <mergeCell ref="S2:V2"/>
    <mergeCell ref="W2:Z2"/>
    <mergeCell ref="Q2:R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veredcall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N200"/>
  <sheetViews>
    <sheetView topLeftCell="E1" zoomScale="80" zoomScaleNormal="80" workbookViewId="0">
      <selection activeCell="X6" sqref="X6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44"/>
      <c r="C1" s="44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45"/>
      <c r="C2" s="45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tr">
        <f>mrigxl_stored_strategies("covered_call_2")</f>
        <v>Expiry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1810</v>
      </c>
      <c r="H3" s="19" t="s">
        <v>1807</v>
      </c>
      <c r="I3" s="19" t="s">
        <v>1811</v>
      </c>
      <c r="J3" s="19" t="s">
        <v>1812</v>
      </c>
      <c r="K3" s="19" t="s">
        <v>1813</v>
      </c>
      <c r="L3" s="19" t="s">
        <v>1814</v>
      </c>
      <c r="M3" s="19" t="s">
        <v>1841</v>
      </c>
      <c r="N3" s="19"/>
      <c r="O3" s="19" t="s">
        <v>1826</v>
      </c>
      <c r="P3" s="19" t="s">
        <v>1827</v>
      </c>
      <c r="Q3" s="19" t="s">
        <v>1843</v>
      </c>
      <c r="R3" s="19" t="s">
        <v>1844</v>
      </c>
      <c r="S3" s="19" t="s">
        <v>1842</v>
      </c>
      <c r="T3" s="19" t="s">
        <v>1845</v>
      </c>
      <c r="U3" s="19" t="s">
        <v>1828</v>
      </c>
    </row>
    <row r="4" spans="1:118" x14ac:dyDescent="0.25">
      <c r="A4" s="1"/>
      <c r="B4" s="25">
        <v>43496</v>
      </c>
      <c r="C4" s="10" t="s">
        <v>801</v>
      </c>
      <c r="D4" s="1">
        <v>6.7</v>
      </c>
      <c r="E4" s="30">
        <v>34000</v>
      </c>
      <c r="F4" s="1">
        <v>8</v>
      </c>
      <c r="G4" s="1">
        <v>0.55000000000000004</v>
      </c>
      <c r="H4" s="1">
        <v>165000</v>
      </c>
      <c r="I4" s="1">
        <v>55000</v>
      </c>
      <c r="J4" s="1">
        <v>0.5</v>
      </c>
      <c r="K4" s="1">
        <v>0.55000000000000004</v>
      </c>
      <c r="L4" s="1">
        <v>55000</v>
      </c>
      <c r="M4" s="36">
        <v>-0.28820400000000002</v>
      </c>
      <c r="N4" s="1"/>
      <c r="O4" s="7">
        <f t="shared" ref="O4:O35" si="0">G4/D4</f>
        <v>8.2089552238805971E-2</v>
      </c>
      <c r="P4" s="7">
        <f t="shared" ref="P4:P35" ca="1" si="1">O4/(B4-TODAY())</f>
        <v>-1.8614410938504755E-4</v>
      </c>
      <c r="Q4" s="7">
        <f t="shared" ref="Q4:Q35" si="2">R4/D4-1</f>
        <v>-0.79104477611940305</v>
      </c>
      <c r="R4" s="33">
        <f t="shared" ref="R4:R35" si="3">mrigxl_stockquote(C4)</f>
        <v>1.4</v>
      </c>
      <c r="S4" s="33">
        <f t="shared" ref="S4:S35" si="4">(MIN(F4,R4)-D4+G4)*E4</f>
        <v>-161500.00000000003</v>
      </c>
      <c r="T4" s="7">
        <f t="shared" ref="T4:T35" si="5">S4/U4</f>
        <v>-0.70895522388059717</v>
      </c>
      <c r="U4" s="33">
        <f t="shared" ref="U4:U35" si="6">E4*D4</f>
        <v>227800</v>
      </c>
    </row>
    <row r="5" spans="1:118" x14ac:dyDescent="0.25">
      <c r="A5" s="1"/>
      <c r="B5" s="25">
        <v>43461</v>
      </c>
      <c r="C5" s="10" t="s">
        <v>801</v>
      </c>
      <c r="D5" s="1">
        <v>6.7</v>
      </c>
      <c r="E5" s="30">
        <v>34000</v>
      </c>
      <c r="F5" s="1">
        <v>7</v>
      </c>
      <c r="G5" s="1">
        <v>0.45</v>
      </c>
      <c r="H5" s="1">
        <v>5066000</v>
      </c>
      <c r="I5" s="1">
        <v>204000</v>
      </c>
      <c r="J5" s="1">
        <v>0.4</v>
      </c>
      <c r="K5" s="1">
        <v>0.45</v>
      </c>
      <c r="L5" s="1">
        <v>340000</v>
      </c>
      <c r="M5" s="36">
        <v>-0.28820400000000002</v>
      </c>
      <c r="N5" s="1"/>
      <c r="O5" s="7">
        <f t="shared" si="0"/>
        <v>6.7164179104477612E-2</v>
      </c>
      <c r="P5" s="7">
        <f t="shared" ca="1" si="1"/>
        <v>-1.4110121660604541E-4</v>
      </c>
      <c r="Q5" s="7">
        <f t="shared" si="2"/>
        <v>-0.79104477611940305</v>
      </c>
      <c r="R5" s="33">
        <f t="shared" si="3"/>
        <v>1.4</v>
      </c>
      <c r="S5" s="33">
        <f t="shared" si="4"/>
        <v>-164900.00000000003</v>
      </c>
      <c r="T5" s="7">
        <f t="shared" si="5"/>
        <v>-0.72388059701492546</v>
      </c>
      <c r="U5" s="33">
        <f t="shared" si="6"/>
        <v>227800</v>
      </c>
    </row>
    <row r="6" spans="1:118" x14ac:dyDescent="0.25">
      <c r="A6" s="1"/>
      <c r="B6" s="25">
        <v>43461</v>
      </c>
      <c r="C6" s="10" t="s">
        <v>48</v>
      </c>
      <c r="D6" s="1">
        <v>150.5</v>
      </c>
      <c r="E6" s="30">
        <v>4000</v>
      </c>
      <c r="F6" s="1">
        <v>160</v>
      </c>
      <c r="G6" s="1">
        <v>6.15</v>
      </c>
      <c r="H6" s="1">
        <v>136000</v>
      </c>
      <c r="I6" s="1">
        <v>4000</v>
      </c>
      <c r="J6" s="1">
        <v>5.8</v>
      </c>
      <c r="K6" s="1">
        <v>6.1</v>
      </c>
      <c r="L6" s="1">
        <v>12000</v>
      </c>
      <c r="M6" s="36">
        <v>-0.23504499999999998</v>
      </c>
      <c r="N6" s="1"/>
      <c r="O6" s="7">
        <f t="shared" si="0"/>
        <v>4.0863787375415288E-2</v>
      </c>
      <c r="P6" s="7">
        <f t="shared" ca="1" si="1"/>
        <v>-8.5848292805494296E-5</v>
      </c>
      <c r="Q6" s="7">
        <f t="shared" si="2"/>
        <v>-1.6611295681063121E-2</v>
      </c>
      <c r="R6" s="33">
        <f t="shared" si="3"/>
        <v>148</v>
      </c>
      <c r="S6" s="33">
        <f t="shared" si="4"/>
        <v>14600.000000000002</v>
      </c>
      <c r="T6" s="7">
        <f t="shared" si="5"/>
        <v>2.4252491694352164E-2</v>
      </c>
      <c r="U6" s="33">
        <f t="shared" si="6"/>
        <v>602000</v>
      </c>
    </row>
    <row r="7" spans="1:118" x14ac:dyDescent="0.25">
      <c r="A7" s="1"/>
      <c r="B7" s="25">
        <v>43461</v>
      </c>
      <c r="C7" s="10" t="s">
        <v>206</v>
      </c>
      <c r="D7" s="1">
        <v>80.8</v>
      </c>
      <c r="E7" s="30">
        <v>6000</v>
      </c>
      <c r="F7" s="1">
        <v>85</v>
      </c>
      <c r="G7" s="1">
        <v>2.9</v>
      </c>
      <c r="H7" s="1">
        <v>1314000</v>
      </c>
      <c r="I7" s="1">
        <v>6000</v>
      </c>
      <c r="J7" s="1">
        <v>2.95</v>
      </c>
      <c r="K7" s="1">
        <v>3.05</v>
      </c>
      <c r="L7" s="1">
        <v>24000</v>
      </c>
      <c r="M7" s="36">
        <v>-0.14923400000000001</v>
      </c>
      <c r="N7" s="1"/>
      <c r="O7" s="7">
        <f t="shared" si="0"/>
        <v>3.5891089108910888E-2</v>
      </c>
      <c r="P7" s="7">
        <f t="shared" ca="1" si="1"/>
        <v>-7.5401447707795985E-5</v>
      </c>
      <c r="Q7" s="7">
        <f t="shared" si="2"/>
        <v>-0.57425742574257432</v>
      </c>
      <c r="R7" s="33">
        <f t="shared" si="3"/>
        <v>34.4</v>
      </c>
      <c r="S7" s="33">
        <f t="shared" si="4"/>
        <v>-261000</v>
      </c>
      <c r="T7" s="7">
        <f t="shared" si="5"/>
        <v>-0.5383663366336634</v>
      </c>
      <c r="U7" s="33">
        <f t="shared" si="6"/>
        <v>484800</v>
      </c>
    </row>
    <row r="8" spans="1:118" x14ac:dyDescent="0.25">
      <c r="A8" s="1"/>
      <c r="B8" s="25">
        <v>43461</v>
      </c>
      <c r="C8" s="10" t="s">
        <v>1668</v>
      </c>
      <c r="D8" s="1">
        <v>73.55</v>
      </c>
      <c r="E8" s="30">
        <v>6000</v>
      </c>
      <c r="F8" s="1">
        <v>77.5</v>
      </c>
      <c r="G8" s="1">
        <v>2.2999999999999998</v>
      </c>
      <c r="H8" s="1">
        <v>120000</v>
      </c>
      <c r="I8" s="1">
        <v>30000</v>
      </c>
      <c r="J8" s="1">
        <v>2.2000000000000002</v>
      </c>
      <c r="K8" s="1">
        <v>2.35</v>
      </c>
      <c r="L8" s="1">
        <v>42000</v>
      </c>
      <c r="M8" s="36">
        <v>-0.140041</v>
      </c>
      <c r="N8" s="1"/>
      <c r="O8" s="7">
        <f t="shared" si="0"/>
        <v>3.127124405166553E-2</v>
      </c>
      <c r="P8" s="7">
        <f t="shared" ca="1" si="1"/>
        <v>-6.5695890864843551E-5</v>
      </c>
      <c r="Q8" s="7">
        <f t="shared" si="2"/>
        <v>-0.60299116247450713</v>
      </c>
      <c r="R8" s="33">
        <f t="shared" si="3"/>
        <v>29.2</v>
      </c>
      <c r="S8" s="33">
        <f t="shared" si="4"/>
        <v>-252299.99999999997</v>
      </c>
      <c r="T8" s="7">
        <f t="shared" si="5"/>
        <v>-0.57171991842284153</v>
      </c>
      <c r="U8" s="33">
        <f t="shared" si="6"/>
        <v>441300</v>
      </c>
    </row>
    <row r="9" spans="1:118" x14ac:dyDescent="0.25">
      <c r="A9" s="1"/>
      <c r="B9" s="25">
        <v>43461</v>
      </c>
      <c r="C9" s="10" t="s">
        <v>396</v>
      </c>
      <c r="D9" s="1">
        <v>166.8</v>
      </c>
      <c r="E9" s="30">
        <v>2500</v>
      </c>
      <c r="F9" s="1">
        <v>175</v>
      </c>
      <c r="G9" s="1">
        <v>5.6</v>
      </c>
      <c r="H9" s="1">
        <v>345000</v>
      </c>
      <c r="I9" s="1">
        <v>2500</v>
      </c>
      <c r="J9" s="1">
        <v>5.55</v>
      </c>
      <c r="K9" s="1">
        <v>5.65</v>
      </c>
      <c r="L9" s="1">
        <v>15000</v>
      </c>
      <c r="M9" s="36">
        <v>-0.115479</v>
      </c>
      <c r="N9" s="1"/>
      <c r="O9" s="7">
        <f t="shared" si="0"/>
        <v>3.3573141486810544E-2</v>
      </c>
      <c r="P9" s="7">
        <f t="shared" ca="1" si="1"/>
        <v>-7.0531809846240639E-5</v>
      </c>
      <c r="Q9" s="7">
        <f t="shared" si="2"/>
        <v>-0.15137889688249395</v>
      </c>
      <c r="R9" s="33">
        <f t="shared" si="3"/>
        <v>141.55000000000001</v>
      </c>
      <c r="S9" s="33">
        <f t="shared" si="4"/>
        <v>-49125</v>
      </c>
      <c r="T9" s="7">
        <f t="shared" si="5"/>
        <v>-0.11780575539568346</v>
      </c>
      <c r="U9" s="33">
        <f t="shared" si="6"/>
        <v>417000</v>
      </c>
    </row>
    <row r="10" spans="1:118" x14ac:dyDescent="0.25">
      <c r="A10" s="1"/>
      <c r="B10" s="25">
        <v>43461</v>
      </c>
      <c r="C10" s="10" t="s">
        <v>458</v>
      </c>
      <c r="D10" s="1">
        <v>629.95000000000005</v>
      </c>
      <c r="E10" s="30">
        <v>1100</v>
      </c>
      <c r="F10" s="1">
        <v>660</v>
      </c>
      <c r="G10" s="1">
        <v>19.2</v>
      </c>
      <c r="H10" s="1">
        <v>134200</v>
      </c>
      <c r="I10" s="1">
        <v>1100</v>
      </c>
      <c r="J10" s="1">
        <v>19.100000000000001</v>
      </c>
      <c r="K10" s="1">
        <v>19.7</v>
      </c>
      <c r="L10" s="1">
        <v>1100</v>
      </c>
      <c r="M10" s="36">
        <v>-0.12584200000000001</v>
      </c>
      <c r="N10" s="1"/>
      <c r="O10" s="7">
        <f t="shared" si="0"/>
        <v>3.0478609413445507E-2</v>
      </c>
      <c r="P10" s="7">
        <f t="shared" ca="1" si="1"/>
        <v>-6.4030692045053582E-5</v>
      </c>
      <c r="Q10" s="7">
        <f t="shared" si="2"/>
        <v>0.19231685054369385</v>
      </c>
      <c r="R10" s="33">
        <f t="shared" si="3"/>
        <v>751.1</v>
      </c>
      <c r="S10" s="33">
        <f t="shared" si="4"/>
        <v>54174.999999999956</v>
      </c>
      <c r="T10" s="7">
        <f t="shared" si="5"/>
        <v>7.8180808000634913E-2</v>
      </c>
      <c r="U10" s="33">
        <f t="shared" si="6"/>
        <v>692945</v>
      </c>
    </row>
    <row r="11" spans="1:118" x14ac:dyDescent="0.25">
      <c r="A11" s="1"/>
      <c r="B11" s="25">
        <v>43461</v>
      </c>
      <c r="C11" s="10" t="s">
        <v>48</v>
      </c>
      <c r="D11" s="1">
        <v>150.5</v>
      </c>
      <c r="E11" s="30">
        <v>4000</v>
      </c>
      <c r="F11" s="1">
        <v>155</v>
      </c>
      <c r="G11" s="1">
        <v>7.25</v>
      </c>
      <c r="H11" s="1">
        <v>44000</v>
      </c>
      <c r="I11" s="1">
        <v>4000</v>
      </c>
      <c r="J11" s="1">
        <v>7.55</v>
      </c>
      <c r="K11" s="1">
        <v>8.15</v>
      </c>
      <c r="L11" s="1">
        <v>24000</v>
      </c>
      <c r="M11" s="36">
        <v>-0.23504499999999998</v>
      </c>
      <c r="N11" s="1"/>
      <c r="O11" s="7">
        <f t="shared" si="0"/>
        <v>4.817275747508306E-2</v>
      </c>
      <c r="P11" s="7">
        <f t="shared" ca="1" si="1"/>
        <v>-1.0120327200647702E-4</v>
      </c>
      <c r="Q11" s="7">
        <f t="shared" si="2"/>
        <v>-1.6611295681063121E-2</v>
      </c>
      <c r="R11" s="33">
        <f t="shared" si="3"/>
        <v>148</v>
      </c>
      <c r="S11" s="33">
        <f t="shared" si="4"/>
        <v>19000</v>
      </c>
      <c r="T11" s="7">
        <f t="shared" si="5"/>
        <v>3.1561461794019932E-2</v>
      </c>
      <c r="U11" s="33">
        <f t="shared" si="6"/>
        <v>602000</v>
      </c>
    </row>
    <row r="12" spans="1:118" x14ac:dyDescent="0.25">
      <c r="A12" s="1"/>
      <c r="B12" s="25">
        <v>43461</v>
      </c>
      <c r="C12" s="10" t="s">
        <v>204</v>
      </c>
      <c r="D12" s="1">
        <v>105.1</v>
      </c>
      <c r="E12" s="30">
        <v>4000</v>
      </c>
      <c r="F12" s="1">
        <v>110</v>
      </c>
      <c r="G12" s="1">
        <v>3.2</v>
      </c>
      <c r="H12" s="1">
        <v>1544000</v>
      </c>
      <c r="I12" s="1">
        <v>12000</v>
      </c>
      <c r="J12" s="1">
        <v>3.1</v>
      </c>
      <c r="K12" s="1">
        <v>3.25</v>
      </c>
      <c r="L12" s="1">
        <v>8000</v>
      </c>
      <c r="M12" s="36">
        <v>-0.144706</v>
      </c>
      <c r="N12" s="1"/>
      <c r="O12" s="7">
        <f t="shared" si="0"/>
        <v>3.0447193149381546E-2</v>
      </c>
      <c r="P12" s="7">
        <f t="shared" ca="1" si="1"/>
        <v>-6.3964691490297367E-5</v>
      </c>
      <c r="Q12" s="7">
        <f t="shared" si="2"/>
        <v>-0.51760228353948623</v>
      </c>
      <c r="R12" s="33">
        <f t="shared" si="3"/>
        <v>50.7</v>
      </c>
      <c r="S12" s="33">
        <f t="shared" si="4"/>
        <v>-204799.99999999994</v>
      </c>
      <c r="T12" s="7">
        <f t="shared" si="5"/>
        <v>-0.48715509039010452</v>
      </c>
      <c r="U12" s="33">
        <f t="shared" si="6"/>
        <v>420400</v>
      </c>
    </row>
    <row r="13" spans="1:118" x14ac:dyDescent="0.25">
      <c r="A13" s="1"/>
      <c r="B13" s="25">
        <v>43461</v>
      </c>
      <c r="C13" s="10" t="s">
        <v>1301</v>
      </c>
      <c r="D13" s="1">
        <v>298.75</v>
      </c>
      <c r="E13" s="30">
        <v>1300</v>
      </c>
      <c r="F13" s="1">
        <v>310</v>
      </c>
      <c r="G13" s="1">
        <v>13.9</v>
      </c>
      <c r="H13" s="1">
        <v>123500</v>
      </c>
      <c r="I13" s="1">
        <v>1300</v>
      </c>
      <c r="J13" s="1">
        <v>13.9</v>
      </c>
      <c r="K13" s="1">
        <v>14.9</v>
      </c>
      <c r="L13" s="1">
        <v>1300</v>
      </c>
      <c r="M13" s="36">
        <v>-0.14316900000000002</v>
      </c>
      <c r="N13" s="1"/>
      <c r="O13" s="7">
        <f t="shared" si="0"/>
        <v>4.652719665271967E-2</v>
      </c>
      <c r="P13" s="7">
        <f t="shared" ca="1" si="1"/>
        <v>-9.7746211455293429E-5</v>
      </c>
      <c r="Q13" s="7">
        <f t="shared" si="2"/>
        <v>-0.95263598326359833</v>
      </c>
      <c r="R13" s="33">
        <f t="shared" si="3"/>
        <v>14.15</v>
      </c>
      <c r="S13" s="33">
        <f t="shared" si="4"/>
        <v>-351910.00000000006</v>
      </c>
      <c r="T13" s="7">
        <f t="shared" si="5"/>
        <v>-0.90610878661087879</v>
      </c>
      <c r="U13" s="33">
        <f t="shared" si="6"/>
        <v>388375</v>
      </c>
    </row>
    <row r="14" spans="1:118" x14ac:dyDescent="0.25">
      <c r="A14" s="1"/>
      <c r="B14" s="25">
        <v>43461</v>
      </c>
      <c r="C14" s="10" t="s">
        <v>1149</v>
      </c>
      <c r="D14" s="1">
        <v>84.5</v>
      </c>
      <c r="E14" s="30">
        <v>6000</v>
      </c>
      <c r="F14" s="1">
        <v>85</v>
      </c>
      <c r="G14" s="1">
        <v>5.5</v>
      </c>
      <c r="H14" s="1">
        <v>84000</v>
      </c>
      <c r="I14" s="1">
        <v>30000</v>
      </c>
      <c r="J14" s="1">
        <v>5.0999999999999996</v>
      </c>
      <c r="K14" s="1">
        <v>5.65</v>
      </c>
      <c r="L14" s="1">
        <v>6000</v>
      </c>
      <c r="M14" s="36">
        <v>-0.13131500000000002</v>
      </c>
      <c r="N14" s="1"/>
      <c r="O14" s="7">
        <f t="shared" si="0"/>
        <v>6.5088757396449703E-2</v>
      </c>
      <c r="P14" s="7">
        <f t="shared" ca="1" si="1"/>
        <v>-1.367410869673313E-4</v>
      </c>
      <c r="Q14" s="7">
        <f t="shared" si="2"/>
        <v>9.4082840236686449E-2</v>
      </c>
      <c r="R14" s="33">
        <f t="shared" si="3"/>
        <v>92.45</v>
      </c>
      <c r="S14" s="33">
        <f t="shared" si="4"/>
        <v>36000</v>
      </c>
      <c r="T14" s="7">
        <f t="shared" si="5"/>
        <v>7.1005917159763315E-2</v>
      </c>
      <c r="U14" s="33">
        <f t="shared" si="6"/>
        <v>507000</v>
      </c>
    </row>
    <row r="15" spans="1:118" x14ac:dyDescent="0.25">
      <c r="A15" s="1"/>
      <c r="B15" s="25">
        <v>43461</v>
      </c>
      <c r="C15" s="10" t="s">
        <v>206</v>
      </c>
      <c r="D15" s="1">
        <v>80.8</v>
      </c>
      <c r="E15" s="30">
        <v>6000</v>
      </c>
      <c r="F15" s="1">
        <v>82.5</v>
      </c>
      <c r="G15" s="1">
        <v>3.9</v>
      </c>
      <c r="H15" s="1">
        <v>150000</v>
      </c>
      <c r="I15" s="1">
        <v>12000</v>
      </c>
      <c r="J15" s="1">
        <v>3.8</v>
      </c>
      <c r="K15" s="1">
        <v>4.0999999999999996</v>
      </c>
      <c r="L15" s="1">
        <v>6000</v>
      </c>
      <c r="M15" s="36">
        <v>-0.14923400000000001</v>
      </c>
      <c r="N15" s="1"/>
      <c r="O15" s="7">
        <f t="shared" si="0"/>
        <v>4.8267326732673269E-2</v>
      </c>
      <c r="P15" s="7">
        <f t="shared" ca="1" si="1"/>
        <v>-1.0140194691738081E-4</v>
      </c>
      <c r="Q15" s="7">
        <f t="shared" si="2"/>
        <v>-0.57425742574257432</v>
      </c>
      <c r="R15" s="33">
        <f t="shared" si="3"/>
        <v>34.4</v>
      </c>
      <c r="S15" s="33">
        <f t="shared" si="4"/>
        <v>-255000</v>
      </c>
      <c r="T15" s="7">
        <f t="shared" si="5"/>
        <v>-0.52599009900990101</v>
      </c>
      <c r="U15" s="33">
        <f t="shared" si="6"/>
        <v>484800</v>
      </c>
    </row>
    <row r="16" spans="1:118" x14ac:dyDescent="0.25">
      <c r="A16" s="1"/>
      <c r="B16" s="25">
        <v>43461</v>
      </c>
      <c r="C16" s="10" t="s">
        <v>687</v>
      </c>
      <c r="D16" s="1">
        <v>37.700000000000003</v>
      </c>
      <c r="E16" s="30">
        <v>13200</v>
      </c>
      <c r="F16" s="1">
        <v>39</v>
      </c>
      <c r="G16" s="1">
        <v>1.25</v>
      </c>
      <c r="H16" s="1">
        <v>198000</v>
      </c>
      <c r="I16" s="1">
        <v>26400</v>
      </c>
      <c r="J16" s="1">
        <v>1.1499999999999999</v>
      </c>
      <c r="K16" s="1">
        <v>1.3</v>
      </c>
      <c r="L16" s="1">
        <v>13200</v>
      </c>
      <c r="M16" s="36">
        <v>-0.12365899999999999</v>
      </c>
      <c r="N16" s="1"/>
      <c r="O16" s="7">
        <f t="shared" si="0"/>
        <v>3.3156498673740049E-2</v>
      </c>
      <c r="P16" s="7">
        <f t="shared" ca="1" si="1"/>
        <v>-6.9656509818781618E-5</v>
      </c>
      <c r="Q16" s="7">
        <f t="shared" si="2"/>
        <v>-0.58355437665782506</v>
      </c>
      <c r="R16" s="33">
        <f t="shared" si="3"/>
        <v>15.7</v>
      </c>
      <c r="S16" s="33">
        <f t="shared" si="4"/>
        <v>-273900.00000000006</v>
      </c>
      <c r="T16" s="7">
        <f t="shared" si="5"/>
        <v>-0.5503978779840849</v>
      </c>
      <c r="U16" s="33">
        <f t="shared" si="6"/>
        <v>497640.00000000006</v>
      </c>
    </row>
    <row r="17" spans="1:21" x14ac:dyDescent="0.25">
      <c r="A17" s="1"/>
      <c r="B17" s="25">
        <v>43461</v>
      </c>
      <c r="C17" s="10" t="s">
        <v>1301</v>
      </c>
      <c r="D17" s="1">
        <v>298.75</v>
      </c>
      <c r="E17" s="30">
        <v>1300</v>
      </c>
      <c r="F17" s="1">
        <v>300</v>
      </c>
      <c r="G17" s="1">
        <v>18.75</v>
      </c>
      <c r="H17" s="1">
        <v>68900</v>
      </c>
      <c r="I17" s="1">
        <v>1300</v>
      </c>
      <c r="J17" s="1">
        <v>18.5</v>
      </c>
      <c r="K17" s="1">
        <v>19.899999999999999</v>
      </c>
      <c r="L17" s="1">
        <v>1300</v>
      </c>
      <c r="M17" s="36">
        <v>-0.14316900000000002</v>
      </c>
      <c r="N17" s="1"/>
      <c r="O17" s="7">
        <f t="shared" si="0"/>
        <v>6.2761506276150625E-2</v>
      </c>
      <c r="P17" s="7">
        <f t="shared" ca="1" si="1"/>
        <v>-1.3185190394149291E-4</v>
      </c>
      <c r="Q17" s="7">
        <f t="shared" si="2"/>
        <v>-0.95263598326359833</v>
      </c>
      <c r="R17" s="33">
        <f t="shared" si="3"/>
        <v>14.15</v>
      </c>
      <c r="S17" s="33">
        <f t="shared" si="4"/>
        <v>-345605.00000000006</v>
      </c>
      <c r="T17" s="7">
        <f t="shared" si="5"/>
        <v>-0.88987447698744782</v>
      </c>
      <c r="U17" s="33">
        <f t="shared" si="6"/>
        <v>388375</v>
      </c>
    </row>
    <row r="18" spans="1:21" x14ac:dyDescent="0.25">
      <c r="A18" s="1"/>
      <c r="B18" s="25">
        <v>43461</v>
      </c>
      <c r="C18" s="10" t="s">
        <v>1554</v>
      </c>
      <c r="D18" s="1">
        <v>32.15</v>
      </c>
      <c r="E18" s="30">
        <v>9000</v>
      </c>
      <c r="F18" s="1">
        <v>33</v>
      </c>
      <c r="G18" s="1">
        <v>1.3</v>
      </c>
      <c r="H18" s="1">
        <v>18000</v>
      </c>
      <c r="I18" s="1">
        <v>36000</v>
      </c>
      <c r="J18" s="1">
        <v>1.1000000000000001</v>
      </c>
      <c r="K18" s="1">
        <v>1.45</v>
      </c>
      <c r="L18" s="1">
        <v>18000</v>
      </c>
      <c r="M18" s="36">
        <v>-0.14246800000000001</v>
      </c>
      <c r="N18" s="1"/>
      <c r="O18" s="7">
        <f t="shared" si="0"/>
        <v>4.0435458786936239E-2</v>
      </c>
      <c r="P18" s="7">
        <f t="shared" ca="1" si="1"/>
        <v>-8.4948442829697987E-5</v>
      </c>
      <c r="Q18" s="7">
        <f t="shared" si="2"/>
        <v>0.11041990668740298</v>
      </c>
      <c r="R18" s="33">
        <f t="shared" si="3"/>
        <v>35.700000000000003</v>
      </c>
      <c r="S18" s="33">
        <f t="shared" si="4"/>
        <v>19350.000000000011</v>
      </c>
      <c r="T18" s="7">
        <f t="shared" si="5"/>
        <v>6.68740279937792E-2</v>
      </c>
      <c r="U18" s="33">
        <f t="shared" si="6"/>
        <v>289350</v>
      </c>
    </row>
    <row r="19" spans="1:21" x14ac:dyDescent="0.25">
      <c r="A19" s="1"/>
      <c r="B19" s="25">
        <v>43461</v>
      </c>
      <c r="C19" s="10" t="s">
        <v>693</v>
      </c>
      <c r="D19" s="1">
        <v>12.75</v>
      </c>
      <c r="E19" s="30">
        <v>25000</v>
      </c>
      <c r="F19" s="1">
        <v>13</v>
      </c>
      <c r="G19" s="1">
        <v>0.6</v>
      </c>
      <c r="H19" s="1">
        <v>325000</v>
      </c>
      <c r="I19" s="1">
        <v>50000</v>
      </c>
      <c r="J19" s="1">
        <v>0.6</v>
      </c>
      <c r="K19" s="1">
        <v>0.7</v>
      </c>
      <c r="L19" s="1">
        <v>25000</v>
      </c>
      <c r="M19" s="36">
        <v>-0.16647699999999999</v>
      </c>
      <c r="N19" s="1"/>
      <c r="O19" s="7">
        <f t="shared" si="0"/>
        <v>4.7058823529411764E-2</v>
      </c>
      <c r="P19" s="7">
        <f t="shared" ca="1" si="1"/>
        <v>-9.8863074641621353E-5</v>
      </c>
      <c r="Q19" s="7">
        <f t="shared" si="2"/>
        <v>-0.67058823529411771</v>
      </c>
      <c r="R19" s="33">
        <f t="shared" si="3"/>
        <v>4.2</v>
      </c>
      <c r="S19" s="33">
        <f t="shared" si="4"/>
        <v>-198750.00000000003</v>
      </c>
      <c r="T19" s="7">
        <f t="shared" si="5"/>
        <v>-0.623529411764706</v>
      </c>
      <c r="U19" s="33">
        <f t="shared" si="6"/>
        <v>318750</v>
      </c>
    </row>
    <row r="20" spans="1:21" x14ac:dyDescent="0.25">
      <c r="A20" s="1"/>
      <c r="B20" s="25">
        <v>43461</v>
      </c>
      <c r="C20" s="10" t="s">
        <v>286</v>
      </c>
      <c r="D20" s="1">
        <v>244.65</v>
      </c>
      <c r="E20" s="30">
        <v>2000</v>
      </c>
      <c r="F20" s="1">
        <v>250</v>
      </c>
      <c r="G20" s="1">
        <v>10.9</v>
      </c>
      <c r="H20" s="1">
        <v>128000</v>
      </c>
      <c r="I20" s="1">
        <v>4000</v>
      </c>
      <c r="J20" s="1">
        <v>10.6</v>
      </c>
      <c r="K20" s="1">
        <v>11.55</v>
      </c>
      <c r="L20" s="1">
        <v>16000</v>
      </c>
      <c r="M20" s="36">
        <v>-0.12681400000000001</v>
      </c>
      <c r="N20" s="1"/>
      <c r="O20" s="7">
        <f t="shared" si="0"/>
        <v>4.45534436950746E-2</v>
      </c>
      <c r="P20" s="7">
        <f t="shared" ca="1" si="1"/>
        <v>-9.3599671628307978E-5</v>
      </c>
      <c r="Q20" s="7">
        <f t="shared" si="2"/>
        <v>-0.62967504598405888</v>
      </c>
      <c r="R20" s="33">
        <f t="shared" si="3"/>
        <v>90.6</v>
      </c>
      <c r="S20" s="33">
        <f t="shared" si="4"/>
        <v>-286300</v>
      </c>
      <c r="T20" s="7">
        <f t="shared" si="5"/>
        <v>-0.58512160228898424</v>
      </c>
      <c r="U20" s="33">
        <f t="shared" si="6"/>
        <v>489300</v>
      </c>
    </row>
    <row r="21" spans="1:21" x14ac:dyDescent="0.25">
      <c r="A21" s="1"/>
      <c r="B21" s="25">
        <v>43461</v>
      </c>
      <c r="C21" s="10" t="s">
        <v>396</v>
      </c>
      <c r="D21" s="1">
        <v>166.8</v>
      </c>
      <c r="E21" s="30">
        <v>2500</v>
      </c>
      <c r="F21" s="1">
        <v>170</v>
      </c>
      <c r="G21" s="1">
        <v>7.85</v>
      </c>
      <c r="H21" s="1">
        <v>307500</v>
      </c>
      <c r="I21" s="1">
        <v>5000</v>
      </c>
      <c r="J21" s="1">
        <v>7.6</v>
      </c>
      <c r="K21" s="1">
        <v>7.8</v>
      </c>
      <c r="L21" s="1">
        <v>2500</v>
      </c>
      <c r="M21" s="36">
        <v>-0.115479</v>
      </c>
      <c r="N21" s="1"/>
      <c r="O21" s="7">
        <f t="shared" si="0"/>
        <v>4.7062350119904069E-2</v>
      </c>
      <c r="P21" s="7">
        <f t="shared" ca="1" si="1"/>
        <v>-9.8870483445176612E-5</v>
      </c>
      <c r="Q21" s="7">
        <f t="shared" si="2"/>
        <v>-0.15137889688249395</v>
      </c>
      <c r="R21" s="33">
        <f t="shared" si="3"/>
        <v>141.55000000000001</v>
      </c>
      <c r="S21" s="33">
        <f t="shared" si="4"/>
        <v>-43500</v>
      </c>
      <c r="T21" s="7">
        <f t="shared" si="5"/>
        <v>-0.10431654676258993</v>
      </c>
      <c r="U21" s="33">
        <f t="shared" si="6"/>
        <v>417000</v>
      </c>
    </row>
    <row r="22" spans="1:21" x14ac:dyDescent="0.25">
      <c r="A22" s="1"/>
      <c r="B22" s="25">
        <v>43461</v>
      </c>
      <c r="C22" s="10" t="s">
        <v>221</v>
      </c>
      <c r="D22" s="1">
        <v>698</v>
      </c>
      <c r="E22" s="30">
        <v>500</v>
      </c>
      <c r="F22" s="1">
        <v>700</v>
      </c>
      <c r="G22" s="1">
        <v>43.65</v>
      </c>
      <c r="H22" s="1">
        <v>6000</v>
      </c>
      <c r="I22" s="1">
        <v>500</v>
      </c>
      <c r="J22" s="1">
        <v>40</v>
      </c>
      <c r="K22" s="1">
        <v>42.75</v>
      </c>
      <c r="L22" s="1">
        <v>4000</v>
      </c>
      <c r="M22" s="36">
        <v>-0.165631</v>
      </c>
      <c r="N22" s="1"/>
      <c r="O22" s="7">
        <f t="shared" si="0"/>
        <v>6.2535816618911166E-2</v>
      </c>
      <c r="P22" s="7">
        <f t="shared" ca="1" si="1"/>
        <v>-1.3137776600611589E-4</v>
      </c>
      <c r="Q22" s="7">
        <f t="shared" si="2"/>
        <v>3.5888252148997157E-2</v>
      </c>
      <c r="R22" s="33">
        <f t="shared" si="3"/>
        <v>723.05</v>
      </c>
      <c r="S22" s="33">
        <f t="shared" si="4"/>
        <v>22825</v>
      </c>
      <c r="T22" s="7">
        <f t="shared" si="5"/>
        <v>6.5401146131805157E-2</v>
      </c>
      <c r="U22" s="33">
        <f t="shared" si="6"/>
        <v>349000</v>
      </c>
    </row>
    <row r="23" spans="1:21" x14ac:dyDescent="0.25">
      <c r="A23" s="1"/>
      <c r="B23" s="25">
        <v>43461</v>
      </c>
      <c r="C23" s="10" t="s">
        <v>642</v>
      </c>
      <c r="D23" s="1">
        <v>226</v>
      </c>
      <c r="E23" s="30">
        <v>1575</v>
      </c>
      <c r="F23" s="1">
        <v>230</v>
      </c>
      <c r="G23" s="1">
        <v>10.75</v>
      </c>
      <c r="H23" s="1">
        <v>485100</v>
      </c>
      <c r="I23" s="1">
        <v>3150</v>
      </c>
      <c r="J23" s="1">
        <v>10.7</v>
      </c>
      <c r="K23" s="1">
        <v>10.8</v>
      </c>
      <c r="L23" s="1">
        <v>7875</v>
      </c>
      <c r="M23" s="36">
        <v>-0.11794</v>
      </c>
      <c r="N23" s="1"/>
      <c r="O23" s="7">
        <f t="shared" si="0"/>
        <v>4.7566371681415927E-2</v>
      </c>
      <c r="P23" s="7">
        <f t="shared" ca="1" si="1"/>
        <v>-9.9929352271882195E-5</v>
      </c>
      <c r="Q23" s="7">
        <f t="shared" si="2"/>
        <v>-3.849557522123892E-2</v>
      </c>
      <c r="R23" s="33">
        <f t="shared" si="3"/>
        <v>217.3</v>
      </c>
      <c r="S23" s="33">
        <f t="shared" si="4"/>
        <v>3228.7500000000177</v>
      </c>
      <c r="T23" s="7">
        <f t="shared" si="5"/>
        <v>9.0707964601770413E-3</v>
      </c>
      <c r="U23" s="33">
        <f t="shared" si="6"/>
        <v>355950</v>
      </c>
    </row>
    <row r="24" spans="1:21" x14ac:dyDescent="0.25">
      <c r="A24" s="1"/>
      <c r="B24" s="25">
        <v>43461</v>
      </c>
      <c r="C24" s="10" t="s">
        <v>1668</v>
      </c>
      <c r="D24" s="1">
        <v>73.55</v>
      </c>
      <c r="E24" s="30">
        <v>6000</v>
      </c>
      <c r="F24" s="1">
        <v>75</v>
      </c>
      <c r="G24" s="1">
        <v>3.3</v>
      </c>
      <c r="H24" s="1">
        <v>204000</v>
      </c>
      <c r="I24" s="1">
        <v>6000</v>
      </c>
      <c r="J24" s="1">
        <v>3.2</v>
      </c>
      <c r="K24" s="1">
        <v>3.25</v>
      </c>
      <c r="L24" s="1">
        <v>6000</v>
      </c>
      <c r="M24" s="36">
        <v>-0.140041</v>
      </c>
      <c r="N24" s="1"/>
      <c r="O24" s="7">
        <f t="shared" si="0"/>
        <v>4.4867437117607066E-2</v>
      </c>
      <c r="P24" s="7">
        <f t="shared" ca="1" si="1"/>
        <v>-9.4259321675645098E-5</v>
      </c>
      <c r="Q24" s="7">
        <f t="shared" si="2"/>
        <v>-0.60299116247450713</v>
      </c>
      <c r="R24" s="33">
        <f t="shared" si="3"/>
        <v>29.2</v>
      </c>
      <c r="S24" s="33">
        <f t="shared" si="4"/>
        <v>-246299.99999999997</v>
      </c>
      <c r="T24" s="7">
        <f t="shared" si="5"/>
        <v>-0.55812372535690002</v>
      </c>
      <c r="U24" s="33">
        <f t="shared" si="6"/>
        <v>441300</v>
      </c>
    </row>
    <row r="25" spans="1:21" x14ac:dyDescent="0.25">
      <c r="A25" s="1"/>
      <c r="B25" s="25">
        <v>43461</v>
      </c>
      <c r="C25" s="10" t="s">
        <v>1210</v>
      </c>
      <c r="D25" s="1">
        <v>66</v>
      </c>
      <c r="E25" s="30">
        <v>5500</v>
      </c>
      <c r="F25" s="1">
        <v>67.5</v>
      </c>
      <c r="G25" s="1">
        <v>2.65</v>
      </c>
      <c r="H25" s="1">
        <v>495000</v>
      </c>
      <c r="I25" s="1">
        <v>27500</v>
      </c>
      <c r="J25" s="1">
        <v>2.6</v>
      </c>
      <c r="K25" s="1">
        <v>2.8</v>
      </c>
      <c r="L25" s="1">
        <v>5500</v>
      </c>
      <c r="M25" s="36">
        <v>-0.184474</v>
      </c>
      <c r="N25" s="1"/>
      <c r="O25" s="7">
        <f t="shared" si="0"/>
        <v>4.0151515151515153E-2</v>
      </c>
      <c r="P25" s="7">
        <f t="shared" ca="1" si="1"/>
        <v>-8.4351922587216712E-5</v>
      </c>
      <c r="Q25" s="7">
        <f t="shared" si="2"/>
        <v>-0.5143939393939394</v>
      </c>
      <c r="R25" s="33">
        <f t="shared" si="3"/>
        <v>32.049999999999997</v>
      </c>
      <c r="S25" s="33">
        <f t="shared" si="4"/>
        <v>-172150.00000000003</v>
      </c>
      <c r="T25" s="7">
        <f t="shared" si="5"/>
        <v>-0.4742424242424243</v>
      </c>
      <c r="U25" s="33">
        <f t="shared" si="6"/>
        <v>363000</v>
      </c>
    </row>
    <row r="26" spans="1:21" x14ac:dyDescent="0.25">
      <c r="A26" s="1"/>
      <c r="B26" s="25">
        <v>43461</v>
      </c>
      <c r="C26" s="10" t="s">
        <v>1507</v>
      </c>
      <c r="D26" s="1">
        <v>448.1</v>
      </c>
      <c r="E26" s="30">
        <v>800</v>
      </c>
      <c r="F26" s="1">
        <v>460</v>
      </c>
      <c r="G26" s="1">
        <v>19</v>
      </c>
      <c r="H26" s="1">
        <v>13600</v>
      </c>
      <c r="I26" s="1">
        <v>2400</v>
      </c>
      <c r="J26" s="1">
        <v>17.5</v>
      </c>
      <c r="K26" s="1">
        <v>20</v>
      </c>
      <c r="L26" s="1">
        <v>800</v>
      </c>
      <c r="M26" s="36">
        <v>-0.171487</v>
      </c>
      <c r="N26" s="1"/>
      <c r="O26" s="7">
        <f t="shared" si="0"/>
        <v>4.2401249721044407E-2</v>
      </c>
      <c r="P26" s="7">
        <f t="shared" ca="1" si="1"/>
        <v>-8.9078255716479841E-5</v>
      </c>
      <c r="Q26" s="7">
        <f t="shared" si="2"/>
        <v>-0.21546529792457048</v>
      </c>
      <c r="R26" s="33">
        <f t="shared" si="3"/>
        <v>351.55</v>
      </c>
      <c r="S26" s="33">
        <f t="shared" si="4"/>
        <v>-62040.000000000007</v>
      </c>
      <c r="T26" s="7">
        <f t="shared" si="5"/>
        <v>-0.17306404820352603</v>
      </c>
      <c r="U26" s="33">
        <f t="shared" si="6"/>
        <v>358480</v>
      </c>
    </row>
    <row r="27" spans="1:21" x14ac:dyDescent="0.25">
      <c r="A27" s="1"/>
      <c r="B27" s="25">
        <v>43461</v>
      </c>
      <c r="C27" s="10" t="s">
        <v>5</v>
      </c>
      <c r="D27" s="1">
        <v>82.7</v>
      </c>
      <c r="E27" s="30">
        <v>8000</v>
      </c>
      <c r="F27" s="1">
        <v>85</v>
      </c>
      <c r="G27" s="1">
        <v>2.8</v>
      </c>
      <c r="H27" s="1">
        <v>320000</v>
      </c>
      <c r="I27" s="1">
        <v>8000</v>
      </c>
      <c r="J27" s="1">
        <v>2.8</v>
      </c>
      <c r="K27" s="1">
        <v>3</v>
      </c>
      <c r="L27" s="1">
        <v>72000</v>
      </c>
      <c r="M27" s="36">
        <v>-0.111426</v>
      </c>
      <c r="N27" s="1"/>
      <c r="O27" s="7">
        <f t="shared" si="0"/>
        <v>3.3857315598548966E-2</v>
      </c>
      <c r="P27" s="7">
        <f t="shared" ca="1" si="1"/>
        <v>-7.11288142826659E-5</v>
      </c>
      <c r="Q27" s="7">
        <f t="shared" si="2"/>
        <v>-0.47762998790810152</v>
      </c>
      <c r="R27" s="33">
        <f t="shared" si="3"/>
        <v>43.2</v>
      </c>
      <c r="S27" s="33">
        <f t="shared" si="4"/>
        <v>-293600</v>
      </c>
      <c r="T27" s="7">
        <f t="shared" si="5"/>
        <v>-0.44377267230955258</v>
      </c>
      <c r="U27" s="33">
        <f t="shared" si="6"/>
        <v>661600</v>
      </c>
    </row>
    <row r="28" spans="1:21" x14ac:dyDescent="0.25">
      <c r="A28" s="1"/>
      <c r="B28" s="25">
        <v>43461</v>
      </c>
      <c r="C28" s="10" t="s">
        <v>1288</v>
      </c>
      <c r="D28" s="1">
        <v>103.1</v>
      </c>
      <c r="E28" s="30">
        <v>6000</v>
      </c>
      <c r="F28" s="1">
        <v>105</v>
      </c>
      <c r="G28" s="1">
        <v>4.4000000000000004</v>
      </c>
      <c r="H28" s="1">
        <v>870000</v>
      </c>
      <c r="I28" s="1">
        <v>6000</v>
      </c>
      <c r="J28" s="1">
        <v>4.0999999999999996</v>
      </c>
      <c r="K28" s="1">
        <v>4.7</v>
      </c>
      <c r="L28" s="1">
        <v>6000</v>
      </c>
      <c r="M28" s="36">
        <v>-0.10454000000000001</v>
      </c>
      <c r="N28" s="1"/>
      <c r="O28" s="7">
        <f t="shared" si="0"/>
        <v>4.2677012609117368E-2</v>
      </c>
      <c r="P28" s="7">
        <f t="shared" ca="1" si="1"/>
        <v>-8.9657589514952451E-5</v>
      </c>
      <c r="Q28" s="7">
        <f t="shared" si="2"/>
        <v>-0.10572259941804063</v>
      </c>
      <c r="R28" s="33">
        <f t="shared" si="3"/>
        <v>92.2</v>
      </c>
      <c r="S28" s="33">
        <f t="shared" si="4"/>
        <v>-38999.999999999949</v>
      </c>
      <c r="T28" s="7">
        <f t="shared" si="5"/>
        <v>-6.304558680892329E-2</v>
      </c>
      <c r="U28" s="33">
        <f t="shared" si="6"/>
        <v>618600</v>
      </c>
    </row>
    <row r="29" spans="1:21" x14ac:dyDescent="0.25">
      <c r="A29" s="1"/>
      <c r="B29" s="25">
        <v>43461</v>
      </c>
      <c r="C29" s="10" t="s">
        <v>458</v>
      </c>
      <c r="D29" s="1">
        <v>629.95000000000005</v>
      </c>
      <c r="E29" s="30">
        <v>1100</v>
      </c>
      <c r="F29" s="1">
        <v>640</v>
      </c>
      <c r="G29" s="1">
        <v>27.8</v>
      </c>
      <c r="H29" s="1">
        <v>56100</v>
      </c>
      <c r="I29" s="1">
        <v>2200</v>
      </c>
      <c r="J29" s="1">
        <v>27</v>
      </c>
      <c r="K29" s="1">
        <v>28</v>
      </c>
      <c r="L29" s="1">
        <v>3300</v>
      </c>
      <c r="M29" s="36">
        <v>-0.12584200000000001</v>
      </c>
      <c r="N29" s="1"/>
      <c r="O29" s="7">
        <f t="shared" si="0"/>
        <v>4.4130486546551315E-2</v>
      </c>
      <c r="P29" s="7">
        <f t="shared" ca="1" si="1"/>
        <v>-9.2711106190233853E-5</v>
      </c>
      <c r="Q29" s="7">
        <f t="shared" si="2"/>
        <v>0.19231685054369385</v>
      </c>
      <c r="R29" s="33">
        <f t="shared" si="3"/>
        <v>751.1</v>
      </c>
      <c r="S29" s="33">
        <f t="shared" si="4"/>
        <v>41634.999999999949</v>
      </c>
      <c r="T29" s="7">
        <f t="shared" si="5"/>
        <v>6.0084133661401626E-2</v>
      </c>
      <c r="U29" s="33">
        <f t="shared" si="6"/>
        <v>692945</v>
      </c>
    </row>
    <row r="30" spans="1:21" x14ac:dyDescent="0.25">
      <c r="A30" s="1"/>
      <c r="B30" s="25">
        <v>43461</v>
      </c>
      <c r="C30" s="10" t="s">
        <v>1507</v>
      </c>
      <c r="D30" s="1">
        <v>448.1</v>
      </c>
      <c r="E30" s="30">
        <v>800</v>
      </c>
      <c r="F30" s="1">
        <v>450</v>
      </c>
      <c r="G30" s="1">
        <v>25</v>
      </c>
      <c r="H30" s="1">
        <v>12000</v>
      </c>
      <c r="I30" s="1">
        <v>1600</v>
      </c>
      <c r="J30" s="1">
        <v>21.9</v>
      </c>
      <c r="K30" s="1">
        <v>25</v>
      </c>
      <c r="L30" s="1">
        <v>2400</v>
      </c>
      <c r="M30" s="36">
        <v>-0.171487</v>
      </c>
      <c r="N30" s="1"/>
      <c r="O30" s="7">
        <f t="shared" si="0"/>
        <v>5.57911180540058E-2</v>
      </c>
      <c r="P30" s="7">
        <f t="shared" ca="1" si="1"/>
        <v>-1.1720823120589454E-4</v>
      </c>
      <c r="Q30" s="7">
        <f t="shared" si="2"/>
        <v>-0.21546529792457048</v>
      </c>
      <c r="R30" s="33">
        <f t="shared" si="3"/>
        <v>351.55</v>
      </c>
      <c r="S30" s="33">
        <f t="shared" si="4"/>
        <v>-57240.000000000007</v>
      </c>
      <c r="T30" s="7">
        <f t="shared" si="5"/>
        <v>-0.15967417987056462</v>
      </c>
      <c r="U30" s="33">
        <f t="shared" si="6"/>
        <v>358480</v>
      </c>
    </row>
    <row r="31" spans="1:21" x14ac:dyDescent="0.25">
      <c r="A31" s="1"/>
      <c r="B31" s="25">
        <v>43461</v>
      </c>
      <c r="C31" s="10" t="s">
        <v>286</v>
      </c>
      <c r="D31" s="1">
        <v>244.65</v>
      </c>
      <c r="E31" s="30">
        <v>2000</v>
      </c>
      <c r="F31" s="1">
        <v>245</v>
      </c>
      <c r="G31" s="1">
        <v>13.95</v>
      </c>
      <c r="H31" s="1">
        <v>8000</v>
      </c>
      <c r="I31" s="1">
        <v>40000</v>
      </c>
      <c r="J31" s="1">
        <v>8</v>
      </c>
      <c r="K31" s="1">
        <v>14.05</v>
      </c>
      <c r="L31" s="1">
        <v>16000</v>
      </c>
      <c r="M31" s="36">
        <v>-0.12681400000000001</v>
      </c>
      <c r="N31" s="1"/>
      <c r="O31" s="7">
        <f t="shared" si="0"/>
        <v>5.7020232985898214E-2</v>
      </c>
      <c r="P31" s="7">
        <f t="shared" ca="1" si="1"/>
        <v>-1.1979040543255927E-4</v>
      </c>
      <c r="Q31" s="7">
        <f t="shared" si="2"/>
        <v>-0.62967504598405888</v>
      </c>
      <c r="R31" s="33">
        <f t="shared" si="3"/>
        <v>90.6</v>
      </c>
      <c r="S31" s="33">
        <f t="shared" si="4"/>
        <v>-280200.00000000006</v>
      </c>
      <c r="T31" s="7">
        <f t="shared" si="5"/>
        <v>-0.57265481299816079</v>
      </c>
      <c r="U31" s="33">
        <f t="shared" si="6"/>
        <v>489300</v>
      </c>
    </row>
    <row r="32" spans="1:21" x14ac:dyDescent="0.25">
      <c r="A32" s="1"/>
      <c r="B32" s="25">
        <v>43461</v>
      </c>
      <c r="C32" s="10" t="s">
        <v>288</v>
      </c>
      <c r="D32" s="1">
        <v>240</v>
      </c>
      <c r="E32" s="30">
        <v>1250</v>
      </c>
      <c r="F32" s="1">
        <v>240</v>
      </c>
      <c r="G32" s="1">
        <v>14</v>
      </c>
      <c r="H32" s="1">
        <v>2500</v>
      </c>
      <c r="I32" s="1">
        <v>1250</v>
      </c>
      <c r="J32" s="1">
        <v>8.15</v>
      </c>
      <c r="K32" s="1">
        <v>13</v>
      </c>
      <c r="L32" s="1">
        <v>7500</v>
      </c>
      <c r="M32" s="36">
        <v>-0.14369899999999999</v>
      </c>
      <c r="N32" s="1"/>
      <c r="O32" s="7">
        <f t="shared" si="0"/>
        <v>5.8333333333333334E-2</v>
      </c>
      <c r="P32" s="7">
        <f t="shared" ca="1" si="1"/>
        <v>-1.2254901960784314E-4</v>
      </c>
      <c r="Q32" s="7">
        <f t="shared" si="2"/>
        <v>0.14729166666666682</v>
      </c>
      <c r="R32" s="33">
        <f t="shared" si="3"/>
        <v>275.35000000000002</v>
      </c>
      <c r="S32" s="33">
        <f t="shared" si="4"/>
        <v>17500</v>
      </c>
      <c r="T32" s="7">
        <f t="shared" si="5"/>
        <v>5.8333333333333334E-2</v>
      </c>
      <c r="U32" s="33">
        <f t="shared" si="6"/>
        <v>300000</v>
      </c>
    </row>
    <row r="33" spans="1:21" x14ac:dyDescent="0.25">
      <c r="A33" s="1"/>
      <c r="B33" s="25">
        <v>43461</v>
      </c>
      <c r="C33" s="10" t="s">
        <v>86</v>
      </c>
      <c r="D33" s="1">
        <v>44.8</v>
      </c>
      <c r="E33" s="30">
        <v>11000</v>
      </c>
      <c r="F33" s="1">
        <v>45</v>
      </c>
      <c r="G33" s="1">
        <v>2.4</v>
      </c>
      <c r="H33" s="1">
        <v>330000</v>
      </c>
      <c r="I33" s="1">
        <v>33000</v>
      </c>
      <c r="J33" s="1">
        <v>2.4</v>
      </c>
      <c r="K33" s="1">
        <v>2.95</v>
      </c>
      <c r="L33" s="1">
        <v>11000</v>
      </c>
      <c r="M33" s="36">
        <v>-0.13623099999999999</v>
      </c>
      <c r="N33" s="1"/>
      <c r="O33" s="7">
        <f t="shared" si="0"/>
        <v>5.3571428571428575E-2</v>
      </c>
      <c r="P33" s="7">
        <f t="shared" ca="1" si="1"/>
        <v>-1.1254501800720289E-4</v>
      </c>
      <c r="Q33" s="7">
        <f t="shared" si="2"/>
        <v>0.11495535714285721</v>
      </c>
      <c r="R33" s="33">
        <f t="shared" si="3"/>
        <v>49.95</v>
      </c>
      <c r="S33" s="33">
        <f t="shared" si="4"/>
        <v>28600.000000000029</v>
      </c>
      <c r="T33" s="7">
        <f t="shared" si="5"/>
        <v>5.803571428571435E-2</v>
      </c>
      <c r="U33" s="33">
        <f t="shared" si="6"/>
        <v>492799.99999999994</v>
      </c>
    </row>
    <row r="34" spans="1:21" x14ac:dyDescent="0.25">
      <c r="A34" s="1"/>
      <c r="B34" s="25">
        <v>43461</v>
      </c>
      <c r="C34" s="10" t="s">
        <v>266</v>
      </c>
      <c r="D34" s="1">
        <v>324.95</v>
      </c>
      <c r="E34" s="30">
        <v>1800</v>
      </c>
      <c r="F34" s="1">
        <v>330</v>
      </c>
      <c r="G34" s="1">
        <v>13.4</v>
      </c>
      <c r="H34" s="1">
        <v>354600</v>
      </c>
      <c r="I34" s="1">
        <v>1800</v>
      </c>
      <c r="J34" s="1">
        <v>13</v>
      </c>
      <c r="K34" s="1">
        <v>13.4</v>
      </c>
      <c r="L34" s="1">
        <v>1800</v>
      </c>
      <c r="M34" s="36">
        <v>-0.10425899999999999</v>
      </c>
      <c r="N34" s="1"/>
      <c r="O34" s="7">
        <f t="shared" si="0"/>
        <v>4.1237113402061855E-2</v>
      </c>
      <c r="P34" s="7">
        <f t="shared" ca="1" si="1"/>
        <v>-8.6632591180802222E-5</v>
      </c>
      <c r="Q34" s="7">
        <f t="shared" si="2"/>
        <v>0.12186490229266056</v>
      </c>
      <c r="R34" s="33">
        <f t="shared" si="3"/>
        <v>364.55</v>
      </c>
      <c r="S34" s="33">
        <f t="shared" si="4"/>
        <v>33210.000000000015</v>
      </c>
      <c r="T34" s="7">
        <f t="shared" si="5"/>
        <v>5.6777965840898621E-2</v>
      </c>
      <c r="U34" s="33">
        <f t="shared" si="6"/>
        <v>584910</v>
      </c>
    </row>
    <row r="35" spans="1:21" x14ac:dyDescent="0.25">
      <c r="A35" s="1"/>
      <c r="B35" s="25">
        <v>43461</v>
      </c>
      <c r="C35" s="10" t="s">
        <v>126</v>
      </c>
      <c r="D35" s="1">
        <v>1194.6500000000001</v>
      </c>
      <c r="E35" s="30">
        <v>500</v>
      </c>
      <c r="F35" s="1">
        <v>1220</v>
      </c>
      <c r="G35" s="1">
        <v>42</v>
      </c>
      <c r="H35" s="1">
        <v>1500</v>
      </c>
      <c r="I35" s="1">
        <v>5000</v>
      </c>
      <c r="J35" s="1">
        <v>33.5</v>
      </c>
      <c r="K35" s="1">
        <v>41.2</v>
      </c>
      <c r="L35" s="1">
        <v>500</v>
      </c>
      <c r="M35" s="36">
        <v>-6.5530999999999992E-2</v>
      </c>
      <c r="N35" s="1"/>
      <c r="O35" s="7">
        <f t="shared" si="0"/>
        <v>3.5156740467919473E-2</v>
      </c>
      <c r="P35" s="7">
        <f t="shared" ca="1" si="1"/>
        <v>-7.3858698462015692E-5</v>
      </c>
      <c r="Q35" s="7">
        <f t="shared" si="2"/>
        <v>0.17172393588080181</v>
      </c>
      <c r="R35" s="33">
        <f t="shared" si="3"/>
        <v>1399.8</v>
      </c>
      <c r="S35" s="33">
        <f t="shared" si="4"/>
        <v>33674.999999999956</v>
      </c>
      <c r="T35" s="7">
        <f t="shared" si="5"/>
        <v>5.6376344536056514E-2</v>
      </c>
      <c r="U35" s="33">
        <f t="shared" si="6"/>
        <v>597325</v>
      </c>
    </row>
    <row r="36" spans="1:21" x14ac:dyDescent="0.25">
      <c r="A36" s="1"/>
      <c r="B36" s="25">
        <v>43461</v>
      </c>
      <c r="C36" s="10" t="s">
        <v>1327</v>
      </c>
      <c r="D36" s="1">
        <v>27.65</v>
      </c>
      <c r="E36" s="30">
        <v>13000</v>
      </c>
      <c r="F36" s="1">
        <v>28</v>
      </c>
      <c r="G36" s="1">
        <v>1.55</v>
      </c>
      <c r="H36" s="1">
        <v>221000</v>
      </c>
      <c r="I36" s="1">
        <v>65000</v>
      </c>
      <c r="J36" s="1">
        <v>1.35</v>
      </c>
      <c r="K36" s="1">
        <v>1.55</v>
      </c>
      <c r="L36" s="1">
        <v>13000</v>
      </c>
      <c r="M36" s="36">
        <v>-0.12981099999999998</v>
      </c>
      <c r="N36" s="1"/>
      <c r="O36" s="7">
        <f t="shared" ref="O36:O67" si="7">G36/D36</f>
        <v>5.6057866184448468E-2</v>
      </c>
      <c r="P36" s="7">
        <f t="shared" ref="P36:P67" ca="1" si="8">O36/(B36-TODAY())</f>
        <v>-1.1776862643791695E-4</v>
      </c>
      <c r="Q36" s="7">
        <f t="shared" ref="Q36:Q67" si="9">R36/D36-1</f>
        <v>-0.94213381555153708</v>
      </c>
      <c r="R36" s="33">
        <f t="shared" ref="R36:R67" si="10">mrigxl_stockquote(C36)</f>
        <v>1.6</v>
      </c>
      <c r="S36" s="33">
        <f t="shared" ref="S36:S67" si="11">(MIN(F36,R36)-D36+G36)*E36</f>
        <v>-318499.99999999994</v>
      </c>
      <c r="T36" s="7">
        <f t="shared" ref="T36:T67" si="12">S36/U36</f>
        <v>-0.88607594936708844</v>
      </c>
      <c r="U36" s="33">
        <f t="shared" ref="U36:U67" si="13">E36*D36</f>
        <v>359450</v>
      </c>
    </row>
    <row r="37" spans="1:21" x14ac:dyDescent="0.25">
      <c r="A37" s="1"/>
      <c r="B37" s="25">
        <v>43461</v>
      </c>
      <c r="C37" s="10" t="s">
        <v>1037</v>
      </c>
      <c r="D37" s="1">
        <v>157.1</v>
      </c>
      <c r="E37" s="30">
        <v>2400</v>
      </c>
      <c r="F37" s="1">
        <v>160</v>
      </c>
      <c r="G37" s="1">
        <v>5.9</v>
      </c>
      <c r="H37" s="1">
        <v>232800</v>
      </c>
      <c r="I37" s="1">
        <v>2400</v>
      </c>
      <c r="J37" s="1">
        <v>5.9</v>
      </c>
      <c r="K37" s="1">
        <v>6.1</v>
      </c>
      <c r="L37" s="1">
        <v>4800</v>
      </c>
      <c r="M37" s="36">
        <v>-0.11587500000000001</v>
      </c>
      <c r="N37" s="1"/>
      <c r="O37" s="7">
        <f t="shared" si="7"/>
        <v>3.7555697008274991E-2</v>
      </c>
      <c r="P37" s="7">
        <f t="shared" ca="1" si="8"/>
        <v>-7.8898523126628132E-5</v>
      </c>
      <c r="Q37" s="7">
        <f t="shared" si="9"/>
        <v>-0.53214513049013368</v>
      </c>
      <c r="R37" s="33">
        <f t="shared" si="10"/>
        <v>73.5</v>
      </c>
      <c r="S37" s="33">
        <f t="shared" si="11"/>
        <v>-186479.99999999997</v>
      </c>
      <c r="T37" s="7">
        <f t="shared" si="12"/>
        <v>-0.49458943348185863</v>
      </c>
      <c r="U37" s="33">
        <f t="shared" si="13"/>
        <v>377040</v>
      </c>
    </row>
    <row r="38" spans="1:21" x14ac:dyDescent="0.25">
      <c r="A38" s="1"/>
      <c r="B38" s="25">
        <v>43461</v>
      </c>
      <c r="C38" s="10" t="s">
        <v>749</v>
      </c>
      <c r="D38" s="1">
        <v>143.94999999999999</v>
      </c>
      <c r="E38" s="30">
        <v>2500</v>
      </c>
      <c r="F38" s="1">
        <v>145</v>
      </c>
      <c r="G38" s="1">
        <v>7</v>
      </c>
      <c r="H38" s="1">
        <v>162500</v>
      </c>
      <c r="I38" s="1">
        <v>2500</v>
      </c>
      <c r="J38" s="1">
        <v>6.6</v>
      </c>
      <c r="K38" s="1">
        <v>7.55</v>
      </c>
      <c r="L38" s="1">
        <v>12500</v>
      </c>
      <c r="M38" s="36">
        <v>-0.14410999999999999</v>
      </c>
      <c r="N38" s="1"/>
      <c r="O38" s="7">
        <f t="shared" si="7"/>
        <v>4.8627995831886074E-2</v>
      </c>
      <c r="P38" s="7">
        <f t="shared" ca="1" si="8"/>
        <v>-1.0215965510900435E-4</v>
      </c>
      <c r="Q38" s="7">
        <f t="shared" si="9"/>
        <v>-0.47794373046196592</v>
      </c>
      <c r="R38" s="33">
        <f t="shared" si="10"/>
        <v>75.150000000000006</v>
      </c>
      <c r="S38" s="33">
        <f t="shared" si="11"/>
        <v>-154499.99999999997</v>
      </c>
      <c r="T38" s="7">
        <f t="shared" si="12"/>
        <v>-0.42931573463007983</v>
      </c>
      <c r="U38" s="33">
        <f t="shared" si="13"/>
        <v>359875</v>
      </c>
    </row>
    <row r="39" spans="1:21" x14ac:dyDescent="0.25">
      <c r="A39" s="1"/>
      <c r="B39" s="25">
        <v>43461</v>
      </c>
      <c r="C39" s="10" t="s">
        <v>313</v>
      </c>
      <c r="D39" s="1">
        <v>850.05</v>
      </c>
      <c r="E39" s="30">
        <v>550</v>
      </c>
      <c r="F39" s="1">
        <v>860</v>
      </c>
      <c r="G39" s="1">
        <v>36.700000000000003</v>
      </c>
      <c r="H39" s="1">
        <v>1650</v>
      </c>
      <c r="I39" s="1">
        <v>1650</v>
      </c>
      <c r="J39" s="1">
        <v>31.6</v>
      </c>
      <c r="K39" s="1">
        <v>36.65</v>
      </c>
      <c r="L39" s="1">
        <v>10450</v>
      </c>
      <c r="M39" s="36">
        <v>-0.134881</v>
      </c>
      <c r="N39" s="1"/>
      <c r="O39" s="7">
        <f t="shared" si="7"/>
        <v>4.3173930945238519E-2</v>
      </c>
      <c r="P39" s="7">
        <f t="shared" ca="1" si="8"/>
        <v>-9.0701535599240588E-5</v>
      </c>
      <c r="Q39" s="7">
        <f t="shared" si="9"/>
        <v>-0.60614081524616203</v>
      </c>
      <c r="R39" s="33">
        <f t="shared" si="10"/>
        <v>334.8</v>
      </c>
      <c r="S39" s="33">
        <f t="shared" si="11"/>
        <v>-263202.5</v>
      </c>
      <c r="T39" s="7">
        <f t="shared" si="12"/>
        <v>-0.56296688430092345</v>
      </c>
      <c r="U39" s="33">
        <f t="shared" si="13"/>
        <v>467527.5</v>
      </c>
    </row>
    <row r="40" spans="1:21" x14ac:dyDescent="0.25">
      <c r="A40" s="1"/>
      <c r="B40" s="25">
        <v>43461</v>
      </c>
      <c r="C40" s="10" t="s">
        <v>449</v>
      </c>
      <c r="D40" s="1">
        <v>112.5</v>
      </c>
      <c r="E40" s="30">
        <v>3500</v>
      </c>
      <c r="F40" s="1">
        <v>115</v>
      </c>
      <c r="G40" s="1">
        <v>3.6</v>
      </c>
      <c r="H40" s="1">
        <v>59500</v>
      </c>
      <c r="I40" s="1">
        <v>3500</v>
      </c>
      <c r="J40" s="1">
        <v>3.15</v>
      </c>
      <c r="K40" s="1">
        <v>3.75</v>
      </c>
      <c r="L40" s="1">
        <v>28000</v>
      </c>
      <c r="M40" s="36">
        <v>-9.1372000000000009E-2</v>
      </c>
      <c r="N40" s="1"/>
      <c r="O40" s="7">
        <f t="shared" si="7"/>
        <v>3.2000000000000001E-2</v>
      </c>
      <c r="P40" s="7">
        <f t="shared" ca="1" si="8"/>
        <v>-6.7226890756302523E-5</v>
      </c>
      <c r="Q40" s="7">
        <f t="shared" si="9"/>
        <v>-0.40088888888888885</v>
      </c>
      <c r="R40" s="33">
        <f t="shared" si="10"/>
        <v>67.400000000000006</v>
      </c>
      <c r="S40" s="33">
        <f t="shared" si="11"/>
        <v>-145249.99999999997</v>
      </c>
      <c r="T40" s="7">
        <f t="shared" si="12"/>
        <v>-0.36888888888888882</v>
      </c>
      <c r="U40" s="33">
        <f t="shared" si="13"/>
        <v>393750</v>
      </c>
    </row>
    <row r="41" spans="1:21" x14ac:dyDescent="0.25">
      <c r="A41" s="1"/>
      <c r="B41" s="25">
        <v>43461</v>
      </c>
      <c r="C41" s="10" t="s">
        <v>642</v>
      </c>
      <c r="D41" s="1">
        <v>226</v>
      </c>
      <c r="E41" s="30">
        <v>1575</v>
      </c>
      <c r="F41" s="1">
        <v>225</v>
      </c>
      <c r="G41" s="1">
        <v>13</v>
      </c>
      <c r="H41" s="1">
        <v>132300</v>
      </c>
      <c r="I41" s="1">
        <v>9450</v>
      </c>
      <c r="J41" s="1">
        <v>12.8</v>
      </c>
      <c r="K41" s="1">
        <v>13.3</v>
      </c>
      <c r="L41" s="1">
        <v>1575</v>
      </c>
      <c r="M41" s="36">
        <v>-0.11794</v>
      </c>
      <c r="N41" s="1"/>
      <c r="O41" s="7">
        <f t="shared" si="7"/>
        <v>5.7522123893805309E-2</v>
      </c>
      <c r="P41" s="7">
        <f t="shared" ca="1" si="8"/>
        <v>-1.2084479809622964E-4</v>
      </c>
      <c r="Q41" s="7">
        <f t="shared" si="9"/>
        <v>-3.849557522123892E-2</v>
      </c>
      <c r="R41" s="33">
        <f t="shared" si="10"/>
        <v>217.3</v>
      </c>
      <c r="S41" s="33">
        <f t="shared" si="11"/>
        <v>6772.5000000000182</v>
      </c>
      <c r="T41" s="7">
        <f t="shared" si="12"/>
        <v>1.9026548672566423E-2</v>
      </c>
      <c r="U41" s="33">
        <f t="shared" si="13"/>
        <v>355950</v>
      </c>
    </row>
    <row r="42" spans="1:21" x14ac:dyDescent="0.25">
      <c r="A42" s="1"/>
      <c r="B42" s="25">
        <v>43496</v>
      </c>
      <c r="C42" s="10" t="s">
        <v>671</v>
      </c>
      <c r="D42" s="1">
        <v>348</v>
      </c>
      <c r="E42" s="30">
        <v>2750</v>
      </c>
      <c r="F42" s="1">
        <v>350</v>
      </c>
      <c r="G42" s="1">
        <v>16.45</v>
      </c>
      <c r="H42" s="1">
        <v>8250</v>
      </c>
      <c r="I42" s="1">
        <v>11000</v>
      </c>
      <c r="J42" s="1">
        <v>16.45</v>
      </c>
      <c r="K42" s="1">
        <v>17.3</v>
      </c>
      <c r="L42" s="1">
        <v>2750</v>
      </c>
      <c r="M42" s="36">
        <v>-8.3988999999999994E-2</v>
      </c>
      <c r="N42" s="1"/>
      <c r="O42" s="7">
        <f t="shared" si="7"/>
        <v>4.7270114942528731E-2</v>
      </c>
      <c r="P42" s="7">
        <f t="shared" ca="1" si="8"/>
        <v>-1.0718846925743477E-4</v>
      </c>
      <c r="Q42" s="7">
        <f t="shared" si="9"/>
        <v>-1.4367816091953589E-3</v>
      </c>
      <c r="R42" s="33">
        <f t="shared" si="10"/>
        <v>347.5</v>
      </c>
      <c r="S42" s="33">
        <f t="shared" si="11"/>
        <v>43862.5</v>
      </c>
      <c r="T42" s="7">
        <f t="shared" si="12"/>
        <v>4.583333333333333E-2</v>
      </c>
      <c r="U42" s="33">
        <f t="shared" si="13"/>
        <v>957000</v>
      </c>
    </row>
    <row r="43" spans="1:21" x14ac:dyDescent="0.25">
      <c r="A43" s="1"/>
      <c r="B43" s="25">
        <v>43461</v>
      </c>
      <c r="C43" s="10" t="s">
        <v>21</v>
      </c>
      <c r="D43" s="1">
        <v>89.9</v>
      </c>
      <c r="E43" s="30">
        <v>6000</v>
      </c>
      <c r="F43" s="1">
        <v>90</v>
      </c>
      <c r="G43" s="1">
        <v>4.55</v>
      </c>
      <c r="H43" s="1">
        <v>546000</v>
      </c>
      <c r="I43" s="1">
        <v>6000</v>
      </c>
      <c r="J43" s="1">
        <v>4.45</v>
      </c>
      <c r="K43" s="1">
        <v>4.9000000000000004</v>
      </c>
      <c r="L43" s="1">
        <v>42000</v>
      </c>
      <c r="M43" s="36">
        <v>-0.10377599999999999</v>
      </c>
      <c r="N43" s="1"/>
      <c r="O43" s="7">
        <f t="shared" si="7"/>
        <v>5.0611790878754163E-2</v>
      </c>
      <c r="P43" s="7">
        <f t="shared" ca="1" si="8"/>
        <v>-1.0632729176208858E-4</v>
      </c>
      <c r="Q43" s="7">
        <f t="shared" si="9"/>
        <v>3.8932146829810943E-3</v>
      </c>
      <c r="R43" s="33">
        <f t="shared" si="10"/>
        <v>90.25</v>
      </c>
      <c r="S43" s="33">
        <f t="shared" si="11"/>
        <v>27899.999999999964</v>
      </c>
      <c r="T43" s="7">
        <f t="shared" si="12"/>
        <v>5.1724137931034413E-2</v>
      </c>
      <c r="U43" s="33">
        <f t="shared" si="13"/>
        <v>539400</v>
      </c>
    </row>
    <row r="44" spans="1:21" x14ac:dyDescent="0.25">
      <c r="A44" s="1"/>
      <c r="B44" s="25">
        <v>43461</v>
      </c>
      <c r="C44" s="10" t="s">
        <v>1554</v>
      </c>
      <c r="D44" s="1">
        <v>32.15</v>
      </c>
      <c r="E44" s="30">
        <v>9000</v>
      </c>
      <c r="F44" s="1">
        <v>32</v>
      </c>
      <c r="G44" s="1">
        <v>1.8</v>
      </c>
      <c r="H44" s="1">
        <v>18000</v>
      </c>
      <c r="I44" s="1">
        <v>9000</v>
      </c>
      <c r="J44" s="1">
        <v>1.35</v>
      </c>
      <c r="K44" s="1">
        <v>1.95</v>
      </c>
      <c r="L44" s="1">
        <v>36000</v>
      </c>
      <c r="M44" s="36">
        <v>-0.14246800000000001</v>
      </c>
      <c r="N44" s="1"/>
      <c r="O44" s="7">
        <f t="shared" si="7"/>
        <v>5.5987558320373255E-2</v>
      </c>
      <c r="P44" s="7">
        <f t="shared" ca="1" si="8"/>
        <v>-1.1762092084112029E-4</v>
      </c>
      <c r="Q44" s="7">
        <f t="shared" si="9"/>
        <v>0.11041990668740298</v>
      </c>
      <c r="R44" s="33">
        <f t="shared" si="10"/>
        <v>35.700000000000003</v>
      </c>
      <c r="S44" s="33">
        <f t="shared" si="11"/>
        <v>14850.000000000013</v>
      </c>
      <c r="T44" s="7">
        <f t="shared" si="12"/>
        <v>5.1321928460342191E-2</v>
      </c>
      <c r="U44" s="33">
        <f t="shared" si="13"/>
        <v>289350</v>
      </c>
    </row>
    <row r="45" spans="1:21" x14ac:dyDescent="0.25">
      <c r="A45" s="1"/>
      <c r="B45" s="25">
        <v>43461</v>
      </c>
      <c r="C45" s="10" t="s">
        <v>238</v>
      </c>
      <c r="D45" s="1">
        <v>304.05</v>
      </c>
      <c r="E45" s="30">
        <v>1700</v>
      </c>
      <c r="F45" s="1">
        <v>310</v>
      </c>
      <c r="G45" s="1">
        <v>9.6999999999999993</v>
      </c>
      <c r="H45" s="1">
        <v>129200</v>
      </c>
      <c r="I45" s="1">
        <v>5100</v>
      </c>
      <c r="J45" s="1">
        <v>9.4499999999999993</v>
      </c>
      <c r="K45" s="1">
        <v>9.9499999999999993</v>
      </c>
      <c r="L45" s="1">
        <v>1700</v>
      </c>
      <c r="M45" s="36">
        <v>-0.11089300000000001</v>
      </c>
      <c r="N45" s="1"/>
      <c r="O45" s="7">
        <f t="shared" si="7"/>
        <v>3.1902647590856766E-2</v>
      </c>
      <c r="P45" s="7">
        <f t="shared" ca="1" si="8"/>
        <v>-6.7022368888354551E-5</v>
      </c>
      <c r="Q45" s="7">
        <f t="shared" si="9"/>
        <v>0.74083209998355515</v>
      </c>
      <c r="R45" s="33">
        <f t="shared" si="10"/>
        <v>529.29999999999995</v>
      </c>
      <c r="S45" s="33">
        <f t="shared" si="11"/>
        <v>26604.999999999978</v>
      </c>
      <c r="T45" s="7">
        <f t="shared" si="12"/>
        <v>5.147179740174309E-2</v>
      </c>
      <c r="U45" s="33">
        <f t="shared" si="13"/>
        <v>516885</v>
      </c>
    </row>
    <row r="46" spans="1:21" x14ac:dyDescent="0.25">
      <c r="A46" s="1"/>
      <c r="B46" s="25">
        <v>43461</v>
      </c>
      <c r="C46" s="10" t="s">
        <v>820</v>
      </c>
      <c r="D46" s="1">
        <v>440</v>
      </c>
      <c r="E46" s="30">
        <v>1000</v>
      </c>
      <c r="F46" s="1">
        <v>440</v>
      </c>
      <c r="G46" s="1">
        <v>22.25</v>
      </c>
      <c r="H46" s="1">
        <v>4000</v>
      </c>
      <c r="I46" s="1">
        <v>1000</v>
      </c>
      <c r="J46" s="1">
        <v>13.25</v>
      </c>
      <c r="K46" s="1">
        <v>19.2</v>
      </c>
      <c r="L46" s="1">
        <v>1000</v>
      </c>
      <c r="M46" s="36">
        <v>-0.12731900000000002</v>
      </c>
      <c r="N46" s="1"/>
      <c r="O46" s="7">
        <f t="shared" si="7"/>
        <v>5.0568181818181818E-2</v>
      </c>
      <c r="P46" s="7">
        <f t="shared" ca="1" si="8"/>
        <v>-1.0623567608861726E-4</v>
      </c>
      <c r="Q46" s="7">
        <f t="shared" si="9"/>
        <v>-0.16193181818181823</v>
      </c>
      <c r="R46" s="33">
        <f t="shared" si="10"/>
        <v>368.75</v>
      </c>
      <c r="S46" s="33">
        <f t="shared" si="11"/>
        <v>-49000</v>
      </c>
      <c r="T46" s="7">
        <f t="shared" si="12"/>
        <v>-0.11136363636363636</v>
      </c>
      <c r="U46" s="33">
        <f t="shared" si="13"/>
        <v>440000</v>
      </c>
    </row>
    <row r="47" spans="1:21" x14ac:dyDescent="0.25">
      <c r="A47" s="1"/>
      <c r="B47" s="25">
        <v>43461</v>
      </c>
      <c r="C47" s="10" t="s">
        <v>687</v>
      </c>
      <c r="D47" s="1">
        <v>37.700000000000003</v>
      </c>
      <c r="E47" s="30">
        <v>13200</v>
      </c>
      <c r="F47" s="1">
        <v>38</v>
      </c>
      <c r="G47" s="1">
        <v>1.6</v>
      </c>
      <c r="H47" s="1">
        <v>118800</v>
      </c>
      <c r="I47" s="1">
        <v>52800</v>
      </c>
      <c r="J47" s="1">
        <v>1.55</v>
      </c>
      <c r="K47" s="1">
        <v>1.7</v>
      </c>
      <c r="L47" s="1">
        <v>13200</v>
      </c>
      <c r="M47" s="36">
        <v>-0.12365899999999999</v>
      </c>
      <c r="N47" s="1"/>
      <c r="O47" s="7">
        <f t="shared" si="7"/>
        <v>4.2440318302387266E-2</v>
      </c>
      <c r="P47" s="7">
        <f t="shared" ca="1" si="8"/>
        <v>-8.9160332568040469E-5</v>
      </c>
      <c r="Q47" s="7">
        <f t="shared" si="9"/>
        <v>-0.58355437665782506</v>
      </c>
      <c r="R47" s="33">
        <f t="shared" si="10"/>
        <v>15.7</v>
      </c>
      <c r="S47" s="33">
        <f t="shared" si="11"/>
        <v>-269280</v>
      </c>
      <c r="T47" s="7">
        <f t="shared" si="12"/>
        <v>-0.54111405835543758</v>
      </c>
      <c r="U47" s="33">
        <f t="shared" si="13"/>
        <v>497640.00000000006</v>
      </c>
    </row>
    <row r="48" spans="1:21" x14ac:dyDescent="0.25">
      <c r="A48" s="1"/>
      <c r="B48" s="25">
        <v>43461</v>
      </c>
      <c r="C48" s="10" t="s">
        <v>86</v>
      </c>
      <c r="D48" s="1">
        <v>44.8</v>
      </c>
      <c r="E48" s="30">
        <v>11000</v>
      </c>
      <c r="F48" s="1">
        <v>44</v>
      </c>
      <c r="G48" s="1">
        <v>3.05</v>
      </c>
      <c r="H48" s="1">
        <v>22000</v>
      </c>
      <c r="I48" s="1">
        <v>44000</v>
      </c>
      <c r="J48" s="1">
        <v>2.9</v>
      </c>
      <c r="K48" s="1">
        <v>3.35</v>
      </c>
      <c r="L48" s="1">
        <v>44000</v>
      </c>
      <c r="M48" s="36">
        <v>-0.13623099999999999</v>
      </c>
      <c r="N48" s="1"/>
      <c r="O48" s="7">
        <f t="shared" si="7"/>
        <v>6.8080357142857137E-2</v>
      </c>
      <c r="P48" s="7">
        <f t="shared" ca="1" si="8"/>
        <v>-1.4302596038415365E-4</v>
      </c>
      <c r="Q48" s="7">
        <f t="shared" si="9"/>
        <v>0.11495535714285721</v>
      </c>
      <c r="R48" s="33">
        <f t="shared" si="10"/>
        <v>49.95</v>
      </c>
      <c r="S48" s="33">
        <f t="shared" si="11"/>
        <v>24750.000000000029</v>
      </c>
      <c r="T48" s="7">
        <f t="shared" si="12"/>
        <v>5.022321428571435E-2</v>
      </c>
      <c r="U48" s="33">
        <f t="shared" si="13"/>
        <v>492799.99999999994</v>
      </c>
    </row>
    <row r="49" spans="1:21" x14ac:dyDescent="0.25">
      <c r="A49" s="1"/>
      <c r="B49" s="25">
        <v>43461</v>
      </c>
      <c r="C49" s="10" t="s">
        <v>1288</v>
      </c>
      <c r="D49" s="1">
        <v>103.1</v>
      </c>
      <c r="E49" s="30">
        <v>6000</v>
      </c>
      <c r="F49" s="1">
        <v>102.5</v>
      </c>
      <c r="G49" s="1">
        <v>5.75</v>
      </c>
      <c r="H49" s="1">
        <v>66000</v>
      </c>
      <c r="I49" s="1">
        <v>30000</v>
      </c>
      <c r="J49" s="1">
        <v>4.5</v>
      </c>
      <c r="K49" s="1">
        <v>6.1</v>
      </c>
      <c r="L49" s="1">
        <v>30000</v>
      </c>
      <c r="M49" s="36">
        <v>-0.10454000000000001</v>
      </c>
      <c r="N49" s="1"/>
      <c r="O49" s="7">
        <f t="shared" si="7"/>
        <v>5.5771096023278371E-2</v>
      </c>
      <c r="P49" s="7">
        <f t="shared" ca="1" si="8"/>
        <v>-1.1716616811613104E-4</v>
      </c>
      <c r="Q49" s="7">
        <f t="shared" si="9"/>
        <v>-0.10572259941804063</v>
      </c>
      <c r="R49" s="33">
        <f t="shared" si="10"/>
        <v>92.2</v>
      </c>
      <c r="S49" s="33">
        <f t="shared" si="11"/>
        <v>-30899.999999999949</v>
      </c>
      <c r="T49" s="7">
        <f t="shared" si="12"/>
        <v>-4.9951503394762287E-2</v>
      </c>
      <c r="U49" s="33">
        <f t="shared" si="13"/>
        <v>618600</v>
      </c>
    </row>
    <row r="50" spans="1:21" x14ac:dyDescent="0.25">
      <c r="A50" s="1"/>
      <c r="B50" s="25">
        <v>43461</v>
      </c>
      <c r="C50" s="10" t="s">
        <v>1283</v>
      </c>
      <c r="D50" s="1">
        <v>771</v>
      </c>
      <c r="E50" s="30">
        <v>800</v>
      </c>
      <c r="F50" s="1">
        <v>780</v>
      </c>
      <c r="G50" s="1">
        <v>29.4</v>
      </c>
      <c r="H50" s="1">
        <v>8000</v>
      </c>
      <c r="I50" s="1">
        <v>3200</v>
      </c>
      <c r="J50" s="1">
        <v>26.05</v>
      </c>
      <c r="K50" s="1">
        <v>29.9</v>
      </c>
      <c r="L50" s="1">
        <v>800</v>
      </c>
      <c r="M50" s="36">
        <v>-0.12607399999999999</v>
      </c>
      <c r="N50" s="1"/>
      <c r="O50" s="7">
        <f t="shared" si="7"/>
        <v>3.8132295719844354E-2</v>
      </c>
      <c r="P50" s="7">
        <f t="shared" ca="1" si="8"/>
        <v>-8.0109864957656201E-5</v>
      </c>
      <c r="Q50" s="7">
        <f t="shared" si="9"/>
        <v>-0.637029831387808</v>
      </c>
      <c r="R50" s="33">
        <f t="shared" si="10"/>
        <v>279.85000000000002</v>
      </c>
      <c r="S50" s="33">
        <f t="shared" si="11"/>
        <v>-369400</v>
      </c>
      <c r="T50" s="7">
        <f t="shared" si="12"/>
        <v>-0.59889753566796367</v>
      </c>
      <c r="U50" s="33">
        <f t="shared" si="13"/>
        <v>616800</v>
      </c>
    </row>
    <row r="51" spans="1:21" x14ac:dyDescent="0.25">
      <c r="A51" s="1"/>
      <c r="B51" s="25">
        <v>43461</v>
      </c>
      <c r="C51" s="10" t="s">
        <v>9</v>
      </c>
      <c r="D51" s="1">
        <v>273.55</v>
      </c>
      <c r="E51" s="30">
        <v>1500</v>
      </c>
      <c r="F51" s="1">
        <v>275</v>
      </c>
      <c r="G51" s="1">
        <v>11.95</v>
      </c>
      <c r="H51" s="1">
        <v>4500</v>
      </c>
      <c r="I51" s="1">
        <v>1500</v>
      </c>
      <c r="J51" s="1">
        <v>10.5</v>
      </c>
      <c r="K51" s="1">
        <v>12.9</v>
      </c>
      <c r="L51" s="1">
        <v>15000</v>
      </c>
      <c r="M51" s="36">
        <v>-0.11564300000000001</v>
      </c>
      <c r="N51" s="1"/>
      <c r="O51" s="7">
        <f t="shared" si="7"/>
        <v>4.3684883933467367E-2</v>
      </c>
      <c r="P51" s="7">
        <f t="shared" ca="1" si="8"/>
        <v>-9.1774966246780185E-5</v>
      </c>
      <c r="Q51" s="7">
        <f t="shared" si="9"/>
        <v>-0.76603911533540492</v>
      </c>
      <c r="R51" s="33">
        <f t="shared" si="10"/>
        <v>64</v>
      </c>
      <c r="S51" s="33">
        <f t="shared" si="11"/>
        <v>-296400.00000000006</v>
      </c>
      <c r="T51" s="7">
        <f t="shared" si="12"/>
        <v>-0.72235423140193766</v>
      </c>
      <c r="U51" s="33">
        <f t="shared" si="13"/>
        <v>410325</v>
      </c>
    </row>
    <row r="52" spans="1:21" x14ac:dyDescent="0.25">
      <c r="A52" s="1"/>
      <c r="B52" s="25">
        <v>43461</v>
      </c>
      <c r="C52" s="10" t="s">
        <v>204</v>
      </c>
      <c r="D52" s="1">
        <v>105.1</v>
      </c>
      <c r="E52" s="30">
        <v>4000</v>
      </c>
      <c r="F52" s="1">
        <v>105</v>
      </c>
      <c r="G52" s="1">
        <v>5.2</v>
      </c>
      <c r="H52" s="1">
        <v>596000</v>
      </c>
      <c r="I52" s="1">
        <v>8000</v>
      </c>
      <c r="J52" s="1">
        <v>5.15</v>
      </c>
      <c r="K52" s="1">
        <v>5.3</v>
      </c>
      <c r="L52" s="1">
        <v>4000</v>
      </c>
      <c r="M52" s="36">
        <v>-0.144706</v>
      </c>
      <c r="N52" s="1"/>
      <c r="O52" s="7">
        <f t="shared" si="7"/>
        <v>4.9476688867745013E-2</v>
      </c>
      <c r="P52" s="7">
        <f t="shared" ca="1" si="8"/>
        <v>-1.0394262367173322E-4</v>
      </c>
      <c r="Q52" s="7">
        <f t="shared" si="9"/>
        <v>-0.51760228353948623</v>
      </c>
      <c r="R52" s="33">
        <f t="shared" si="10"/>
        <v>50.7</v>
      </c>
      <c r="S52" s="33">
        <f t="shared" si="11"/>
        <v>-196799.99999999994</v>
      </c>
      <c r="T52" s="7">
        <f t="shared" si="12"/>
        <v>-0.46812559467174109</v>
      </c>
      <c r="U52" s="33">
        <f t="shared" si="13"/>
        <v>420400</v>
      </c>
    </row>
    <row r="53" spans="1:21" x14ac:dyDescent="0.25">
      <c r="A53" s="1"/>
      <c r="B53" s="25">
        <v>43461</v>
      </c>
      <c r="C53" s="10" t="s">
        <v>912</v>
      </c>
      <c r="D53" s="1">
        <v>434.75</v>
      </c>
      <c r="E53" s="30">
        <v>1100</v>
      </c>
      <c r="F53" s="1">
        <v>440</v>
      </c>
      <c r="G53" s="1">
        <v>15.75</v>
      </c>
      <c r="H53" s="1">
        <v>91300</v>
      </c>
      <c r="I53" s="1">
        <v>1100</v>
      </c>
      <c r="J53" s="1">
        <v>15.05</v>
      </c>
      <c r="K53" s="1">
        <v>16.55</v>
      </c>
      <c r="L53" s="1">
        <v>6600</v>
      </c>
      <c r="M53" s="36">
        <v>-0.11378099999999999</v>
      </c>
      <c r="N53" s="1"/>
      <c r="O53" s="7">
        <f t="shared" si="7"/>
        <v>3.6227717078780912E-2</v>
      </c>
      <c r="P53" s="7">
        <f t="shared" ca="1" si="8"/>
        <v>-7.6108649325169978E-5</v>
      </c>
      <c r="Q53" s="7">
        <f t="shared" si="9"/>
        <v>-0.39390454284071308</v>
      </c>
      <c r="R53" s="33">
        <f t="shared" si="10"/>
        <v>263.5</v>
      </c>
      <c r="S53" s="33">
        <f t="shared" si="11"/>
        <v>-171050</v>
      </c>
      <c r="T53" s="7">
        <f t="shared" si="12"/>
        <v>-0.35767682576193216</v>
      </c>
      <c r="U53" s="33">
        <f t="shared" si="13"/>
        <v>478225</v>
      </c>
    </row>
    <row r="54" spans="1:21" x14ac:dyDescent="0.25">
      <c r="A54" s="1"/>
      <c r="B54" s="25">
        <v>43461</v>
      </c>
      <c r="C54" s="10" t="s">
        <v>878</v>
      </c>
      <c r="D54" s="1">
        <v>212.3</v>
      </c>
      <c r="E54" s="30">
        <v>2250</v>
      </c>
      <c r="F54" s="1">
        <v>215</v>
      </c>
      <c r="G54" s="1">
        <v>7.5</v>
      </c>
      <c r="H54" s="1">
        <v>9000</v>
      </c>
      <c r="I54" s="1">
        <v>27000</v>
      </c>
      <c r="J54" s="1">
        <v>6.35</v>
      </c>
      <c r="K54" s="1">
        <v>8.4</v>
      </c>
      <c r="L54" s="1">
        <v>27000</v>
      </c>
      <c r="M54" s="36">
        <v>-0.19646</v>
      </c>
      <c r="N54" s="1"/>
      <c r="O54" s="7">
        <f t="shared" si="7"/>
        <v>3.5327366933584549E-2</v>
      </c>
      <c r="P54" s="7">
        <f t="shared" ca="1" si="8"/>
        <v>-7.4217157423496952E-5</v>
      </c>
      <c r="Q54" s="7" t="e">
        <f t="shared" si="9"/>
        <v>#VALUE!</v>
      </c>
      <c r="R54" s="33" t="str">
        <f t="shared" si="10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54" s="33">
        <f t="shared" si="11"/>
        <v>22949.999999999975</v>
      </c>
      <c r="T54" s="7">
        <f t="shared" si="12"/>
        <v>4.8045219029674936E-2</v>
      </c>
      <c r="U54" s="33">
        <f t="shared" si="13"/>
        <v>477675</v>
      </c>
    </row>
    <row r="55" spans="1:21" x14ac:dyDescent="0.25">
      <c r="A55" s="1"/>
      <c r="B55" s="25">
        <v>43461</v>
      </c>
      <c r="C55" s="10" t="s">
        <v>1750</v>
      </c>
      <c r="D55" s="1">
        <v>502</v>
      </c>
      <c r="E55" s="30">
        <v>900</v>
      </c>
      <c r="F55" s="1">
        <v>520</v>
      </c>
      <c r="G55" s="1">
        <v>21.5</v>
      </c>
      <c r="H55" s="1">
        <v>15300</v>
      </c>
      <c r="I55" s="1">
        <v>900</v>
      </c>
      <c r="J55" s="1">
        <v>21</v>
      </c>
      <c r="K55" s="1">
        <v>22.35</v>
      </c>
      <c r="L55" s="1">
        <v>1800</v>
      </c>
      <c r="M55" s="36">
        <v>-0.13117899999999999</v>
      </c>
      <c r="N55" s="1"/>
      <c r="O55" s="7">
        <f t="shared" si="7"/>
        <v>4.282868525896414E-2</v>
      </c>
      <c r="P55" s="7">
        <f t="shared" ca="1" si="8"/>
        <v>-8.9976229535638943E-5</v>
      </c>
      <c r="Q55" s="7">
        <f t="shared" si="9"/>
        <v>-0.48984063745019912</v>
      </c>
      <c r="R55" s="33">
        <f t="shared" si="10"/>
        <v>256.10000000000002</v>
      </c>
      <c r="S55" s="33">
        <f t="shared" si="11"/>
        <v>-201959.99999999997</v>
      </c>
      <c r="T55" s="7">
        <f t="shared" si="12"/>
        <v>-0.44701195219123502</v>
      </c>
      <c r="U55" s="33">
        <f t="shared" si="13"/>
        <v>451800</v>
      </c>
    </row>
    <row r="56" spans="1:21" x14ac:dyDescent="0.25">
      <c r="A56" s="1"/>
      <c r="B56" s="25">
        <v>43461</v>
      </c>
      <c r="C56" s="10" t="s">
        <v>247</v>
      </c>
      <c r="D56" s="1">
        <v>604</v>
      </c>
      <c r="E56" s="30">
        <v>900</v>
      </c>
      <c r="F56" s="1">
        <v>610</v>
      </c>
      <c r="G56" s="1">
        <v>22.85</v>
      </c>
      <c r="H56" s="1">
        <v>28800</v>
      </c>
      <c r="I56" s="1">
        <v>900</v>
      </c>
      <c r="J56" s="1">
        <v>21</v>
      </c>
      <c r="K56" s="1">
        <v>23</v>
      </c>
      <c r="L56" s="1">
        <v>900</v>
      </c>
      <c r="M56" s="36">
        <v>-4.8222000000000001E-2</v>
      </c>
      <c r="N56" s="1"/>
      <c r="O56" s="7">
        <f t="shared" si="7"/>
        <v>3.7831125827814574E-2</v>
      </c>
      <c r="P56" s="7">
        <f t="shared" ca="1" si="8"/>
        <v>-7.9477155100450791E-5</v>
      </c>
      <c r="Q56" s="7">
        <f t="shared" si="9"/>
        <v>-0.43071192052980134</v>
      </c>
      <c r="R56" s="33">
        <f t="shared" si="10"/>
        <v>343.85</v>
      </c>
      <c r="S56" s="33">
        <f t="shared" si="11"/>
        <v>-213569.99999999997</v>
      </c>
      <c r="T56" s="7">
        <f t="shared" si="12"/>
        <v>-0.39288079470198672</v>
      </c>
      <c r="U56" s="33">
        <f t="shared" si="13"/>
        <v>543600</v>
      </c>
    </row>
    <row r="57" spans="1:21" x14ac:dyDescent="0.25">
      <c r="A57" s="1"/>
      <c r="B57" s="25">
        <v>43461</v>
      </c>
      <c r="C57" s="10" t="s">
        <v>1106</v>
      </c>
      <c r="D57" s="1">
        <v>1078</v>
      </c>
      <c r="E57" s="30">
        <v>750</v>
      </c>
      <c r="F57" s="1">
        <v>1080</v>
      </c>
      <c r="G57" s="1">
        <v>48.45</v>
      </c>
      <c r="H57" s="1">
        <v>2250</v>
      </c>
      <c r="I57" s="1">
        <v>6750</v>
      </c>
      <c r="J57" s="1">
        <v>43.3</v>
      </c>
      <c r="K57" s="1">
        <v>48.8</v>
      </c>
      <c r="L57" s="1">
        <v>1500</v>
      </c>
      <c r="M57" s="36">
        <v>-7.8855999999999996E-2</v>
      </c>
      <c r="N57" s="1"/>
      <c r="O57" s="7">
        <f t="shared" si="7"/>
        <v>4.4944341372912804E-2</v>
      </c>
      <c r="P57" s="7">
        <f t="shared" ca="1" si="8"/>
        <v>-9.4420885237211775E-5</v>
      </c>
      <c r="Q57" s="7">
        <f t="shared" si="9"/>
        <v>1.6001855287569589E-2</v>
      </c>
      <c r="R57" s="33">
        <f t="shared" si="10"/>
        <v>1095.25</v>
      </c>
      <c r="S57" s="33">
        <f t="shared" si="11"/>
        <v>37837.5</v>
      </c>
      <c r="T57" s="7">
        <f t="shared" si="12"/>
        <v>4.6799628942486085E-2</v>
      </c>
      <c r="U57" s="33">
        <f t="shared" si="13"/>
        <v>808500</v>
      </c>
    </row>
    <row r="58" spans="1:21" x14ac:dyDescent="0.25">
      <c r="A58" s="1"/>
      <c r="B58" s="25">
        <v>43461</v>
      </c>
      <c r="C58" s="10" t="s">
        <v>126</v>
      </c>
      <c r="D58" s="1">
        <v>1194.6500000000001</v>
      </c>
      <c r="E58" s="30">
        <v>500</v>
      </c>
      <c r="F58" s="1">
        <v>1200</v>
      </c>
      <c r="G58" s="1">
        <v>49.65</v>
      </c>
      <c r="H58" s="1">
        <v>2000</v>
      </c>
      <c r="I58" s="1">
        <v>8500</v>
      </c>
      <c r="J58" s="1">
        <v>42.2</v>
      </c>
      <c r="K58" s="1">
        <v>48</v>
      </c>
      <c r="L58" s="1">
        <v>500</v>
      </c>
      <c r="M58" s="36">
        <v>-6.5530999999999992E-2</v>
      </c>
      <c r="N58" s="1"/>
      <c r="O58" s="7">
        <f t="shared" si="7"/>
        <v>4.1560289624576231E-2</v>
      </c>
      <c r="P58" s="7">
        <f t="shared" ca="1" si="8"/>
        <v>-8.7311532824739982E-5</v>
      </c>
      <c r="Q58" s="7">
        <f t="shared" si="9"/>
        <v>0.17172393588080181</v>
      </c>
      <c r="R58" s="33">
        <f t="shared" si="10"/>
        <v>1399.8</v>
      </c>
      <c r="S58" s="33">
        <f t="shared" si="11"/>
        <v>27499.999999999953</v>
      </c>
      <c r="T58" s="7">
        <f t="shared" si="12"/>
        <v>4.6038588707989707E-2</v>
      </c>
      <c r="U58" s="33">
        <f t="shared" si="13"/>
        <v>597325</v>
      </c>
    </row>
    <row r="59" spans="1:21" x14ac:dyDescent="0.25">
      <c r="A59" s="1"/>
      <c r="B59" s="25">
        <v>43461</v>
      </c>
      <c r="C59" s="10" t="s">
        <v>14</v>
      </c>
      <c r="D59" s="1">
        <v>131</v>
      </c>
      <c r="E59" s="30">
        <v>3000</v>
      </c>
      <c r="F59" s="1">
        <v>132.5</v>
      </c>
      <c r="G59" s="1">
        <v>4.5</v>
      </c>
      <c r="H59" s="1">
        <v>168000</v>
      </c>
      <c r="I59" s="1">
        <v>3000</v>
      </c>
      <c r="J59" s="1">
        <v>4.45</v>
      </c>
      <c r="K59" s="1">
        <v>4.7</v>
      </c>
      <c r="L59" s="1">
        <v>3000</v>
      </c>
      <c r="M59" s="36">
        <v>-7.3000999999999996E-2</v>
      </c>
      <c r="N59" s="1"/>
      <c r="O59" s="7">
        <f t="shared" si="7"/>
        <v>3.4351145038167941E-2</v>
      </c>
      <c r="P59" s="7">
        <f t="shared" ca="1" si="8"/>
        <v>-7.2166271088588114E-5</v>
      </c>
      <c r="Q59" s="7">
        <f t="shared" si="9"/>
        <v>-0.34732824427480913</v>
      </c>
      <c r="R59" s="33">
        <f t="shared" si="10"/>
        <v>85.5</v>
      </c>
      <c r="S59" s="33">
        <f t="shared" si="11"/>
        <v>-123000</v>
      </c>
      <c r="T59" s="7">
        <f t="shared" si="12"/>
        <v>-0.31297709923664124</v>
      </c>
      <c r="U59" s="33">
        <f t="shared" si="13"/>
        <v>393000</v>
      </c>
    </row>
    <row r="60" spans="1:21" x14ac:dyDescent="0.25">
      <c r="A60" s="1"/>
      <c r="B60" s="25">
        <v>43461</v>
      </c>
      <c r="C60" s="10" t="s">
        <v>478</v>
      </c>
      <c r="D60" s="1">
        <v>84.35</v>
      </c>
      <c r="E60" s="30">
        <v>5500</v>
      </c>
      <c r="F60" s="1">
        <v>85</v>
      </c>
      <c r="G60" s="1">
        <v>3.2</v>
      </c>
      <c r="H60" s="1">
        <v>1314500</v>
      </c>
      <c r="I60" s="1">
        <v>16500</v>
      </c>
      <c r="J60" s="1">
        <v>3.15</v>
      </c>
      <c r="K60" s="1">
        <v>3.2</v>
      </c>
      <c r="L60" s="1">
        <v>5500</v>
      </c>
      <c r="M60" s="36">
        <v>-0.10274800000000001</v>
      </c>
      <c r="N60" s="1"/>
      <c r="O60" s="7">
        <f t="shared" si="7"/>
        <v>3.7937166567871966E-2</v>
      </c>
      <c r="P60" s="7">
        <f t="shared" ca="1" si="8"/>
        <v>-7.9699929764436906E-5</v>
      </c>
      <c r="Q60" s="7">
        <f t="shared" si="9"/>
        <v>-0.48962655601659755</v>
      </c>
      <c r="R60" s="33">
        <f t="shared" si="10"/>
        <v>43.05</v>
      </c>
      <c r="S60" s="33">
        <f t="shared" si="11"/>
        <v>-209549.99999999997</v>
      </c>
      <c r="T60" s="7">
        <f t="shared" si="12"/>
        <v>-0.45168938944872555</v>
      </c>
      <c r="U60" s="33">
        <f t="shared" si="13"/>
        <v>463924.99999999994</v>
      </c>
    </row>
    <row r="61" spans="1:21" x14ac:dyDescent="0.25">
      <c r="A61" s="1"/>
      <c r="B61" s="25">
        <v>43461</v>
      </c>
      <c r="C61" s="10" t="s">
        <v>1649</v>
      </c>
      <c r="D61" s="1">
        <v>532</v>
      </c>
      <c r="E61" s="30">
        <v>1000</v>
      </c>
      <c r="F61" s="1">
        <v>540</v>
      </c>
      <c r="G61" s="1">
        <v>16</v>
      </c>
      <c r="H61" s="1">
        <v>19000</v>
      </c>
      <c r="I61" s="1">
        <v>2000</v>
      </c>
      <c r="J61" s="1">
        <v>14.4</v>
      </c>
      <c r="K61" s="1">
        <v>17.8</v>
      </c>
      <c r="L61" s="1">
        <v>6000</v>
      </c>
      <c r="M61" s="36">
        <v>-7.9929E-2</v>
      </c>
      <c r="N61" s="1"/>
      <c r="O61" s="7">
        <f t="shared" si="7"/>
        <v>3.007518796992481E-2</v>
      </c>
      <c r="P61" s="7">
        <f t="shared" ca="1" si="8"/>
        <v>-6.3183168004043723E-5</v>
      </c>
      <c r="Q61" s="7">
        <f t="shared" si="9"/>
        <v>-0.45554511278195498</v>
      </c>
      <c r="R61" s="33">
        <f t="shared" si="10"/>
        <v>289.64999999999998</v>
      </c>
      <c r="S61" s="33">
        <f t="shared" si="11"/>
        <v>-226350.00000000003</v>
      </c>
      <c r="T61" s="7">
        <f t="shared" si="12"/>
        <v>-0.42546992481203011</v>
      </c>
      <c r="U61" s="33">
        <f t="shared" si="13"/>
        <v>532000</v>
      </c>
    </row>
    <row r="62" spans="1:21" x14ac:dyDescent="0.25">
      <c r="A62" s="1"/>
      <c r="B62" s="25">
        <v>43461</v>
      </c>
      <c r="C62" s="10" t="s">
        <v>539</v>
      </c>
      <c r="D62" s="1">
        <v>625.54999999999995</v>
      </c>
      <c r="E62" s="30">
        <v>1000</v>
      </c>
      <c r="F62" s="1">
        <v>630</v>
      </c>
      <c r="G62" s="1">
        <v>23.55</v>
      </c>
      <c r="H62" s="1">
        <v>28000</v>
      </c>
      <c r="I62" s="1">
        <v>1000</v>
      </c>
      <c r="J62" s="1">
        <v>22.6</v>
      </c>
      <c r="K62" s="1">
        <v>24.8</v>
      </c>
      <c r="L62" s="1">
        <v>15000</v>
      </c>
      <c r="M62" s="36">
        <v>-7.3280999999999999E-2</v>
      </c>
      <c r="N62" s="1"/>
      <c r="O62" s="7">
        <f t="shared" si="7"/>
        <v>3.7646870753736718E-2</v>
      </c>
      <c r="P62" s="7">
        <f t="shared" ca="1" si="8"/>
        <v>-7.909006460869058E-5</v>
      </c>
      <c r="Q62" s="7">
        <f t="shared" si="9"/>
        <v>-0.46383182799136757</v>
      </c>
      <c r="R62" s="33">
        <f t="shared" si="10"/>
        <v>335.4</v>
      </c>
      <c r="S62" s="33">
        <f t="shared" si="11"/>
        <v>-266599.99999999994</v>
      </c>
      <c r="T62" s="7">
        <f t="shared" si="12"/>
        <v>-0.42618495723763078</v>
      </c>
      <c r="U62" s="33">
        <f t="shared" si="13"/>
        <v>625550</v>
      </c>
    </row>
    <row r="63" spans="1:21" x14ac:dyDescent="0.25">
      <c r="A63" s="1"/>
      <c r="B63" s="25">
        <v>43461</v>
      </c>
      <c r="C63" s="10" t="s">
        <v>313</v>
      </c>
      <c r="D63" s="1">
        <v>850.05</v>
      </c>
      <c r="E63" s="30">
        <v>550</v>
      </c>
      <c r="F63" s="1">
        <v>840</v>
      </c>
      <c r="G63" s="1">
        <v>48</v>
      </c>
      <c r="H63" s="1">
        <v>1100</v>
      </c>
      <c r="I63" s="1">
        <v>1650</v>
      </c>
      <c r="J63" s="1">
        <v>42.55</v>
      </c>
      <c r="K63" s="1">
        <v>45.4</v>
      </c>
      <c r="L63" s="1">
        <v>2200</v>
      </c>
      <c r="M63" s="36">
        <v>-0.134881</v>
      </c>
      <c r="N63" s="1"/>
      <c r="O63" s="7">
        <f t="shared" si="7"/>
        <v>5.6467266631374628E-2</v>
      </c>
      <c r="P63" s="7">
        <f t="shared" ca="1" si="8"/>
        <v>-1.186287114104509E-4</v>
      </c>
      <c r="Q63" s="7">
        <f t="shared" si="9"/>
        <v>-0.60614081524616203</v>
      </c>
      <c r="R63" s="33">
        <f t="shared" si="10"/>
        <v>334.8</v>
      </c>
      <c r="S63" s="33">
        <f t="shared" si="11"/>
        <v>-256987.5</v>
      </c>
      <c r="T63" s="7">
        <f t="shared" si="12"/>
        <v>-0.54967354861478734</v>
      </c>
      <c r="U63" s="33">
        <f t="shared" si="13"/>
        <v>467527.5</v>
      </c>
    </row>
    <row r="64" spans="1:21" x14ac:dyDescent="0.25">
      <c r="A64" s="1"/>
      <c r="B64" s="25">
        <v>43461</v>
      </c>
      <c r="C64" s="10" t="s">
        <v>103</v>
      </c>
      <c r="D64" s="1">
        <v>207.15</v>
      </c>
      <c r="E64" s="30">
        <v>2500</v>
      </c>
      <c r="F64" s="1">
        <v>210</v>
      </c>
      <c r="G64" s="1">
        <v>6.3</v>
      </c>
      <c r="H64" s="1">
        <v>25000</v>
      </c>
      <c r="I64" s="1">
        <v>5000</v>
      </c>
      <c r="J64" s="1">
        <v>6.1</v>
      </c>
      <c r="K64" s="1">
        <v>6.4</v>
      </c>
      <c r="L64" s="1">
        <v>5000</v>
      </c>
      <c r="M64" s="36">
        <v>-8.1573000000000007E-2</v>
      </c>
      <c r="N64" s="1"/>
      <c r="O64" s="7">
        <f t="shared" si="7"/>
        <v>3.0412744388124545E-2</v>
      </c>
      <c r="P64" s="7">
        <f t="shared" ca="1" si="8"/>
        <v>-6.3892320143118793E-5</v>
      </c>
      <c r="Q64" s="7">
        <f t="shared" si="9"/>
        <v>-0.16485638426261162</v>
      </c>
      <c r="R64" s="33">
        <f t="shared" si="10"/>
        <v>173</v>
      </c>
      <c r="S64" s="33">
        <f t="shared" si="11"/>
        <v>-69625.000000000015</v>
      </c>
      <c r="T64" s="7">
        <f t="shared" si="12"/>
        <v>-0.13444363987448713</v>
      </c>
      <c r="U64" s="33">
        <f t="shared" si="13"/>
        <v>517875</v>
      </c>
    </row>
    <row r="65" spans="1:21" x14ac:dyDescent="0.25">
      <c r="A65" s="1"/>
      <c r="B65" s="25">
        <v>43461</v>
      </c>
      <c r="C65" s="10" t="s">
        <v>1106</v>
      </c>
      <c r="D65" s="1">
        <v>1078</v>
      </c>
      <c r="E65" s="30">
        <v>750</v>
      </c>
      <c r="F65" s="1">
        <v>1060</v>
      </c>
      <c r="G65" s="1">
        <v>65.45</v>
      </c>
      <c r="H65" s="1">
        <v>5250</v>
      </c>
      <c r="I65" s="1">
        <v>750</v>
      </c>
      <c r="J65" s="1">
        <v>31.1</v>
      </c>
      <c r="K65" s="1">
        <v>62.2</v>
      </c>
      <c r="L65" s="1">
        <v>12000</v>
      </c>
      <c r="M65" s="36">
        <v>-7.8855999999999996E-2</v>
      </c>
      <c r="N65" s="1"/>
      <c r="O65" s="7">
        <f t="shared" si="7"/>
        <v>6.0714285714285714E-2</v>
      </c>
      <c r="P65" s="7">
        <f t="shared" ca="1" si="8"/>
        <v>-1.2755102040816328E-4</v>
      </c>
      <c r="Q65" s="7">
        <f t="shared" si="9"/>
        <v>1.6001855287569589E-2</v>
      </c>
      <c r="R65" s="33">
        <f t="shared" si="10"/>
        <v>1095.25</v>
      </c>
      <c r="S65" s="33">
        <f t="shared" si="11"/>
        <v>35587.5</v>
      </c>
      <c r="T65" s="7">
        <f t="shared" si="12"/>
        <v>4.4016697588126159E-2</v>
      </c>
      <c r="U65" s="33">
        <f t="shared" si="13"/>
        <v>808500</v>
      </c>
    </row>
    <row r="66" spans="1:21" x14ac:dyDescent="0.25">
      <c r="A66" s="1"/>
      <c r="B66" s="25">
        <v>43461</v>
      </c>
      <c r="C66" s="10" t="s">
        <v>1210</v>
      </c>
      <c r="D66" s="1">
        <v>66</v>
      </c>
      <c r="E66" s="30">
        <v>5500</v>
      </c>
      <c r="F66" s="1">
        <v>65</v>
      </c>
      <c r="G66" s="1">
        <v>3.9</v>
      </c>
      <c r="H66" s="1">
        <v>352000</v>
      </c>
      <c r="I66" s="1">
        <v>11000</v>
      </c>
      <c r="J66" s="1">
        <v>3.8</v>
      </c>
      <c r="K66" s="1">
        <v>4.05</v>
      </c>
      <c r="L66" s="1">
        <v>5500</v>
      </c>
      <c r="M66" s="36">
        <v>-0.184474</v>
      </c>
      <c r="N66" s="1"/>
      <c r="O66" s="7">
        <f t="shared" si="7"/>
        <v>5.909090909090909E-2</v>
      </c>
      <c r="P66" s="7">
        <f t="shared" ca="1" si="8"/>
        <v>-1.241405653170359E-4</v>
      </c>
      <c r="Q66" s="7">
        <f t="shared" si="9"/>
        <v>-0.5143939393939394</v>
      </c>
      <c r="R66" s="33">
        <f t="shared" si="10"/>
        <v>32.049999999999997</v>
      </c>
      <c r="S66" s="33">
        <f t="shared" si="11"/>
        <v>-165275.00000000003</v>
      </c>
      <c r="T66" s="7">
        <f t="shared" si="12"/>
        <v>-0.45530303030303038</v>
      </c>
      <c r="U66" s="33">
        <f t="shared" si="13"/>
        <v>363000</v>
      </c>
    </row>
    <row r="67" spans="1:21" x14ac:dyDescent="0.25">
      <c r="A67" s="1"/>
      <c r="B67" s="25">
        <v>43461</v>
      </c>
      <c r="C67" s="10" t="s">
        <v>44</v>
      </c>
      <c r="D67" s="1">
        <v>1417.95</v>
      </c>
      <c r="E67" s="30">
        <v>400</v>
      </c>
      <c r="F67" s="1">
        <v>1400</v>
      </c>
      <c r="G67" s="1">
        <v>80</v>
      </c>
      <c r="H67" s="1">
        <v>3600</v>
      </c>
      <c r="I67" s="1">
        <v>400</v>
      </c>
      <c r="J67" s="1">
        <v>10</v>
      </c>
      <c r="K67" s="1">
        <v>90.95</v>
      </c>
      <c r="L67" s="1">
        <v>400</v>
      </c>
      <c r="M67" s="36">
        <v>-8.2331000000000001E-2</v>
      </c>
      <c r="N67" s="1"/>
      <c r="O67" s="7">
        <f t="shared" si="7"/>
        <v>5.6419478825064352E-2</v>
      </c>
      <c r="P67" s="7">
        <f t="shared" ca="1" si="8"/>
        <v>-1.1852831685937889E-4</v>
      </c>
      <c r="Q67" s="7">
        <f t="shared" si="9"/>
        <v>-0.18614901794844674</v>
      </c>
      <c r="R67" s="33">
        <f t="shared" si="10"/>
        <v>1154</v>
      </c>
      <c r="S67" s="33">
        <f t="shared" si="11"/>
        <v>-73580.000000000015</v>
      </c>
      <c r="T67" s="7">
        <f t="shared" si="12"/>
        <v>-0.12972953912338236</v>
      </c>
      <c r="U67" s="33">
        <f t="shared" si="13"/>
        <v>567180</v>
      </c>
    </row>
    <row r="68" spans="1:21" x14ac:dyDescent="0.25">
      <c r="A68" s="1"/>
      <c r="B68" s="25">
        <v>43461</v>
      </c>
      <c r="C68" s="10" t="s">
        <v>1654</v>
      </c>
      <c r="D68" s="1">
        <v>1229</v>
      </c>
      <c r="E68" s="30">
        <v>700</v>
      </c>
      <c r="F68" s="1">
        <v>1240</v>
      </c>
      <c r="G68" s="1">
        <v>42.7</v>
      </c>
      <c r="H68" s="1">
        <v>16100</v>
      </c>
      <c r="I68" s="1">
        <v>700</v>
      </c>
      <c r="J68" s="1">
        <v>42.7</v>
      </c>
      <c r="K68" s="1">
        <v>45.65</v>
      </c>
      <c r="L68" s="1">
        <v>700</v>
      </c>
      <c r="M68" s="36">
        <v>-8.8280999999999998E-2</v>
      </c>
      <c r="N68" s="1"/>
      <c r="O68" s="7">
        <f t="shared" ref="O68:O99" si="14">G68/D68</f>
        <v>3.4743694060211557E-2</v>
      </c>
      <c r="P68" s="7">
        <f t="shared" ref="P68:P99" ca="1" si="15">O68/(B68-TODAY())</f>
        <v>-7.2990953908007465E-5</v>
      </c>
      <c r="Q68" s="7">
        <f t="shared" ref="Q68:Q99" si="16">R68/D68-1</f>
        <v>-0.23722538649308378</v>
      </c>
      <c r="R68" s="33">
        <f t="shared" ref="R68:R99" si="17">mrigxl_stockquote(C68)</f>
        <v>937.45</v>
      </c>
      <c r="S68" s="33">
        <f t="shared" ref="S68:S99" si="18">(MIN(F68,R68)-D68+G68)*E68</f>
        <v>-174194.99999999997</v>
      </c>
      <c r="T68" s="7">
        <f t="shared" ref="T68:T99" si="19">S68/U68</f>
        <v>-0.20248169243287223</v>
      </c>
      <c r="U68" s="33">
        <f t="shared" ref="U68:U99" si="20">E68*D68</f>
        <v>860300</v>
      </c>
    </row>
    <row r="69" spans="1:21" x14ac:dyDescent="0.25">
      <c r="A69" s="1"/>
      <c r="B69" s="25">
        <v>43461</v>
      </c>
      <c r="C69" s="10" t="s">
        <v>1327</v>
      </c>
      <c r="D69" s="1">
        <v>27.65</v>
      </c>
      <c r="E69" s="30">
        <v>13000</v>
      </c>
      <c r="F69" s="1">
        <v>29</v>
      </c>
      <c r="G69" s="1">
        <v>1.2</v>
      </c>
      <c r="H69" s="1">
        <v>130000</v>
      </c>
      <c r="I69" s="1">
        <v>13000</v>
      </c>
      <c r="J69" s="1">
        <v>1.1499999999999999</v>
      </c>
      <c r="K69" s="1">
        <v>1.2</v>
      </c>
      <c r="L69" s="1">
        <v>26000</v>
      </c>
      <c r="M69" s="36">
        <v>-0.12981099999999998</v>
      </c>
      <c r="N69" s="1"/>
      <c r="O69" s="7">
        <f t="shared" si="14"/>
        <v>4.3399638336347197E-2</v>
      </c>
      <c r="P69" s="7">
        <f t="shared" ca="1" si="15"/>
        <v>-9.117571079064537E-5</v>
      </c>
      <c r="Q69" s="7">
        <f t="shared" si="16"/>
        <v>-0.94213381555153708</v>
      </c>
      <c r="R69" s="33">
        <f t="shared" si="17"/>
        <v>1.6</v>
      </c>
      <c r="S69" s="33">
        <f t="shared" si="18"/>
        <v>-323050</v>
      </c>
      <c r="T69" s="7">
        <f t="shared" si="19"/>
        <v>-0.89873417721518989</v>
      </c>
      <c r="U69" s="33">
        <f t="shared" si="20"/>
        <v>359450</v>
      </c>
    </row>
    <row r="70" spans="1:21" x14ac:dyDescent="0.25">
      <c r="A70" s="1"/>
      <c r="B70" s="25">
        <v>43461</v>
      </c>
      <c r="C70" s="10" t="s">
        <v>696</v>
      </c>
      <c r="D70" s="1">
        <v>252.7</v>
      </c>
      <c r="E70" s="30">
        <v>2750</v>
      </c>
      <c r="F70" s="1">
        <v>255</v>
      </c>
      <c r="G70" s="1">
        <v>8.6</v>
      </c>
      <c r="H70" s="1">
        <v>16500</v>
      </c>
      <c r="I70" s="1">
        <v>5500</v>
      </c>
      <c r="J70" s="1">
        <v>8.5500000000000007</v>
      </c>
      <c r="K70" s="1">
        <v>9.5</v>
      </c>
      <c r="L70" s="1">
        <v>2750</v>
      </c>
      <c r="M70" s="36">
        <v>-7.5734999999999997E-2</v>
      </c>
      <c r="N70" s="1"/>
      <c r="O70" s="7">
        <f t="shared" si="14"/>
        <v>3.4032449544914918E-2</v>
      </c>
      <c r="P70" s="7">
        <f t="shared" ca="1" si="15"/>
        <v>-7.1496742741417897E-5</v>
      </c>
      <c r="Q70" s="7">
        <f t="shared" si="16"/>
        <v>0.78373565492679065</v>
      </c>
      <c r="R70" s="33">
        <f t="shared" si="17"/>
        <v>450.75</v>
      </c>
      <c r="S70" s="33">
        <f t="shared" si="18"/>
        <v>29975.000000000029</v>
      </c>
      <c r="T70" s="7">
        <f t="shared" si="19"/>
        <v>4.3134151167392207E-2</v>
      </c>
      <c r="U70" s="33">
        <f t="shared" si="20"/>
        <v>694925</v>
      </c>
    </row>
    <row r="71" spans="1:21" x14ac:dyDescent="0.25">
      <c r="A71" s="1"/>
      <c r="B71" s="25">
        <v>43461</v>
      </c>
      <c r="C71" s="10" t="s">
        <v>1037</v>
      </c>
      <c r="D71" s="1">
        <v>157.1</v>
      </c>
      <c r="E71" s="30">
        <v>2400</v>
      </c>
      <c r="F71" s="1">
        <v>155</v>
      </c>
      <c r="G71" s="1">
        <v>8.8000000000000007</v>
      </c>
      <c r="H71" s="1">
        <v>36000</v>
      </c>
      <c r="I71" s="1">
        <v>2400</v>
      </c>
      <c r="J71" s="1">
        <v>7.9</v>
      </c>
      <c r="K71" s="1">
        <v>9.1</v>
      </c>
      <c r="L71" s="1">
        <v>2400</v>
      </c>
      <c r="M71" s="36">
        <v>-0.11587500000000001</v>
      </c>
      <c r="N71" s="1"/>
      <c r="O71" s="7">
        <f t="shared" si="14"/>
        <v>5.6015276893698285E-2</v>
      </c>
      <c r="P71" s="7">
        <f t="shared" ca="1" si="15"/>
        <v>-1.176791531380216E-4</v>
      </c>
      <c r="Q71" s="7">
        <f t="shared" si="16"/>
        <v>-0.53214513049013368</v>
      </c>
      <c r="R71" s="33">
        <f t="shared" si="17"/>
        <v>73.5</v>
      </c>
      <c r="S71" s="33">
        <f t="shared" si="18"/>
        <v>-179520</v>
      </c>
      <c r="T71" s="7">
        <f t="shared" si="19"/>
        <v>-0.47612985359643539</v>
      </c>
      <c r="U71" s="33">
        <f t="shared" si="20"/>
        <v>377040</v>
      </c>
    </row>
    <row r="72" spans="1:21" x14ac:dyDescent="0.25">
      <c r="A72" s="1"/>
      <c r="B72" s="25">
        <v>43461</v>
      </c>
      <c r="C72" s="10" t="s">
        <v>449</v>
      </c>
      <c r="D72" s="1">
        <v>112.5</v>
      </c>
      <c r="E72" s="30">
        <v>3500</v>
      </c>
      <c r="F72" s="1">
        <v>112.5</v>
      </c>
      <c r="G72" s="1">
        <v>4.75</v>
      </c>
      <c r="H72" s="1">
        <v>14000</v>
      </c>
      <c r="I72" s="1">
        <v>3500</v>
      </c>
      <c r="J72" s="1">
        <v>4.25</v>
      </c>
      <c r="K72" s="1">
        <v>5.05</v>
      </c>
      <c r="L72" s="1">
        <v>42000</v>
      </c>
      <c r="M72" s="36">
        <v>-9.1372000000000009E-2</v>
      </c>
      <c r="N72" s="1"/>
      <c r="O72" s="7">
        <f t="shared" si="14"/>
        <v>4.2222222222222223E-2</v>
      </c>
      <c r="P72" s="7">
        <f t="shared" ca="1" si="15"/>
        <v>-8.8702147525676942E-5</v>
      </c>
      <c r="Q72" s="7">
        <f t="shared" si="16"/>
        <v>-0.40088888888888885</v>
      </c>
      <c r="R72" s="33">
        <f t="shared" si="17"/>
        <v>67.400000000000006</v>
      </c>
      <c r="S72" s="33">
        <f t="shared" si="18"/>
        <v>-141224.99999999997</v>
      </c>
      <c r="T72" s="7">
        <f t="shared" si="19"/>
        <v>-0.35866666666666658</v>
      </c>
      <c r="U72" s="33">
        <f t="shared" si="20"/>
        <v>393750</v>
      </c>
    </row>
    <row r="73" spans="1:21" x14ac:dyDescent="0.25">
      <c r="A73" s="1"/>
      <c r="B73" s="25">
        <v>43461</v>
      </c>
      <c r="C73" s="10" t="s">
        <v>1726</v>
      </c>
      <c r="D73" s="1">
        <v>534.35</v>
      </c>
      <c r="E73" s="30">
        <v>1000</v>
      </c>
      <c r="F73" s="1">
        <v>540</v>
      </c>
      <c r="G73" s="1">
        <v>16.899999999999999</v>
      </c>
      <c r="H73" s="1">
        <v>35000</v>
      </c>
      <c r="I73" s="1">
        <v>4000</v>
      </c>
      <c r="J73" s="1">
        <v>16.350000000000001</v>
      </c>
      <c r="K73" s="1">
        <v>17.3</v>
      </c>
      <c r="L73" s="1">
        <v>9000</v>
      </c>
      <c r="M73" s="36">
        <v>-0.10562300000000001</v>
      </c>
      <c r="N73" s="1"/>
      <c r="O73" s="7">
        <f t="shared" si="14"/>
        <v>3.1627210629737057E-2</v>
      </c>
      <c r="P73" s="7">
        <f t="shared" ca="1" si="15"/>
        <v>-6.6443719810371966E-5</v>
      </c>
      <c r="Q73" s="7">
        <f t="shared" si="16"/>
        <v>4.7721530831850156E-3</v>
      </c>
      <c r="R73" s="33">
        <f t="shared" si="17"/>
        <v>536.9</v>
      </c>
      <c r="S73" s="33">
        <f t="shared" si="18"/>
        <v>19449.999999999953</v>
      </c>
      <c r="T73" s="7">
        <f t="shared" si="19"/>
        <v>3.6399363712922156E-2</v>
      </c>
      <c r="U73" s="33">
        <f t="shared" si="20"/>
        <v>534350</v>
      </c>
    </row>
    <row r="74" spans="1:21" x14ac:dyDescent="0.25">
      <c r="A74" s="1"/>
      <c r="B74" s="25">
        <v>43461</v>
      </c>
      <c r="C74" s="10" t="s">
        <v>1503</v>
      </c>
      <c r="D74" s="1">
        <v>1105</v>
      </c>
      <c r="E74" s="30">
        <v>600</v>
      </c>
      <c r="F74" s="1">
        <v>1100</v>
      </c>
      <c r="G74" s="1">
        <v>50.75</v>
      </c>
      <c r="H74" s="1">
        <v>13800</v>
      </c>
      <c r="I74" s="1">
        <v>1800</v>
      </c>
      <c r="J74" s="1">
        <v>48.05</v>
      </c>
      <c r="K74" s="1">
        <v>52.95</v>
      </c>
      <c r="L74" s="1">
        <v>600</v>
      </c>
      <c r="M74" s="36">
        <v>-0.12207899999999999</v>
      </c>
      <c r="N74" s="1"/>
      <c r="O74" s="7">
        <f t="shared" si="14"/>
        <v>4.5927601809954754E-2</v>
      </c>
      <c r="P74" s="7">
        <f t="shared" ca="1" si="15"/>
        <v>-9.6486558424274701E-5</v>
      </c>
      <c r="Q74" s="7">
        <f t="shared" si="16"/>
        <v>-0.37529411764705889</v>
      </c>
      <c r="R74" s="33">
        <f t="shared" si="17"/>
        <v>690.3</v>
      </c>
      <c r="S74" s="33">
        <f t="shared" si="18"/>
        <v>-218370.00000000003</v>
      </c>
      <c r="T74" s="7">
        <f t="shared" si="19"/>
        <v>-0.32936651583710413</v>
      </c>
      <c r="U74" s="33">
        <f t="shared" si="20"/>
        <v>663000</v>
      </c>
    </row>
    <row r="75" spans="1:21" x14ac:dyDescent="0.25">
      <c r="A75" s="1"/>
      <c r="B75" s="25">
        <v>43461</v>
      </c>
      <c r="C75" s="10" t="s">
        <v>8</v>
      </c>
      <c r="D75" s="1">
        <v>104.2</v>
      </c>
      <c r="E75" s="30">
        <v>4500</v>
      </c>
      <c r="F75" s="1">
        <v>105</v>
      </c>
      <c r="G75" s="1">
        <v>3.4</v>
      </c>
      <c r="H75" s="1">
        <v>117000</v>
      </c>
      <c r="I75" s="1">
        <v>4500</v>
      </c>
      <c r="J75" s="1">
        <v>3.55</v>
      </c>
      <c r="K75" s="1">
        <v>5.95</v>
      </c>
      <c r="L75" s="1">
        <v>4500</v>
      </c>
      <c r="M75" s="36">
        <v>-0.12953100000000001</v>
      </c>
      <c r="N75" s="1"/>
      <c r="O75" s="7">
        <f t="shared" si="14"/>
        <v>3.2629558541266791E-2</v>
      </c>
      <c r="P75" s="7">
        <f t="shared" ca="1" si="15"/>
        <v>-6.8549492733753766E-5</v>
      </c>
      <c r="Q75" s="7">
        <f t="shared" si="16"/>
        <v>-0.56957773512476007</v>
      </c>
      <c r="R75" s="33">
        <f t="shared" si="17"/>
        <v>44.85</v>
      </c>
      <c r="S75" s="33">
        <f t="shared" si="18"/>
        <v>-251775</v>
      </c>
      <c r="T75" s="7">
        <f t="shared" si="19"/>
        <v>-0.53694817658349325</v>
      </c>
      <c r="U75" s="33">
        <f t="shared" si="20"/>
        <v>468900</v>
      </c>
    </row>
    <row r="76" spans="1:21" x14ac:dyDescent="0.25">
      <c r="A76" s="1"/>
      <c r="B76" s="25">
        <v>43461</v>
      </c>
      <c r="C76" s="10" t="s">
        <v>212</v>
      </c>
      <c r="D76" s="1">
        <v>1034.2</v>
      </c>
      <c r="E76" s="30">
        <v>550</v>
      </c>
      <c r="F76" s="1">
        <v>1040</v>
      </c>
      <c r="G76" s="1">
        <v>35</v>
      </c>
      <c r="H76" s="1">
        <v>28600</v>
      </c>
      <c r="I76" s="1">
        <v>4400</v>
      </c>
      <c r="J76" s="1">
        <v>35</v>
      </c>
      <c r="K76" s="1">
        <v>38.15</v>
      </c>
      <c r="L76" s="1">
        <v>6600</v>
      </c>
      <c r="M76" s="36">
        <v>-6.0396000000000005E-2</v>
      </c>
      <c r="N76" s="1"/>
      <c r="O76" s="7">
        <f t="shared" si="14"/>
        <v>3.3842583639528134E-2</v>
      </c>
      <c r="P76" s="7">
        <f t="shared" ca="1" si="15"/>
        <v>-7.1097864788924648E-5</v>
      </c>
      <c r="Q76" s="7">
        <f t="shared" si="16"/>
        <v>0.1947398955714561</v>
      </c>
      <c r="R76" s="33">
        <f t="shared" si="17"/>
        <v>1235.5999999999999</v>
      </c>
      <c r="S76" s="33">
        <f t="shared" si="18"/>
        <v>22439.999999999975</v>
      </c>
      <c r="T76" s="7">
        <f t="shared" si="19"/>
        <v>3.9450783214078473E-2</v>
      </c>
      <c r="U76" s="33">
        <f t="shared" si="20"/>
        <v>568810</v>
      </c>
    </row>
    <row r="77" spans="1:21" x14ac:dyDescent="0.25">
      <c r="A77" s="1"/>
      <c r="B77" s="25">
        <v>43461</v>
      </c>
      <c r="C77" s="10" t="s">
        <v>127</v>
      </c>
      <c r="D77" s="1">
        <v>224.9</v>
      </c>
      <c r="E77" s="30">
        <v>3000</v>
      </c>
      <c r="F77" s="1">
        <v>225</v>
      </c>
      <c r="G77" s="1">
        <v>8.65</v>
      </c>
      <c r="H77" s="1">
        <v>81000</v>
      </c>
      <c r="I77" s="1">
        <v>36000</v>
      </c>
      <c r="J77" s="1">
        <v>7.7</v>
      </c>
      <c r="K77" s="1">
        <v>8.8000000000000007</v>
      </c>
      <c r="L77" s="1">
        <v>3000</v>
      </c>
      <c r="M77" s="36">
        <v>-9.6797999999999995E-2</v>
      </c>
      <c r="N77" s="1"/>
      <c r="O77" s="7">
        <f t="shared" si="14"/>
        <v>3.8461538461538464E-2</v>
      </c>
      <c r="P77" s="7">
        <f t="shared" ca="1" si="15"/>
        <v>-8.0801551389786695E-5</v>
      </c>
      <c r="Q77" s="7">
        <f t="shared" si="16"/>
        <v>-0.60604713205869276</v>
      </c>
      <c r="R77" s="33">
        <f t="shared" si="17"/>
        <v>88.6</v>
      </c>
      <c r="S77" s="33">
        <f t="shared" si="18"/>
        <v>-382950</v>
      </c>
      <c r="T77" s="7">
        <f t="shared" si="19"/>
        <v>-0.56758559359715433</v>
      </c>
      <c r="U77" s="33">
        <f t="shared" si="20"/>
        <v>674700</v>
      </c>
    </row>
    <row r="78" spans="1:21" x14ac:dyDescent="0.25">
      <c r="A78" s="1"/>
      <c r="B78" s="25">
        <v>43461</v>
      </c>
      <c r="C78" s="10" t="s">
        <v>303</v>
      </c>
      <c r="D78" s="1">
        <v>1264.45</v>
      </c>
      <c r="E78" s="30">
        <v>350</v>
      </c>
      <c r="F78" s="1">
        <v>1260</v>
      </c>
      <c r="G78" s="1">
        <v>55.3</v>
      </c>
      <c r="H78" s="1">
        <v>5600</v>
      </c>
      <c r="I78" s="1">
        <v>350</v>
      </c>
      <c r="J78" s="1">
        <v>53.5</v>
      </c>
      <c r="K78" s="1">
        <v>60.8</v>
      </c>
      <c r="L78" s="1">
        <v>6300</v>
      </c>
      <c r="M78" s="36">
        <v>-0.13458800000000001</v>
      </c>
      <c r="N78" s="1"/>
      <c r="O78" s="7">
        <f t="shared" si="14"/>
        <v>4.373442998932342E-2</v>
      </c>
      <c r="P78" s="7">
        <f t="shared" ca="1" si="15"/>
        <v>-9.1879054599418945E-5</v>
      </c>
      <c r="Q78" s="7">
        <f t="shared" si="16"/>
        <v>-0.35062675471548899</v>
      </c>
      <c r="R78" s="33">
        <f t="shared" si="17"/>
        <v>821.1</v>
      </c>
      <c r="S78" s="33">
        <f t="shared" si="18"/>
        <v>-135817.5</v>
      </c>
      <c r="T78" s="7">
        <f t="shared" si="19"/>
        <v>-0.30689232472616551</v>
      </c>
      <c r="U78" s="33">
        <f t="shared" si="20"/>
        <v>442557.5</v>
      </c>
    </row>
    <row r="79" spans="1:21" x14ac:dyDescent="0.25">
      <c r="A79" s="1"/>
      <c r="B79" s="25">
        <v>43461</v>
      </c>
      <c r="C79" s="10" t="s">
        <v>21</v>
      </c>
      <c r="D79" s="1">
        <v>89.9</v>
      </c>
      <c r="E79" s="30">
        <v>6000</v>
      </c>
      <c r="F79" s="1">
        <v>87.5</v>
      </c>
      <c r="G79" s="1">
        <v>5.85</v>
      </c>
      <c r="H79" s="1">
        <v>150000</v>
      </c>
      <c r="I79" s="1">
        <v>12000</v>
      </c>
      <c r="J79" s="1">
        <v>5.5</v>
      </c>
      <c r="K79" s="1">
        <v>6.2</v>
      </c>
      <c r="L79" s="1">
        <v>24000</v>
      </c>
      <c r="M79" s="36">
        <v>-0.10377599999999999</v>
      </c>
      <c r="N79" s="1"/>
      <c r="O79" s="7">
        <f t="shared" si="14"/>
        <v>6.5072302558398215E-2</v>
      </c>
      <c r="P79" s="7">
        <f t="shared" ca="1" si="15"/>
        <v>-1.3670651797982819E-4</v>
      </c>
      <c r="Q79" s="7">
        <f t="shared" si="16"/>
        <v>3.8932146829810943E-3</v>
      </c>
      <c r="R79" s="33">
        <f t="shared" si="17"/>
        <v>90.25</v>
      </c>
      <c r="S79" s="33">
        <f t="shared" si="18"/>
        <v>20699.999999999964</v>
      </c>
      <c r="T79" s="7">
        <f t="shared" si="19"/>
        <v>3.837597330367068E-2</v>
      </c>
      <c r="U79" s="33">
        <f t="shared" si="20"/>
        <v>539400</v>
      </c>
    </row>
    <row r="80" spans="1:21" x14ac:dyDescent="0.25">
      <c r="A80" s="1"/>
      <c r="B80" s="25">
        <v>43461</v>
      </c>
      <c r="C80" s="10" t="s">
        <v>247</v>
      </c>
      <c r="D80" s="1">
        <v>604</v>
      </c>
      <c r="E80" s="30">
        <v>900</v>
      </c>
      <c r="F80" s="1">
        <v>600</v>
      </c>
      <c r="G80" s="1">
        <v>26.75</v>
      </c>
      <c r="H80" s="1">
        <v>23400</v>
      </c>
      <c r="I80" s="1">
        <v>2700</v>
      </c>
      <c r="J80" s="1">
        <v>25.5</v>
      </c>
      <c r="K80" s="1">
        <v>28.65</v>
      </c>
      <c r="L80" s="1">
        <v>4500</v>
      </c>
      <c r="M80" s="36">
        <v>-4.8222000000000001E-2</v>
      </c>
      <c r="N80" s="1"/>
      <c r="O80" s="7">
        <f t="shared" si="14"/>
        <v>4.4288079470198673E-2</v>
      </c>
      <c r="P80" s="7">
        <f t="shared" ca="1" si="15"/>
        <v>-9.3042183760921581E-5</v>
      </c>
      <c r="Q80" s="7">
        <f t="shared" si="16"/>
        <v>-0.43071192052980134</v>
      </c>
      <c r="R80" s="33">
        <f t="shared" si="17"/>
        <v>343.85</v>
      </c>
      <c r="S80" s="33">
        <f t="shared" si="18"/>
        <v>-210059.99999999997</v>
      </c>
      <c r="T80" s="7">
        <f t="shared" si="19"/>
        <v>-0.38642384105960259</v>
      </c>
      <c r="U80" s="33">
        <f t="shared" si="20"/>
        <v>543600</v>
      </c>
    </row>
    <row r="81" spans="1:21" x14ac:dyDescent="0.25">
      <c r="A81" s="1"/>
      <c r="B81" s="25">
        <v>43461</v>
      </c>
      <c r="C81" s="10" t="s">
        <v>180</v>
      </c>
      <c r="D81" s="1">
        <v>598.95000000000005</v>
      </c>
      <c r="E81" s="30">
        <v>1200</v>
      </c>
      <c r="F81" s="1">
        <v>600</v>
      </c>
      <c r="G81" s="1">
        <v>21.5</v>
      </c>
      <c r="H81" s="1">
        <v>111600</v>
      </c>
      <c r="I81" s="1">
        <v>1200</v>
      </c>
      <c r="J81" s="1">
        <v>21.5</v>
      </c>
      <c r="K81" s="1">
        <v>22.9</v>
      </c>
      <c r="L81" s="1">
        <v>2400</v>
      </c>
      <c r="M81" s="36">
        <v>-6.604199999999999E-2</v>
      </c>
      <c r="N81" s="1"/>
      <c r="O81" s="7">
        <f t="shared" si="14"/>
        <v>3.5896151598630938E-2</v>
      </c>
      <c r="P81" s="7">
        <f t="shared" ca="1" si="15"/>
        <v>-7.541208319040113E-5</v>
      </c>
      <c r="Q81" s="7">
        <f t="shared" si="16"/>
        <v>-0.25828533266549802</v>
      </c>
      <c r="R81" s="33">
        <f t="shared" si="17"/>
        <v>444.25</v>
      </c>
      <c r="S81" s="33">
        <f t="shared" si="18"/>
        <v>-159840.00000000006</v>
      </c>
      <c r="T81" s="7">
        <f t="shared" si="19"/>
        <v>-0.22238918106686709</v>
      </c>
      <c r="U81" s="33">
        <f t="shared" si="20"/>
        <v>718740</v>
      </c>
    </row>
    <row r="82" spans="1:21" x14ac:dyDescent="0.25">
      <c r="A82" s="1"/>
      <c r="B82" s="25">
        <v>43461</v>
      </c>
      <c r="C82" s="10" t="s">
        <v>1283</v>
      </c>
      <c r="D82" s="1">
        <v>771</v>
      </c>
      <c r="E82" s="30">
        <v>800</v>
      </c>
      <c r="F82" s="1">
        <v>760</v>
      </c>
      <c r="G82" s="1">
        <v>39.85</v>
      </c>
      <c r="H82" s="1">
        <v>800</v>
      </c>
      <c r="I82" s="1">
        <v>800</v>
      </c>
      <c r="J82" s="1">
        <v>36.75</v>
      </c>
      <c r="K82" s="1">
        <v>41.1</v>
      </c>
      <c r="L82" s="1">
        <v>5600</v>
      </c>
      <c r="M82" s="36">
        <v>-0.12607399999999999</v>
      </c>
      <c r="N82" s="1"/>
      <c r="O82" s="7">
        <f t="shared" si="14"/>
        <v>5.1686121919584958E-2</v>
      </c>
      <c r="P82" s="7">
        <f t="shared" ca="1" si="15"/>
        <v>-1.0858428974702722E-4</v>
      </c>
      <c r="Q82" s="7">
        <f t="shared" si="16"/>
        <v>-0.637029831387808</v>
      </c>
      <c r="R82" s="33">
        <f t="shared" si="17"/>
        <v>279.85000000000002</v>
      </c>
      <c r="S82" s="33">
        <f t="shared" si="18"/>
        <v>-361039.99999999994</v>
      </c>
      <c r="T82" s="7">
        <f t="shared" si="19"/>
        <v>-0.58534370946822301</v>
      </c>
      <c r="U82" s="33">
        <f t="shared" si="20"/>
        <v>616800</v>
      </c>
    </row>
    <row r="83" spans="1:21" x14ac:dyDescent="0.25">
      <c r="A83" s="1"/>
      <c r="B83" s="25">
        <v>43461</v>
      </c>
      <c r="C83" s="10" t="s">
        <v>636</v>
      </c>
      <c r="D83" s="1">
        <v>217.85</v>
      </c>
      <c r="E83" s="30">
        <v>3500</v>
      </c>
      <c r="F83" s="1">
        <v>220</v>
      </c>
      <c r="G83" s="1">
        <v>8.1999999999999993</v>
      </c>
      <c r="H83" s="1">
        <v>525000</v>
      </c>
      <c r="I83" s="1">
        <v>7000</v>
      </c>
      <c r="J83" s="1">
        <v>7.85</v>
      </c>
      <c r="K83" s="1">
        <v>8.15</v>
      </c>
      <c r="L83" s="1">
        <v>3500</v>
      </c>
      <c r="M83" s="36">
        <v>-8.3014999999999992E-2</v>
      </c>
      <c r="N83" s="1"/>
      <c r="O83" s="7">
        <f t="shared" si="14"/>
        <v>3.7640578379619004E-2</v>
      </c>
      <c r="P83" s="7">
        <f t="shared" ca="1" si="15"/>
        <v>-7.907684533533404E-5</v>
      </c>
      <c r="Q83" s="7">
        <f t="shared" si="16"/>
        <v>-0.44916226761533162</v>
      </c>
      <c r="R83" s="33">
        <f t="shared" si="17"/>
        <v>120</v>
      </c>
      <c r="S83" s="33">
        <f t="shared" si="18"/>
        <v>-313774.99999999994</v>
      </c>
      <c r="T83" s="7">
        <f t="shared" si="19"/>
        <v>-0.41152168923571258</v>
      </c>
      <c r="U83" s="33">
        <f t="shared" si="20"/>
        <v>762475</v>
      </c>
    </row>
    <row r="84" spans="1:21" x14ac:dyDescent="0.25">
      <c r="A84" s="1"/>
      <c r="B84" s="25">
        <v>43461</v>
      </c>
      <c r="C84" s="10" t="s">
        <v>23</v>
      </c>
      <c r="D84" s="1">
        <v>695</v>
      </c>
      <c r="E84" s="30">
        <v>1200</v>
      </c>
      <c r="F84" s="1">
        <v>700</v>
      </c>
      <c r="G84" s="1">
        <v>23.3</v>
      </c>
      <c r="H84" s="1">
        <v>176400</v>
      </c>
      <c r="I84" s="1">
        <v>3600</v>
      </c>
      <c r="J84" s="1">
        <v>23.3</v>
      </c>
      <c r="K84" s="1">
        <v>23.85</v>
      </c>
      <c r="L84" s="1">
        <v>1200</v>
      </c>
      <c r="M84" s="36">
        <v>-5.7224999999999998E-2</v>
      </c>
      <c r="N84" s="1"/>
      <c r="O84" s="7">
        <f t="shared" si="14"/>
        <v>3.3525179856115112E-2</v>
      </c>
      <c r="P84" s="7">
        <f t="shared" ca="1" si="15"/>
        <v>-7.0431050117888887E-5</v>
      </c>
      <c r="Q84" s="7">
        <f t="shared" si="16"/>
        <v>-0.21956834532374103</v>
      </c>
      <c r="R84" s="33">
        <f t="shared" si="17"/>
        <v>542.4</v>
      </c>
      <c r="S84" s="33">
        <f t="shared" si="18"/>
        <v>-155160</v>
      </c>
      <c r="T84" s="7">
        <f t="shared" si="19"/>
        <v>-0.18604316546762589</v>
      </c>
      <c r="U84" s="33">
        <f t="shared" si="20"/>
        <v>834000</v>
      </c>
    </row>
    <row r="85" spans="1:21" x14ac:dyDescent="0.25">
      <c r="A85" s="1"/>
      <c r="B85" s="25">
        <v>43461</v>
      </c>
      <c r="C85" s="10" t="s">
        <v>18</v>
      </c>
      <c r="D85" s="1">
        <v>1457</v>
      </c>
      <c r="E85" s="30">
        <v>400</v>
      </c>
      <c r="F85" s="1">
        <v>1460</v>
      </c>
      <c r="G85" s="1">
        <v>54.3</v>
      </c>
      <c r="H85" s="1">
        <v>14400</v>
      </c>
      <c r="I85" s="1">
        <v>5600</v>
      </c>
      <c r="J85" s="1">
        <v>48.15</v>
      </c>
      <c r="K85" s="1">
        <v>52</v>
      </c>
      <c r="L85" s="1">
        <v>400</v>
      </c>
      <c r="M85" s="36">
        <v>-7.1846000000000007E-2</v>
      </c>
      <c r="N85" s="1"/>
      <c r="O85" s="7">
        <f t="shared" si="14"/>
        <v>3.726835964310226E-2</v>
      </c>
      <c r="P85" s="7">
        <f t="shared" ca="1" si="15"/>
        <v>-7.8294873199794663E-5</v>
      </c>
      <c r="Q85" s="7">
        <f t="shared" si="16"/>
        <v>0.64299931365820173</v>
      </c>
      <c r="R85" s="33">
        <f t="shared" si="17"/>
        <v>2393.85</v>
      </c>
      <c r="S85" s="33">
        <f t="shared" si="18"/>
        <v>22920</v>
      </c>
      <c r="T85" s="7">
        <f t="shared" si="19"/>
        <v>3.9327385037748797E-2</v>
      </c>
      <c r="U85" s="33">
        <f t="shared" si="20"/>
        <v>582800</v>
      </c>
    </row>
    <row r="86" spans="1:21" x14ac:dyDescent="0.25">
      <c r="A86" s="1"/>
      <c r="B86" s="25">
        <v>43461</v>
      </c>
      <c r="C86" s="10" t="s">
        <v>1750</v>
      </c>
      <c r="D86" s="1">
        <v>502</v>
      </c>
      <c r="E86" s="30">
        <v>900</v>
      </c>
      <c r="F86" s="1">
        <v>540</v>
      </c>
      <c r="G86" s="1">
        <v>15.3</v>
      </c>
      <c r="H86" s="1">
        <v>124200</v>
      </c>
      <c r="I86" s="1">
        <v>900</v>
      </c>
      <c r="J86" s="1">
        <v>14.45</v>
      </c>
      <c r="K86" s="1">
        <v>15.5</v>
      </c>
      <c r="L86" s="1">
        <v>900</v>
      </c>
      <c r="M86" s="36">
        <v>-0.13117899999999999</v>
      </c>
      <c r="N86" s="1"/>
      <c r="O86" s="7">
        <f t="shared" si="14"/>
        <v>3.047808764940239E-2</v>
      </c>
      <c r="P86" s="7">
        <f t="shared" ca="1" si="15"/>
        <v>-6.4029595902105865E-5</v>
      </c>
      <c r="Q86" s="7">
        <f t="shared" si="16"/>
        <v>-0.48984063745019912</v>
      </c>
      <c r="R86" s="33">
        <f t="shared" si="17"/>
        <v>256.10000000000002</v>
      </c>
      <c r="S86" s="33">
        <f t="shared" si="18"/>
        <v>-207539.99999999997</v>
      </c>
      <c r="T86" s="7">
        <f t="shared" si="19"/>
        <v>-0.45936254980079677</v>
      </c>
      <c r="U86" s="33">
        <f t="shared" si="20"/>
        <v>451800</v>
      </c>
    </row>
    <row r="87" spans="1:21" x14ac:dyDescent="0.25">
      <c r="A87" s="1"/>
      <c r="B87" s="25">
        <v>43461</v>
      </c>
      <c r="C87" s="10" t="s">
        <v>1373</v>
      </c>
      <c r="D87" s="1">
        <v>275.60000000000002</v>
      </c>
      <c r="E87" s="30">
        <v>3000</v>
      </c>
      <c r="F87" s="1">
        <v>275</v>
      </c>
      <c r="G87" s="1">
        <v>10.199999999999999</v>
      </c>
      <c r="H87" s="1">
        <v>207000</v>
      </c>
      <c r="I87" s="1">
        <v>12000</v>
      </c>
      <c r="J87" s="1">
        <v>9.6999999999999993</v>
      </c>
      <c r="K87" s="1">
        <v>10.199999999999999</v>
      </c>
      <c r="L87" s="1">
        <v>6000</v>
      </c>
      <c r="M87" s="36">
        <v>-8.2655999999999993E-2</v>
      </c>
      <c r="N87" s="1"/>
      <c r="O87" s="7">
        <f t="shared" si="14"/>
        <v>3.7010159651669081E-2</v>
      </c>
      <c r="P87" s="7">
        <f t="shared" ca="1" si="15"/>
        <v>-7.7752436243002277E-5</v>
      </c>
      <c r="Q87" s="7">
        <f t="shared" si="16"/>
        <v>-0.31676342525399126</v>
      </c>
      <c r="R87" s="33">
        <f t="shared" si="17"/>
        <v>188.3</v>
      </c>
      <c r="S87" s="33">
        <f t="shared" si="18"/>
        <v>-231300.00000000003</v>
      </c>
      <c r="T87" s="7">
        <f t="shared" si="19"/>
        <v>-0.27975326560232222</v>
      </c>
      <c r="U87" s="33">
        <f t="shared" si="20"/>
        <v>826800.00000000012</v>
      </c>
    </row>
    <row r="88" spans="1:21" x14ac:dyDescent="0.25">
      <c r="A88" s="1"/>
      <c r="B88" s="25">
        <v>43461</v>
      </c>
      <c r="C88" s="10" t="s">
        <v>470</v>
      </c>
      <c r="D88" s="1">
        <v>250</v>
      </c>
      <c r="E88" s="30">
        <v>2000</v>
      </c>
      <c r="F88" s="1">
        <v>250</v>
      </c>
      <c r="G88" s="1">
        <v>8.6</v>
      </c>
      <c r="H88" s="1">
        <v>26000</v>
      </c>
      <c r="I88" s="1">
        <v>2000</v>
      </c>
      <c r="J88" s="1">
        <v>8.3000000000000007</v>
      </c>
      <c r="K88" s="1">
        <v>8.75</v>
      </c>
      <c r="L88" s="1">
        <v>2000</v>
      </c>
      <c r="M88" s="36">
        <v>-6.1541999999999993E-2</v>
      </c>
      <c r="N88" s="1"/>
      <c r="O88" s="7">
        <f t="shared" si="14"/>
        <v>3.44E-2</v>
      </c>
      <c r="P88" s="7">
        <f t="shared" ca="1" si="15"/>
        <v>-7.2268907563025213E-5</v>
      </c>
      <c r="Q88" s="7">
        <f t="shared" si="16"/>
        <v>-0.42079999999999995</v>
      </c>
      <c r="R88" s="33">
        <f t="shared" si="17"/>
        <v>144.80000000000001</v>
      </c>
      <c r="S88" s="33">
        <f t="shared" si="18"/>
        <v>-193200</v>
      </c>
      <c r="T88" s="7">
        <f t="shared" si="19"/>
        <v>-0.38640000000000002</v>
      </c>
      <c r="U88" s="33">
        <f t="shared" si="20"/>
        <v>500000</v>
      </c>
    </row>
    <row r="89" spans="1:21" x14ac:dyDescent="0.25">
      <c r="A89" s="1"/>
      <c r="B89" s="25">
        <v>43461</v>
      </c>
      <c r="C89" s="10" t="s">
        <v>696</v>
      </c>
      <c r="D89" s="1">
        <v>252.7</v>
      </c>
      <c r="E89" s="30">
        <v>2750</v>
      </c>
      <c r="F89" s="1">
        <v>250</v>
      </c>
      <c r="G89" s="1">
        <v>11.25</v>
      </c>
      <c r="H89" s="1">
        <v>2750</v>
      </c>
      <c r="I89" s="1">
        <v>5500</v>
      </c>
      <c r="J89" s="1">
        <v>10.95</v>
      </c>
      <c r="K89" s="1">
        <v>12.35</v>
      </c>
      <c r="L89" s="1">
        <v>13750</v>
      </c>
      <c r="M89" s="36">
        <v>-7.5734999999999997E-2</v>
      </c>
      <c r="N89" s="1"/>
      <c r="O89" s="7">
        <f t="shared" si="14"/>
        <v>4.4519192718638703E-2</v>
      </c>
      <c r="P89" s="7">
        <f t="shared" ca="1" si="15"/>
        <v>-9.3527715795459459E-5</v>
      </c>
      <c r="Q89" s="7">
        <f t="shared" si="16"/>
        <v>0.78373565492679065</v>
      </c>
      <c r="R89" s="33">
        <f t="shared" si="17"/>
        <v>450.75</v>
      </c>
      <c r="S89" s="33">
        <f t="shared" si="18"/>
        <v>23512.500000000033</v>
      </c>
      <c r="T89" s="7">
        <f t="shared" si="19"/>
        <v>3.383458646616546E-2</v>
      </c>
      <c r="U89" s="33">
        <f t="shared" si="20"/>
        <v>694925</v>
      </c>
    </row>
    <row r="90" spans="1:21" x14ac:dyDescent="0.25">
      <c r="A90" s="1"/>
      <c r="B90" s="25">
        <v>43461</v>
      </c>
      <c r="C90" s="10" t="s">
        <v>1630</v>
      </c>
      <c r="D90" s="1">
        <v>260.75</v>
      </c>
      <c r="E90" s="30">
        <v>3000</v>
      </c>
      <c r="F90" s="1">
        <v>260</v>
      </c>
      <c r="G90" s="1">
        <v>11.8</v>
      </c>
      <c r="H90" s="1">
        <v>48000</v>
      </c>
      <c r="I90" s="1">
        <v>12000</v>
      </c>
      <c r="J90" s="1">
        <v>10.95</v>
      </c>
      <c r="K90" s="1">
        <v>11.75</v>
      </c>
      <c r="L90" s="1">
        <v>3000</v>
      </c>
      <c r="M90" s="36">
        <v>-7.3686000000000001E-2</v>
      </c>
      <c r="N90" s="1"/>
      <c r="O90" s="7">
        <f t="shared" si="14"/>
        <v>4.5254074784276128E-2</v>
      </c>
      <c r="P90" s="7">
        <f t="shared" ca="1" si="15"/>
        <v>-9.5071585681252369E-5</v>
      </c>
      <c r="Q90" s="7">
        <f t="shared" si="16"/>
        <v>0.19654841802492817</v>
      </c>
      <c r="R90" s="33">
        <f t="shared" si="17"/>
        <v>312</v>
      </c>
      <c r="S90" s="33">
        <f t="shared" si="18"/>
        <v>33150</v>
      </c>
      <c r="T90" s="7">
        <f t="shared" si="19"/>
        <v>4.2377756471716203E-2</v>
      </c>
      <c r="U90" s="33">
        <f t="shared" si="20"/>
        <v>782250</v>
      </c>
    </row>
    <row r="91" spans="1:21" x14ac:dyDescent="0.25">
      <c r="A91" s="1"/>
      <c r="B91" s="25">
        <v>43461</v>
      </c>
      <c r="C91" s="10" t="s">
        <v>1726</v>
      </c>
      <c r="D91" s="1">
        <v>534.35</v>
      </c>
      <c r="E91" s="30">
        <v>1000</v>
      </c>
      <c r="F91" s="1">
        <v>530</v>
      </c>
      <c r="G91" s="1">
        <v>21.65</v>
      </c>
      <c r="H91" s="1">
        <v>7000</v>
      </c>
      <c r="I91" s="1">
        <v>2000</v>
      </c>
      <c r="J91" s="1">
        <v>21</v>
      </c>
      <c r="K91" s="1">
        <v>23.75</v>
      </c>
      <c r="L91" s="1">
        <v>16000</v>
      </c>
      <c r="M91" s="36">
        <v>-0.10562300000000001</v>
      </c>
      <c r="N91" s="1"/>
      <c r="O91" s="7">
        <f t="shared" si="14"/>
        <v>4.0516515392532981E-2</v>
      </c>
      <c r="P91" s="7">
        <f t="shared" ca="1" si="15"/>
        <v>-8.5118729816245761E-5</v>
      </c>
      <c r="Q91" s="7">
        <f t="shared" si="16"/>
        <v>4.7721530831850156E-3</v>
      </c>
      <c r="R91" s="33">
        <f t="shared" si="17"/>
        <v>536.9</v>
      </c>
      <c r="S91" s="33">
        <f t="shared" si="18"/>
        <v>17299.999999999975</v>
      </c>
      <c r="T91" s="7">
        <f t="shared" si="19"/>
        <v>3.2375783662393513E-2</v>
      </c>
      <c r="U91" s="33">
        <f t="shared" si="20"/>
        <v>534350</v>
      </c>
    </row>
    <row r="92" spans="1:21" x14ac:dyDescent="0.25">
      <c r="A92" s="1"/>
      <c r="B92" s="25">
        <v>43461</v>
      </c>
      <c r="C92" s="10" t="s">
        <v>303</v>
      </c>
      <c r="D92" s="1">
        <v>1264.45</v>
      </c>
      <c r="E92" s="30">
        <v>350</v>
      </c>
      <c r="F92" s="1">
        <v>1280</v>
      </c>
      <c r="G92" s="1">
        <v>46.85</v>
      </c>
      <c r="H92" s="1">
        <v>20650</v>
      </c>
      <c r="I92" s="1">
        <v>350</v>
      </c>
      <c r="J92" s="1">
        <v>44.3</v>
      </c>
      <c r="K92" s="1">
        <v>47.1</v>
      </c>
      <c r="L92" s="1">
        <v>350</v>
      </c>
      <c r="M92" s="36">
        <v>-0.13458800000000001</v>
      </c>
      <c r="N92" s="1"/>
      <c r="O92" s="7">
        <f t="shared" si="14"/>
        <v>3.7051682549725178E-2</v>
      </c>
      <c r="P92" s="7">
        <f t="shared" ca="1" si="15"/>
        <v>-7.7839669222111712E-5</v>
      </c>
      <c r="Q92" s="7">
        <f t="shared" si="16"/>
        <v>-0.35062675471548899</v>
      </c>
      <c r="R92" s="33">
        <f t="shared" si="17"/>
        <v>821.1</v>
      </c>
      <c r="S92" s="33">
        <f t="shared" si="18"/>
        <v>-138775</v>
      </c>
      <c r="T92" s="7">
        <f t="shared" si="19"/>
        <v>-0.31357507216576375</v>
      </c>
      <c r="U92" s="33">
        <f t="shared" si="20"/>
        <v>442557.5</v>
      </c>
    </row>
    <row r="93" spans="1:21" x14ac:dyDescent="0.25">
      <c r="A93" s="1"/>
      <c r="B93" s="25">
        <v>43461</v>
      </c>
      <c r="C93" s="10" t="s">
        <v>1569</v>
      </c>
      <c r="D93" s="1">
        <v>668.95</v>
      </c>
      <c r="E93" s="30">
        <v>750</v>
      </c>
      <c r="F93" s="1">
        <v>670</v>
      </c>
      <c r="G93" s="1">
        <v>20.100000000000001</v>
      </c>
      <c r="H93" s="1">
        <v>6750</v>
      </c>
      <c r="I93" s="1">
        <v>7500</v>
      </c>
      <c r="J93" s="1">
        <v>16.3</v>
      </c>
      <c r="K93" s="1">
        <v>19.95</v>
      </c>
      <c r="L93" s="1">
        <v>750</v>
      </c>
      <c r="M93" s="36">
        <v>-5.7045000000000005E-2</v>
      </c>
      <c r="N93" s="1"/>
      <c r="O93" s="7">
        <f t="shared" si="14"/>
        <v>3.0047088721130131E-2</v>
      </c>
      <c r="P93" s="7">
        <f t="shared" ca="1" si="15"/>
        <v>-6.3124135968760774E-5</v>
      </c>
      <c r="Q93" s="7">
        <f t="shared" si="16"/>
        <v>-0.62695268704686447</v>
      </c>
      <c r="R93" s="33">
        <f t="shared" si="17"/>
        <v>249.55</v>
      </c>
      <c r="S93" s="33">
        <f t="shared" si="18"/>
        <v>-299475</v>
      </c>
      <c r="T93" s="7">
        <f t="shared" si="19"/>
        <v>-0.59690559832573431</v>
      </c>
      <c r="U93" s="33">
        <f t="shared" si="20"/>
        <v>501712.50000000006</v>
      </c>
    </row>
    <row r="94" spans="1:21" x14ac:dyDescent="0.25">
      <c r="A94" s="1"/>
      <c r="B94" s="25">
        <v>43461</v>
      </c>
      <c r="C94" s="10" t="s">
        <v>409</v>
      </c>
      <c r="D94" s="1">
        <v>2642</v>
      </c>
      <c r="E94" s="30">
        <v>250</v>
      </c>
      <c r="F94" s="1">
        <v>2600</v>
      </c>
      <c r="G94" s="1">
        <v>124.65</v>
      </c>
      <c r="H94" s="1">
        <v>9000</v>
      </c>
      <c r="I94" s="1">
        <v>750</v>
      </c>
      <c r="J94" s="1">
        <v>124.1</v>
      </c>
      <c r="K94" s="1">
        <v>130.80000000000001</v>
      </c>
      <c r="L94" s="1">
        <v>750</v>
      </c>
      <c r="M94" s="36">
        <v>-6.0323000000000002E-2</v>
      </c>
      <c r="N94" s="1"/>
      <c r="O94" s="7">
        <f t="shared" si="14"/>
        <v>4.7180166540499627E-2</v>
      </c>
      <c r="P94" s="7">
        <f t="shared" ca="1" si="15"/>
        <v>-9.9117996933822746E-5</v>
      </c>
      <c r="Q94" s="7">
        <f t="shared" si="16"/>
        <v>0.4568319454958365</v>
      </c>
      <c r="R94" s="33">
        <f t="shared" si="17"/>
        <v>3848.95</v>
      </c>
      <c r="S94" s="33">
        <f t="shared" si="18"/>
        <v>20662.5</v>
      </c>
      <c r="T94" s="7">
        <f t="shared" si="19"/>
        <v>3.1283118849356549E-2</v>
      </c>
      <c r="U94" s="33">
        <f t="shared" si="20"/>
        <v>660500</v>
      </c>
    </row>
    <row r="95" spans="1:21" x14ac:dyDescent="0.25">
      <c r="A95" s="1"/>
      <c r="B95" s="25">
        <v>43461</v>
      </c>
      <c r="C95" s="10" t="s">
        <v>1569</v>
      </c>
      <c r="D95" s="1">
        <v>668.95</v>
      </c>
      <c r="E95" s="30">
        <v>750</v>
      </c>
      <c r="F95" s="1">
        <v>660</v>
      </c>
      <c r="G95" s="1">
        <v>28</v>
      </c>
      <c r="H95" s="1">
        <v>1500</v>
      </c>
      <c r="I95" s="1">
        <v>3750</v>
      </c>
      <c r="J95" s="1">
        <v>1.1000000000000001</v>
      </c>
      <c r="K95" s="1">
        <v>26.95</v>
      </c>
      <c r="L95" s="1">
        <v>750</v>
      </c>
      <c r="M95" s="36">
        <v>-5.7045000000000005E-2</v>
      </c>
      <c r="N95" s="1"/>
      <c r="O95" s="7">
        <f t="shared" si="14"/>
        <v>4.1856641004559381E-2</v>
      </c>
      <c r="P95" s="7">
        <f t="shared" ca="1" si="15"/>
        <v>-8.7934119757477686E-5</v>
      </c>
      <c r="Q95" s="7">
        <f t="shared" si="16"/>
        <v>-0.62695268704686447</v>
      </c>
      <c r="R95" s="33">
        <f t="shared" si="17"/>
        <v>249.55</v>
      </c>
      <c r="S95" s="33">
        <f t="shared" si="18"/>
        <v>-293550</v>
      </c>
      <c r="T95" s="7">
        <f t="shared" si="19"/>
        <v>-0.58509604604230503</v>
      </c>
      <c r="U95" s="33">
        <f t="shared" si="20"/>
        <v>501712.50000000006</v>
      </c>
    </row>
    <row r="96" spans="1:21" x14ac:dyDescent="0.25">
      <c r="A96" s="1"/>
      <c r="B96" s="25">
        <v>43461</v>
      </c>
      <c r="C96" s="10" t="s">
        <v>878</v>
      </c>
      <c r="D96" s="1">
        <v>212.3</v>
      </c>
      <c r="E96" s="30">
        <v>2250</v>
      </c>
      <c r="F96" s="1">
        <v>210</v>
      </c>
      <c r="G96" s="1">
        <v>8.25</v>
      </c>
      <c r="H96" s="1">
        <v>40500</v>
      </c>
      <c r="I96" s="1">
        <v>4500</v>
      </c>
      <c r="J96" s="1">
        <v>8.9499999999999993</v>
      </c>
      <c r="K96" s="1">
        <v>9.9499999999999993</v>
      </c>
      <c r="L96" s="1">
        <v>2250</v>
      </c>
      <c r="M96" s="36">
        <v>-0.19646</v>
      </c>
      <c r="N96" s="1"/>
      <c r="O96" s="7">
        <f t="shared" si="14"/>
        <v>3.8860103626943004E-2</v>
      </c>
      <c r="P96" s="7">
        <f t="shared" ca="1" si="15"/>
        <v>-8.1638873165846654E-5</v>
      </c>
      <c r="Q96" s="7" t="e">
        <f t="shared" si="16"/>
        <v>#VALUE!</v>
      </c>
      <c r="R96" s="33" t="str">
        <f t="shared" si="17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96" s="33">
        <f t="shared" si="18"/>
        <v>13387.499999999975</v>
      </c>
      <c r="T96" s="7">
        <f t="shared" si="19"/>
        <v>2.8026377767310356E-2</v>
      </c>
      <c r="U96" s="33">
        <f t="shared" si="20"/>
        <v>477675</v>
      </c>
    </row>
    <row r="97" spans="1:21" x14ac:dyDescent="0.25">
      <c r="A97" s="1"/>
      <c r="B97" s="25">
        <v>43461</v>
      </c>
      <c r="C97" s="10" t="s">
        <v>22</v>
      </c>
      <c r="D97" s="1">
        <v>330</v>
      </c>
      <c r="E97" s="30">
        <v>2400</v>
      </c>
      <c r="F97" s="1">
        <v>325</v>
      </c>
      <c r="G97" s="1">
        <v>14.2</v>
      </c>
      <c r="H97" s="1">
        <v>120000</v>
      </c>
      <c r="I97" s="1">
        <v>4800</v>
      </c>
      <c r="J97" s="1">
        <v>12.2</v>
      </c>
      <c r="K97" s="1">
        <v>13.4</v>
      </c>
      <c r="L97" s="1">
        <v>21600</v>
      </c>
      <c r="M97" s="36">
        <v>-5.1247000000000001E-2</v>
      </c>
      <c r="N97" s="1"/>
      <c r="O97" s="7">
        <f t="shared" si="14"/>
        <v>4.303030303030303E-2</v>
      </c>
      <c r="P97" s="7">
        <f t="shared" ca="1" si="15"/>
        <v>-9.0399796282149226E-5</v>
      </c>
      <c r="Q97" s="7">
        <f t="shared" si="16"/>
        <v>-0.4242424242424242</v>
      </c>
      <c r="R97" s="33">
        <f t="shared" si="17"/>
        <v>190</v>
      </c>
      <c r="S97" s="33">
        <f t="shared" si="18"/>
        <v>-301920</v>
      </c>
      <c r="T97" s="7">
        <f t="shared" si="19"/>
        <v>-0.38121212121212122</v>
      </c>
      <c r="U97" s="33">
        <f t="shared" si="20"/>
        <v>792000</v>
      </c>
    </row>
    <row r="98" spans="1:21" x14ac:dyDescent="0.25">
      <c r="A98" s="1"/>
      <c r="B98" s="25">
        <v>43461</v>
      </c>
      <c r="C98" s="10" t="s">
        <v>671</v>
      </c>
      <c r="D98" s="1">
        <v>348</v>
      </c>
      <c r="E98" s="30">
        <v>2750</v>
      </c>
      <c r="F98" s="1">
        <v>345</v>
      </c>
      <c r="G98" s="1">
        <v>12.25</v>
      </c>
      <c r="H98" s="1">
        <v>126500</v>
      </c>
      <c r="I98" s="1">
        <v>8250</v>
      </c>
      <c r="J98" s="1">
        <v>11.95</v>
      </c>
      <c r="K98" s="1">
        <v>12.25</v>
      </c>
      <c r="L98" s="1">
        <v>2750</v>
      </c>
      <c r="M98" s="36">
        <v>-8.3988999999999994E-2</v>
      </c>
      <c r="N98" s="1"/>
      <c r="O98" s="7">
        <f t="shared" si="14"/>
        <v>3.5201149425287355E-2</v>
      </c>
      <c r="P98" s="7">
        <f t="shared" ca="1" si="15"/>
        <v>-7.3951994590939823E-5</v>
      </c>
      <c r="Q98" s="7">
        <f t="shared" si="16"/>
        <v>-1.4367816091953589E-3</v>
      </c>
      <c r="R98" s="33">
        <f t="shared" si="17"/>
        <v>347.5</v>
      </c>
      <c r="S98" s="33">
        <f t="shared" si="18"/>
        <v>25437.5</v>
      </c>
      <c r="T98" s="7">
        <f t="shared" si="19"/>
        <v>2.6580459770114941E-2</v>
      </c>
      <c r="U98" s="33">
        <f t="shared" si="20"/>
        <v>957000</v>
      </c>
    </row>
    <row r="99" spans="1:21" x14ac:dyDescent="0.25">
      <c r="A99" s="1"/>
      <c r="B99" s="25">
        <v>43461</v>
      </c>
      <c r="C99" s="10" t="s">
        <v>1630</v>
      </c>
      <c r="D99" s="1">
        <v>260.75</v>
      </c>
      <c r="E99" s="30">
        <v>3000</v>
      </c>
      <c r="F99" s="1">
        <v>265</v>
      </c>
      <c r="G99" s="1">
        <v>9.8000000000000007</v>
      </c>
      <c r="H99" s="1">
        <v>9000</v>
      </c>
      <c r="I99" s="1">
        <v>24000</v>
      </c>
      <c r="J99" s="1">
        <v>8.5</v>
      </c>
      <c r="K99" s="1">
        <v>9.4499999999999993</v>
      </c>
      <c r="L99" s="1">
        <v>3000</v>
      </c>
      <c r="M99" s="36">
        <v>-7.3686000000000001E-2</v>
      </c>
      <c r="N99" s="1"/>
      <c r="O99" s="7">
        <f t="shared" si="14"/>
        <v>3.7583892617449668E-2</v>
      </c>
      <c r="P99" s="7">
        <f t="shared" ca="1" si="15"/>
        <v>-7.8957757599684182E-5</v>
      </c>
      <c r="Q99" s="7">
        <f t="shared" si="16"/>
        <v>0.19654841802492817</v>
      </c>
      <c r="R99" s="33">
        <f t="shared" si="17"/>
        <v>312</v>
      </c>
      <c r="S99" s="33">
        <f t="shared" si="18"/>
        <v>42150</v>
      </c>
      <c r="T99" s="7">
        <f t="shared" si="19"/>
        <v>5.3883029721955897E-2</v>
      </c>
      <c r="U99" s="33">
        <f t="shared" si="20"/>
        <v>782250</v>
      </c>
    </row>
    <row r="100" spans="1:21" x14ac:dyDescent="0.25">
      <c r="A100" s="1"/>
      <c r="B100" s="25">
        <v>43461</v>
      </c>
      <c r="C100" s="10" t="s">
        <v>23</v>
      </c>
      <c r="D100" s="1">
        <v>695</v>
      </c>
      <c r="E100" s="30">
        <v>1200</v>
      </c>
      <c r="F100" s="1">
        <v>680</v>
      </c>
      <c r="G100" s="1">
        <v>32.049999999999997</v>
      </c>
      <c r="H100" s="1">
        <v>10800</v>
      </c>
      <c r="I100" s="1">
        <v>7200</v>
      </c>
      <c r="J100" s="1">
        <v>33.75</v>
      </c>
      <c r="K100" s="1">
        <v>36.5</v>
      </c>
      <c r="L100" s="1">
        <v>15600</v>
      </c>
      <c r="M100" s="36">
        <v>-5.7224999999999998E-2</v>
      </c>
      <c r="N100" s="1"/>
      <c r="O100" s="7">
        <f t="shared" ref="O100:O121" si="21">G100/D100</f>
        <v>4.6115107913669059E-2</v>
      </c>
      <c r="P100" s="7">
        <f t="shared" ref="P100:P121" ca="1" si="22">O100/(B100-TODAY())</f>
        <v>-9.6880478810229117E-5</v>
      </c>
      <c r="Q100" s="7">
        <f t="shared" ref="Q100:Q121" si="23">R100/D100-1</f>
        <v>-0.21956834532374103</v>
      </c>
      <c r="R100" s="33">
        <f t="shared" ref="R100:R121" si="24">mrigxl_stockquote(C100)</f>
        <v>542.4</v>
      </c>
      <c r="S100" s="33">
        <f t="shared" ref="S100:S121" si="25">(MIN(F100,R100)-D100+G100)*E100</f>
        <v>-144660.00000000003</v>
      </c>
      <c r="T100" s="7">
        <f t="shared" ref="T100:T121" si="26">S100/U100</f>
        <v>-0.17345323741007199</v>
      </c>
      <c r="U100" s="33">
        <f t="shared" ref="U100:U121" si="27">E100*D100</f>
        <v>834000</v>
      </c>
    </row>
    <row r="101" spans="1:21" x14ac:dyDescent="0.25">
      <c r="A101" s="1"/>
      <c r="B101" s="25">
        <v>43461</v>
      </c>
      <c r="C101" s="10" t="s">
        <v>154</v>
      </c>
      <c r="D101" s="1">
        <v>1293.5</v>
      </c>
      <c r="E101" s="30">
        <v>600</v>
      </c>
      <c r="F101" s="1">
        <v>1280</v>
      </c>
      <c r="G101" s="1">
        <v>43.65</v>
      </c>
      <c r="H101" s="1">
        <v>1800</v>
      </c>
      <c r="I101" s="1">
        <v>2400</v>
      </c>
      <c r="J101" s="1">
        <v>42.7</v>
      </c>
      <c r="K101" s="1">
        <v>49.15</v>
      </c>
      <c r="L101" s="1">
        <v>9000</v>
      </c>
      <c r="M101" s="36">
        <v>-6.1015999999999994E-2</v>
      </c>
      <c r="N101" s="1"/>
      <c r="O101" s="7">
        <f t="shared" si="21"/>
        <v>3.3745651333591031E-2</v>
      </c>
      <c r="P101" s="7">
        <f t="shared" ca="1" si="22"/>
        <v>-7.0894225490737467E-5</v>
      </c>
      <c r="Q101" s="7">
        <f t="shared" si="23"/>
        <v>0.33509856977193664</v>
      </c>
      <c r="R101" s="33">
        <f t="shared" si="24"/>
        <v>1726.95</v>
      </c>
      <c r="S101" s="33">
        <f t="shared" si="25"/>
        <v>18090</v>
      </c>
      <c r="T101" s="7">
        <f t="shared" si="26"/>
        <v>2.3308851952068034E-2</v>
      </c>
      <c r="U101" s="33">
        <f t="shared" si="27"/>
        <v>776100</v>
      </c>
    </row>
    <row r="102" spans="1:21" x14ac:dyDescent="0.25">
      <c r="A102" s="1"/>
      <c r="B102" s="25">
        <v>43461</v>
      </c>
      <c r="C102" s="10" t="s">
        <v>127</v>
      </c>
      <c r="D102" s="1">
        <v>224.9</v>
      </c>
      <c r="E102" s="30">
        <v>3000</v>
      </c>
      <c r="F102" s="1">
        <v>220</v>
      </c>
      <c r="G102" s="1">
        <v>10</v>
      </c>
      <c r="H102" s="1">
        <v>30000</v>
      </c>
      <c r="I102" s="1">
        <v>36000</v>
      </c>
      <c r="J102" s="1">
        <v>10.7</v>
      </c>
      <c r="K102" s="1">
        <v>11.6</v>
      </c>
      <c r="L102" s="1">
        <v>3000</v>
      </c>
      <c r="M102" s="36">
        <v>-9.6797999999999995E-2</v>
      </c>
      <c r="N102" s="1"/>
      <c r="O102" s="7">
        <f t="shared" si="21"/>
        <v>4.4464206313917294E-2</v>
      </c>
      <c r="P102" s="7">
        <f t="shared" ca="1" si="22"/>
        <v>-9.3412198138481716E-5</v>
      </c>
      <c r="Q102" s="7">
        <f t="shared" si="23"/>
        <v>-0.60604713205869276</v>
      </c>
      <c r="R102" s="33">
        <f t="shared" si="24"/>
        <v>88.6</v>
      </c>
      <c r="S102" s="33">
        <f t="shared" si="25"/>
        <v>-378900.00000000006</v>
      </c>
      <c r="T102" s="7">
        <f t="shared" si="26"/>
        <v>-0.56158292574477553</v>
      </c>
      <c r="U102" s="33">
        <f t="shared" si="27"/>
        <v>674700</v>
      </c>
    </row>
    <row r="103" spans="1:21" x14ac:dyDescent="0.25">
      <c r="A103" s="1"/>
      <c r="B103" s="25">
        <v>43461</v>
      </c>
      <c r="C103" s="10" t="s">
        <v>928</v>
      </c>
      <c r="D103" s="1">
        <v>1375.15</v>
      </c>
      <c r="E103" s="30">
        <v>375</v>
      </c>
      <c r="F103" s="1">
        <v>1360</v>
      </c>
      <c r="G103" s="1">
        <v>45.7</v>
      </c>
      <c r="H103" s="1">
        <v>29250</v>
      </c>
      <c r="I103" s="1">
        <v>750</v>
      </c>
      <c r="J103" s="1">
        <v>39.049999999999997</v>
      </c>
      <c r="K103" s="1">
        <v>46.6</v>
      </c>
      <c r="L103" s="1">
        <v>3375</v>
      </c>
      <c r="M103" s="36">
        <v>-4.9773000000000005E-2</v>
      </c>
      <c r="N103" s="1"/>
      <c r="O103" s="7">
        <f t="shared" si="21"/>
        <v>3.3232738246736719E-2</v>
      </c>
      <c r="P103" s="7">
        <f t="shared" ca="1" si="22"/>
        <v>-6.9816676988942685E-5</v>
      </c>
      <c r="Q103" s="7">
        <f t="shared" si="23"/>
        <v>-0.3307639166636368</v>
      </c>
      <c r="R103" s="33">
        <f t="shared" si="24"/>
        <v>920.3</v>
      </c>
      <c r="S103" s="33">
        <f t="shared" si="25"/>
        <v>-153431.25000000006</v>
      </c>
      <c r="T103" s="7">
        <f t="shared" si="26"/>
        <v>-0.29753117841690008</v>
      </c>
      <c r="U103" s="33">
        <f t="shared" si="27"/>
        <v>515681.25000000006</v>
      </c>
    </row>
    <row r="104" spans="1:21" x14ac:dyDescent="0.25">
      <c r="A104" s="1"/>
      <c r="B104" s="25">
        <v>43461</v>
      </c>
      <c r="C104" s="10" t="s">
        <v>409</v>
      </c>
      <c r="D104" s="1">
        <v>2642</v>
      </c>
      <c r="E104" s="30">
        <v>250</v>
      </c>
      <c r="F104" s="1">
        <v>2650</v>
      </c>
      <c r="G104" s="1">
        <v>98.55</v>
      </c>
      <c r="H104" s="1">
        <v>17250</v>
      </c>
      <c r="I104" s="1">
        <v>500</v>
      </c>
      <c r="J104" s="1">
        <v>99</v>
      </c>
      <c r="K104" s="1">
        <v>101.1</v>
      </c>
      <c r="L104" s="1">
        <v>250</v>
      </c>
      <c r="M104" s="36">
        <v>-6.0323000000000002E-2</v>
      </c>
      <c r="N104" s="1"/>
      <c r="O104" s="7">
        <f t="shared" si="21"/>
        <v>3.7301286903860711E-2</v>
      </c>
      <c r="P104" s="7">
        <f t="shared" ca="1" si="22"/>
        <v>-7.8364048117354431E-5</v>
      </c>
      <c r="Q104" s="7">
        <f t="shared" si="23"/>
        <v>0.4568319454958365</v>
      </c>
      <c r="R104" s="33">
        <f t="shared" si="24"/>
        <v>3848.95</v>
      </c>
      <c r="S104" s="33">
        <f t="shared" si="25"/>
        <v>26637.5</v>
      </c>
      <c r="T104" s="7">
        <f t="shared" si="26"/>
        <v>4.0329295987887967E-2</v>
      </c>
      <c r="U104" s="33">
        <f t="shared" si="27"/>
        <v>660500</v>
      </c>
    </row>
    <row r="105" spans="1:21" x14ac:dyDescent="0.25">
      <c r="A105" s="1"/>
      <c r="B105" s="25">
        <v>43461</v>
      </c>
      <c r="C105" s="10" t="s">
        <v>1572</v>
      </c>
      <c r="D105" s="1">
        <v>1007.6</v>
      </c>
      <c r="E105" s="30">
        <v>400</v>
      </c>
      <c r="F105" s="1">
        <v>1020</v>
      </c>
      <c r="G105" s="1">
        <v>36</v>
      </c>
      <c r="H105" s="1">
        <v>16800</v>
      </c>
      <c r="I105" s="1">
        <v>2400</v>
      </c>
      <c r="J105" s="1">
        <v>30</v>
      </c>
      <c r="K105" s="1">
        <v>36</v>
      </c>
      <c r="L105" s="1">
        <v>1200</v>
      </c>
      <c r="M105" s="36">
        <v>-0.13769400000000001</v>
      </c>
      <c r="N105" s="1"/>
      <c r="O105" s="7">
        <f t="shared" si="21"/>
        <v>3.5728463676061931E-2</v>
      </c>
      <c r="P105" s="7">
        <f t="shared" ca="1" si="22"/>
        <v>-7.5059797638785575E-5</v>
      </c>
      <c r="Q105" s="7">
        <f t="shared" si="23"/>
        <v>-0.27788805081381496</v>
      </c>
      <c r="R105" s="33">
        <f t="shared" si="24"/>
        <v>727.6</v>
      </c>
      <c r="S105" s="33">
        <f t="shared" si="25"/>
        <v>-97600</v>
      </c>
      <c r="T105" s="7">
        <f t="shared" si="26"/>
        <v>-0.24215958713775307</v>
      </c>
      <c r="U105" s="33">
        <f t="shared" si="27"/>
        <v>403040</v>
      </c>
    </row>
    <row r="106" spans="1:21" x14ac:dyDescent="0.25">
      <c r="A106" s="1"/>
      <c r="B106" s="25">
        <v>43461</v>
      </c>
      <c r="C106" s="10" t="s">
        <v>22</v>
      </c>
      <c r="D106" s="1">
        <v>330</v>
      </c>
      <c r="E106" s="30">
        <v>2400</v>
      </c>
      <c r="F106" s="1">
        <v>330</v>
      </c>
      <c r="G106" s="1">
        <v>10.15</v>
      </c>
      <c r="H106" s="1">
        <v>264000</v>
      </c>
      <c r="I106" s="1">
        <v>21600</v>
      </c>
      <c r="J106" s="1">
        <v>9.35</v>
      </c>
      <c r="K106" s="1">
        <v>10.15</v>
      </c>
      <c r="L106" s="1">
        <v>7200</v>
      </c>
      <c r="M106" s="36">
        <v>-5.1247000000000001E-2</v>
      </c>
      <c r="N106" s="1"/>
      <c r="O106" s="7">
        <f t="shared" si="21"/>
        <v>3.0757575757575758E-2</v>
      </c>
      <c r="P106" s="7">
        <f t="shared" ca="1" si="22"/>
        <v>-6.4616755793226377E-5</v>
      </c>
      <c r="Q106" s="7">
        <f t="shared" si="23"/>
        <v>-0.4242424242424242</v>
      </c>
      <c r="R106" s="33">
        <f t="shared" si="24"/>
        <v>190</v>
      </c>
      <c r="S106" s="33">
        <f t="shared" si="25"/>
        <v>-311640</v>
      </c>
      <c r="T106" s="7">
        <f t="shared" si="26"/>
        <v>-0.39348484848484849</v>
      </c>
      <c r="U106" s="33">
        <f t="shared" si="27"/>
        <v>792000</v>
      </c>
    </row>
    <row r="107" spans="1:21" x14ac:dyDescent="0.25">
      <c r="A107" s="1"/>
      <c r="B107" s="25">
        <v>43496</v>
      </c>
      <c r="C107" s="10" t="s">
        <v>1298</v>
      </c>
      <c r="D107" s="1">
        <v>1119.05</v>
      </c>
      <c r="E107" s="30">
        <v>500</v>
      </c>
      <c r="F107" s="1">
        <v>1140</v>
      </c>
      <c r="G107" s="1">
        <v>46.8</v>
      </c>
      <c r="H107" s="1">
        <v>11500</v>
      </c>
      <c r="I107" s="1">
        <v>500</v>
      </c>
      <c r="J107" s="1">
        <v>42.8</v>
      </c>
      <c r="K107" s="1">
        <v>50.15</v>
      </c>
      <c r="L107" s="1">
        <v>7000</v>
      </c>
      <c r="M107" s="36">
        <v>-5.1855999999999992E-2</v>
      </c>
      <c r="N107" s="1"/>
      <c r="O107" s="7">
        <f t="shared" si="21"/>
        <v>4.1821187614494437E-2</v>
      </c>
      <c r="P107" s="7">
        <f t="shared" ca="1" si="22"/>
        <v>-9.4832624976177868E-5</v>
      </c>
      <c r="Q107" s="7">
        <f t="shared" si="23"/>
        <v>8.5116840176935771E-2</v>
      </c>
      <c r="R107" s="33">
        <f t="shared" si="24"/>
        <v>1214.3</v>
      </c>
      <c r="S107" s="33">
        <f t="shared" si="25"/>
        <v>33875.000000000022</v>
      </c>
      <c r="T107" s="7">
        <f t="shared" si="26"/>
        <v>6.0542424377820508E-2</v>
      </c>
      <c r="U107" s="33">
        <f t="shared" si="27"/>
        <v>559525</v>
      </c>
    </row>
    <row r="108" spans="1:21" x14ac:dyDescent="0.25">
      <c r="A108" s="1"/>
      <c r="B108" s="25">
        <v>43461</v>
      </c>
      <c r="C108" s="10" t="s">
        <v>780</v>
      </c>
      <c r="D108" s="1">
        <v>278.05</v>
      </c>
      <c r="E108" s="30">
        <v>1200</v>
      </c>
      <c r="F108" s="1">
        <v>270</v>
      </c>
      <c r="G108" s="1">
        <v>29.5</v>
      </c>
      <c r="H108" s="1">
        <v>22800</v>
      </c>
      <c r="I108" s="1">
        <v>2400</v>
      </c>
      <c r="J108" s="1">
        <v>5</v>
      </c>
      <c r="K108" s="1">
        <v>30.4</v>
      </c>
      <c r="L108" s="1">
        <v>2400</v>
      </c>
      <c r="M108" s="36">
        <v>-0.219612</v>
      </c>
      <c r="N108" s="1"/>
      <c r="O108" s="7">
        <f t="shared" si="21"/>
        <v>0.10609602589462326</v>
      </c>
      <c r="P108" s="7">
        <f t="shared" ca="1" si="22"/>
        <v>-2.2289081070299004E-4</v>
      </c>
      <c r="Q108" s="7">
        <f t="shared" si="23"/>
        <v>-0.93148714260025178</v>
      </c>
      <c r="R108" s="33">
        <f t="shared" si="24"/>
        <v>19.05</v>
      </c>
      <c r="S108" s="33">
        <f t="shared" si="25"/>
        <v>-275400</v>
      </c>
      <c r="T108" s="7">
        <f t="shared" si="26"/>
        <v>-0.82539111670562848</v>
      </c>
      <c r="U108" s="33">
        <f t="shared" si="27"/>
        <v>333660</v>
      </c>
    </row>
    <row r="109" spans="1:21" x14ac:dyDescent="0.25">
      <c r="A109" s="1"/>
      <c r="B109" s="25">
        <v>43461</v>
      </c>
      <c r="C109" s="10" t="s">
        <v>1298</v>
      </c>
      <c r="D109" s="1">
        <v>1119.05</v>
      </c>
      <c r="E109" s="30">
        <v>500</v>
      </c>
      <c r="F109" s="1">
        <v>1120</v>
      </c>
      <c r="G109" s="1">
        <v>36</v>
      </c>
      <c r="H109" s="1">
        <v>96000</v>
      </c>
      <c r="I109" s="1">
        <v>2500</v>
      </c>
      <c r="J109" s="1">
        <v>35</v>
      </c>
      <c r="K109" s="1">
        <v>37.950000000000003</v>
      </c>
      <c r="L109" s="1">
        <v>6000</v>
      </c>
      <c r="M109" s="36">
        <v>-5.1855999999999992E-2</v>
      </c>
      <c r="N109" s="1"/>
      <c r="O109" s="7">
        <f t="shared" si="21"/>
        <v>3.2170144318841874E-2</v>
      </c>
      <c r="P109" s="7">
        <f t="shared" ca="1" si="22"/>
        <v>-6.7584336804289653E-5</v>
      </c>
      <c r="Q109" s="7">
        <f t="shared" si="23"/>
        <v>8.5116840176935771E-2</v>
      </c>
      <c r="R109" s="33">
        <f t="shared" si="24"/>
        <v>1214.3</v>
      </c>
      <c r="S109" s="33">
        <f t="shared" si="25"/>
        <v>18475.000000000022</v>
      </c>
      <c r="T109" s="7">
        <f t="shared" si="26"/>
        <v>3.3019078682811349E-2</v>
      </c>
      <c r="U109" s="33">
        <f t="shared" si="27"/>
        <v>559525</v>
      </c>
    </row>
    <row r="110" spans="1:21" x14ac:dyDescent="0.25">
      <c r="A110" s="1"/>
      <c r="B110" s="25">
        <v>43461</v>
      </c>
      <c r="C110" s="10" t="s">
        <v>1578</v>
      </c>
      <c r="D110" s="1">
        <v>79.05</v>
      </c>
      <c r="E110" s="30">
        <v>9000</v>
      </c>
      <c r="F110" s="1">
        <v>80</v>
      </c>
      <c r="G110" s="1">
        <v>2.5499999999999998</v>
      </c>
      <c r="H110" s="1">
        <v>900000</v>
      </c>
      <c r="I110" s="1">
        <v>9000</v>
      </c>
      <c r="J110" s="1">
        <v>2.35</v>
      </c>
      <c r="K110" s="1">
        <v>2.5499999999999998</v>
      </c>
      <c r="L110" s="1">
        <v>18000</v>
      </c>
      <c r="M110" s="36">
        <v>-8.3266999999999994E-2</v>
      </c>
      <c r="N110" s="1"/>
      <c r="O110" s="7">
        <f t="shared" si="21"/>
        <v>3.2258064516129031E-2</v>
      </c>
      <c r="P110" s="7">
        <f t="shared" ca="1" si="22"/>
        <v>-6.7769043101111406E-5</v>
      </c>
      <c r="Q110" s="7">
        <f t="shared" si="23"/>
        <v>-0.53194180898165722</v>
      </c>
      <c r="R110" s="33">
        <f t="shared" si="24"/>
        <v>37</v>
      </c>
      <c r="S110" s="33">
        <f t="shared" si="25"/>
        <v>-355500</v>
      </c>
      <c r="T110" s="7">
        <f t="shared" si="26"/>
        <v>-0.49968374446552816</v>
      </c>
      <c r="U110" s="33">
        <f t="shared" si="27"/>
        <v>711450</v>
      </c>
    </row>
    <row r="111" spans="1:21" x14ac:dyDescent="0.25">
      <c r="A111" s="1"/>
      <c r="B111" s="25">
        <v>43461</v>
      </c>
      <c r="C111" s="10" t="s">
        <v>1588</v>
      </c>
      <c r="D111" s="1">
        <v>1990</v>
      </c>
      <c r="E111" s="30">
        <v>250</v>
      </c>
      <c r="F111" s="1">
        <v>1980</v>
      </c>
      <c r="G111" s="1">
        <v>69.05</v>
      </c>
      <c r="H111" s="1">
        <v>28000</v>
      </c>
      <c r="I111" s="1">
        <v>250</v>
      </c>
      <c r="J111" s="1">
        <v>65.900000000000006</v>
      </c>
      <c r="K111" s="1">
        <v>69.05</v>
      </c>
      <c r="L111" s="1">
        <v>1250</v>
      </c>
      <c r="M111" s="36">
        <v>-6.6729999999999998E-2</v>
      </c>
      <c r="N111" s="1"/>
      <c r="O111" s="7">
        <f t="shared" si="21"/>
        <v>3.4698492462311555E-2</v>
      </c>
      <c r="P111" s="7">
        <f t="shared" ca="1" si="22"/>
        <v>-7.2895992567881414E-5</v>
      </c>
      <c r="Q111" s="7">
        <f t="shared" si="23"/>
        <v>-9.7964824120603033E-2</v>
      </c>
      <c r="R111" s="33">
        <f t="shared" si="24"/>
        <v>1795.05</v>
      </c>
      <c r="S111" s="33">
        <f t="shared" si="25"/>
        <v>-31475.000000000011</v>
      </c>
      <c r="T111" s="7">
        <f t="shared" si="26"/>
        <v>-6.3266331658291486E-2</v>
      </c>
      <c r="U111" s="33">
        <f t="shared" si="27"/>
        <v>497500</v>
      </c>
    </row>
    <row r="112" spans="1:21" x14ac:dyDescent="0.25">
      <c r="A112" s="1"/>
      <c r="B112" s="25">
        <v>43461</v>
      </c>
      <c r="C112" s="10" t="s">
        <v>780</v>
      </c>
      <c r="D112" s="1">
        <v>278.05</v>
      </c>
      <c r="E112" s="30">
        <v>1200</v>
      </c>
      <c r="F112" s="1">
        <v>280</v>
      </c>
      <c r="G112" s="1">
        <v>24.15</v>
      </c>
      <c r="H112" s="1">
        <v>34800</v>
      </c>
      <c r="I112" s="1">
        <v>2400</v>
      </c>
      <c r="J112" s="1">
        <v>23.75</v>
      </c>
      <c r="K112" s="1">
        <v>25.05</v>
      </c>
      <c r="L112" s="1">
        <v>1200</v>
      </c>
      <c r="M112" s="36">
        <v>-0.219612</v>
      </c>
      <c r="N112" s="1"/>
      <c r="O112" s="7">
        <f t="shared" si="21"/>
        <v>8.6854882215428877E-2</v>
      </c>
      <c r="P112" s="7">
        <f t="shared" ca="1" si="22"/>
        <v>-1.8246823994837999E-4</v>
      </c>
      <c r="Q112" s="7">
        <f t="shared" si="23"/>
        <v>-0.93148714260025178</v>
      </c>
      <c r="R112" s="33">
        <f t="shared" si="24"/>
        <v>19.05</v>
      </c>
      <c r="S112" s="33">
        <f t="shared" si="25"/>
        <v>-281820</v>
      </c>
      <c r="T112" s="7">
        <f t="shared" si="26"/>
        <v>-0.84463226038482286</v>
      </c>
      <c r="U112" s="33">
        <f t="shared" si="27"/>
        <v>333660</v>
      </c>
    </row>
    <row r="113" spans="1:21" x14ac:dyDescent="0.25">
      <c r="A113" s="1"/>
      <c r="B113" s="25">
        <v>43461</v>
      </c>
      <c r="C113" s="10" t="s">
        <v>1287</v>
      </c>
      <c r="D113" s="1">
        <v>16.350000000000001</v>
      </c>
      <c r="E113" s="30">
        <v>28000</v>
      </c>
      <c r="F113" s="1">
        <v>16</v>
      </c>
      <c r="G113" s="1">
        <v>2</v>
      </c>
      <c r="H113" s="1">
        <v>2884000</v>
      </c>
      <c r="I113" s="1">
        <v>56000</v>
      </c>
      <c r="J113" s="1">
        <v>1.9</v>
      </c>
      <c r="K113" s="1">
        <v>2.1</v>
      </c>
      <c r="L113" s="1">
        <v>196000</v>
      </c>
      <c r="M113" s="36">
        <v>-0.26830999999999999</v>
      </c>
      <c r="N113" s="1"/>
      <c r="O113" s="7">
        <f t="shared" si="21"/>
        <v>0.12232415902140671</v>
      </c>
      <c r="P113" s="7">
        <f t="shared" ca="1" si="22"/>
        <v>-2.5698352735589643E-4</v>
      </c>
      <c r="Q113" s="7">
        <f t="shared" si="23"/>
        <v>-0.95718654434250761</v>
      </c>
      <c r="R113" s="33">
        <f t="shared" si="24"/>
        <v>0.7</v>
      </c>
      <c r="S113" s="33">
        <f t="shared" si="25"/>
        <v>-382200.00000000006</v>
      </c>
      <c r="T113" s="7">
        <f t="shared" si="26"/>
        <v>-0.83486238532110091</v>
      </c>
      <c r="U113" s="33">
        <f t="shared" si="27"/>
        <v>457800.00000000006</v>
      </c>
    </row>
    <row r="114" spans="1:21" x14ac:dyDescent="0.25">
      <c r="A114" s="1"/>
      <c r="B114" s="25">
        <v>43461</v>
      </c>
      <c r="C114" s="10" t="s">
        <v>16</v>
      </c>
      <c r="D114" s="1">
        <v>750.3</v>
      </c>
      <c r="E114" s="30">
        <v>1000</v>
      </c>
      <c r="F114" s="1">
        <v>760</v>
      </c>
      <c r="G114" s="1">
        <v>29.3</v>
      </c>
      <c r="H114" s="1">
        <v>144000</v>
      </c>
      <c r="I114" s="1">
        <v>1000</v>
      </c>
      <c r="J114" s="1">
        <v>29</v>
      </c>
      <c r="K114" s="1">
        <v>29.65</v>
      </c>
      <c r="L114" s="1">
        <v>1000</v>
      </c>
      <c r="M114" s="36">
        <v>-7.1583000000000008E-2</v>
      </c>
      <c r="N114" s="1"/>
      <c r="O114" s="7">
        <f t="shared" si="21"/>
        <v>3.9051046248167402E-2</v>
      </c>
      <c r="P114" s="7">
        <f t="shared" ca="1" si="22"/>
        <v>-8.2040013126402099E-5</v>
      </c>
      <c r="Q114" s="7">
        <f t="shared" si="23"/>
        <v>-0.2922830867652938</v>
      </c>
      <c r="R114" s="33">
        <f t="shared" si="24"/>
        <v>531</v>
      </c>
      <c r="S114" s="33">
        <f t="shared" si="25"/>
        <v>-189999.99999999994</v>
      </c>
      <c r="T114" s="7">
        <f t="shared" si="26"/>
        <v>-0.25323204051712639</v>
      </c>
      <c r="U114" s="33">
        <f t="shared" si="27"/>
        <v>750300</v>
      </c>
    </row>
    <row r="115" spans="1:21" x14ac:dyDescent="0.25">
      <c r="A115" s="1"/>
      <c r="B115" s="25">
        <v>43461</v>
      </c>
      <c r="C115" s="10" t="s">
        <v>995</v>
      </c>
      <c r="D115" s="1">
        <v>642.4</v>
      </c>
      <c r="E115" s="30">
        <v>1250</v>
      </c>
      <c r="F115" s="1">
        <v>640</v>
      </c>
      <c r="G115" s="1">
        <v>27.4</v>
      </c>
      <c r="H115" s="1">
        <v>13750</v>
      </c>
      <c r="I115" s="1">
        <v>2500</v>
      </c>
      <c r="J115" s="1">
        <v>24.75</v>
      </c>
      <c r="K115" s="1">
        <v>27.05</v>
      </c>
      <c r="L115" s="1">
        <v>12500</v>
      </c>
      <c r="M115" s="36">
        <v>-0.43035800000000002</v>
      </c>
      <c r="N115" s="1"/>
      <c r="O115" s="7">
        <f t="shared" si="21"/>
        <v>4.2652552926525526E-2</v>
      </c>
      <c r="P115" s="7">
        <f t="shared" ca="1" si="22"/>
        <v>-8.9606203627154467E-5</v>
      </c>
      <c r="Q115" s="7">
        <f t="shared" si="23"/>
        <v>-0.13683063511830629</v>
      </c>
      <c r="R115" s="33">
        <f t="shared" si="24"/>
        <v>554.5</v>
      </c>
      <c r="S115" s="33">
        <f t="shared" si="25"/>
        <v>-75624.999999999971</v>
      </c>
      <c r="T115" s="7">
        <f t="shared" si="26"/>
        <v>-9.4178082191780782E-2</v>
      </c>
      <c r="U115" s="33">
        <f t="shared" si="27"/>
        <v>803000</v>
      </c>
    </row>
    <row r="116" spans="1:21" x14ac:dyDescent="0.25">
      <c r="A116" s="1"/>
      <c r="B116" s="25">
        <v>43461</v>
      </c>
      <c r="C116" s="10" t="s">
        <v>553</v>
      </c>
      <c r="D116" s="1">
        <v>540.04999999999995</v>
      </c>
      <c r="E116" s="30">
        <v>1500</v>
      </c>
      <c r="F116" s="1">
        <v>540</v>
      </c>
      <c r="G116" s="1">
        <v>18</v>
      </c>
      <c r="H116" s="1">
        <v>9000</v>
      </c>
      <c r="I116" s="1">
        <v>21000</v>
      </c>
      <c r="J116" s="1">
        <v>16.899999999999999</v>
      </c>
      <c r="K116" s="1">
        <v>19.100000000000001</v>
      </c>
      <c r="L116" s="1">
        <v>1500</v>
      </c>
      <c r="M116" s="36">
        <v>-0.127161</v>
      </c>
      <c r="N116" s="1"/>
      <c r="O116" s="7">
        <f t="shared" si="21"/>
        <v>3.3330247199333397E-2</v>
      </c>
      <c r="P116" s="7">
        <f t="shared" ca="1" si="22"/>
        <v>-7.0021527729692017E-5</v>
      </c>
      <c r="Q116" s="7">
        <f t="shared" si="23"/>
        <v>-0.48652902509026941</v>
      </c>
      <c r="R116" s="33">
        <f t="shared" si="24"/>
        <v>277.3</v>
      </c>
      <c r="S116" s="33">
        <f t="shared" si="25"/>
        <v>-367124.99999999994</v>
      </c>
      <c r="T116" s="7">
        <f t="shared" si="26"/>
        <v>-0.45319877789093604</v>
      </c>
      <c r="U116" s="33">
        <f t="shared" si="27"/>
        <v>810074.99999999988</v>
      </c>
    </row>
    <row r="117" spans="1:21" x14ac:dyDescent="0.25">
      <c r="A117" s="1"/>
      <c r="B117" s="25">
        <v>43461</v>
      </c>
      <c r="C117" s="10" t="s">
        <v>1758</v>
      </c>
      <c r="D117" s="1">
        <v>468.3</v>
      </c>
      <c r="E117" s="30">
        <v>1300</v>
      </c>
      <c r="F117" s="1">
        <v>460</v>
      </c>
      <c r="G117" s="1">
        <v>24.8</v>
      </c>
      <c r="H117" s="1">
        <v>28600</v>
      </c>
      <c r="I117" s="1">
        <v>1300</v>
      </c>
      <c r="J117" s="1">
        <v>21.75</v>
      </c>
      <c r="K117" s="1">
        <v>23.85</v>
      </c>
      <c r="L117" s="1">
        <v>3900</v>
      </c>
      <c r="M117" s="36">
        <v>-5.8873000000000002E-2</v>
      </c>
      <c r="N117" s="1"/>
      <c r="O117" s="7">
        <f t="shared" si="21"/>
        <v>5.2957505872304078E-2</v>
      </c>
      <c r="P117" s="7">
        <f t="shared" ca="1" si="22"/>
        <v>-1.1125526443761362E-4</v>
      </c>
      <c r="Q117" s="7">
        <f t="shared" si="23"/>
        <v>-0.70980140935297886</v>
      </c>
      <c r="R117" s="33">
        <f t="shared" si="24"/>
        <v>135.9</v>
      </c>
      <c r="S117" s="33">
        <f t="shared" si="25"/>
        <v>-399879.99999999994</v>
      </c>
      <c r="T117" s="7">
        <f t="shared" si="26"/>
        <v>-0.65684390348067467</v>
      </c>
      <c r="U117" s="33">
        <f t="shared" si="27"/>
        <v>608790</v>
      </c>
    </row>
    <row r="118" spans="1:21" x14ac:dyDescent="0.25">
      <c r="A118" s="1"/>
      <c r="B118" s="25">
        <v>43461</v>
      </c>
      <c r="C118" s="10" t="s">
        <v>995</v>
      </c>
      <c r="D118" s="1">
        <v>642.4</v>
      </c>
      <c r="E118" s="30">
        <v>1250</v>
      </c>
      <c r="F118" s="1">
        <v>650</v>
      </c>
      <c r="G118" s="1">
        <v>22</v>
      </c>
      <c r="H118" s="1">
        <v>30000</v>
      </c>
      <c r="I118" s="1">
        <v>2500</v>
      </c>
      <c r="J118" s="1">
        <v>20.100000000000001</v>
      </c>
      <c r="K118" s="1">
        <v>22.3</v>
      </c>
      <c r="L118" s="1">
        <v>17500</v>
      </c>
      <c r="M118" s="36">
        <v>-0.43035800000000002</v>
      </c>
      <c r="N118" s="1"/>
      <c r="O118" s="7">
        <f t="shared" si="21"/>
        <v>3.4246575342465752E-2</v>
      </c>
      <c r="P118" s="7">
        <f t="shared" ca="1" si="22"/>
        <v>-7.1946586853919645E-5</v>
      </c>
      <c r="Q118" s="7">
        <f t="shared" si="23"/>
        <v>-0.13683063511830629</v>
      </c>
      <c r="R118" s="33">
        <f t="shared" si="24"/>
        <v>554.5</v>
      </c>
      <c r="S118" s="33">
        <f t="shared" si="25"/>
        <v>-82374.999999999971</v>
      </c>
      <c r="T118" s="7">
        <f t="shared" si="26"/>
        <v>-0.10258405977584056</v>
      </c>
      <c r="U118" s="33">
        <f t="shared" si="27"/>
        <v>803000</v>
      </c>
    </row>
    <row r="119" spans="1:21" x14ac:dyDescent="0.25">
      <c r="A119" s="1"/>
      <c r="B119" s="25">
        <v>43461</v>
      </c>
      <c r="C119" s="10" t="s">
        <v>1758</v>
      </c>
      <c r="D119" s="1">
        <v>468.3</v>
      </c>
      <c r="E119" s="30">
        <v>1300</v>
      </c>
      <c r="F119" s="1">
        <v>470</v>
      </c>
      <c r="G119" s="1">
        <v>17.350000000000001</v>
      </c>
      <c r="H119" s="1">
        <v>93600</v>
      </c>
      <c r="I119" s="1">
        <v>1300</v>
      </c>
      <c r="J119" s="1">
        <v>17</v>
      </c>
      <c r="K119" s="1">
        <v>17.55</v>
      </c>
      <c r="L119" s="1">
        <v>2600</v>
      </c>
      <c r="M119" s="36">
        <v>-5.8873000000000002E-2</v>
      </c>
      <c r="N119" s="1"/>
      <c r="O119" s="7">
        <f t="shared" si="21"/>
        <v>3.7048900277599835E-2</v>
      </c>
      <c r="P119" s="7">
        <f t="shared" ca="1" si="22"/>
        <v>-7.7833824112604695E-5</v>
      </c>
      <c r="Q119" s="7">
        <f t="shared" si="23"/>
        <v>-0.70980140935297886</v>
      </c>
      <c r="R119" s="33">
        <f t="shared" si="24"/>
        <v>135.9</v>
      </c>
      <c r="S119" s="33">
        <f t="shared" si="25"/>
        <v>-409564.99999999994</v>
      </c>
      <c r="T119" s="7">
        <f t="shared" si="26"/>
        <v>-0.67275250907537898</v>
      </c>
      <c r="U119" s="33">
        <f t="shared" si="27"/>
        <v>608790</v>
      </c>
    </row>
    <row r="120" spans="1:21" x14ac:dyDescent="0.25">
      <c r="A120" s="1"/>
      <c r="B120" s="25">
        <v>43461</v>
      </c>
      <c r="C120" s="10" t="s">
        <v>1287</v>
      </c>
      <c r="D120" s="1">
        <v>16.350000000000001</v>
      </c>
      <c r="E120" s="30">
        <v>28000</v>
      </c>
      <c r="F120" s="1">
        <v>17</v>
      </c>
      <c r="G120" s="1">
        <v>1.55</v>
      </c>
      <c r="H120" s="1">
        <v>6720000</v>
      </c>
      <c r="I120" s="1">
        <v>56000</v>
      </c>
      <c r="J120" s="1">
        <v>1.55</v>
      </c>
      <c r="K120" s="1">
        <v>1.65</v>
      </c>
      <c r="L120" s="1">
        <v>84000</v>
      </c>
      <c r="M120" s="36">
        <v>-0.26830999999999999</v>
      </c>
      <c r="N120" s="1"/>
      <c r="O120" s="7">
        <f t="shared" si="21"/>
        <v>9.480122324159021E-2</v>
      </c>
      <c r="P120" s="7">
        <f t="shared" ca="1" si="22"/>
        <v>-1.9916223370081978E-4</v>
      </c>
      <c r="Q120" s="7">
        <f t="shared" si="23"/>
        <v>-0.95718654434250761</v>
      </c>
      <c r="R120" s="33">
        <f t="shared" si="24"/>
        <v>0.7</v>
      </c>
      <c r="S120" s="33">
        <f t="shared" si="25"/>
        <v>-394800.00000000006</v>
      </c>
      <c r="T120" s="7">
        <f t="shared" si="26"/>
        <v>-0.86238532110091748</v>
      </c>
      <c r="U120" s="33">
        <f t="shared" si="27"/>
        <v>457800.00000000006</v>
      </c>
    </row>
    <row r="121" spans="1:21" x14ac:dyDescent="0.25">
      <c r="A121" s="1"/>
      <c r="B121" s="25">
        <v>43461</v>
      </c>
      <c r="C121" s="10" t="s">
        <v>612</v>
      </c>
      <c r="D121" s="1">
        <v>1012.35</v>
      </c>
      <c r="E121" s="30">
        <v>700</v>
      </c>
      <c r="F121" s="1">
        <v>1010</v>
      </c>
      <c r="G121" s="1">
        <v>35.299999999999997</v>
      </c>
      <c r="H121" s="1">
        <v>4200</v>
      </c>
      <c r="I121" s="1">
        <v>700</v>
      </c>
      <c r="J121" s="1">
        <v>33.299999999999997</v>
      </c>
      <c r="K121" s="1">
        <v>36.049999999999997</v>
      </c>
      <c r="L121" s="1">
        <v>2800</v>
      </c>
      <c r="M121" s="36">
        <v>-6.1822000000000002E-2</v>
      </c>
      <c r="N121" s="1"/>
      <c r="O121" s="7">
        <f t="shared" si="21"/>
        <v>3.4869363362473448E-2</v>
      </c>
      <c r="P121" s="7">
        <f t="shared" ca="1" si="22"/>
        <v>-7.3254965047213122E-5</v>
      </c>
      <c r="Q121" s="7">
        <f t="shared" si="23"/>
        <v>-0.53143675606262653</v>
      </c>
      <c r="R121" s="33">
        <f t="shared" si="24"/>
        <v>474.35</v>
      </c>
      <c r="S121" s="33">
        <f t="shared" si="25"/>
        <v>-351890</v>
      </c>
      <c r="T121" s="7">
        <f t="shared" si="26"/>
        <v>-0.4965673927001531</v>
      </c>
      <c r="U121" s="33">
        <f t="shared" si="27"/>
        <v>708645</v>
      </c>
    </row>
    <row r="122" spans="1:21" x14ac:dyDescent="0.25">
      <c r="A122" s="1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M691"/>
  <sheetViews>
    <sheetView zoomScale="80" zoomScaleNormal="80" workbookViewId="0">
      <pane ySplit="3" topLeftCell="A4" activePane="bottomLeft" state="frozen"/>
      <selection pane="bottomLeft" activeCell="G21" sqref="G21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</cols>
  <sheetData>
    <row r="1" spans="1:39" x14ac:dyDescent="0.25">
      <c r="A1" s="1"/>
      <c r="B1" s="44" t="s">
        <v>1852</v>
      </c>
      <c r="C1" s="44"/>
      <c r="D1" s="12"/>
      <c r="E1" s="12"/>
      <c r="F1" s="1"/>
      <c r="G1" s="1"/>
      <c r="H1" s="1"/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</row>
    <row r="2" spans="1:39" x14ac:dyDescent="0.25">
      <c r="A2" s="1"/>
      <c r="B2" s="45"/>
      <c r="C2" s="45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5"/>
      <c r="P2" s="4"/>
      <c r="Q2" s="1"/>
      <c r="R2" s="1"/>
      <c r="S2" s="1"/>
      <c r="T2" s="46" t="s">
        <v>1851</v>
      </c>
      <c r="U2" s="48"/>
      <c r="V2" s="46" t="s">
        <v>1849</v>
      </c>
      <c r="W2" s="47"/>
      <c r="X2" s="47"/>
      <c r="Y2" s="48"/>
      <c r="Z2" s="46" t="s">
        <v>1850</v>
      </c>
      <c r="AA2" s="47"/>
      <c r="AB2" s="47"/>
      <c r="AC2" s="48"/>
      <c r="AD2" s="1"/>
      <c r="AE2" s="1"/>
      <c r="AM2" s="11"/>
    </row>
    <row r="3" spans="1:39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1854</v>
      </c>
      <c r="G3" s="19" t="s">
        <v>1855</v>
      </c>
      <c r="H3" s="19" t="s">
        <v>1837</v>
      </c>
      <c r="I3" s="19" t="s">
        <v>1819</v>
      </c>
      <c r="J3" s="19" t="s">
        <v>1822</v>
      </c>
      <c r="K3" s="19" t="s">
        <v>1815</v>
      </c>
      <c r="L3" s="19" t="s">
        <v>1816</v>
      </c>
      <c r="M3" s="19" t="s">
        <v>1817</v>
      </c>
      <c r="N3" s="19" t="s">
        <v>1818</v>
      </c>
      <c r="O3" s="5"/>
      <c r="P3" s="19" t="s">
        <v>1826</v>
      </c>
      <c r="Q3" s="19" t="s">
        <v>1827</v>
      </c>
      <c r="R3" s="19" t="s">
        <v>1856</v>
      </c>
      <c r="S3" s="19" t="s">
        <v>1857</v>
      </c>
      <c r="T3" s="37" t="s">
        <v>1824</v>
      </c>
      <c r="U3" s="38" t="s">
        <v>1829</v>
      </c>
      <c r="V3" s="37" t="s">
        <v>1831</v>
      </c>
      <c r="W3" s="19" t="s">
        <v>1825</v>
      </c>
      <c r="X3" s="19" t="s">
        <v>1830</v>
      </c>
      <c r="Y3" s="38" t="s">
        <v>1832</v>
      </c>
      <c r="Z3" s="37" t="s">
        <v>1847</v>
      </c>
      <c r="AA3" s="19" t="s">
        <v>1848</v>
      </c>
      <c r="AB3" s="19" t="s">
        <v>1830</v>
      </c>
      <c r="AC3" s="38" t="s">
        <v>1832</v>
      </c>
      <c r="AD3" s="1"/>
      <c r="AE3" s="1"/>
      <c r="AG3" s="28" t="str">
        <f>B3</f>
        <v>Expiry</v>
      </c>
    </row>
    <row r="4" spans="1:39" x14ac:dyDescent="0.25">
      <c r="A4" s="1"/>
      <c r="B4" s="25">
        <v>43496</v>
      </c>
      <c r="C4" s="10" t="s">
        <v>8</v>
      </c>
      <c r="D4" s="1">
        <v>112.6</v>
      </c>
      <c r="E4" s="30">
        <v>4700</v>
      </c>
      <c r="F4" s="1">
        <v>102.5</v>
      </c>
      <c r="G4" s="1">
        <v>1.2</v>
      </c>
      <c r="H4" s="1">
        <v>100</v>
      </c>
      <c r="I4" s="1">
        <v>0.3</v>
      </c>
      <c r="J4" s="1">
        <v>89300</v>
      </c>
      <c r="K4" s="1">
        <v>4700</v>
      </c>
      <c r="L4" s="1">
        <v>0.3</v>
      </c>
      <c r="M4" s="1">
        <v>0.6</v>
      </c>
      <c r="N4" s="1">
        <v>14100</v>
      </c>
      <c r="O4" s="9"/>
      <c r="P4" s="7">
        <f t="shared" ref="P4:P32" si="0">($G4-$I4)/($F4-$H4)</f>
        <v>0.36</v>
      </c>
      <c r="Q4" s="7">
        <f t="shared" ref="Q4:Q32" ca="1" si="1">P4/($B4-TODAY())</f>
        <v>-8.1632653061224482E-4</v>
      </c>
      <c r="R4" s="33">
        <f t="shared" ref="R4:R32" si="2">$E4*($G4-$I4)</f>
        <v>4230</v>
      </c>
      <c r="S4" s="33">
        <f t="shared" ref="S4:S32" si="3">-(($F4-$H4)*$E4-$R4)</f>
        <v>-7520</v>
      </c>
      <c r="T4" s="33">
        <f t="shared" ref="T4:T32" si="4">R4</f>
        <v>4230</v>
      </c>
      <c r="U4" s="7">
        <f t="shared" ref="U4:U32" si="5">ABS($T4/$S4)</f>
        <v>0.5625</v>
      </c>
      <c r="V4" s="7" t="str">
        <f t="shared" ref="V4:V32" ca="1" si="6">mrigxl_max_drawdown($C4,INT($B4-TODAY()))</f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sh.symbol='GSFC'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4" s="33" t="e">
        <f t="shared" ref="W4:W32" ca="1" si="7">-(MAX(($F4-MAX($D4*(1+V4),$H4)),0)*$E4-$R4)</f>
        <v>#VALUE!</v>
      </c>
      <c r="X4" s="7" t="e">
        <f t="shared" ref="X4:X32" ca="1" si="8">W4/ABS($S4)</f>
        <v>#VALUE!</v>
      </c>
      <c r="Y4" s="7" t="e">
        <f t="shared" ref="Y4:Y32" ca="1" si="9">$U4+X4</f>
        <v>#VALUE!</v>
      </c>
      <c r="Z4" s="7" t="str">
        <f t="shared" ref="Z4:Z32" ca="1" si="10">mrigxl_avg_drawdown($C4,INT($B4-TODAY()))</f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sh.symbol='GSFC'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4" s="33" t="e">
        <f t="shared" ref="AA4:AA32" ca="1" si="11">-(MAX(($F4-MAX($D4*(1+Z4),$H4)),0)*$E4-$R4)</f>
        <v>#VALUE!</v>
      </c>
      <c r="AB4" s="7" t="e">
        <f t="shared" ref="AB4:AB32" ca="1" si="12">AA4/$R4</f>
        <v>#VALUE!</v>
      </c>
      <c r="AC4" s="7" t="e">
        <f t="shared" ref="AC4:AC32" ca="1" si="13">$U4+AB4</f>
        <v>#VALUE!</v>
      </c>
      <c r="AD4" s="40"/>
      <c r="AE4" s="40" t="s">
        <v>1870</v>
      </c>
      <c r="AF4" s="34"/>
      <c r="AH4" s="34"/>
    </row>
    <row r="5" spans="1:39" x14ac:dyDescent="0.25">
      <c r="A5" s="3"/>
      <c r="B5" s="25">
        <v>43496</v>
      </c>
      <c r="C5" s="10" t="s">
        <v>1106</v>
      </c>
      <c r="D5" s="1">
        <v>1184.2</v>
      </c>
      <c r="E5" s="30">
        <v>750</v>
      </c>
      <c r="F5" s="1">
        <v>1080</v>
      </c>
      <c r="G5" s="1">
        <v>10.9</v>
      </c>
      <c r="H5" s="1">
        <v>1060</v>
      </c>
      <c r="I5" s="1">
        <v>4</v>
      </c>
      <c r="J5" s="1">
        <v>15000</v>
      </c>
      <c r="K5" s="1">
        <v>750</v>
      </c>
      <c r="L5" s="1">
        <v>5</v>
      </c>
      <c r="M5" s="1">
        <v>7.9</v>
      </c>
      <c r="N5" s="1">
        <v>750</v>
      </c>
      <c r="O5" s="9"/>
      <c r="P5" s="7">
        <f t="shared" si="0"/>
        <v>0.34500000000000003</v>
      </c>
      <c r="Q5" s="7">
        <f t="shared" ca="1" si="1"/>
        <v>-7.8231292517006812E-4</v>
      </c>
      <c r="R5" s="33">
        <f t="shared" si="2"/>
        <v>5175</v>
      </c>
      <c r="S5" s="33">
        <f t="shared" si="3"/>
        <v>-9825</v>
      </c>
      <c r="T5" s="33">
        <f t="shared" si="4"/>
        <v>5175</v>
      </c>
      <c r="U5" s="7">
        <f t="shared" si="5"/>
        <v>0.52671755725190839</v>
      </c>
      <c r="V5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sh.symbol='NIITTECH'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5" s="33" t="e">
        <f t="shared" ca="1" si="7"/>
        <v>#VALUE!</v>
      </c>
      <c r="X5" s="7" t="e">
        <f t="shared" ca="1" si="8"/>
        <v>#VALUE!</v>
      </c>
      <c r="Y5" s="7" t="e">
        <f t="shared" ca="1" si="9"/>
        <v>#VALUE!</v>
      </c>
      <c r="Z5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sh.symbol='NIITTECH'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5" s="33" t="e">
        <f t="shared" ca="1" si="11"/>
        <v>#VALUE!</v>
      </c>
      <c r="AB5" s="7" t="e">
        <f t="shared" ca="1" si="12"/>
        <v>#VALUE!</v>
      </c>
      <c r="AC5" s="7" t="e">
        <f t="shared" ca="1" si="13"/>
        <v>#VALUE!</v>
      </c>
      <c r="AD5" s="1"/>
      <c r="AE5" s="1"/>
    </row>
    <row r="6" spans="1:39" x14ac:dyDescent="0.25">
      <c r="A6" s="3"/>
      <c r="B6" s="25">
        <v>43496</v>
      </c>
      <c r="C6" s="10" t="s">
        <v>539</v>
      </c>
      <c r="D6" s="1">
        <v>665.1</v>
      </c>
      <c r="E6" s="30">
        <v>1000</v>
      </c>
      <c r="F6" s="1">
        <v>610</v>
      </c>
      <c r="G6" s="1">
        <v>3.7</v>
      </c>
      <c r="H6" s="1">
        <v>600</v>
      </c>
      <c r="I6" s="1">
        <v>1.1000000000000001</v>
      </c>
      <c r="J6" s="1">
        <v>16000</v>
      </c>
      <c r="K6" s="1">
        <v>1000</v>
      </c>
      <c r="L6" s="1">
        <v>0.3</v>
      </c>
      <c r="M6" s="1">
        <v>2.5</v>
      </c>
      <c r="N6" s="1">
        <v>5000</v>
      </c>
      <c r="O6" s="9"/>
      <c r="P6" s="7">
        <f t="shared" si="0"/>
        <v>0.26</v>
      </c>
      <c r="Q6" s="7">
        <f t="shared" ca="1" si="1"/>
        <v>-5.8956916099773247E-4</v>
      </c>
      <c r="R6" s="33">
        <f t="shared" si="2"/>
        <v>2600</v>
      </c>
      <c r="S6" s="33">
        <f t="shared" si="3"/>
        <v>-7400</v>
      </c>
      <c r="T6" s="33">
        <f t="shared" si="4"/>
        <v>2600</v>
      </c>
      <c r="U6" s="7">
        <f t="shared" si="5"/>
        <v>0.35135135135135137</v>
      </c>
      <c r="V6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sh.symbol='GLENMARK'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6" s="33" t="e">
        <f t="shared" ca="1" si="7"/>
        <v>#VALUE!</v>
      </c>
      <c r="X6" s="7" t="e">
        <f t="shared" ca="1" si="8"/>
        <v>#VALUE!</v>
      </c>
      <c r="Y6" s="7" t="e">
        <f t="shared" ca="1" si="9"/>
        <v>#VALUE!</v>
      </c>
      <c r="Z6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sh.symbol='GLENMARK'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6" s="33" t="e">
        <f t="shared" ca="1" si="11"/>
        <v>#VALUE!</v>
      </c>
      <c r="AB6" s="7" t="e">
        <f t="shared" ca="1" si="12"/>
        <v>#VALUE!</v>
      </c>
      <c r="AC6" s="7" t="e">
        <f t="shared" ca="1" si="13"/>
        <v>#VALUE!</v>
      </c>
      <c r="AD6" s="1"/>
      <c r="AE6" s="1"/>
    </row>
    <row r="7" spans="1:39" x14ac:dyDescent="0.25">
      <c r="A7" s="3"/>
      <c r="B7" s="25">
        <v>43496</v>
      </c>
      <c r="C7" s="10" t="s">
        <v>1149</v>
      </c>
      <c r="D7" s="1">
        <v>97.6</v>
      </c>
      <c r="E7" s="30">
        <v>7000</v>
      </c>
      <c r="F7" s="1">
        <v>92.5</v>
      </c>
      <c r="G7" s="1">
        <v>1.1000000000000001</v>
      </c>
      <c r="H7" s="1">
        <v>90</v>
      </c>
      <c r="I7" s="1">
        <v>0.55000000000000004</v>
      </c>
      <c r="J7" s="1">
        <v>161000</v>
      </c>
      <c r="K7" s="1">
        <v>7000</v>
      </c>
      <c r="L7" s="1">
        <v>0.75</v>
      </c>
      <c r="M7" s="1">
        <v>0.8</v>
      </c>
      <c r="N7" s="1">
        <v>7000</v>
      </c>
      <c r="O7" s="9"/>
      <c r="P7" s="7">
        <f t="shared" si="0"/>
        <v>0.22000000000000003</v>
      </c>
      <c r="Q7" s="7">
        <f t="shared" ca="1" si="1"/>
        <v>-4.9886621315192747E-4</v>
      </c>
      <c r="R7" s="33">
        <f t="shared" si="2"/>
        <v>3850.0000000000005</v>
      </c>
      <c r="S7" s="33">
        <f t="shared" si="3"/>
        <v>-13650</v>
      </c>
      <c r="T7" s="33">
        <f t="shared" si="4"/>
        <v>3850.0000000000005</v>
      </c>
      <c r="U7" s="7">
        <f t="shared" si="5"/>
        <v>0.2820512820512821</v>
      </c>
      <c r="V7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sh.symbol='ORIENTBANK'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7" s="33" t="e">
        <f t="shared" ca="1" si="7"/>
        <v>#VALUE!</v>
      </c>
      <c r="X7" s="7" t="e">
        <f t="shared" ca="1" si="8"/>
        <v>#VALUE!</v>
      </c>
      <c r="Y7" s="7" t="e">
        <f t="shared" ca="1" si="9"/>
        <v>#VALUE!</v>
      </c>
      <c r="Z7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sh.symbol='ORIENTBANK'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7" s="33" t="e">
        <f t="shared" ca="1" si="11"/>
        <v>#VALUE!</v>
      </c>
      <c r="AB7" s="7" t="e">
        <f t="shared" ca="1" si="12"/>
        <v>#VALUE!</v>
      </c>
      <c r="AC7" s="7" t="e">
        <f t="shared" ca="1" si="13"/>
        <v>#VALUE!</v>
      </c>
      <c r="AD7" s="1"/>
      <c r="AE7" s="1"/>
    </row>
    <row r="8" spans="1:39" x14ac:dyDescent="0.25">
      <c r="A8" s="3"/>
      <c r="B8" s="25">
        <v>43496</v>
      </c>
      <c r="C8" s="10" t="s">
        <v>749</v>
      </c>
      <c r="D8" s="1">
        <v>158.35</v>
      </c>
      <c r="E8" s="30">
        <v>3200</v>
      </c>
      <c r="F8" s="1">
        <v>145</v>
      </c>
      <c r="G8" s="1">
        <v>1.9</v>
      </c>
      <c r="H8" s="1">
        <v>140</v>
      </c>
      <c r="I8" s="1">
        <v>0.65</v>
      </c>
      <c r="J8" s="1">
        <v>80000</v>
      </c>
      <c r="K8" s="1">
        <v>3200</v>
      </c>
      <c r="L8" s="1">
        <v>0.6</v>
      </c>
      <c r="M8" s="1">
        <v>0.9</v>
      </c>
      <c r="N8" s="1">
        <v>41600</v>
      </c>
      <c r="O8" s="9"/>
      <c r="P8" s="7">
        <f t="shared" si="0"/>
        <v>0.25</v>
      </c>
      <c r="Q8" s="7">
        <f t="shared" ca="1" si="1"/>
        <v>-5.6689342403628119E-4</v>
      </c>
      <c r="R8" s="33">
        <f t="shared" si="2"/>
        <v>4000</v>
      </c>
      <c r="S8" s="33">
        <f t="shared" si="3"/>
        <v>-12000</v>
      </c>
      <c r="T8" s="33">
        <f t="shared" si="4"/>
        <v>4000</v>
      </c>
      <c r="U8" s="7">
        <f t="shared" si="5"/>
        <v>0.33333333333333331</v>
      </c>
      <c r="V8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sh.symbol='IRB'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8" s="33" t="e">
        <f t="shared" ca="1" si="7"/>
        <v>#VALUE!</v>
      </c>
      <c r="X8" s="7" t="e">
        <f t="shared" ca="1" si="8"/>
        <v>#VALUE!</v>
      </c>
      <c r="Y8" s="7" t="e">
        <f t="shared" ca="1" si="9"/>
        <v>#VALUE!</v>
      </c>
      <c r="Z8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sh.symbol='IRB'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8" s="33" t="e">
        <f t="shared" ca="1" si="11"/>
        <v>#VALUE!</v>
      </c>
      <c r="AB8" s="7" t="e">
        <f t="shared" ca="1" si="12"/>
        <v>#VALUE!</v>
      </c>
      <c r="AC8" s="7" t="e">
        <f t="shared" ca="1" si="13"/>
        <v>#VALUE!</v>
      </c>
      <c r="AD8" s="1"/>
      <c r="AE8" s="1"/>
    </row>
    <row r="9" spans="1:39" x14ac:dyDescent="0.25">
      <c r="A9" s="3"/>
      <c r="B9" s="25">
        <v>43496</v>
      </c>
      <c r="C9" s="10" t="s">
        <v>1441</v>
      </c>
      <c r="D9" s="1">
        <v>1064.4000000000001</v>
      </c>
      <c r="E9" s="30">
        <v>550</v>
      </c>
      <c r="F9" s="1">
        <v>980</v>
      </c>
      <c r="G9" s="1">
        <v>6</v>
      </c>
      <c r="H9" s="1">
        <v>960</v>
      </c>
      <c r="I9" s="1">
        <v>1.1499999999999999</v>
      </c>
      <c r="J9" s="1">
        <v>1650</v>
      </c>
      <c r="K9" s="1">
        <v>550</v>
      </c>
      <c r="L9" s="1">
        <v>0.65</v>
      </c>
      <c r="M9" s="1">
        <v>6.55</v>
      </c>
      <c r="N9" s="1">
        <v>5500</v>
      </c>
      <c r="O9" s="9"/>
      <c r="P9" s="7">
        <f t="shared" si="0"/>
        <v>0.24249999999999999</v>
      </c>
      <c r="Q9" s="7">
        <f t="shared" ca="1" si="1"/>
        <v>-5.4988662131519274E-4</v>
      </c>
      <c r="R9" s="33">
        <f t="shared" si="2"/>
        <v>2667.5</v>
      </c>
      <c r="S9" s="33">
        <f t="shared" si="3"/>
        <v>-8332.5</v>
      </c>
      <c r="T9" s="33">
        <f t="shared" si="4"/>
        <v>2667.5</v>
      </c>
      <c r="U9" s="7">
        <f t="shared" si="5"/>
        <v>0.32013201320132012</v>
      </c>
      <c r="V9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sh.symbol='SIEMENS'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9" s="33" t="e">
        <f t="shared" ca="1" si="7"/>
        <v>#VALUE!</v>
      </c>
      <c r="X9" s="7" t="e">
        <f t="shared" ca="1" si="8"/>
        <v>#VALUE!</v>
      </c>
      <c r="Y9" s="7" t="e">
        <f t="shared" ca="1" si="9"/>
        <v>#VALUE!</v>
      </c>
      <c r="Z9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sh.symbol='SIEMENS'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9" s="33" t="e">
        <f t="shared" ca="1" si="11"/>
        <v>#VALUE!</v>
      </c>
      <c r="AB9" s="7" t="e">
        <f t="shared" ca="1" si="12"/>
        <v>#VALUE!</v>
      </c>
      <c r="AC9" s="7" t="e">
        <f t="shared" ca="1" si="13"/>
        <v>#VALUE!</v>
      </c>
      <c r="AD9" s="1"/>
      <c r="AE9" s="1"/>
    </row>
    <row r="10" spans="1:39" x14ac:dyDescent="0.25">
      <c r="A10" s="3"/>
      <c r="B10" s="25">
        <v>43496</v>
      </c>
      <c r="C10" s="10" t="s">
        <v>126</v>
      </c>
      <c r="D10" s="1">
        <v>1326.75</v>
      </c>
      <c r="E10" s="30">
        <v>500</v>
      </c>
      <c r="F10" s="1">
        <v>1220</v>
      </c>
      <c r="G10" s="1">
        <v>8.1</v>
      </c>
      <c r="H10" s="1">
        <v>1200</v>
      </c>
      <c r="I10" s="1">
        <v>4</v>
      </c>
      <c r="J10" s="1">
        <v>60500</v>
      </c>
      <c r="K10" s="1">
        <v>500</v>
      </c>
      <c r="L10" s="1">
        <v>4.1500000000000004</v>
      </c>
      <c r="M10" s="1">
        <v>4.8</v>
      </c>
      <c r="N10" s="1">
        <v>500</v>
      </c>
      <c r="O10" s="9"/>
      <c r="P10" s="7">
        <f t="shared" si="0"/>
        <v>0.20499999999999999</v>
      </c>
      <c r="Q10" s="7">
        <f t="shared" ca="1" si="1"/>
        <v>-4.6485260770975055E-4</v>
      </c>
      <c r="R10" s="33">
        <f t="shared" si="2"/>
        <v>2050</v>
      </c>
      <c r="S10" s="33">
        <f t="shared" si="3"/>
        <v>-7950</v>
      </c>
      <c r="T10" s="33">
        <f t="shared" si="4"/>
        <v>2050</v>
      </c>
      <c r="U10" s="7">
        <f t="shared" si="5"/>
        <v>0.25786163522012578</v>
      </c>
      <c r="V10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sh.symbol='APOLLOHOSP'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0" s="33" t="e">
        <f t="shared" ca="1" si="7"/>
        <v>#VALUE!</v>
      </c>
      <c r="X10" s="7" t="e">
        <f t="shared" ca="1" si="8"/>
        <v>#VALUE!</v>
      </c>
      <c r="Y10" s="7" t="e">
        <f t="shared" ca="1" si="9"/>
        <v>#VALUE!</v>
      </c>
      <c r="Z10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sh.symbol='APOLLOHOSP'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0" s="33" t="e">
        <f t="shared" ca="1" si="11"/>
        <v>#VALUE!</v>
      </c>
      <c r="AB10" s="7" t="e">
        <f t="shared" ca="1" si="12"/>
        <v>#VALUE!</v>
      </c>
      <c r="AC10" s="7" t="e">
        <f t="shared" ca="1" si="13"/>
        <v>#VALUE!</v>
      </c>
      <c r="AD10" s="1"/>
      <c r="AE10" s="1"/>
    </row>
    <row r="11" spans="1:39" x14ac:dyDescent="0.25">
      <c r="A11" s="3"/>
      <c r="B11" s="25">
        <v>43496</v>
      </c>
      <c r="C11" s="10" t="s">
        <v>478</v>
      </c>
      <c r="D11" s="1">
        <v>91.05</v>
      </c>
      <c r="E11" s="30">
        <v>7000</v>
      </c>
      <c r="F11" s="1">
        <v>85</v>
      </c>
      <c r="G11" s="1">
        <v>1</v>
      </c>
      <c r="H11" s="1">
        <v>82.5</v>
      </c>
      <c r="I11" s="1">
        <v>0.6</v>
      </c>
      <c r="J11" s="1">
        <v>413000</v>
      </c>
      <c r="K11" s="1">
        <v>98000</v>
      </c>
      <c r="L11" s="1">
        <v>0.55000000000000004</v>
      </c>
      <c r="M11" s="1">
        <v>0.6</v>
      </c>
      <c r="N11" s="1">
        <v>28000</v>
      </c>
      <c r="O11" s="9"/>
      <c r="P11" s="7">
        <f t="shared" si="0"/>
        <v>0.16</v>
      </c>
      <c r="Q11" s="7">
        <f t="shared" ca="1" si="1"/>
        <v>-3.6281179138321996E-4</v>
      </c>
      <c r="R11" s="33">
        <f t="shared" si="2"/>
        <v>2800</v>
      </c>
      <c r="S11" s="33">
        <f t="shared" si="3"/>
        <v>-14700</v>
      </c>
      <c r="T11" s="33">
        <f t="shared" si="4"/>
        <v>2800</v>
      </c>
      <c r="U11" s="7">
        <f t="shared" si="5"/>
        <v>0.19047619047619047</v>
      </c>
      <c r="V11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sh.symbol='FEDERALBNK'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1" s="33" t="e">
        <f t="shared" ca="1" si="7"/>
        <v>#VALUE!</v>
      </c>
      <c r="X11" s="7" t="e">
        <f t="shared" ca="1" si="8"/>
        <v>#VALUE!</v>
      </c>
      <c r="Y11" s="7" t="e">
        <f t="shared" ca="1" si="9"/>
        <v>#VALUE!</v>
      </c>
      <c r="Z11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sh.symbol='FEDERALBNK'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1" s="33" t="e">
        <f t="shared" ca="1" si="11"/>
        <v>#VALUE!</v>
      </c>
      <c r="AB11" s="7" t="e">
        <f t="shared" ca="1" si="12"/>
        <v>#VALUE!</v>
      </c>
      <c r="AC11" s="7" t="e">
        <f t="shared" ca="1" si="13"/>
        <v>#VALUE!</v>
      </c>
      <c r="AD11" s="1"/>
      <c r="AE11" s="1"/>
    </row>
    <row r="12" spans="1:39" x14ac:dyDescent="0.25">
      <c r="A12" s="3"/>
      <c r="B12" s="25">
        <v>43496</v>
      </c>
      <c r="C12" s="10" t="s">
        <v>684</v>
      </c>
      <c r="D12" s="1">
        <v>61.7</v>
      </c>
      <c r="E12" s="30">
        <v>10000</v>
      </c>
      <c r="F12" s="1">
        <v>56</v>
      </c>
      <c r="G12" s="42">
        <v>0.4</v>
      </c>
      <c r="H12" s="1">
        <v>55</v>
      </c>
      <c r="I12" s="1">
        <v>0.25</v>
      </c>
      <c r="J12" s="1">
        <v>540000</v>
      </c>
      <c r="K12" s="1">
        <v>10000</v>
      </c>
      <c r="L12" s="1">
        <v>0.2</v>
      </c>
      <c r="M12" s="1">
        <v>0.25</v>
      </c>
      <c r="N12" s="1">
        <v>50000</v>
      </c>
      <c r="O12" s="9"/>
      <c r="P12" s="7">
        <f t="shared" si="0"/>
        <v>0.15000000000000002</v>
      </c>
      <c r="Q12" s="7">
        <f t="shared" ca="1" si="1"/>
        <v>-3.4013605442176874E-4</v>
      </c>
      <c r="R12" s="33">
        <f t="shared" si="2"/>
        <v>1500.0000000000002</v>
      </c>
      <c r="S12" s="33">
        <f t="shared" si="3"/>
        <v>-8500</v>
      </c>
      <c r="T12" s="33">
        <f t="shared" si="4"/>
        <v>1500.0000000000002</v>
      </c>
      <c r="U12" s="7">
        <f t="shared" si="5"/>
        <v>0.17647058823529416</v>
      </c>
      <c r="V12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sh.symbol='IDBI'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2" s="33" t="e">
        <f t="shared" ca="1" si="7"/>
        <v>#VALUE!</v>
      </c>
      <c r="X12" s="7" t="e">
        <f t="shared" ca="1" si="8"/>
        <v>#VALUE!</v>
      </c>
      <c r="Y12" s="7" t="e">
        <f t="shared" ca="1" si="9"/>
        <v>#VALUE!</v>
      </c>
      <c r="Z12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sh.symbol='IDBI'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2" s="33" t="e">
        <f t="shared" ca="1" si="11"/>
        <v>#VALUE!</v>
      </c>
      <c r="AB12" s="7" t="e">
        <f t="shared" ca="1" si="12"/>
        <v>#VALUE!</v>
      </c>
      <c r="AC12" s="7" t="e">
        <f t="shared" ca="1" si="13"/>
        <v>#VALUE!</v>
      </c>
      <c r="AD12" s="1"/>
      <c r="AE12" s="1"/>
    </row>
    <row r="13" spans="1:39" x14ac:dyDescent="0.25">
      <c r="A13" s="3"/>
      <c r="B13" s="25">
        <v>43496</v>
      </c>
      <c r="C13" s="10" t="s">
        <v>1554</v>
      </c>
      <c r="D13" s="1">
        <v>39.200000000000003</v>
      </c>
      <c r="E13" s="30">
        <v>15000</v>
      </c>
      <c r="F13" s="1">
        <v>36</v>
      </c>
      <c r="G13" s="1">
        <v>0.4</v>
      </c>
      <c r="H13" s="1">
        <v>35</v>
      </c>
      <c r="I13" s="1">
        <v>0.25</v>
      </c>
      <c r="J13" s="1">
        <v>375000</v>
      </c>
      <c r="K13" s="1">
        <v>45000</v>
      </c>
      <c r="L13" s="1">
        <v>0.1</v>
      </c>
      <c r="M13" s="1">
        <v>0.2</v>
      </c>
      <c r="N13" s="1">
        <v>15000</v>
      </c>
      <c r="O13" s="9"/>
      <c r="P13" s="7">
        <f t="shared" si="0"/>
        <v>0.15000000000000002</v>
      </c>
      <c r="Q13" s="7">
        <f t="shared" ca="1" si="1"/>
        <v>-3.4013605442176874E-4</v>
      </c>
      <c r="R13" s="33">
        <f t="shared" si="2"/>
        <v>2250.0000000000005</v>
      </c>
      <c r="S13" s="33">
        <f t="shared" si="3"/>
        <v>-12750</v>
      </c>
      <c r="T13" s="33">
        <f t="shared" si="4"/>
        <v>2250.0000000000005</v>
      </c>
      <c r="U13" s="7">
        <f t="shared" si="5"/>
        <v>0.17647058823529416</v>
      </c>
      <c r="V13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sh.symbol='SYNDIBANK'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3" s="33" t="e">
        <f t="shared" ca="1" si="7"/>
        <v>#VALUE!</v>
      </c>
      <c r="X13" s="7" t="e">
        <f t="shared" ca="1" si="8"/>
        <v>#VALUE!</v>
      </c>
      <c r="Y13" s="7" t="e">
        <f t="shared" ca="1" si="9"/>
        <v>#VALUE!</v>
      </c>
      <c r="Z13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sh.symbol='SYNDIBANK'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3" s="33" t="e">
        <f t="shared" ca="1" si="11"/>
        <v>#VALUE!</v>
      </c>
      <c r="AB13" s="7" t="e">
        <f t="shared" ca="1" si="12"/>
        <v>#VALUE!</v>
      </c>
      <c r="AC13" s="7" t="e">
        <f t="shared" ca="1" si="13"/>
        <v>#VALUE!</v>
      </c>
      <c r="AD13" s="1"/>
      <c r="AE13" s="1"/>
    </row>
    <row r="14" spans="1:39" x14ac:dyDescent="0.25">
      <c r="A14" s="3"/>
      <c r="B14" s="25">
        <v>43496</v>
      </c>
      <c r="C14" s="10" t="s">
        <v>1037</v>
      </c>
      <c r="D14" s="1">
        <v>160.19999999999999</v>
      </c>
      <c r="E14" s="30">
        <v>2850</v>
      </c>
      <c r="F14" s="1">
        <v>150</v>
      </c>
      <c r="G14" s="1">
        <v>1.55</v>
      </c>
      <c r="H14" s="1">
        <v>145</v>
      </c>
      <c r="I14" s="1">
        <v>0.8</v>
      </c>
      <c r="J14" s="1">
        <v>88350</v>
      </c>
      <c r="K14" s="1">
        <v>19950</v>
      </c>
      <c r="L14" s="1">
        <v>0.85</v>
      </c>
      <c r="M14" s="1">
        <v>0.9</v>
      </c>
      <c r="N14" s="1">
        <v>2850</v>
      </c>
      <c r="O14" s="9"/>
      <c r="P14" s="7">
        <f t="shared" si="0"/>
        <v>0.15</v>
      </c>
      <c r="Q14" s="7">
        <f t="shared" ca="1" si="1"/>
        <v>-3.4013605442176868E-4</v>
      </c>
      <c r="R14" s="33">
        <f t="shared" si="2"/>
        <v>2137.5</v>
      </c>
      <c r="S14" s="33">
        <f t="shared" si="3"/>
        <v>-12112.5</v>
      </c>
      <c r="T14" s="33">
        <f t="shared" si="4"/>
        <v>2137.5</v>
      </c>
      <c r="U14" s="7">
        <f t="shared" si="5"/>
        <v>0.17647058823529413</v>
      </c>
      <c r="V14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sh.symbol='MOTHERSUMI'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4" s="33" t="e">
        <f t="shared" ca="1" si="7"/>
        <v>#VALUE!</v>
      </c>
      <c r="X14" s="7" t="e">
        <f t="shared" ca="1" si="8"/>
        <v>#VALUE!</v>
      </c>
      <c r="Y14" s="7" t="e">
        <f t="shared" ca="1" si="9"/>
        <v>#VALUE!</v>
      </c>
      <c r="Z14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sh.symbol='MOTHERSUMI'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4" s="33" t="e">
        <f t="shared" ca="1" si="11"/>
        <v>#VALUE!</v>
      </c>
      <c r="AB14" s="7" t="e">
        <f t="shared" ca="1" si="12"/>
        <v>#VALUE!</v>
      </c>
      <c r="AC14" s="7" t="e">
        <f t="shared" ca="1" si="13"/>
        <v>#VALUE!</v>
      </c>
      <c r="AD14" s="1"/>
      <c r="AE14" s="1"/>
    </row>
    <row r="15" spans="1:39" x14ac:dyDescent="0.25">
      <c r="A15" s="3"/>
      <c r="B15" s="25">
        <v>43496</v>
      </c>
      <c r="C15" s="10" t="s">
        <v>1149</v>
      </c>
      <c r="D15" s="1">
        <v>97.6</v>
      </c>
      <c r="E15" s="30">
        <v>7000</v>
      </c>
      <c r="F15" s="1">
        <v>92.5</v>
      </c>
      <c r="G15" s="1">
        <v>1.4</v>
      </c>
      <c r="H15" s="1">
        <v>87.5</v>
      </c>
      <c r="I15" s="1">
        <v>0.65</v>
      </c>
      <c r="J15" s="1">
        <v>42000</v>
      </c>
      <c r="K15" s="1">
        <v>42000</v>
      </c>
      <c r="L15" s="1">
        <v>0.2</v>
      </c>
      <c r="M15" s="1">
        <v>0.85</v>
      </c>
      <c r="N15" s="1">
        <v>42000</v>
      </c>
      <c r="O15" s="9"/>
      <c r="P15" s="7">
        <f t="shared" si="0"/>
        <v>0.14999999999999997</v>
      </c>
      <c r="Q15" s="7">
        <f t="shared" ca="1" si="1"/>
        <v>-3.4013605442176863E-4</v>
      </c>
      <c r="R15" s="33">
        <f t="shared" si="2"/>
        <v>5249.9999999999991</v>
      </c>
      <c r="S15" s="33">
        <f t="shared" si="3"/>
        <v>-29750</v>
      </c>
      <c r="T15" s="33">
        <f t="shared" si="4"/>
        <v>5249.9999999999991</v>
      </c>
      <c r="U15" s="7">
        <f t="shared" si="5"/>
        <v>0.17647058823529407</v>
      </c>
      <c r="V15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sh.symbol='ORIENTBANK'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5" s="33" t="e">
        <f t="shared" ca="1" si="7"/>
        <v>#VALUE!</v>
      </c>
      <c r="X15" s="7" t="e">
        <f t="shared" ca="1" si="8"/>
        <v>#VALUE!</v>
      </c>
      <c r="Y15" s="7" t="e">
        <f t="shared" ca="1" si="9"/>
        <v>#VALUE!</v>
      </c>
      <c r="Z15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sh.symbol='ORIENTBANK'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5" s="33" t="e">
        <f t="shared" ca="1" si="11"/>
        <v>#VALUE!</v>
      </c>
      <c r="AB15" s="7" t="e">
        <f t="shared" ca="1" si="12"/>
        <v>#VALUE!</v>
      </c>
      <c r="AC15" s="7" t="e">
        <f t="shared" ca="1" si="13"/>
        <v>#VALUE!</v>
      </c>
      <c r="AD15" s="1"/>
      <c r="AE15" s="1"/>
    </row>
    <row r="16" spans="1:39" x14ac:dyDescent="0.25">
      <c r="A16" s="3"/>
      <c r="B16" s="25">
        <v>43496</v>
      </c>
      <c r="C16" s="10" t="s">
        <v>204</v>
      </c>
      <c r="D16" s="1">
        <v>121.3</v>
      </c>
      <c r="E16" s="30">
        <v>4000</v>
      </c>
      <c r="F16" s="1">
        <v>115</v>
      </c>
      <c r="G16" s="1">
        <v>1.2</v>
      </c>
      <c r="H16" s="1">
        <v>110</v>
      </c>
      <c r="I16" s="1">
        <v>0.5</v>
      </c>
      <c r="J16" s="1">
        <v>1060000</v>
      </c>
      <c r="K16" s="1">
        <v>80000</v>
      </c>
      <c r="L16" s="1">
        <v>0.45</v>
      </c>
      <c r="M16" s="1">
        <v>0.55000000000000004</v>
      </c>
      <c r="N16" s="1">
        <v>36000</v>
      </c>
      <c r="O16" s="9"/>
      <c r="P16" s="7">
        <f t="shared" si="0"/>
        <v>0.13999999999999999</v>
      </c>
      <c r="Q16" s="7">
        <f t="shared" ca="1" si="1"/>
        <v>-3.1746031746031741E-4</v>
      </c>
      <c r="R16" s="33">
        <f t="shared" si="2"/>
        <v>2800</v>
      </c>
      <c r="S16" s="33">
        <f t="shared" si="3"/>
        <v>-17200</v>
      </c>
      <c r="T16" s="33">
        <f t="shared" si="4"/>
        <v>2800</v>
      </c>
      <c r="U16" s="7">
        <f t="shared" si="5"/>
        <v>0.16279069767441862</v>
      </c>
      <c r="V16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sh.symbol='BANKBARODA'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6" s="33" t="e">
        <f t="shared" ca="1" si="7"/>
        <v>#VALUE!</v>
      </c>
      <c r="X16" s="7" t="e">
        <f t="shared" ca="1" si="8"/>
        <v>#VALUE!</v>
      </c>
      <c r="Y16" s="7" t="e">
        <f t="shared" ca="1" si="9"/>
        <v>#VALUE!</v>
      </c>
      <c r="Z16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sh.symbol='BANKBARODA'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6" s="33" t="e">
        <f t="shared" ca="1" si="11"/>
        <v>#VALUE!</v>
      </c>
      <c r="AB16" s="7" t="e">
        <f t="shared" ca="1" si="12"/>
        <v>#VALUE!</v>
      </c>
      <c r="AC16" s="7" t="e">
        <f t="shared" ca="1" si="13"/>
        <v>#VALUE!</v>
      </c>
      <c r="AD16" s="1"/>
      <c r="AE16" s="1"/>
    </row>
    <row r="17" spans="1:31" x14ac:dyDescent="0.25">
      <c r="A17" s="3"/>
      <c r="B17" s="25">
        <v>43496</v>
      </c>
      <c r="C17" s="10" t="s">
        <v>478</v>
      </c>
      <c r="D17" s="1">
        <v>91.05</v>
      </c>
      <c r="E17" s="30">
        <v>7000</v>
      </c>
      <c r="F17" s="1">
        <v>85</v>
      </c>
      <c r="G17" s="1">
        <v>1</v>
      </c>
      <c r="H17" s="1">
        <v>80</v>
      </c>
      <c r="I17" s="1">
        <v>0.35</v>
      </c>
      <c r="J17" s="1">
        <v>1022000</v>
      </c>
      <c r="K17" s="1">
        <v>168000</v>
      </c>
      <c r="L17" s="1">
        <v>0.3</v>
      </c>
      <c r="M17" s="1">
        <v>0.4</v>
      </c>
      <c r="N17" s="1">
        <v>98000</v>
      </c>
      <c r="O17" s="9"/>
      <c r="P17" s="7">
        <f t="shared" si="0"/>
        <v>0.13</v>
      </c>
      <c r="Q17" s="7">
        <f t="shared" ca="1" si="1"/>
        <v>-2.9478458049886624E-4</v>
      </c>
      <c r="R17" s="33">
        <f t="shared" si="2"/>
        <v>4550</v>
      </c>
      <c r="S17" s="33">
        <f t="shared" si="3"/>
        <v>-30450</v>
      </c>
      <c r="T17" s="33">
        <f t="shared" si="4"/>
        <v>4550</v>
      </c>
      <c r="U17" s="7">
        <f t="shared" si="5"/>
        <v>0.14942528735632185</v>
      </c>
      <c r="V17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sh.symbol='FEDERALBNK'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7" s="33" t="e">
        <f t="shared" ca="1" si="7"/>
        <v>#VALUE!</v>
      </c>
      <c r="X17" s="7" t="e">
        <f t="shared" ca="1" si="8"/>
        <v>#VALUE!</v>
      </c>
      <c r="Y17" s="7" t="e">
        <f t="shared" ca="1" si="9"/>
        <v>#VALUE!</v>
      </c>
      <c r="Z17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sh.symbol='FEDERALBNK'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7" s="33" t="e">
        <f t="shared" ca="1" si="11"/>
        <v>#VALUE!</v>
      </c>
      <c r="AB17" s="7" t="e">
        <f t="shared" ca="1" si="12"/>
        <v>#VALUE!</v>
      </c>
      <c r="AC17" s="7" t="e">
        <f t="shared" ca="1" si="13"/>
        <v>#VALUE!</v>
      </c>
      <c r="AD17" s="1"/>
      <c r="AE17" s="1"/>
    </row>
    <row r="18" spans="1:31" x14ac:dyDescent="0.25">
      <c r="A18" s="3"/>
      <c r="B18" s="25">
        <v>43496</v>
      </c>
      <c r="C18" s="10" t="s">
        <v>336</v>
      </c>
      <c r="D18" s="1">
        <v>1323.35</v>
      </c>
      <c r="E18" s="30">
        <v>700</v>
      </c>
      <c r="F18" s="1">
        <v>1200</v>
      </c>
      <c r="G18" s="1">
        <v>5.5</v>
      </c>
      <c r="H18" s="1">
        <v>1180</v>
      </c>
      <c r="I18" s="1">
        <v>3</v>
      </c>
      <c r="J18" s="1">
        <v>4900</v>
      </c>
      <c r="K18" s="1">
        <v>700</v>
      </c>
      <c r="L18" s="1">
        <v>0.4</v>
      </c>
      <c r="M18" s="1">
        <v>2.95</v>
      </c>
      <c r="N18" s="1">
        <v>1400</v>
      </c>
      <c r="O18" s="9"/>
      <c r="P18" s="7">
        <f t="shared" si="0"/>
        <v>0.125</v>
      </c>
      <c r="Q18" s="7">
        <f t="shared" ca="1" si="1"/>
        <v>-2.834467120181406E-4</v>
      </c>
      <c r="R18" s="33">
        <f t="shared" si="2"/>
        <v>1750</v>
      </c>
      <c r="S18" s="33">
        <f t="shared" si="3"/>
        <v>-12250</v>
      </c>
      <c r="T18" s="33">
        <f t="shared" si="4"/>
        <v>1750</v>
      </c>
      <c r="U18" s="7">
        <f t="shared" si="5"/>
        <v>0.14285714285714285</v>
      </c>
      <c r="V18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sh.symbol='COLPAL'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8" s="33" t="e">
        <f t="shared" ca="1" si="7"/>
        <v>#VALUE!</v>
      </c>
      <c r="X18" s="7" t="e">
        <f t="shared" ca="1" si="8"/>
        <v>#VALUE!</v>
      </c>
      <c r="Y18" s="7" t="e">
        <f t="shared" ca="1" si="9"/>
        <v>#VALUE!</v>
      </c>
      <c r="Z18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sh.symbol='COLPAL'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8" s="33" t="e">
        <f t="shared" ca="1" si="11"/>
        <v>#VALUE!</v>
      </c>
      <c r="AB18" s="7" t="e">
        <f t="shared" ca="1" si="12"/>
        <v>#VALUE!</v>
      </c>
      <c r="AC18" s="7" t="e">
        <f t="shared" ca="1" si="13"/>
        <v>#VALUE!</v>
      </c>
      <c r="AD18" s="1"/>
      <c r="AE18" s="1"/>
    </row>
    <row r="19" spans="1:31" ht="15" customHeight="1" x14ac:dyDescent="0.25">
      <c r="A19" s="3"/>
      <c r="B19" s="25">
        <v>43496</v>
      </c>
      <c r="C19" s="10" t="s">
        <v>1554</v>
      </c>
      <c r="D19" s="1">
        <v>39.200000000000003</v>
      </c>
      <c r="E19" s="30">
        <v>15000</v>
      </c>
      <c r="F19" s="1">
        <v>36</v>
      </c>
      <c r="G19" s="1">
        <v>0.4</v>
      </c>
      <c r="H19" s="1">
        <v>34</v>
      </c>
      <c r="I19" s="1">
        <v>0.15</v>
      </c>
      <c r="J19" s="1">
        <v>360000</v>
      </c>
      <c r="K19" s="1">
        <v>300000</v>
      </c>
      <c r="L19" s="1">
        <v>0.1</v>
      </c>
      <c r="M19" s="1">
        <v>0.25</v>
      </c>
      <c r="N19" s="1">
        <v>60000</v>
      </c>
      <c r="O19" s="9"/>
      <c r="P19" s="7">
        <f t="shared" si="0"/>
        <v>0.125</v>
      </c>
      <c r="Q19" s="7">
        <f t="shared" ca="1" si="1"/>
        <v>-2.834467120181406E-4</v>
      </c>
      <c r="R19" s="33">
        <f t="shared" si="2"/>
        <v>3750</v>
      </c>
      <c r="S19" s="33">
        <f t="shared" si="3"/>
        <v>-26250</v>
      </c>
      <c r="T19" s="33">
        <f t="shared" si="4"/>
        <v>3750</v>
      </c>
      <c r="U19" s="7">
        <f t="shared" si="5"/>
        <v>0.14285714285714285</v>
      </c>
      <c r="V19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sh.symbol='SYNDIBANK'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9" s="33" t="e">
        <f t="shared" ca="1" si="7"/>
        <v>#VALUE!</v>
      </c>
      <c r="X19" s="7" t="e">
        <f t="shared" ca="1" si="8"/>
        <v>#VALUE!</v>
      </c>
      <c r="Y19" s="7" t="e">
        <f t="shared" ca="1" si="9"/>
        <v>#VALUE!</v>
      </c>
      <c r="Z19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sh.symbol='SYNDIBANK'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9" s="33" t="e">
        <f t="shared" ca="1" si="11"/>
        <v>#VALUE!</v>
      </c>
      <c r="AB19" s="7" t="e">
        <f t="shared" ca="1" si="12"/>
        <v>#VALUE!</v>
      </c>
      <c r="AC19" s="7" t="e">
        <f t="shared" ca="1" si="13"/>
        <v>#VALUE!</v>
      </c>
      <c r="AD19" s="1"/>
      <c r="AE19" s="1"/>
    </row>
    <row r="20" spans="1:31" ht="15" customHeight="1" x14ac:dyDescent="0.25">
      <c r="A20" s="3"/>
      <c r="B20" s="25">
        <v>43496</v>
      </c>
      <c r="C20" s="10" t="s">
        <v>221</v>
      </c>
      <c r="D20" s="1">
        <v>909.2</v>
      </c>
      <c r="E20" s="30">
        <v>700</v>
      </c>
      <c r="F20" s="1">
        <v>840</v>
      </c>
      <c r="G20" s="1">
        <v>7.95</v>
      </c>
      <c r="H20" s="1">
        <v>820</v>
      </c>
      <c r="I20" s="1">
        <v>5.5</v>
      </c>
      <c r="J20" s="1">
        <v>11900</v>
      </c>
      <c r="K20" s="1">
        <v>700</v>
      </c>
      <c r="L20" s="1">
        <v>4.05</v>
      </c>
      <c r="M20" s="1">
        <v>6.6</v>
      </c>
      <c r="N20" s="1">
        <v>5600</v>
      </c>
      <c r="O20" s="9"/>
      <c r="P20" s="7">
        <f t="shared" si="0"/>
        <v>0.12250000000000001</v>
      </c>
      <c r="Q20" s="7">
        <f t="shared" ca="1" si="1"/>
        <v>-2.7777777777777778E-4</v>
      </c>
      <c r="R20" s="33">
        <f t="shared" si="2"/>
        <v>1715.0000000000002</v>
      </c>
      <c r="S20" s="33">
        <f t="shared" si="3"/>
        <v>-12285</v>
      </c>
      <c r="T20" s="33">
        <f t="shared" si="4"/>
        <v>1715.0000000000002</v>
      </c>
      <c r="U20" s="7">
        <f t="shared" si="5"/>
        <v>0.13960113960113962</v>
      </c>
      <c r="V20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sh.symbol='BEML'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0" s="33" t="e">
        <f t="shared" ca="1" si="7"/>
        <v>#VALUE!</v>
      </c>
      <c r="X20" s="7" t="e">
        <f t="shared" ca="1" si="8"/>
        <v>#VALUE!</v>
      </c>
      <c r="Y20" s="7" t="e">
        <f t="shared" ca="1" si="9"/>
        <v>#VALUE!</v>
      </c>
      <c r="Z20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sh.symbol='BEML'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0" s="33" t="e">
        <f t="shared" ca="1" si="11"/>
        <v>#VALUE!</v>
      </c>
      <c r="AB20" s="7" t="e">
        <f t="shared" ca="1" si="12"/>
        <v>#VALUE!</v>
      </c>
      <c r="AC20" s="7" t="e">
        <f t="shared" ca="1" si="13"/>
        <v>#VALUE!</v>
      </c>
      <c r="AD20" s="1"/>
      <c r="AE20" s="1"/>
    </row>
    <row r="21" spans="1:31" x14ac:dyDescent="0.25">
      <c r="A21" s="3"/>
      <c r="B21" s="25">
        <v>43496</v>
      </c>
      <c r="C21" s="10" t="s">
        <v>221</v>
      </c>
      <c r="D21" s="1">
        <v>909.2</v>
      </c>
      <c r="E21" s="30">
        <v>700</v>
      </c>
      <c r="F21" s="1">
        <v>840</v>
      </c>
      <c r="G21" s="1">
        <v>7.95</v>
      </c>
      <c r="H21" s="1">
        <v>800</v>
      </c>
      <c r="I21" s="1">
        <v>3.1</v>
      </c>
      <c r="J21" s="1">
        <v>46900</v>
      </c>
      <c r="K21" s="1">
        <v>1400</v>
      </c>
      <c r="L21" s="1">
        <v>2.15</v>
      </c>
      <c r="M21" s="1">
        <v>3.2</v>
      </c>
      <c r="N21" s="1">
        <v>1400</v>
      </c>
      <c r="O21" s="9"/>
      <c r="P21" s="7">
        <f t="shared" si="0"/>
        <v>0.12125</v>
      </c>
      <c r="Q21" s="7">
        <f t="shared" ca="1" si="1"/>
        <v>-2.7494331065759637E-4</v>
      </c>
      <c r="R21" s="33">
        <f t="shared" si="2"/>
        <v>3394.9999999999995</v>
      </c>
      <c r="S21" s="33">
        <f t="shared" si="3"/>
        <v>-24605</v>
      </c>
      <c r="T21" s="33">
        <f t="shared" si="4"/>
        <v>3394.9999999999995</v>
      </c>
      <c r="U21" s="7">
        <f t="shared" si="5"/>
        <v>0.13798008534850639</v>
      </c>
      <c r="V21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sh.symbol='BEML'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" s="33" t="e">
        <f t="shared" ca="1" si="7"/>
        <v>#VALUE!</v>
      </c>
      <c r="X21" s="7" t="e">
        <f t="shared" ca="1" si="8"/>
        <v>#VALUE!</v>
      </c>
      <c r="Y21" s="7" t="e">
        <f t="shared" ca="1" si="9"/>
        <v>#VALUE!</v>
      </c>
      <c r="Z21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sh.symbol='BEML'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" s="33" t="e">
        <f t="shared" ca="1" si="11"/>
        <v>#VALUE!</v>
      </c>
      <c r="AB21" s="7" t="e">
        <f t="shared" ca="1" si="12"/>
        <v>#VALUE!</v>
      </c>
      <c r="AC21" s="7" t="e">
        <f t="shared" ca="1" si="13"/>
        <v>#VALUE!</v>
      </c>
      <c r="AD21" s="1"/>
      <c r="AE21" s="1"/>
    </row>
    <row r="22" spans="1:31" x14ac:dyDescent="0.25">
      <c r="A22" s="3"/>
      <c r="B22" s="25">
        <v>43496</v>
      </c>
      <c r="C22" s="10" t="s">
        <v>1668</v>
      </c>
      <c r="D22" s="1">
        <v>94</v>
      </c>
      <c r="E22" s="30">
        <v>7000</v>
      </c>
      <c r="F22" s="1">
        <v>87.5</v>
      </c>
      <c r="G22" s="1">
        <v>0.9</v>
      </c>
      <c r="H22" s="1">
        <v>85</v>
      </c>
      <c r="I22" s="1">
        <v>0.6</v>
      </c>
      <c r="J22" s="1">
        <v>672000</v>
      </c>
      <c r="K22" s="1">
        <v>35000</v>
      </c>
      <c r="L22" s="1">
        <v>0.55000000000000004</v>
      </c>
      <c r="M22" s="1">
        <v>0.65</v>
      </c>
      <c r="N22" s="1">
        <v>28000</v>
      </c>
      <c r="O22" s="9"/>
      <c r="P22" s="7">
        <f t="shared" si="0"/>
        <v>0.12000000000000002</v>
      </c>
      <c r="Q22" s="7">
        <f t="shared" ca="1" si="1"/>
        <v>-2.7210884353741501E-4</v>
      </c>
      <c r="R22" s="33">
        <f t="shared" si="2"/>
        <v>2100.0000000000005</v>
      </c>
      <c r="S22" s="33">
        <f t="shared" si="3"/>
        <v>-15400</v>
      </c>
      <c r="T22" s="33">
        <f t="shared" si="4"/>
        <v>2100.0000000000005</v>
      </c>
      <c r="U22" s="7">
        <f t="shared" si="5"/>
        <v>0.13636363636363638</v>
      </c>
      <c r="V22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sh.symbol='UNIONBANK'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" s="33" t="e">
        <f t="shared" ca="1" si="7"/>
        <v>#VALUE!</v>
      </c>
      <c r="X22" s="7" t="e">
        <f t="shared" ca="1" si="8"/>
        <v>#VALUE!</v>
      </c>
      <c r="Y22" s="7" t="e">
        <f t="shared" ca="1" si="9"/>
        <v>#VALUE!</v>
      </c>
      <c r="Z22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sh.symbol='UNIONBANK'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" s="33" t="e">
        <f t="shared" ca="1" si="11"/>
        <v>#VALUE!</v>
      </c>
      <c r="AB22" s="7" t="e">
        <f t="shared" ca="1" si="12"/>
        <v>#VALUE!</v>
      </c>
      <c r="AC22" s="7" t="e">
        <f t="shared" ca="1" si="13"/>
        <v>#VALUE!</v>
      </c>
      <c r="AD22" s="1"/>
      <c r="AE22" s="1"/>
    </row>
    <row r="23" spans="1:31" x14ac:dyDescent="0.25">
      <c r="A23" s="3"/>
      <c r="B23" s="25">
        <v>43496</v>
      </c>
      <c r="C23" s="10" t="s">
        <v>1149</v>
      </c>
      <c r="D23" s="1">
        <v>97.6</v>
      </c>
      <c r="E23" s="30">
        <v>7000</v>
      </c>
      <c r="F23" s="1">
        <v>92.5</v>
      </c>
      <c r="G23" s="1">
        <v>1.4</v>
      </c>
      <c r="H23" s="1">
        <v>85</v>
      </c>
      <c r="I23" s="1">
        <v>0.5</v>
      </c>
      <c r="J23" s="1">
        <v>77000</v>
      </c>
      <c r="K23" s="1">
        <v>14000</v>
      </c>
      <c r="L23" s="1">
        <v>0.35</v>
      </c>
      <c r="M23" s="1">
        <v>0.65</v>
      </c>
      <c r="N23" s="1">
        <v>42000</v>
      </c>
      <c r="O23" s="9"/>
      <c r="P23" s="7">
        <f t="shared" si="0"/>
        <v>0.11999999999999998</v>
      </c>
      <c r="Q23" s="7">
        <f t="shared" ca="1" si="1"/>
        <v>-2.721088435374149E-4</v>
      </c>
      <c r="R23" s="33">
        <f t="shared" si="2"/>
        <v>6299.9999999999991</v>
      </c>
      <c r="S23" s="33">
        <f t="shared" si="3"/>
        <v>-46200</v>
      </c>
      <c r="T23" s="33">
        <f t="shared" si="4"/>
        <v>6299.9999999999991</v>
      </c>
      <c r="U23" s="7">
        <f t="shared" si="5"/>
        <v>0.13636363636363635</v>
      </c>
      <c r="V23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sh.symbol='ORIENTBANK'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3" s="33" t="e">
        <f t="shared" ca="1" si="7"/>
        <v>#VALUE!</v>
      </c>
      <c r="X23" s="7" t="e">
        <f t="shared" ca="1" si="8"/>
        <v>#VALUE!</v>
      </c>
      <c r="Y23" s="7" t="e">
        <f t="shared" ca="1" si="9"/>
        <v>#VALUE!</v>
      </c>
      <c r="Z23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sh.symbol='ORIENTBANK'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3" s="33" t="e">
        <f t="shared" ca="1" si="11"/>
        <v>#VALUE!</v>
      </c>
      <c r="AB23" s="7" t="e">
        <f t="shared" ca="1" si="12"/>
        <v>#VALUE!</v>
      </c>
      <c r="AC23" s="7" t="e">
        <f t="shared" ca="1" si="13"/>
        <v>#VALUE!</v>
      </c>
      <c r="AD23" s="1"/>
      <c r="AE23" s="1"/>
    </row>
    <row r="24" spans="1:31" x14ac:dyDescent="0.25">
      <c r="A24" s="3"/>
      <c r="B24" s="25">
        <v>43496</v>
      </c>
      <c r="C24" s="10" t="s">
        <v>336</v>
      </c>
      <c r="D24" s="1">
        <v>1323.35</v>
      </c>
      <c r="E24" s="30">
        <v>700</v>
      </c>
      <c r="F24" s="1">
        <v>1200</v>
      </c>
      <c r="G24" s="1">
        <v>5.5</v>
      </c>
      <c r="H24" s="1">
        <v>1220</v>
      </c>
      <c r="I24" s="1">
        <v>2.5</v>
      </c>
      <c r="J24" s="1">
        <v>5600</v>
      </c>
      <c r="K24" s="1">
        <v>2100</v>
      </c>
      <c r="L24" s="1">
        <v>0.35</v>
      </c>
      <c r="M24" s="1">
        <v>5.5</v>
      </c>
      <c r="N24" s="1">
        <v>5600</v>
      </c>
      <c r="O24" s="9"/>
      <c r="P24" s="7">
        <f t="shared" si="0"/>
        <v>-0.15</v>
      </c>
      <c r="Q24" s="7">
        <f t="shared" ca="1" si="1"/>
        <v>3.4013605442176868E-4</v>
      </c>
      <c r="R24" s="33">
        <f t="shared" si="2"/>
        <v>2100</v>
      </c>
      <c r="S24" s="33">
        <f t="shared" si="3"/>
        <v>16100</v>
      </c>
      <c r="T24" s="33">
        <f t="shared" si="4"/>
        <v>2100</v>
      </c>
      <c r="U24" s="7">
        <f t="shared" si="5"/>
        <v>0.13043478260869565</v>
      </c>
      <c r="V24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sh.symbol='COLPAL'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" s="33" t="e">
        <f t="shared" ca="1" si="7"/>
        <v>#VALUE!</v>
      </c>
      <c r="X24" s="7" t="e">
        <f t="shared" ca="1" si="8"/>
        <v>#VALUE!</v>
      </c>
      <c r="Y24" s="7" t="e">
        <f t="shared" ca="1" si="9"/>
        <v>#VALUE!</v>
      </c>
      <c r="Z24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sh.symbol='COLPAL'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" s="33" t="e">
        <f t="shared" ca="1" si="11"/>
        <v>#VALUE!</v>
      </c>
      <c r="AB24" s="7" t="e">
        <f t="shared" ca="1" si="12"/>
        <v>#VALUE!</v>
      </c>
      <c r="AC24" s="7" t="e">
        <f t="shared" ca="1" si="13"/>
        <v>#VALUE!</v>
      </c>
      <c r="AD24" s="1"/>
      <c r="AE24" s="1"/>
    </row>
    <row r="25" spans="1:31" x14ac:dyDescent="0.25">
      <c r="A25" s="3"/>
      <c r="B25" s="25">
        <v>43496</v>
      </c>
      <c r="C25" s="10" t="s">
        <v>711</v>
      </c>
      <c r="D25" s="1">
        <v>252.3</v>
      </c>
      <c r="E25" s="30">
        <v>2000</v>
      </c>
      <c r="F25" s="1">
        <v>230</v>
      </c>
      <c r="G25" s="1">
        <v>2</v>
      </c>
      <c r="H25" s="1">
        <v>220</v>
      </c>
      <c r="I25" s="1">
        <v>0.85</v>
      </c>
      <c r="J25" s="1">
        <v>26000</v>
      </c>
      <c r="K25" s="1">
        <v>2000</v>
      </c>
      <c r="L25" s="1">
        <v>0.6</v>
      </c>
      <c r="M25" s="1">
        <v>0.85</v>
      </c>
      <c r="N25" s="1">
        <v>4000</v>
      </c>
      <c r="O25" s="9"/>
      <c r="P25" s="7">
        <f t="shared" si="0"/>
        <v>0.11499999999999999</v>
      </c>
      <c r="Q25" s="7">
        <f t="shared" ca="1" si="1"/>
        <v>-2.6077097505668932E-4</v>
      </c>
      <c r="R25" s="33">
        <f t="shared" si="2"/>
        <v>2300</v>
      </c>
      <c r="S25" s="33">
        <f t="shared" si="3"/>
        <v>-17700</v>
      </c>
      <c r="T25" s="33">
        <f t="shared" si="4"/>
        <v>2300</v>
      </c>
      <c r="U25" s="7">
        <f t="shared" si="5"/>
        <v>0.12994350282485875</v>
      </c>
      <c r="V25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sh.symbol='INDIANB'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" s="33" t="e">
        <f t="shared" ca="1" si="7"/>
        <v>#VALUE!</v>
      </c>
      <c r="X25" s="7" t="e">
        <f t="shared" ca="1" si="8"/>
        <v>#VALUE!</v>
      </c>
      <c r="Y25" s="7" t="e">
        <f t="shared" ca="1" si="9"/>
        <v>#VALUE!</v>
      </c>
      <c r="Z25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sh.symbol='INDIANB'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" s="33" t="e">
        <f t="shared" ca="1" si="11"/>
        <v>#VALUE!</v>
      </c>
      <c r="AB25" s="7" t="e">
        <f t="shared" ca="1" si="12"/>
        <v>#VALUE!</v>
      </c>
      <c r="AC25" s="7" t="e">
        <f t="shared" ca="1" si="13"/>
        <v>#VALUE!</v>
      </c>
      <c r="AD25" s="1"/>
      <c r="AE25" s="1"/>
    </row>
    <row r="26" spans="1:31" x14ac:dyDescent="0.25">
      <c r="A26" s="3"/>
      <c r="B26" s="25">
        <v>43496</v>
      </c>
      <c r="C26" s="10" t="s">
        <v>1037</v>
      </c>
      <c r="D26" s="1">
        <v>160.19999999999999</v>
      </c>
      <c r="E26" s="30">
        <v>2850</v>
      </c>
      <c r="F26" s="1">
        <v>150</v>
      </c>
      <c r="G26" s="1">
        <v>1.55</v>
      </c>
      <c r="H26" s="1">
        <v>140</v>
      </c>
      <c r="I26" s="1">
        <v>0.5</v>
      </c>
      <c r="J26" s="1">
        <v>74100</v>
      </c>
      <c r="K26" s="1">
        <v>2850</v>
      </c>
      <c r="L26" s="1">
        <v>0.4</v>
      </c>
      <c r="M26" s="1">
        <v>0.5</v>
      </c>
      <c r="N26" s="1">
        <v>17100</v>
      </c>
      <c r="O26" s="9"/>
      <c r="P26" s="7">
        <f t="shared" si="0"/>
        <v>0.10500000000000001</v>
      </c>
      <c r="Q26" s="7">
        <f t="shared" ca="1" si="1"/>
        <v>-2.3809523809523812E-4</v>
      </c>
      <c r="R26" s="33">
        <f t="shared" si="2"/>
        <v>2992.5</v>
      </c>
      <c r="S26" s="33">
        <f t="shared" si="3"/>
        <v>-25507.5</v>
      </c>
      <c r="T26" s="33">
        <f t="shared" si="4"/>
        <v>2992.5</v>
      </c>
      <c r="U26" s="7">
        <f t="shared" si="5"/>
        <v>0.11731843575418995</v>
      </c>
      <c r="V26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sh.symbol='MOTHERSUMI'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" s="33" t="e">
        <f t="shared" ca="1" si="7"/>
        <v>#VALUE!</v>
      </c>
      <c r="X26" s="7" t="e">
        <f t="shared" ca="1" si="8"/>
        <v>#VALUE!</v>
      </c>
      <c r="Y26" s="7" t="e">
        <f t="shared" ca="1" si="9"/>
        <v>#VALUE!</v>
      </c>
      <c r="Z26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sh.symbol='MOTHERSUMI'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" s="33" t="e">
        <f t="shared" ca="1" si="11"/>
        <v>#VALUE!</v>
      </c>
      <c r="AB26" s="7" t="e">
        <f t="shared" ca="1" si="12"/>
        <v>#VALUE!</v>
      </c>
      <c r="AC26" s="7" t="e">
        <f t="shared" ca="1" si="13"/>
        <v>#VALUE!</v>
      </c>
      <c r="AD26" s="1"/>
      <c r="AE26" s="1"/>
    </row>
    <row r="27" spans="1:31" x14ac:dyDescent="0.25">
      <c r="A27" s="3"/>
      <c r="B27" s="25">
        <v>43496</v>
      </c>
      <c r="C27" s="10" t="s">
        <v>1037</v>
      </c>
      <c r="D27" s="1">
        <v>160.19999999999999</v>
      </c>
      <c r="E27" s="30">
        <v>2850</v>
      </c>
      <c r="F27" s="1">
        <v>150</v>
      </c>
      <c r="G27" s="1">
        <v>1.55</v>
      </c>
      <c r="H27" s="1">
        <v>136.65</v>
      </c>
      <c r="I27" s="1">
        <v>0.15</v>
      </c>
      <c r="J27" s="1">
        <v>57000</v>
      </c>
      <c r="K27" s="1">
        <v>11400</v>
      </c>
      <c r="L27" s="1">
        <v>0.1</v>
      </c>
      <c r="M27" s="1">
        <v>0.4</v>
      </c>
      <c r="N27" s="1">
        <v>2850</v>
      </c>
      <c r="O27" s="9"/>
      <c r="P27" s="7">
        <f t="shared" si="0"/>
        <v>0.10486891385767795</v>
      </c>
      <c r="Q27" s="7">
        <f t="shared" ca="1" si="1"/>
        <v>-2.3779799060697949E-4</v>
      </c>
      <c r="R27" s="33">
        <f t="shared" si="2"/>
        <v>3990.0000000000005</v>
      </c>
      <c r="S27" s="33">
        <f t="shared" si="3"/>
        <v>-34057.499999999985</v>
      </c>
      <c r="T27" s="33">
        <f t="shared" si="4"/>
        <v>3990.0000000000005</v>
      </c>
      <c r="U27" s="7">
        <f t="shared" si="5"/>
        <v>0.11715481171548124</v>
      </c>
      <c r="V27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sh.symbol='MOTHERSUMI'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" s="33" t="e">
        <f t="shared" ca="1" si="7"/>
        <v>#VALUE!</v>
      </c>
      <c r="X27" s="7" t="e">
        <f t="shared" ca="1" si="8"/>
        <v>#VALUE!</v>
      </c>
      <c r="Y27" s="7" t="e">
        <f t="shared" ca="1" si="9"/>
        <v>#VALUE!</v>
      </c>
      <c r="Z27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sh.symbol='MOTHERSUMI'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" s="33" t="e">
        <f t="shared" ca="1" si="11"/>
        <v>#VALUE!</v>
      </c>
      <c r="AB27" s="7" t="e">
        <f t="shared" ca="1" si="12"/>
        <v>#VALUE!</v>
      </c>
      <c r="AC27" s="7" t="e">
        <f t="shared" ca="1" si="13"/>
        <v>#VALUE!</v>
      </c>
      <c r="AD27" s="1"/>
      <c r="AE27" s="1"/>
    </row>
    <row r="28" spans="1:31" x14ac:dyDescent="0.25">
      <c r="A28" s="3"/>
      <c r="B28" s="25">
        <v>43496</v>
      </c>
      <c r="C28" s="10" t="s">
        <v>1554</v>
      </c>
      <c r="D28" s="1">
        <v>39.200000000000003</v>
      </c>
      <c r="E28" s="30">
        <v>15000</v>
      </c>
      <c r="F28" s="1">
        <v>36</v>
      </c>
      <c r="G28" s="1">
        <v>0.4</v>
      </c>
      <c r="H28" s="1">
        <v>33</v>
      </c>
      <c r="I28" s="1">
        <v>0.1</v>
      </c>
      <c r="J28" s="1">
        <v>255000</v>
      </c>
      <c r="K28" s="1">
        <v>75000</v>
      </c>
      <c r="L28" s="1">
        <v>0.05</v>
      </c>
      <c r="M28" s="1">
        <v>0.2</v>
      </c>
      <c r="N28" s="1">
        <v>45000</v>
      </c>
      <c r="O28" s="9"/>
      <c r="P28" s="7">
        <f t="shared" si="0"/>
        <v>0.10000000000000002</v>
      </c>
      <c r="Q28" s="7">
        <f t="shared" ca="1" si="1"/>
        <v>-2.2675736961451251E-4</v>
      </c>
      <c r="R28" s="33">
        <f t="shared" si="2"/>
        <v>4500.0000000000009</v>
      </c>
      <c r="S28" s="33">
        <f t="shared" si="3"/>
        <v>-40500</v>
      </c>
      <c r="T28" s="33">
        <f t="shared" si="4"/>
        <v>4500.0000000000009</v>
      </c>
      <c r="U28" s="7">
        <f t="shared" si="5"/>
        <v>0.11111111111111113</v>
      </c>
      <c r="V28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sh.symbol='SYNDIBANK'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" s="33" t="e">
        <f t="shared" ca="1" si="7"/>
        <v>#VALUE!</v>
      </c>
      <c r="X28" s="7" t="e">
        <f t="shared" ca="1" si="8"/>
        <v>#VALUE!</v>
      </c>
      <c r="Y28" s="7" t="e">
        <f t="shared" ca="1" si="9"/>
        <v>#VALUE!</v>
      </c>
      <c r="Z28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sh.symbol='SYNDIBANK'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" s="33" t="e">
        <f t="shared" ca="1" si="11"/>
        <v>#VALUE!</v>
      </c>
      <c r="AB28" s="7" t="e">
        <f t="shared" ca="1" si="12"/>
        <v>#VALUE!</v>
      </c>
      <c r="AC28" s="7" t="e">
        <f t="shared" ca="1" si="13"/>
        <v>#VALUE!</v>
      </c>
      <c r="AD28" s="1"/>
      <c r="AE28" s="1"/>
    </row>
    <row r="29" spans="1:31" x14ac:dyDescent="0.25">
      <c r="A29" s="3"/>
      <c r="B29" s="25">
        <v>43496</v>
      </c>
      <c r="C29" s="10" t="s">
        <v>204</v>
      </c>
      <c r="D29" s="1">
        <v>121.3</v>
      </c>
      <c r="E29" s="30">
        <v>4000</v>
      </c>
      <c r="F29" s="1">
        <v>115</v>
      </c>
      <c r="G29" s="1">
        <v>1.2</v>
      </c>
      <c r="H29" s="1">
        <v>105</v>
      </c>
      <c r="I29" s="1">
        <v>0.2</v>
      </c>
      <c r="J29" s="1">
        <v>532000</v>
      </c>
      <c r="K29" s="1">
        <v>164000</v>
      </c>
      <c r="L29" s="1">
        <v>0.2</v>
      </c>
      <c r="M29" s="1">
        <v>0.25</v>
      </c>
      <c r="N29" s="1">
        <v>28000</v>
      </c>
      <c r="O29" s="9"/>
      <c r="P29" s="7">
        <f t="shared" si="0"/>
        <v>0.1</v>
      </c>
      <c r="Q29" s="7">
        <f t="shared" ca="1" si="1"/>
        <v>-2.2675736961451248E-4</v>
      </c>
      <c r="R29" s="33">
        <f t="shared" si="2"/>
        <v>4000</v>
      </c>
      <c r="S29" s="33">
        <f t="shared" si="3"/>
        <v>-36000</v>
      </c>
      <c r="T29" s="33">
        <f t="shared" si="4"/>
        <v>4000</v>
      </c>
      <c r="U29" s="7">
        <f t="shared" si="5"/>
        <v>0.1111111111111111</v>
      </c>
      <c r="V29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sh.symbol='BANKBARODA'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" s="33" t="e">
        <f t="shared" ca="1" si="7"/>
        <v>#VALUE!</v>
      </c>
      <c r="X29" s="7" t="e">
        <f t="shared" ca="1" si="8"/>
        <v>#VALUE!</v>
      </c>
      <c r="Y29" s="7" t="e">
        <f t="shared" ca="1" si="9"/>
        <v>#VALUE!</v>
      </c>
      <c r="Z29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sh.symbol='BANKBARODA'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" s="33" t="e">
        <f t="shared" ca="1" si="11"/>
        <v>#VALUE!</v>
      </c>
      <c r="AB29" s="7" t="e">
        <f t="shared" ca="1" si="12"/>
        <v>#VALUE!</v>
      </c>
      <c r="AC29" s="7" t="e">
        <f t="shared" ca="1" si="13"/>
        <v>#VALUE!</v>
      </c>
      <c r="AD29" s="1"/>
      <c r="AE29" s="1"/>
    </row>
    <row r="30" spans="1:31" x14ac:dyDescent="0.25">
      <c r="A30" s="3"/>
      <c r="B30" s="25">
        <v>43496</v>
      </c>
      <c r="C30" s="10" t="s">
        <v>478</v>
      </c>
      <c r="D30" s="1">
        <v>91.05</v>
      </c>
      <c r="E30" s="30">
        <v>7000</v>
      </c>
      <c r="F30" s="1">
        <v>85</v>
      </c>
      <c r="G30" s="1">
        <v>1</v>
      </c>
      <c r="H30" s="1">
        <v>77.5</v>
      </c>
      <c r="I30" s="1">
        <v>0.25</v>
      </c>
      <c r="J30" s="1">
        <v>133000</v>
      </c>
      <c r="K30" s="1">
        <v>84000</v>
      </c>
      <c r="L30" s="1">
        <v>0.15</v>
      </c>
      <c r="M30" s="1">
        <v>0.25</v>
      </c>
      <c r="N30" s="1">
        <v>77000</v>
      </c>
      <c r="O30" s="9"/>
      <c r="P30" s="7">
        <f t="shared" si="0"/>
        <v>0.1</v>
      </c>
      <c r="Q30" s="7">
        <f t="shared" ca="1" si="1"/>
        <v>-2.2675736961451248E-4</v>
      </c>
      <c r="R30" s="33">
        <f t="shared" si="2"/>
        <v>5250</v>
      </c>
      <c r="S30" s="33">
        <f t="shared" si="3"/>
        <v>-47250</v>
      </c>
      <c r="T30" s="33">
        <f t="shared" si="4"/>
        <v>5250</v>
      </c>
      <c r="U30" s="7">
        <f t="shared" si="5"/>
        <v>0.1111111111111111</v>
      </c>
      <c r="V30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sh.symbol='FEDERALBNK'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" s="33" t="e">
        <f t="shared" ca="1" si="7"/>
        <v>#VALUE!</v>
      </c>
      <c r="X30" s="7" t="e">
        <f t="shared" ca="1" si="8"/>
        <v>#VALUE!</v>
      </c>
      <c r="Y30" s="7" t="e">
        <f t="shared" ca="1" si="9"/>
        <v>#VALUE!</v>
      </c>
      <c r="Z30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sh.symbol='FEDERALBNK'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" s="33" t="e">
        <f t="shared" ca="1" si="11"/>
        <v>#VALUE!</v>
      </c>
      <c r="AB30" s="7" t="e">
        <f t="shared" ca="1" si="12"/>
        <v>#VALUE!</v>
      </c>
      <c r="AC30" s="7" t="e">
        <f t="shared" ca="1" si="13"/>
        <v>#VALUE!</v>
      </c>
      <c r="AD30" s="1"/>
      <c r="AE30" s="1"/>
    </row>
    <row r="31" spans="1:31" x14ac:dyDescent="0.25">
      <c r="A31" s="3"/>
      <c r="B31" s="25">
        <v>43496</v>
      </c>
      <c r="C31" s="10" t="s">
        <v>684</v>
      </c>
      <c r="D31" s="1">
        <v>61.7</v>
      </c>
      <c r="E31" s="30">
        <v>10000</v>
      </c>
      <c r="F31" s="1">
        <v>56</v>
      </c>
      <c r="G31" s="1">
        <v>0.4</v>
      </c>
      <c r="H31" s="1">
        <v>54</v>
      </c>
      <c r="I31" s="1">
        <v>0.2</v>
      </c>
      <c r="J31" s="1">
        <v>90000</v>
      </c>
      <c r="K31" s="1">
        <v>40000</v>
      </c>
      <c r="L31" s="1">
        <v>0.2</v>
      </c>
      <c r="M31" s="1">
        <v>0.25</v>
      </c>
      <c r="N31" s="1">
        <v>30000</v>
      </c>
      <c r="O31" s="9"/>
      <c r="P31" s="7">
        <f t="shared" si="0"/>
        <v>0.1</v>
      </c>
      <c r="Q31" s="7">
        <f t="shared" ca="1" si="1"/>
        <v>-2.2675736961451248E-4</v>
      </c>
      <c r="R31" s="33">
        <f t="shared" si="2"/>
        <v>2000</v>
      </c>
      <c r="S31" s="33">
        <f t="shared" si="3"/>
        <v>-18000</v>
      </c>
      <c r="T31" s="33">
        <f t="shared" si="4"/>
        <v>2000</v>
      </c>
      <c r="U31" s="7">
        <f t="shared" si="5"/>
        <v>0.1111111111111111</v>
      </c>
      <c r="V31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sh.symbol='IDBI'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1" s="33" t="e">
        <f t="shared" ca="1" si="7"/>
        <v>#VALUE!</v>
      </c>
      <c r="X31" s="7" t="e">
        <f t="shared" ca="1" si="8"/>
        <v>#VALUE!</v>
      </c>
      <c r="Y31" s="7" t="e">
        <f t="shared" ca="1" si="9"/>
        <v>#VALUE!</v>
      </c>
      <c r="Z31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sh.symbol='IDBI'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1" s="33" t="e">
        <f t="shared" ca="1" si="11"/>
        <v>#VALUE!</v>
      </c>
      <c r="AB31" s="7" t="e">
        <f t="shared" ca="1" si="12"/>
        <v>#VALUE!</v>
      </c>
      <c r="AC31" s="7" t="e">
        <f t="shared" ca="1" si="13"/>
        <v>#VALUE!</v>
      </c>
      <c r="AD31" s="1"/>
      <c r="AE31" s="1"/>
    </row>
    <row r="32" spans="1:31" x14ac:dyDescent="0.25">
      <c r="A32" s="3"/>
      <c r="B32" s="25">
        <v>43496</v>
      </c>
      <c r="C32" s="10" t="s">
        <v>539</v>
      </c>
      <c r="D32" s="1">
        <v>665.1</v>
      </c>
      <c r="E32" s="30">
        <v>1000</v>
      </c>
      <c r="F32" s="1">
        <v>610</v>
      </c>
      <c r="G32" s="1">
        <v>3.7</v>
      </c>
      <c r="H32" s="1">
        <v>620</v>
      </c>
      <c r="I32" s="1">
        <v>2.5499999999999998</v>
      </c>
      <c r="J32" s="1">
        <v>21000</v>
      </c>
      <c r="K32" s="1">
        <v>9000</v>
      </c>
      <c r="L32" s="1">
        <v>0.55000000000000004</v>
      </c>
      <c r="M32" s="1">
        <v>2.85</v>
      </c>
      <c r="N32" s="1">
        <v>8000</v>
      </c>
      <c r="O32" s="9"/>
      <c r="P32" s="7">
        <f t="shared" si="0"/>
        <v>-0.11500000000000003</v>
      </c>
      <c r="Q32" s="7">
        <f t="shared" ca="1" si="1"/>
        <v>2.6077097505668943E-4</v>
      </c>
      <c r="R32" s="33">
        <f t="shared" si="2"/>
        <v>1150.0000000000005</v>
      </c>
      <c r="S32" s="33">
        <f t="shared" si="3"/>
        <v>11150</v>
      </c>
      <c r="T32" s="33">
        <f t="shared" si="4"/>
        <v>1150.0000000000005</v>
      </c>
      <c r="U32" s="7">
        <f t="shared" si="5"/>
        <v>0.10313901345291483</v>
      </c>
      <c r="V32" s="7" t="str">
        <f t="shared" ca="1" si="6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sh.symbol='GLENMARK'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2" s="33" t="e">
        <f t="shared" ca="1" si="7"/>
        <v>#VALUE!</v>
      </c>
      <c r="X32" s="7" t="e">
        <f t="shared" ca="1" si="8"/>
        <v>#VALUE!</v>
      </c>
      <c r="Y32" s="7" t="e">
        <f t="shared" ca="1" si="9"/>
        <v>#VALUE!</v>
      </c>
      <c r="Z32" s="7" t="str">
        <f t="shared" ca="1" si="10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sh.symbol='GLENMARK'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2" s="33" t="e">
        <f t="shared" ca="1" si="11"/>
        <v>#VALUE!</v>
      </c>
      <c r="AB32" s="7" t="e">
        <f t="shared" ca="1" si="12"/>
        <v>#VALUE!</v>
      </c>
      <c r="AC32" s="7" t="e">
        <f t="shared" ca="1" si="13"/>
        <v>#VALUE!</v>
      </c>
      <c r="AD32" s="1"/>
      <c r="AE32" s="1"/>
    </row>
    <row r="33" spans="1:31" x14ac:dyDescent="0.25">
      <c r="A33" s="3"/>
      <c r="B33" s="25"/>
      <c r="C33" s="10"/>
      <c r="D33" s="1"/>
      <c r="E33" s="30"/>
      <c r="F33" s="1"/>
      <c r="G33" s="1"/>
      <c r="H33" s="1"/>
      <c r="I33" s="1"/>
      <c r="J33" s="1"/>
      <c r="K33" s="1"/>
      <c r="L33" s="1"/>
      <c r="M33" s="1"/>
      <c r="N33" s="1"/>
      <c r="O33" s="9"/>
      <c r="P33" s="7"/>
      <c r="Q33" s="7"/>
      <c r="R33" s="33"/>
      <c r="S33" s="33"/>
      <c r="T33" s="33"/>
      <c r="U33" s="7"/>
      <c r="V33" s="7"/>
      <c r="W33" s="33"/>
      <c r="X33" s="7"/>
      <c r="Y33" s="7"/>
      <c r="Z33" s="7"/>
      <c r="AA33" s="33"/>
      <c r="AB33" s="7"/>
      <c r="AC33" s="7"/>
      <c r="AD33" s="1"/>
      <c r="AE33" s="1"/>
    </row>
    <row r="34" spans="1:31" x14ac:dyDescent="0.25">
      <c r="A34" s="3"/>
      <c r="B34" s="25"/>
      <c r="C34" s="10"/>
      <c r="D34" s="1"/>
      <c r="E34" s="30"/>
      <c r="F34" s="1"/>
      <c r="G34" s="1"/>
      <c r="H34" s="1"/>
      <c r="I34" s="1"/>
      <c r="J34" s="1"/>
      <c r="K34" s="1"/>
      <c r="L34" s="1"/>
      <c r="M34" s="1"/>
      <c r="N34" s="1"/>
      <c r="O34" s="9"/>
      <c r="P34" s="7"/>
      <c r="Q34" s="7"/>
      <c r="R34" s="33"/>
      <c r="S34" s="33"/>
      <c r="T34" s="33"/>
      <c r="U34" s="7"/>
      <c r="V34" s="7"/>
      <c r="W34" s="33"/>
      <c r="X34" s="7"/>
      <c r="Y34" s="7"/>
      <c r="Z34" s="7"/>
      <c r="AA34" s="33"/>
      <c r="AB34" s="7"/>
      <c r="AC34" s="7"/>
      <c r="AD34" s="1"/>
      <c r="AE34" s="1"/>
    </row>
    <row r="35" spans="1:31" x14ac:dyDescent="0.25">
      <c r="A35" s="3"/>
      <c r="B35" s="25"/>
      <c r="C35" s="10"/>
      <c r="D35" s="1"/>
      <c r="E35" s="30"/>
      <c r="F35" s="1"/>
      <c r="G35" s="1"/>
      <c r="H35" s="1"/>
      <c r="I35" s="1"/>
      <c r="J35" s="1"/>
      <c r="K35" s="1"/>
      <c r="L35" s="1"/>
      <c r="M35" s="1"/>
      <c r="N35" s="1"/>
      <c r="O35" s="9"/>
      <c r="P35" s="7"/>
      <c r="Q35" s="7"/>
      <c r="R35" s="33"/>
      <c r="S35" s="33"/>
      <c r="T35" s="33"/>
      <c r="U35" s="7"/>
      <c r="V35" s="7"/>
      <c r="W35" s="33"/>
      <c r="X35" s="7"/>
      <c r="Y35" s="7"/>
      <c r="Z35" s="7"/>
      <c r="AA35" s="33"/>
      <c r="AB35" s="7"/>
      <c r="AC35" s="7"/>
      <c r="AD35" s="1"/>
      <c r="AE35" s="1"/>
    </row>
    <row r="36" spans="1:31" x14ac:dyDescent="0.25">
      <c r="A36" s="3"/>
      <c r="B36" s="25"/>
      <c r="C36" s="10"/>
      <c r="D36" s="1"/>
      <c r="E36" s="30"/>
      <c r="F36" s="1"/>
      <c r="G36" s="1"/>
      <c r="H36" s="1"/>
      <c r="I36" s="1"/>
      <c r="J36" s="1"/>
      <c r="K36" s="1"/>
      <c r="L36" s="1"/>
      <c r="M36" s="1"/>
      <c r="N36" s="1"/>
      <c r="O36" s="9"/>
      <c r="P36" s="7"/>
      <c r="Q36" s="7"/>
      <c r="R36" s="33"/>
      <c r="S36" s="33"/>
      <c r="T36" s="33"/>
      <c r="U36" s="7"/>
      <c r="V36" s="7"/>
      <c r="W36" s="33"/>
      <c r="X36" s="7"/>
      <c r="Y36" s="7"/>
      <c r="Z36" s="7"/>
      <c r="AA36" s="33"/>
      <c r="AB36" s="7"/>
      <c r="AC36" s="7"/>
      <c r="AD36" s="1"/>
      <c r="AE36" s="1"/>
    </row>
    <row r="37" spans="1:31" x14ac:dyDescent="0.25">
      <c r="A37" s="3"/>
      <c r="B37" s="25"/>
      <c r="C37" s="10"/>
      <c r="D37" s="1"/>
      <c r="E37" s="30"/>
      <c r="F37" s="1"/>
      <c r="G37" s="1"/>
      <c r="H37" s="1"/>
      <c r="I37" s="1"/>
      <c r="J37" s="1"/>
      <c r="K37" s="1"/>
      <c r="L37" s="1"/>
      <c r="M37" s="1"/>
      <c r="N37" s="1"/>
      <c r="O37" s="9"/>
      <c r="P37" s="7"/>
      <c r="Q37" s="7"/>
      <c r="R37" s="33"/>
      <c r="S37" s="33"/>
      <c r="T37" s="33"/>
      <c r="U37" s="7"/>
      <c r="V37" s="7"/>
      <c r="W37" s="33"/>
      <c r="X37" s="7"/>
      <c r="Y37" s="7"/>
      <c r="Z37" s="7"/>
      <c r="AA37" s="33"/>
      <c r="AB37" s="7"/>
      <c r="AC37" s="7"/>
      <c r="AD37" s="1"/>
      <c r="AE37" s="1"/>
    </row>
    <row r="38" spans="1:31" x14ac:dyDescent="0.25">
      <c r="A38" s="3"/>
      <c r="B38" s="25"/>
      <c r="C38" s="10"/>
      <c r="D38" s="1"/>
      <c r="E38" s="30"/>
      <c r="F38" s="1"/>
      <c r="G38" s="1"/>
      <c r="H38" s="1"/>
      <c r="I38" s="1"/>
      <c r="J38" s="1"/>
      <c r="K38" s="1"/>
      <c r="L38" s="1"/>
      <c r="M38" s="1"/>
      <c r="N38" s="1"/>
      <c r="O38" s="9"/>
      <c r="P38" s="7"/>
      <c r="Q38" s="7"/>
      <c r="R38" s="33"/>
      <c r="S38" s="33"/>
      <c r="T38" s="33"/>
      <c r="U38" s="7"/>
      <c r="V38" s="7"/>
      <c r="W38" s="33"/>
      <c r="X38" s="7"/>
      <c r="Y38" s="7"/>
      <c r="Z38" s="7"/>
      <c r="AA38" s="33"/>
      <c r="AB38" s="7"/>
      <c r="AC38" s="7"/>
      <c r="AD38" s="1"/>
      <c r="AE38" s="1"/>
    </row>
    <row r="39" spans="1:31" x14ac:dyDescent="0.25">
      <c r="A39" s="3"/>
      <c r="B39" s="25"/>
      <c r="C39" s="10"/>
      <c r="D39" s="1"/>
      <c r="E39" s="30"/>
      <c r="F39" s="1"/>
      <c r="G39" s="1"/>
      <c r="H39" s="1"/>
      <c r="I39" s="1"/>
      <c r="J39" s="1"/>
      <c r="K39" s="1"/>
      <c r="L39" s="1"/>
      <c r="M39" s="1"/>
      <c r="N39" s="1"/>
      <c r="O39" s="9"/>
      <c r="P39" s="7"/>
      <c r="Q39" s="7"/>
      <c r="R39" s="33"/>
      <c r="S39" s="33"/>
      <c r="T39" s="33"/>
      <c r="U39" s="7"/>
      <c r="V39" s="7"/>
      <c r="W39" s="33"/>
      <c r="X39" s="7"/>
      <c r="Y39" s="7"/>
      <c r="Z39" s="7"/>
      <c r="AA39" s="33"/>
      <c r="AB39" s="7"/>
      <c r="AC39" s="7"/>
      <c r="AD39" s="1"/>
      <c r="AE39" s="1"/>
    </row>
    <row r="40" spans="1:31" x14ac:dyDescent="0.25">
      <c r="A40" s="3"/>
      <c r="B40" s="25"/>
      <c r="C40" s="10"/>
      <c r="D40" s="1"/>
      <c r="E40" s="30"/>
      <c r="F40" s="1"/>
      <c r="G40" s="1"/>
      <c r="H40" s="1"/>
      <c r="I40" s="1"/>
      <c r="J40" s="1"/>
      <c r="K40" s="1"/>
      <c r="L40" s="1"/>
      <c r="M40" s="1"/>
      <c r="N40" s="1"/>
      <c r="O40" s="9"/>
      <c r="P40" s="7"/>
      <c r="Q40" s="7"/>
      <c r="R40" s="33"/>
      <c r="S40" s="33"/>
      <c r="T40" s="33"/>
      <c r="U40" s="7"/>
      <c r="V40" s="7"/>
      <c r="W40" s="33"/>
      <c r="X40" s="7"/>
      <c r="Y40" s="7"/>
      <c r="Z40" s="7"/>
      <c r="AA40" s="33"/>
      <c r="AB40" s="7"/>
      <c r="AC40" s="7"/>
      <c r="AD40" s="1"/>
      <c r="AE40" s="1"/>
    </row>
    <row r="41" spans="1:31" x14ac:dyDescent="0.25">
      <c r="A41" s="3"/>
      <c r="B41" s="25"/>
      <c r="C41" s="10"/>
      <c r="D41" s="1"/>
      <c r="E41" s="30"/>
      <c r="F41" s="1"/>
      <c r="G41" s="1"/>
      <c r="H41" s="1"/>
      <c r="I41" s="1"/>
      <c r="J41" s="1"/>
      <c r="K41" s="1"/>
      <c r="L41" s="1"/>
      <c r="M41" s="1"/>
      <c r="N41" s="1"/>
      <c r="O41" s="9"/>
      <c r="P41" s="7"/>
      <c r="Q41" s="7"/>
      <c r="R41" s="33"/>
      <c r="S41" s="33"/>
      <c r="T41" s="33"/>
      <c r="U41" s="7"/>
      <c r="V41" s="7"/>
      <c r="W41" s="33"/>
      <c r="X41" s="7"/>
      <c r="Y41" s="7"/>
      <c r="Z41" s="7"/>
      <c r="AA41" s="33"/>
      <c r="AB41" s="7"/>
      <c r="AC41" s="7"/>
      <c r="AD41" s="1"/>
      <c r="AE41" s="1"/>
    </row>
    <row r="42" spans="1:31" x14ac:dyDescent="0.25">
      <c r="A42" s="3"/>
      <c r="B42" s="25"/>
      <c r="C42" s="10"/>
      <c r="D42" s="1"/>
      <c r="E42" s="30"/>
      <c r="F42" s="1"/>
      <c r="G42" s="1"/>
      <c r="H42" s="1"/>
      <c r="I42" s="1"/>
      <c r="J42" s="1"/>
      <c r="K42" s="1"/>
      <c r="L42" s="1"/>
      <c r="M42" s="1"/>
      <c r="N42" s="1"/>
      <c r="O42" s="9"/>
      <c r="P42" s="7"/>
      <c r="Q42" s="7"/>
      <c r="R42" s="33"/>
      <c r="S42" s="33"/>
      <c r="T42" s="33"/>
      <c r="U42" s="7"/>
      <c r="V42" s="7"/>
      <c r="W42" s="33"/>
      <c r="X42" s="7"/>
      <c r="Y42" s="7"/>
      <c r="Z42" s="7"/>
      <c r="AA42" s="33"/>
      <c r="AB42" s="7"/>
      <c r="AC42" s="7"/>
      <c r="AD42" s="1"/>
      <c r="AE42" s="1"/>
    </row>
    <row r="43" spans="1:31" x14ac:dyDescent="0.25">
      <c r="A43" s="3"/>
      <c r="B43" s="25"/>
      <c r="C43" s="10"/>
      <c r="D43" s="1"/>
      <c r="E43" s="30"/>
      <c r="F43" s="1"/>
      <c r="G43" s="1"/>
      <c r="H43" s="1"/>
      <c r="I43" s="1"/>
      <c r="J43" s="1"/>
      <c r="K43" s="1"/>
      <c r="L43" s="1"/>
      <c r="M43" s="1"/>
      <c r="N43" s="1"/>
      <c r="O43" s="9"/>
      <c r="P43" s="7"/>
      <c r="Q43" s="7"/>
      <c r="R43" s="33"/>
      <c r="S43" s="33"/>
      <c r="T43" s="33"/>
      <c r="U43" s="7"/>
      <c r="V43" s="7"/>
      <c r="W43" s="33"/>
      <c r="X43" s="7"/>
      <c r="Y43" s="7"/>
      <c r="Z43" s="7"/>
      <c r="AA43" s="33"/>
      <c r="AB43" s="7"/>
      <c r="AC43" s="7"/>
      <c r="AD43" s="1"/>
      <c r="AE43" s="1"/>
    </row>
    <row r="44" spans="1:31" x14ac:dyDescent="0.25">
      <c r="A44" s="3"/>
      <c r="B44" s="25"/>
      <c r="C44" s="10"/>
      <c r="D44" s="1"/>
      <c r="E44" s="30"/>
      <c r="F44" s="1"/>
      <c r="G44" s="1"/>
      <c r="H44" s="1"/>
      <c r="I44" s="1"/>
      <c r="J44" s="1"/>
      <c r="K44" s="1"/>
      <c r="L44" s="1"/>
      <c r="M44" s="1"/>
      <c r="N44" s="1"/>
      <c r="O44" s="9"/>
      <c r="P44" s="7"/>
      <c r="Q44" s="7"/>
      <c r="R44" s="33"/>
      <c r="S44" s="33"/>
      <c r="T44" s="33"/>
      <c r="U44" s="7"/>
      <c r="V44" s="7"/>
      <c r="W44" s="33"/>
      <c r="X44" s="7"/>
      <c r="Y44" s="7"/>
      <c r="Z44" s="7"/>
      <c r="AA44" s="33"/>
      <c r="AB44" s="7"/>
      <c r="AC44" s="7"/>
      <c r="AD44" s="1"/>
      <c r="AE44" s="1"/>
    </row>
    <row r="45" spans="1:31" x14ac:dyDescent="0.25">
      <c r="A45" s="3"/>
      <c r="B45" s="25"/>
      <c r="C45" s="10"/>
      <c r="D45" s="1"/>
      <c r="E45" s="30"/>
      <c r="F45" s="1"/>
      <c r="G45" s="1"/>
      <c r="H45" s="1"/>
      <c r="I45" s="1"/>
      <c r="J45" s="1"/>
      <c r="K45" s="1"/>
      <c r="L45" s="1"/>
      <c r="M45" s="1"/>
      <c r="N45" s="1"/>
      <c r="O45" s="9"/>
      <c r="P45" s="7"/>
      <c r="Q45" s="7"/>
      <c r="R45" s="33"/>
      <c r="S45" s="33"/>
      <c r="T45" s="33"/>
      <c r="U45" s="7"/>
      <c r="V45" s="7"/>
      <c r="W45" s="33"/>
      <c r="X45" s="7"/>
      <c r="Y45" s="7"/>
      <c r="Z45" s="7"/>
      <c r="AA45" s="33"/>
      <c r="AB45" s="7"/>
      <c r="AC45" s="7"/>
      <c r="AD45" s="1"/>
      <c r="AE45" s="1"/>
    </row>
    <row r="46" spans="1:31" x14ac:dyDescent="0.25">
      <c r="A46" s="3"/>
      <c r="B46" s="25"/>
      <c r="C46" s="10"/>
      <c r="D46" s="1"/>
      <c r="E46" s="30"/>
      <c r="F46" s="1"/>
      <c r="G46" s="1"/>
      <c r="H46" s="1"/>
      <c r="I46" s="1"/>
      <c r="J46" s="1"/>
      <c r="K46" s="1"/>
      <c r="L46" s="1"/>
      <c r="M46" s="1"/>
      <c r="N46" s="1"/>
      <c r="O46" s="9"/>
      <c r="P46" s="7"/>
      <c r="Q46" s="7"/>
      <c r="R46" s="33"/>
      <c r="S46" s="33"/>
      <c r="T46" s="33"/>
      <c r="U46" s="7"/>
      <c r="V46" s="7"/>
      <c r="W46" s="33"/>
      <c r="X46" s="7"/>
      <c r="Y46" s="7"/>
      <c r="Z46" s="7"/>
      <c r="AA46" s="33"/>
      <c r="AB46" s="7"/>
      <c r="AC46" s="7"/>
      <c r="AD46" s="1"/>
      <c r="AE46" s="1"/>
    </row>
    <row r="47" spans="1:31" x14ac:dyDescent="0.25">
      <c r="A47" s="3"/>
      <c r="B47" s="25"/>
      <c r="C47" s="10"/>
      <c r="D47" s="1"/>
      <c r="E47" s="30"/>
      <c r="F47" s="1"/>
      <c r="G47" s="1"/>
      <c r="H47" s="1"/>
      <c r="I47" s="1"/>
      <c r="J47" s="1"/>
      <c r="K47" s="1"/>
      <c r="L47" s="1"/>
      <c r="M47" s="1"/>
      <c r="N47" s="1"/>
      <c r="O47" s="9"/>
      <c r="P47" s="7"/>
      <c r="Q47" s="7"/>
      <c r="R47" s="33"/>
      <c r="S47" s="33"/>
      <c r="T47" s="33"/>
      <c r="U47" s="7"/>
      <c r="V47" s="7"/>
      <c r="W47" s="33"/>
      <c r="X47" s="7"/>
      <c r="Y47" s="7"/>
      <c r="Z47" s="7"/>
      <c r="AA47" s="33"/>
      <c r="AB47" s="7"/>
      <c r="AC47" s="7"/>
      <c r="AD47" s="1"/>
      <c r="AE47" s="1"/>
    </row>
    <row r="48" spans="1:31" x14ac:dyDescent="0.25">
      <c r="A48" s="3"/>
      <c r="B48" s="25"/>
      <c r="C48" s="10"/>
      <c r="D48" s="1"/>
      <c r="E48" s="30"/>
      <c r="F48" s="1"/>
      <c r="G48" s="1"/>
      <c r="H48" s="1"/>
      <c r="I48" s="1"/>
      <c r="J48" s="1"/>
      <c r="K48" s="1"/>
      <c r="L48" s="1"/>
      <c r="M48" s="1"/>
      <c r="N48" s="1"/>
      <c r="O48" s="9"/>
      <c r="P48" s="7"/>
      <c r="Q48" s="7"/>
      <c r="R48" s="33"/>
      <c r="S48" s="33"/>
      <c r="T48" s="33"/>
      <c r="U48" s="7"/>
      <c r="V48" s="7"/>
      <c r="W48" s="33"/>
      <c r="X48" s="7"/>
      <c r="Y48" s="7"/>
      <c r="Z48" s="7"/>
      <c r="AA48" s="33"/>
      <c r="AB48" s="7"/>
      <c r="AC48" s="7"/>
      <c r="AD48" s="1"/>
      <c r="AE48" s="1"/>
    </row>
    <row r="49" spans="1:31" x14ac:dyDescent="0.25">
      <c r="A49" s="3"/>
      <c r="B49" s="25"/>
      <c r="C49" s="10"/>
      <c r="D49" s="1"/>
      <c r="E49" s="30"/>
      <c r="F49" s="1"/>
      <c r="G49" s="1"/>
      <c r="H49" s="1"/>
      <c r="I49" s="1"/>
      <c r="J49" s="1"/>
      <c r="K49" s="1"/>
      <c r="L49" s="1"/>
      <c r="M49" s="1"/>
      <c r="N49" s="1"/>
      <c r="O49" s="9"/>
      <c r="P49" s="7"/>
      <c r="Q49" s="7"/>
      <c r="R49" s="33"/>
      <c r="S49" s="33"/>
      <c r="T49" s="33"/>
      <c r="U49" s="7"/>
      <c r="V49" s="7"/>
      <c r="W49" s="33"/>
      <c r="X49" s="7"/>
      <c r="Y49" s="7"/>
      <c r="Z49" s="7"/>
      <c r="AA49" s="33"/>
      <c r="AB49" s="7"/>
      <c r="AC49" s="7"/>
      <c r="AD49" s="1"/>
      <c r="AE49" s="1"/>
    </row>
    <row r="50" spans="1:31" x14ac:dyDescent="0.25">
      <c r="A50" s="3"/>
      <c r="B50" s="25"/>
      <c r="C50" s="10"/>
      <c r="D50" s="1"/>
      <c r="E50" s="30"/>
      <c r="F50" s="1"/>
      <c r="G50" s="1"/>
      <c r="H50" s="1"/>
      <c r="I50" s="1"/>
      <c r="J50" s="1"/>
      <c r="K50" s="1"/>
      <c r="L50" s="1"/>
      <c r="M50" s="1"/>
      <c r="N50" s="1"/>
      <c r="O50" s="9"/>
      <c r="P50" s="7"/>
      <c r="Q50" s="7"/>
      <c r="R50" s="33"/>
      <c r="S50" s="33"/>
      <c r="T50" s="33"/>
      <c r="U50" s="7"/>
      <c r="V50" s="7"/>
      <c r="W50" s="33"/>
      <c r="X50" s="7"/>
      <c r="Y50" s="7"/>
      <c r="Z50" s="7"/>
      <c r="AA50" s="33"/>
      <c r="AB50" s="7"/>
      <c r="AC50" s="7"/>
      <c r="AD50" s="1"/>
      <c r="AE50" s="1"/>
    </row>
    <row r="51" spans="1:31" x14ac:dyDescent="0.25">
      <c r="A51" s="3"/>
      <c r="B51" s="25"/>
      <c r="C51" s="10"/>
      <c r="D51" s="1"/>
      <c r="E51" s="30"/>
      <c r="F51" s="1"/>
      <c r="G51" s="1"/>
      <c r="H51" s="1"/>
      <c r="I51" s="1"/>
      <c r="J51" s="1"/>
      <c r="K51" s="1"/>
      <c r="L51" s="1"/>
      <c r="M51" s="1"/>
      <c r="N51" s="1"/>
      <c r="O51" s="9"/>
      <c r="P51" s="7"/>
      <c r="Q51" s="7"/>
      <c r="R51" s="33"/>
      <c r="S51" s="33"/>
      <c r="T51" s="33"/>
      <c r="U51" s="7"/>
      <c r="V51" s="7"/>
      <c r="W51" s="33"/>
      <c r="X51" s="7"/>
      <c r="Y51" s="7"/>
      <c r="Z51" s="7"/>
      <c r="AA51" s="33"/>
      <c r="AB51" s="7"/>
      <c r="AC51" s="7"/>
      <c r="AD51" s="1"/>
      <c r="AE51" s="1"/>
    </row>
    <row r="52" spans="1:31" x14ac:dyDescent="0.25">
      <c r="A52" s="3"/>
      <c r="B52" s="25"/>
      <c r="C52" s="10"/>
      <c r="D52" s="1"/>
      <c r="E52" s="30"/>
      <c r="F52" s="1"/>
      <c r="G52" s="1"/>
      <c r="H52" s="1"/>
      <c r="I52" s="1"/>
      <c r="J52" s="1"/>
      <c r="K52" s="1"/>
      <c r="L52" s="1"/>
      <c r="M52" s="1"/>
      <c r="N52" s="1"/>
      <c r="O52" s="9"/>
      <c r="P52" s="7"/>
      <c r="Q52" s="7"/>
      <c r="R52" s="33"/>
      <c r="S52" s="33"/>
      <c r="T52" s="33"/>
      <c r="U52" s="7"/>
      <c r="V52" s="7"/>
      <c r="W52" s="33"/>
      <c r="X52" s="7"/>
      <c r="Y52" s="7"/>
      <c r="Z52" s="7"/>
      <c r="AA52" s="33"/>
      <c r="AB52" s="7"/>
      <c r="AC52" s="7"/>
      <c r="AD52" s="1"/>
      <c r="AE52" s="1"/>
    </row>
    <row r="53" spans="1:31" x14ac:dyDescent="0.25">
      <c r="A53" s="3"/>
      <c r="B53" s="25"/>
      <c r="C53" s="10"/>
      <c r="D53" s="1"/>
      <c r="E53" s="30"/>
      <c r="F53" s="1"/>
      <c r="G53" s="1"/>
      <c r="H53" s="1"/>
      <c r="I53" s="1"/>
      <c r="J53" s="1"/>
      <c r="K53" s="1"/>
      <c r="L53" s="1"/>
      <c r="M53" s="1"/>
      <c r="N53" s="1"/>
      <c r="O53" s="9"/>
      <c r="P53" s="7"/>
      <c r="Q53" s="7"/>
      <c r="R53" s="33"/>
      <c r="S53" s="33"/>
      <c r="T53" s="33"/>
      <c r="U53" s="7"/>
      <c r="V53" s="7"/>
      <c r="W53" s="33"/>
      <c r="X53" s="7"/>
      <c r="Y53" s="7"/>
      <c r="Z53" s="7"/>
      <c r="AA53" s="33"/>
      <c r="AB53" s="7"/>
      <c r="AC53" s="7"/>
      <c r="AD53" s="1"/>
      <c r="AE53" s="1"/>
    </row>
    <row r="54" spans="1:31" x14ac:dyDescent="0.25">
      <c r="A54" s="3"/>
      <c r="B54" s="25"/>
      <c r="C54" s="10"/>
      <c r="D54" s="1"/>
      <c r="E54" s="30"/>
      <c r="F54" s="1"/>
      <c r="G54" s="1"/>
      <c r="H54" s="1"/>
      <c r="I54" s="1"/>
      <c r="J54" s="1"/>
      <c r="K54" s="1"/>
      <c r="L54" s="1"/>
      <c r="M54" s="1"/>
      <c r="N54" s="1"/>
      <c r="O54" s="9"/>
      <c r="P54" s="7"/>
      <c r="Q54" s="7"/>
      <c r="R54" s="33"/>
      <c r="S54" s="33"/>
      <c r="T54" s="33"/>
      <c r="U54" s="7"/>
      <c r="V54" s="7"/>
      <c r="W54" s="33"/>
      <c r="X54" s="7"/>
      <c r="Y54" s="7"/>
      <c r="Z54" s="7"/>
      <c r="AA54" s="33"/>
      <c r="AB54" s="7"/>
      <c r="AC54" s="7"/>
      <c r="AD54" s="1"/>
      <c r="AE54" s="1"/>
    </row>
    <row r="55" spans="1:31" x14ac:dyDescent="0.25">
      <c r="A55" s="3"/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1"/>
      <c r="N55" s="1"/>
      <c r="O55" s="9"/>
      <c r="P55" s="7"/>
      <c r="Q55" s="7"/>
      <c r="R55" s="33"/>
      <c r="S55" s="33"/>
      <c r="T55" s="33"/>
      <c r="U55" s="7"/>
      <c r="V55" s="7"/>
      <c r="W55" s="33"/>
      <c r="X55" s="7"/>
      <c r="Y55" s="7"/>
      <c r="Z55" s="7"/>
      <c r="AA55" s="33"/>
      <c r="AB55" s="7"/>
      <c r="AC55" s="7"/>
      <c r="AD55" s="1"/>
      <c r="AE55" s="1"/>
    </row>
    <row r="56" spans="1:31" x14ac:dyDescent="0.25">
      <c r="A56" s="3"/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1"/>
      <c r="N56" s="1"/>
      <c r="O56" s="9"/>
      <c r="P56" s="7"/>
      <c r="Q56" s="7"/>
      <c r="R56" s="33"/>
      <c r="S56" s="33"/>
      <c r="T56" s="33"/>
      <c r="U56" s="7"/>
      <c r="V56" s="7"/>
      <c r="W56" s="33"/>
      <c r="X56" s="7"/>
      <c r="Y56" s="7"/>
      <c r="Z56" s="7"/>
      <c r="AA56" s="33"/>
      <c r="AB56" s="7"/>
      <c r="AC56" s="7"/>
      <c r="AD56" s="1"/>
      <c r="AE56" s="1"/>
    </row>
    <row r="57" spans="1:31" x14ac:dyDescent="0.25">
      <c r="A57" s="3"/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1"/>
      <c r="N57" s="1"/>
      <c r="O57" s="41"/>
      <c r="P57" s="7"/>
      <c r="Q57" s="7"/>
      <c r="R57" s="33"/>
      <c r="S57" s="33"/>
      <c r="T57" s="33"/>
      <c r="U57" s="7"/>
      <c r="V57" s="7"/>
      <c r="W57" s="33"/>
      <c r="X57" s="7"/>
      <c r="Y57" s="7"/>
      <c r="Z57" s="7"/>
      <c r="AA57" s="33"/>
      <c r="AB57" s="7"/>
      <c r="AC57" s="7"/>
      <c r="AD57" s="1"/>
      <c r="AE57" s="1"/>
    </row>
    <row r="58" spans="1:31" x14ac:dyDescent="0.25">
      <c r="A58" s="3"/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1"/>
      <c r="N58" s="1"/>
      <c r="O58" s="9"/>
      <c r="P58" s="7"/>
      <c r="Q58" s="7"/>
      <c r="R58" s="33"/>
      <c r="S58" s="33"/>
      <c r="T58" s="33"/>
      <c r="U58" s="7"/>
      <c r="V58" s="7"/>
      <c r="W58" s="33"/>
      <c r="X58" s="7"/>
      <c r="Y58" s="7"/>
      <c r="Z58" s="7"/>
      <c r="AA58" s="33"/>
      <c r="AB58" s="7"/>
      <c r="AC58" s="7"/>
      <c r="AD58" s="1"/>
      <c r="AE58" s="1"/>
    </row>
    <row r="59" spans="1:31" x14ac:dyDescent="0.25">
      <c r="A59" s="3"/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1"/>
      <c r="N59" s="1"/>
      <c r="O59" s="9"/>
      <c r="P59" s="7"/>
      <c r="Q59" s="7"/>
      <c r="R59" s="33"/>
      <c r="S59" s="33"/>
      <c r="T59" s="33"/>
      <c r="U59" s="7"/>
      <c r="V59" s="7"/>
      <c r="W59" s="33"/>
      <c r="X59" s="7"/>
      <c r="Y59" s="7"/>
      <c r="Z59" s="7"/>
      <c r="AA59" s="33"/>
      <c r="AB59" s="7"/>
      <c r="AC59" s="7"/>
      <c r="AD59" s="1"/>
      <c r="AE59" s="1"/>
    </row>
    <row r="60" spans="1:31" x14ac:dyDescent="0.25">
      <c r="A60" s="3"/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1"/>
      <c r="N60" s="1"/>
      <c r="O60" s="9"/>
      <c r="P60" s="7"/>
      <c r="Q60" s="7"/>
      <c r="R60" s="33"/>
      <c r="S60" s="33"/>
      <c r="T60" s="33"/>
      <c r="U60" s="7"/>
      <c r="V60" s="7"/>
      <c r="W60" s="33"/>
      <c r="X60" s="7"/>
      <c r="Y60" s="7"/>
      <c r="Z60" s="7"/>
      <c r="AA60" s="33"/>
      <c r="AB60" s="7"/>
      <c r="AC60" s="7"/>
      <c r="AD60" s="1"/>
      <c r="AE60" s="1"/>
    </row>
    <row r="61" spans="1:31" x14ac:dyDescent="0.25">
      <c r="A61" s="3"/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1"/>
      <c r="N61" s="1"/>
      <c r="O61" s="9"/>
      <c r="P61" s="7"/>
      <c r="Q61" s="7"/>
      <c r="R61" s="33"/>
      <c r="S61" s="33"/>
      <c r="T61" s="33"/>
      <c r="U61" s="7"/>
      <c r="V61" s="7"/>
      <c r="W61" s="33"/>
      <c r="X61" s="7"/>
      <c r="Y61" s="7"/>
      <c r="Z61" s="7"/>
      <c r="AA61" s="33"/>
      <c r="AB61" s="7"/>
      <c r="AC61" s="7"/>
      <c r="AD61" s="1"/>
      <c r="AE61" s="1"/>
    </row>
    <row r="62" spans="1:31" x14ac:dyDescent="0.25">
      <c r="A62" s="3"/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1"/>
      <c r="N62" s="1"/>
      <c r="O62" s="9"/>
      <c r="P62" s="7"/>
      <c r="Q62" s="7"/>
      <c r="R62" s="33"/>
      <c r="S62" s="33"/>
      <c r="T62" s="33"/>
      <c r="U62" s="7"/>
      <c r="V62" s="7"/>
      <c r="W62" s="33"/>
      <c r="X62" s="7"/>
      <c r="Y62" s="7"/>
      <c r="Z62" s="7"/>
      <c r="AA62" s="33"/>
      <c r="AB62" s="7"/>
      <c r="AC62" s="7"/>
      <c r="AD62" s="1"/>
      <c r="AE62" s="1"/>
    </row>
    <row r="63" spans="1:31" x14ac:dyDescent="0.25">
      <c r="A63" s="3"/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1"/>
      <c r="N63" s="1"/>
      <c r="O63" s="9"/>
      <c r="P63" s="7"/>
      <c r="Q63" s="7"/>
      <c r="R63" s="33"/>
      <c r="S63" s="33"/>
      <c r="T63" s="33"/>
      <c r="U63" s="7"/>
      <c r="V63" s="7"/>
      <c r="W63" s="33"/>
      <c r="X63" s="7"/>
      <c r="Y63" s="7"/>
      <c r="Z63" s="7"/>
      <c r="AA63" s="33"/>
      <c r="AB63" s="7"/>
      <c r="AC63" s="7"/>
      <c r="AD63" s="1"/>
      <c r="AE63" s="1"/>
    </row>
    <row r="64" spans="1:31" x14ac:dyDescent="0.25">
      <c r="A64" s="3"/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1"/>
      <c r="N64" s="1"/>
      <c r="O64" s="9"/>
      <c r="P64" s="7"/>
      <c r="Q64" s="7"/>
      <c r="R64" s="33"/>
      <c r="S64" s="33"/>
      <c r="T64" s="33"/>
      <c r="U64" s="7"/>
      <c r="V64" s="7"/>
      <c r="W64" s="33"/>
      <c r="X64" s="7"/>
      <c r="Y64" s="7"/>
      <c r="Z64" s="7"/>
      <c r="AA64" s="33"/>
      <c r="AB64" s="7"/>
      <c r="AC64" s="7"/>
      <c r="AD64" s="1"/>
      <c r="AE64" s="1"/>
    </row>
    <row r="65" spans="1:31" x14ac:dyDescent="0.25">
      <c r="A65" s="3"/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1"/>
      <c r="N65" s="1"/>
      <c r="O65" s="9"/>
      <c r="P65" s="7"/>
      <c r="Q65" s="7"/>
      <c r="R65" s="33"/>
      <c r="S65" s="33"/>
      <c r="T65" s="33"/>
      <c r="U65" s="7"/>
      <c r="V65" s="7"/>
      <c r="W65" s="33"/>
      <c r="X65" s="7"/>
      <c r="Y65" s="7"/>
      <c r="Z65" s="7"/>
      <c r="AA65" s="33"/>
      <c r="AB65" s="7"/>
      <c r="AC65" s="7"/>
      <c r="AD65" s="1"/>
      <c r="AE65" s="1"/>
    </row>
    <row r="66" spans="1:31" x14ac:dyDescent="0.25">
      <c r="A66" s="3"/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1"/>
      <c r="N66" s="1"/>
      <c r="O66" s="9"/>
      <c r="P66" s="7"/>
      <c r="Q66" s="7"/>
      <c r="R66" s="33"/>
      <c r="S66" s="33"/>
      <c r="T66" s="33"/>
      <c r="U66" s="7"/>
      <c r="V66" s="7"/>
      <c r="W66" s="33"/>
      <c r="X66" s="7"/>
      <c r="Y66" s="7"/>
      <c r="Z66" s="7"/>
      <c r="AA66" s="33"/>
      <c r="AB66" s="7"/>
      <c r="AC66" s="7"/>
      <c r="AD66" s="1"/>
      <c r="AE66" s="1"/>
    </row>
    <row r="67" spans="1:31" x14ac:dyDescent="0.25">
      <c r="A67" s="3"/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1"/>
      <c r="N67" s="1"/>
      <c r="O67" s="9"/>
      <c r="P67" s="7"/>
      <c r="Q67" s="7"/>
      <c r="R67" s="33"/>
      <c r="S67" s="33"/>
      <c r="T67" s="33"/>
      <c r="U67" s="7"/>
      <c r="V67" s="7"/>
      <c r="W67" s="33"/>
      <c r="X67" s="7"/>
      <c r="Y67" s="7"/>
      <c r="Z67" s="7"/>
      <c r="AA67" s="33"/>
      <c r="AB67" s="7"/>
      <c r="AC67" s="7"/>
      <c r="AD67" s="1"/>
      <c r="AE67" s="1"/>
    </row>
    <row r="68" spans="1:31" x14ac:dyDescent="0.25">
      <c r="A68" s="3"/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1"/>
      <c r="N68" s="1"/>
      <c r="O68" s="9"/>
      <c r="P68" s="7"/>
      <c r="Q68" s="7"/>
      <c r="R68" s="33"/>
      <c r="S68" s="33"/>
      <c r="T68" s="33"/>
      <c r="U68" s="7"/>
      <c r="V68" s="7"/>
      <c r="W68" s="33"/>
      <c r="X68" s="7"/>
      <c r="Y68" s="7"/>
      <c r="Z68" s="7"/>
      <c r="AA68" s="33"/>
      <c r="AB68" s="7"/>
      <c r="AC68" s="7"/>
      <c r="AD68" s="1"/>
      <c r="AE68" s="1"/>
    </row>
    <row r="69" spans="1:31" x14ac:dyDescent="0.25">
      <c r="A69" s="3"/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1"/>
      <c r="N69" s="1"/>
      <c r="O69" s="9"/>
      <c r="P69" s="7"/>
      <c r="Q69" s="7"/>
      <c r="R69" s="33"/>
      <c r="S69" s="33"/>
      <c r="T69" s="33"/>
      <c r="U69" s="7"/>
      <c r="V69" s="7"/>
      <c r="W69" s="33"/>
      <c r="X69" s="7"/>
      <c r="Y69" s="7"/>
      <c r="Z69" s="7"/>
      <c r="AA69" s="33"/>
      <c r="AB69" s="7"/>
      <c r="AC69" s="7"/>
      <c r="AD69" s="1"/>
      <c r="AE69" s="1"/>
    </row>
    <row r="70" spans="1:31" x14ac:dyDescent="0.25">
      <c r="A70" s="3"/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1"/>
      <c r="N70" s="1"/>
      <c r="O70" s="9"/>
      <c r="P70" s="7"/>
      <c r="Q70" s="7"/>
      <c r="R70" s="33"/>
      <c r="S70" s="33"/>
      <c r="T70" s="33"/>
      <c r="U70" s="7"/>
      <c r="V70" s="7"/>
      <c r="W70" s="33"/>
      <c r="X70" s="7"/>
      <c r="Y70" s="7"/>
      <c r="Z70" s="7"/>
      <c r="AA70" s="33"/>
      <c r="AB70" s="7"/>
      <c r="AC70" s="7"/>
      <c r="AD70" s="1"/>
      <c r="AE70" s="1"/>
    </row>
    <row r="71" spans="1:31" x14ac:dyDescent="0.25">
      <c r="A71" s="3"/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1"/>
      <c r="N71" s="1"/>
      <c r="O71" s="9"/>
      <c r="P71" s="7"/>
      <c r="Q71" s="7"/>
      <c r="R71" s="33"/>
      <c r="S71" s="33"/>
      <c r="T71" s="33"/>
      <c r="U71" s="7"/>
      <c r="V71" s="7"/>
      <c r="W71" s="33"/>
      <c r="X71" s="7"/>
      <c r="Y71" s="7"/>
      <c r="Z71" s="7"/>
      <c r="AA71" s="33"/>
      <c r="AB71" s="7"/>
      <c r="AC71" s="7"/>
      <c r="AD71" s="1"/>
      <c r="AE71" s="1"/>
    </row>
    <row r="72" spans="1:31" x14ac:dyDescent="0.25">
      <c r="A72" s="3"/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1"/>
      <c r="N72" s="1"/>
      <c r="O72" s="9"/>
      <c r="P72" s="7"/>
      <c r="Q72" s="7"/>
      <c r="R72" s="33"/>
      <c r="S72" s="33"/>
      <c r="T72" s="33"/>
      <c r="U72" s="7"/>
      <c r="V72" s="7"/>
      <c r="W72" s="33"/>
      <c r="X72" s="7"/>
      <c r="Y72" s="7"/>
      <c r="Z72" s="7"/>
      <c r="AA72" s="33"/>
      <c r="AB72" s="7"/>
      <c r="AC72" s="7"/>
      <c r="AD72" s="1"/>
      <c r="AE72" s="1"/>
    </row>
    <row r="73" spans="1:31" x14ac:dyDescent="0.25">
      <c r="A73" s="3"/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1"/>
      <c r="N73" s="1"/>
      <c r="O73" s="9"/>
      <c r="P73" s="7"/>
      <c r="Q73" s="7"/>
      <c r="R73" s="33"/>
      <c r="S73" s="33"/>
      <c r="T73" s="33"/>
      <c r="U73" s="7"/>
      <c r="V73" s="7"/>
      <c r="W73" s="33"/>
      <c r="X73" s="7"/>
      <c r="Y73" s="7"/>
      <c r="Z73" s="7"/>
      <c r="AA73" s="33"/>
      <c r="AB73" s="7"/>
      <c r="AC73" s="7"/>
      <c r="AD73" s="1"/>
      <c r="AE73" s="1"/>
    </row>
    <row r="74" spans="1:31" x14ac:dyDescent="0.25">
      <c r="A74" s="3"/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1"/>
      <c r="N74" s="1"/>
      <c r="O74" s="9"/>
      <c r="P74" s="7"/>
      <c r="Q74" s="7"/>
      <c r="R74" s="33"/>
      <c r="S74" s="33"/>
      <c r="T74" s="33"/>
      <c r="U74" s="7"/>
      <c r="V74" s="7"/>
      <c r="W74" s="33"/>
      <c r="X74" s="7"/>
      <c r="Y74" s="7"/>
      <c r="Z74" s="7"/>
      <c r="AA74" s="33"/>
      <c r="AB74" s="7"/>
      <c r="AC74" s="7"/>
      <c r="AD74" s="1"/>
      <c r="AE74" s="1"/>
    </row>
    <row r="75" spans="1:31" x14ac:dyDescent="0.25">
      <c r="A75" s="3"/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1"/>
      <c r="N75" s="1"/>
      <c r="O75" s="9"/>
      <c r="P75" s="7"/>
      <c r="Q75" s="7"/>
      <c r="R75" s="33"/>
      <c r="S75" s="33"/>
      <c r="T75" s="33"/>
      <c r="U75" s="7"/>
      <c r="V75" s="7"/>
      <c r="W75" s="33"/>
      <c r="X75" s="7"/>
      <c r="Y75" s="7"/>
      <c r="Z75" s="7"/>
      <c r="AA75" s="33"/>
      <c r="AB75" s="7"/>
      <c r="AC75" s="7"/>
      <c r="AD75" s="1"/>
      <c r="AE75" s="1"/>
    </row>
    <row r="76" spans="1:31" x14ac:dyDescent="0.25">
      <c r="A76" s="3"/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1"/>
      <c r="N76" s="1"/>
      <c r="O76" s="9"/>
      <c r="P76" s="7"/>
      <c r="Q76" s="7"/>
      <c r="R76" s="33"/>
      <c r="S76" s="33"/>
      <c r="T76" s="33"/>
      <c r="U76" s="7"/>
      <c r="V76" s="7"/>
      <c r="W76" s="33"/>
      <c r="X76" s="7"/>
      <c r="Y76" s="7"/>
      <c r="Z76" s="7"/>
      <c r="AA76" s="33"/>
      <c r="AB76" s="7"/>
      <c r="AC76" s="7"/>
      <c r="AD76" s="1"/>
      <c r="AE76" s="1"/>
    </row>
    <row r="77" spans="1:31" x14ac:dyDescent="0.25">
      <c r="A77" s="3"/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1"/>
      <c r="N77" s="1"/>
      <c r="O77" s="9"/>
      <c r="P77" s="7"/>
      <c r="Q77" s="7"/>
      <c r="R77" s="33"/>
      <c r="S77" s="33"/>
      <c r="T77" s="33"/>
      <c r="U77" s="7"/>
      <c r="V77" s="7"/>
      <c r="W77" s="33"/>
      <c r="X77" s="7"/>
      <c r="Y77" s="7"/>
      <c r="Z77" s="7"/>
      <c r="AA77" s="33"/>
      <c r="AB77" s="7"/>
      <c r="AC77" s="7"/>
      <c r="AD77" s="1"/>
      <c r="AE77" s="1"/>
    </row>
    <row r="78" spans="1:31" x14ac:dyDescent="0.25">
      <c r="A78" s="3"/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1"/>
      <c r="N78" s="1"/>
      <c r="O78" s="7"/>
      <c r="P78" s="7"/>
      <c r="Q78" s="7"/>
      <c r="R78" s="33"/>
      <c r="S78" s="33"/>
      <c r="T78" s="33"/>
      <c r="U78" s="7"/>
      <c r="V78" s="7"/>
      <c r="W78" s="33"/>
      <c r="X78" s="7"/>
      <c r="Y78" s="7"/>
      <c r="Z78" s="7"/>
      <c r="AA78" s="33"/>
      <c r="AB78" s="7"/>
      <c r="AC78" s="7"/>
      <c r="AD78" s="1"/>
      <c r="AE78" s="1"/>
    </row>
    <row r="79" spans="1:31" x14ac:dyDescent="0.25">
      <c r="A79" s="3"/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1"/>
      <c r="N79" s="1"/>
      <c r="O79" s="9"/>
      <c r="P79" s="7"/>
      <c r="Q79" s="7"/>
      <c r="R79" s="33"/>
      <c r="S79" s="33"/>
      <c r="T79" s="33"/>
      <c r="U79" s="7"/>
      <c r="V79" s="7"/>
      <c r="W79" s="33"/>
      <c r="X79" s="7"/>
      <c r="Y79" s="7"/>
      <c r="Z79" s="7"/>
      <c r="AA79" s="33"/>
      <c r="AB79" s="7"/>
      <c r="AC79" s="7"/>
      <c r="AD79" s="1"/>
      <c r="AE79" s="1"/>
    </row>
    <row r="80" spans="1:31" x14ac:dyDescent="0.25">
      <c r="A80" s="3"/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1"/>
      <c r="N80" s="1"/>
      <c r="O80" s="9"/>
      <c r="P80" s="7"/>
      <c r="Q80" s="7"/>
      <c r="R80" s="33"/>
      <c r="S80" s="33"/>
      <c r="T80" s="33"/>
      <c r="U80" s="7"/>
      <c r="V80" s="7"/>
      <c r="W80" s="33"/>
      <c r="X80" s="7"/>
      <c r="Y80" s="7"/>
      <c r="Z80" s="7"/>
      <c r="AA80" s="33"/>
      <c r="AB80" s="7"/>
      <c r="AC80" s="7"/>
      <c r="AD80" s="1"/>
      <c r="AE80" s="1"/>
    </row>
    <row r="81" spans="1:31" x14ac:dyDescent="0.25">
      <c r="A81" s="3"/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1"/>
      <c r="N81" s="1"/>
      <c r="O81" s="9"/>
      <c r="P81" s="7"/>
      <c r="Q81" s="7"/>
      <c r="R81" s="33"/>
      <c r="S81" s="33"/>
      <c r="T81" s="33"/>
      <c r="U81" s="7"/>
      <c r="V81" s="7"/>
      <c r="W81" s="33"/>
      <c r="X81" s="7"/>
      <c r="Y81" s="7"/>
      <c r="Z81" s="7"/>
      <c r="AA81" s="33"/>
      <c r="AB81" s="7"/>
      <c r="AC81" s="7"/>
      <c r="AD81" s="1"/>
      <c r="AE81" s="1"/>
    </row>
    <row r="82" spans="1:31" x14ac:dyDescent="0.25">
      <c r="A82" s="3"/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1"/>
      <c r="N82" s="1"/>
      <c r="O82" s="9"/>
      <c r="P82" s="7"/>
      <c r="Q82" s="7"/>
      <c r="R82" s="33"/>
      <c r="S82" s="33"/>
      <c r="T82" s="33"/>
      <c r="U82" s="7"/>
      <c r="V82" s="7"/>
      <c r="W82" s="33"/>
      <c r="X82" s="7"/>
      <c r="Y82" s="7"/>
      <c r="Z82" s="7"/>
      <c r="AA82" s="33"/>
      <c r="AB82" s="7"/>
      <c r="AC82" s="7"/>
      <c r="AD82" s="1"/>
      <c r="AE82" s="1"/>
    </row>
    <row r="83" spans="1:31" x14ac:dyDescent="0.25">
      <c r="A83" s="3"/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1"/>
      <c r="N83" s="1"/>
      <c r="O83" s="9"/>
      <c r="P83" s="7"/>
      <c r="Q83" s="7"/>
      <c r="R83" s="33"/>
      <c r="S83" s="33"/>
      <c r="T83" s="33"/>
      <c r="U83" s="7"/>
      <c r="V83" s="7"/>
      <c r="W83" s="33"/>
      <c r="X83" s="7"/>
      <c r="Y83" s="7"/>
      <c r="Z83" s="7"/>
      <c r="AA83" s="33"/>
      <c r="AB83" s="7"/>
      <c r="AC83" s="7"/>
      <c r="AD83" s="1"/>
      <c r="AE83" s="1"/>
    </row>
    <row r="84" spans="1:31" x14ac:dyDescent="0.25">
      <c r="A84" s="3"/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1"/>
      <c r="N84" s="1"/>
      <c r="O84" s="9"/>
      <c r="P84" s="7"/>
      <c r="Q84" s="7"/>
      <c r="R84" s="33"/>
      <c r="S84" s="33"/>
      <c r="T84" s="33"/>
      <c r="U84" s="7"/>
      <c r="V84" s="7"/>
      <c r="W84" s="33"/>
      <c r="X84" s="7"/>
      <c r="Y84" s="7"/>
      <c r="Z84" s="7"/>
      <c r="AA84" s="33"/>
      <c r="AB84" s="7"/>
      <c r="AC84" s="7"/>
      <c r="AD84" s="1"/>
      <c r="AE84" s="1"/>
    </row>
    <row r="85" spans="1:31" x14ac:dyDescent="0.25">
      <c r="A85" s="3"/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1"/>
      <c r="N85" s="1"/>
      <c r="O85" s="9"/>
      <c r="P85" s="7"/>
      <c r="Q85" s="7"/>
      <c r="R85" s="33"/>
      <c r="S85" s="33"/>
      <c r="T85" s="33"/>
      <c r="U85" s="7"/>
      <c r="V85" s="7"/>
      <c r="W85" s="33"/>
      <c r="X85" s="7"/>
      <c r="Y85" s="7"/>
      <c r="Z85" s="7"/>
      <c r="AA85" s="33"/>
      <c r="AB85" s="7"/>
      <c r="AC85" s="7"/>
      <c r="AD85" s="1"/>
      <c r="AE85" s="1"/>
    </row>
    <row r="86" spans="1:31" x14ac:dyDescent="0.25">
      <c r="A86" s="3"/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1"/>
      <c r="N86" s="1"/>
      <c r="O86" s="9"/>
      <c r="P86" s="7"/>
      <c r="Q86" s="7"/>
      <c r="R86" s="33"/>
      <c r="S86" s="33"/>
      <c r="T86" s="33"/>
      <c r="U86" s="7"/>
      <c r="V86" s="7"/>
      <c r="W86" s="33"/>
      <c r="X86" s="7"/>
      <c r="Y86" s="7"/>
      <c r="Z86" s="7"/>
      <c r="AA86" s="33"/>
      <c r="AB86" s="7"/>
      <c r="AC86" s="7"/>
      <c r="AD86" s="1"/>
      <c r="AE86" s="1"/>
    </row>
    <row r="87" spans="1:31" x14ac:dyDescent="0.25">
      <c r="A87" s="3"/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1"/>
      <c r="N87" s="1"/>
      <c r="O87" s="9"/>
      <c r="P87" s="7"/>
      <c r="Q87" s="7"/>
      <c r="R87" s="33"/>
      <c r="S87" s="33"/>
      <c r="T87" s="33"/>
      <c r="U87" s="7"/>
      <c r="V87" s="7"/>
      <c r="W87" s="33"/>
      <c r="X87" s="7"/>
      <c r="Y87" s="7"/>
      <c r="Z87" s="7"/>
      <c r="AA87" s="33"/>
      <c r="AB87" s="7"/>
      <c r="AC87" s="7"/>
      <c r="AD87" s="1"/>
      <c r="AE87" s="1"/>
    </row>
    <row r="88" spans="1:31" x14ac:dyDescent="0.25">
      <c r="A88" s="3"/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1"/>
      <c r="N88" s="1"/>
      <c r="O88" s="9"/>
      <c r="P88" s="7"/>
      <c r="Q88" s="7"/>
      <c r="R88" s="33"/>
      <c r="S88" s="33"/>
      <c r="T88" s="33"/>
      <c r="U88" s="7"/>
      <c r="V88" s="7"/>
      <c r="W88" s="33"/>
      <c r="X88" s="7"/>
      <c r="Y88" s="7"/>
      <c r="Z88" s="7"/>
      <c r="AA88" s="33"/>
      <c r="AB88" s="7"/>
      <c r="AC88" s="7"/>
      <c r="AD88" s="1"/>
      <c r="AE88" s="1"/>
    </row>
    <row r="89" spans="1:31" x14ac:dyDescent="0.25">
      <c r="A89" s="3"/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1"/>
      <c r="N89" s="1"/>
      <c r="O89" s="9"/>
      <c r="P89" s="7"/>
      <c r="Q89" s="7"/>
      <c r="R89" s="33"/>
      <c r="S89" s="33"/>
      <c r="T89" s="33"/>
      <c r="U89" s="7"/>
      <c r="V89" s="7"/>
      <c r="W89" s="33"/>
      <c r="X89" s="7"/>
      <c r="Y89" s="7"/>
      <c r="Z89" s="7"/>
      <c r="AA89" s="33"/>
      <c r="AB89" s="7"/>
      <c r="AC89" s="7"/>
      <c r="AD89" s="1"/>
      <c r="AE89" s="1"/>
    </row>
    <row r="90" spans="1:31" x14ac:dyDescent="0.25">
      <c r="A90" s="3"/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1"/>
      <c r="N90" s="1"/>
      <c r="O90" s="9"/>
      <c r="P90" s="7"/>
      <c r="Q90" s="7"/>
      <c r="R90" s="33"/>
      <c r="S90" s="33"/>
      <c r="T90" s="33"/>
      <c r="U90" s="7"/>
      <c r="V90" s="7"/>
      <c r="W90" s="33"/>
      <c r="X90" s="7"/>
      <c r="Y90" s="7"/>
      <c r="Z90" s="7"/>
      <c r="AA90" s="33"/>
      <c r="AB90" s="7"/>
      <c r="AC90" s="7"/>
      <c r="AD90" s="1"/>
      <c r="AE90" s="1"/>
    </row>
    <row r="91" spans="1:31" x14ac:dyDescent="0.25">
      <c r="A91" s="3"/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1"/>
      <c r="N91" s="1"/>
      <c r="O91" s="9"/>
      <c r="P91" s="7"/>
      <c r="Q91" s="7"/>
      <c r="R91" s="33"/>
      <c r="S91" s="33"/>
      <c r="T91" s="33"/>
      <c r="U91" s="7"/>
      <c r="V91" s="7"/>
      <c r="W91" s="33"/>
      <c r="X91" s="7"/>
      <c r="Y91" s="7"/>
      <c r="Z91" s="7"/>
      <c r="AA91" s="33"/>
      <c r="AB91" s="7"/>
      <c r="AC91" s="7"/>
      <c r="AD91" s="1"/>
      <c r="AE91" s="1"/>
    </row>
    <row r="92" spans="1:31" x14ac:dyDescent="0.25">
      <c r="A92" s="3"/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1"/>
      <c r="N92" s="1"/>
      <c r="O92" s="9"/>
      <c r="P92" s="7"/>
      <c r="Q92" s="7"/>
      <c r="R92" s="33"/>
      <c r="S92" s="33"/>
      <c r="T92" s="33"/>
      <c r="U92" s="7"/>
      <c r="V92" s="7"/>
      <c r="W92" s="33"/>
      <c r="X92" s="7"/>
      <c r="Y92" s="7"/>
      <c r="Z92" s="7"/>
      <c r="AA92" s="33"/>
      <c r="AB92" s="7"/>
      <c r="AC92" s="7"/>
      <c r="AD92" s="1"/>
      <c r="AE92" s="1"/>
    </row>
    <row r="93" spans="1:31" x14ac:dyDescent="0.25">
      <c r="A93" s="3"/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1"/>
      <c r="N93" s="1"/>
      <c r="O93" s="9"/>
      <c r="P93" s="7"/>
      <c r="Q93" s="7"/>
      <c r="R93" s="33"/>
      <c r="S93" s="33"/>
      <c r="T93" s="33"/>
      <c r="U93" s="7"/>
      <c r="V93" s="7"/>
      <c r="W93" s="33"/>
      <c r="X93" s="7"/>
      <c r="Y93" s="7"/>
      <c r="Z93" s="7"/>
      <c r="AA93" s="33"/>
      <c r="AB93" s="7"/>
      <c r="AC93" s="7"/>
      <c r="AD93" s="1"/>
      <c r="AE93" s="1"/>
    </row>
    <row r="94" spans="1:31" x14ac:dyDescent="0.25">
      <c r="A94" s="3"/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1"/>
      <c r="N94" s="1"/>
      <c r="O94" s="9"/>
      <c r="P94" s="7"/>
      <c r="Q94" s="7"/>
      <c r="R94" s="33"/>
      <c r="S94" s="33"/>
      <c r="T94" s="33"/>
      <c r="U94" s="7"/>
      <c r="V94" s="7"/>
      <c r="W94" s="33"/>
      <c r="X94" s="7"/>
      <c r="Y94" s="7"/>
      <c r="Z94" s="7"/>
      <c r="AA94" s="33"/>
      <c r="AB94" s="7"/>
      <c r="AC94" s="7"/>
      <c r="AD94" s="1"/>
      <c r="AE94" s="1"/>
    </row>
    <row r="95" spans="1:31" x14ac:dyDescent="0.25">
      <c r="A95" s="3"/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1"/>
      <c r="N95" s="1"/>
      <c r="O95" s="9"/>
      <c r="P95" s="7"/>
      <c r="Q95" s="7"/>
      <c r="R95" s="33"/>
      <c r="S95" s="33"/>
      <c r="T95" s="33"/>
      <c r="U95" s="7"/>
      <c r="V95" s="7"/>
      <c r="W95" s="33"/>
      <c r="X95" s="7"/>
      <c r="Y95" s="7"/>
      <c r="Z95" s="7"/>
      <c r="AA95" s="33"/>
      <c r="AB95" s="7"/>
      <c r="AC95" s="7"/>
      <c r="AD95" s="1"/>
      <c r="AE95" s="1"/>
    </row>
    <row r="96" spans="1:31" x14ac:dyDescent="0.25">
      <c r="A96" s="3"/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1"/>
      <c r="N96" s="1"/>
      <c r="O96" s="9"/>
      <c r="P96" s="7"/>
      <c r="Q96" s="7"/>
      <c r="R96" s="33"/>
      <c r="S96" s="33"/>
      <c r="T96" s="33"/>
      <c r="U96" s="7"/>
      <c r="V96" s="7"/>
      <c r="W96" s="33"/>
      <c r="X96" s="7"/>
      <c r="Y96" s="7"/>
      <c r="Z96" s="7"/>
      <c r="AA96" s="33"/>
      <c r="AB96" s="7"/>
      <c r="AC96" s="7"/>
      <c r="AD96" s="1"/>
      <c r="AE96" s="1"/>
    </row>
    <row r="97" spans="1:31" x14ac:dyDescent="0.25">
      <c r="A97" s="3"/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1"/>
      <c r="N97" s="1"/>
      <c r="O97" s="9"/>
      <c r="P97" s="7"/>
      <c r="Q97" s="7"/>
      <c r="R97" s="33"/>
      <c r="S97" s="33"/>
      <c r="T97" s="33"/>
      <c r="U97" s="7"/>
      <c r="V97" s="7"/>
      <c r="W97" s="33"/>
      <c r="X97" s="7"/>
      <c r="Y97" s="7"/>
      <c r="Z97" s="7"/>
      <c r="AA97" s="33"/>
      <c r="AB97" s="7"/>
      <c r="AC97" s="7"/>
      <c r="AD97" s="1"/>
      <c r="AE97" s="1"/>
    </row>
    <row r="98" spans="1:31" x14ac:dyDescent="0.25">
      <c r="A98" s="3"/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1"/>
      <c r="N98" s="1"/>
      <c r="O98" s="9"/>
      <c r="P98" s="7"/>
      <c r="Q98" s="7"/>
      <c r="R98" s="33"/>
      <c r="S98" s="33"/>
      <c r="T98" s="33"/>
      <c r="U98" s="7"/>
      <c r="V98" s="7"/>
      <c r="W98" s="33"/>
      <c r="X98" s="7"/>
      <c r="Y98" s="7"/>
      <c r="Z98" s="7"/>
      <c r="AA98" s="33"/>
      <c r="AB98" s="7"/>
      <c r="AC98" s="7"/>
      <c r="AD98" s="1"/>
      <c r="AE98" s="1"/>
    </row>
    <row r="99" spans="1:31" x14ac:dyDescent="0.25">
      <c r="A99" s="3"/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1"/>
      <c r="N99" s="1"/>
      <c r="O99" s="9"/>
      <c r="P99" s="7"/>
      <c r="Q99" s="7"/>
      <c r="R99" s="33"/>
      <c r="S99" s="33"/>
      <c r="T99" s="33"/>
      <c r="U99" s="7"/>
      <c r="V99" s="7"/>
      <c r="W99" s="33"/>
      <c r="X99" s="7"/>
      <c r="Y99" s="7"/>
      <c r="Z99" s="7"/>
      <c r="AA99" s="33"/>
      <c r="AB99" s="7"/>
      <c r="AC99" s="7"/>
      <c r="AD99" s="1"/>
      <c r="AE99" s="1"/>
    </row>
    <row r="100" spans="1:31" x14ac:dyDescent="0.25">
      <c r="A100" s="3"/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1"/>
      <c r="N100" s="1"/>
      <c r="O100" s="9"/>
      <c r="P100" s="7"/>
      <c r="Q100" s="7"/>
      <c r="R100" s="33"/>
      <c r="S100" s="33"/>
      <c r="T100" s="33"/>
      <c r="U100" s="7"/>
      <c r="V100" s="7"/>
      <c r="W100" s="33"/>
      <c r="X100" s="7"/>
      <c r="Y100" s="7"/>
      <c r="Z100" s="7"/>
      <c r="AA100" s="33"/>
      <c r="AB100" s="7"/>
      <c r="AC100" s="7"/>
      <c r="AD100" s="1"/>
      <c r="AE100" s="1"/>
    </row>
    <row r="101" spans="1:31" x14ac:dyDescent="0.25">
      <c r="A101" s="3"/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1"/>
      <c r="N101" s="1"/>
      <c r="O101" s="9"/>
      <c r="P101" s="7"/>
      <c r="Q101" s="7"/>
      <c r="R101" s="33"/>
      <c r="S101" s="33"/>
      <c r="T101" s="33"/>
      <c r="U101" s="7"/>
      <c r="V101" s="7"/>
      <c r="W101" s="33"/>
      <c r="X101" s="7"/>
      <c r="Y101" s="7"/>
      <c r="Z101" s="7"/>
      <c r="AA101" s="33"/>
      <c r="AB101" s="7"/>
      <c r="AC101" s="7"/>
      <c r="AD101" s="1"/>
      <c r="AE101" s="1"/>
    </row>
    <row r="102" spans="1:31" x14ac:dyDescent="0.25">
      <c r="A102" s="3"/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1"/>
      <c r="N102" s="1"/>
      <c r="O102" s="9"/>
      <c r="P102" s="7"/>
      <c r="Q102" s="7"/>
      <c r="R102" s="33"/>
      <c r="S102" s="33"/>
      <c r="T102" s="33"/>
      <c r="U102" s="7"/>
      <c r="V102" s="7"/>
      <c r="W102" s="33"/>
      <c r="X102" s="7"/>
      <c r="Y102" s="7"/>
      <c r="Z102" s="7"/>
      <c r="AA102" s="33"/>
      <c r="AB102" s="7"/>
      <c r="AC102" s="7"/>
      <c r="AD102" s="1"/>
      <c r="AE102" s="1"/>
    </row>
    <row r="103" spans="1:31" x14ac:dyDescent="0.25">
      <c r="A103" s="3"/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1"/>
      <c r="N103" s="1"/>
      <c r="O103" s="9"/>
      <c r="P103" s="7"/>
      <c r="Q103" s="7"/>
      <c r="R103" s="33"/>
      <c r="S103" s="33"/>
      <c r="T103" s="33"/>
      <c r="U103" s="7"/>
      <c r="V103" s="7"/>
      <c r="W103" s="33"/>
      <c r="X103" s="7"/>
      <c r="Y103" s="7"/>
      <c r="Z103" s="7"/>
      <c r="AA103" s="33"/>
      <c r="AB103" s="7"/>
      <c r="AC103" s="7"/>
      <c r="AD103" s="1"/>
      <c r="AE103" s="1"/>
    </row>
    <row r="104" spans="1:31" x14ac:dyDescent="0.25">
      <c r="A104" s="3"/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1"/>
      <c r="N104" s="1"/>
      <c r="O104" s="9"/>
      <c r="P104" s="7"/>
      <c r="Q104" s="7"/>
      <c r="R104" s="33"/>
      <c r="S104" s="33"/>
      <c r="T104" s="33"/>
      <c r="U104" s="7"/>
      <c r="V104" s="7"/>
      <c r="W104" s="33"/>
      <c r="X104" s="7"/>
      <c r="Y104" s="7"/>
      <c r="Z104" s="7"/>
      <c r="AA104" s="33"/>
      <c r="AB104" s="7"/>
      <c r="AC104" s="7"/>
      <c r="AD104" s="1"/>
      <c r="AE104" s="1"/>
    </row>
    <row r="105" spans="1:31" x14ac:dyDescent="0.25">
      <c r="A105" s="3"/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1"/>
      <c r="N105" s="1"/>
      <c r="O105" s="9"/>
      <c r="P105" s="7"/>
      <c r="Q105" s="7"/>
      <c r="R105" s="33"/>
      <c r="S105" s="33"/>
      <c r="T105" s="33"/>
      <c r="U105" s="7"/>
      <c r="V105" s="7"/>
      <c r="W105" s="33"/>
      <c r="X105" s="7"/>
      <c r="Y105" s="7"/>
      <c r="Z105" s="7"/>
      <c r="AA105" s="33"/>
      <c r="AB105" s="7"/>
      <c r="AC105" s="7"/>
      <c r="AD105" s="1"/>
      <c r="AE105" s="1"/>
    </row>
    <row r="106" spans="1:31" x14ac:dyDescent="0.25">
      <c r="A106" s="3"/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1"/>
      <c r="N106" s="1"/>
      <c r="O106" s="9"/>
      <c r="P106" s="7"/>
      <c r="Q106" s="7"/>
      <c r="R106" s="33"/>
      <c r="S106" s="33"/>
      <c r="T106" s="33"/>
      <c r="U106" s="7"/>
      <c r="V106" s="7"/>
      <c r="W106" s="33"/>
      <c r="X106" s="7"/>
      <c r="Y106" s="7"/>
      <c r="Z106" s="7"/>
      <c r="AA106" s="33"/>
      <c r="AB106" s="7"/>
      <c r="AC106" s="7"/>
      <c r="AD106" s="1"/>
      <c r="AE106" s="1"/>
    </row>
    <row r="107" spans="1:31" x14ac:dyDescent="0.25">
      <c r="A107" s="3"/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1"/>
      <c r="N107" s="1"/>
      <c r="O107" s="9"/>
      <c r="P107" s="7"/>
      <c r="Q107" s="7"/>
      <c r="R107" s="33"/>
      <c r="S107" s="33"/>
      <c r="T107" s="33"/>
      <c r="U107" s="7"/>
      <c r="V107" s="7"/>
      <c r="W107" s="33"/>
      <c r="X107" s="7"/>
      <c r="Y107" s="7"/>
      <c r="Z107" s="7"/>
      <c r="AA107" s="33"/>
      <c r="AB107" s="7"/>
      <c r="AC107" s="7"/>
      <c r="AD107" s="1"/>
      <c r="AE107" s="1"/>
    </row>
    <row r="108" spans="1:31" x14ac:dyDescent="0.25">
      <c r="A108" s="3"/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1"/>
      <c r="N108" s="1"/>
      <c r="O108" s="9"/>
      <c r="P108" s="7"/>
      <c r="Q108" s="7"/>
      <c r="R108" s="33"/>
      <c r="S108" s="33"/>
      <c r="T108" s="33"/>
      <c r="U108" s="7"/>
      <c r="V108" s="7"/>
      <c r="W108" s="33"/>
      <c r="X108" s="7"/>
      <c r="Y108" s="7"/>
      <c r="Z108" s="7"/>
      <c r="AA108" s="33"/>
      <c r="AB108" s="7"/>
      <c r="AC108" s="7"/>
      <c r="AD108" s="1"/>
      <c r="AE108" s="1"/>
    </row>
    <row r="109" spans="1:31" x14ac:dyDescent="0.25">
      <c r="A109" s="3"/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1"/>
      <c r="N109" s="1"/>
      <c r="O109" s="9"/>
      <c r="P109" s="7"/>
      <c r="Q109" s="7"/>
      <c r="R109" s="33"/>
      <c r="S109" s="33"/>
      <c r="T109" s="33"/>
      <c r="U109" s="7"/>
      <c r="V109" s="7"/>
      <c r="W109" s="33"/>
      <c r="X109" s="7"/>
      <c r="Y109" s="7"/>
      <c r="Z109" s="7"/>
      <c r="AA109" s="33"/>
      <c r="AB109" s="7"/>
      <c r="AC109" s="7"/>
      <c r="AD109" s="1"/>
      <c r="AE109" s="1"/>
    </row>
    <row r="110" spans="1:31" x14ac:dyDescent="0.25">
      <c r="A110" s="3"/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1"/>
      <c r="N110" s="1"/>
      <c r="O110" s="9"/>
      <c r="P110" s="7"/>
      <c r="Q110" s="7"/>
      <c r="R110" s="33"/>
      <c r="S110" s="33"/>
      <c r="T110" s="33"/>
      <c r="U110" s="7"/>
      <c r="V110" s="7"/>
      <c r="W110" s="33"/>
      <c r="X110" s="7"/>
      <c r="Y110" s="7"/>
      <c r="Z110" s="7"/>
      <c r="AA110" s="33"/>
      <c r="AB110" s="7"/>
      <c r="AC110" s="7"/>
      <c r="AD110" s="1"/>
      <c r="AE110" s="1"/>
    </row>
    <row r="111" spans="1:31" x14ac:dyDescent="0.25">
      <c r="A111" s="3"/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1"/>
      <c r="N111" s="1"/>
      <c r="O111" s="9"/>
      <c r="P111" s="7"/>
      <c r="Q111" s="7"/>
      <c r="R111" s="33"/>
      <c r="S111" s="33"/>
      <c r="T111" s="33"/>
      <c r="U111" s="7"/>
      <c r="V111" s="7"/>
      <c r="W111" s="33"/>
      <c r="X111" s="7"/>
      <c r="Y111" s="7"/>
      <c r="Z111" s="7"/>
      <c r="AA111" s="33"/>
      <c r="AB111" s="7"/>
      <c r="AC111" s="7"/>
      <c r="AD111" s="1"/>
      <c r="AE111" s="1"/>
    </row>
    <row r="112" spans="1:31" x14ac:dyDescent="0.25">
      <c r="A112" s="3"/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1"/>
      <c r="N112" s="1"/>
      <c r="O112" s="9"/>
      <c r="P112" s="7"/>
      <c r="Q112" s="7"/>
      <c r="R112" s="33"/>
      <c r="S112" s="33"/>
      <c r="T112" s="33"/>
      <c r="U112" s="7"/>
      <c r="V112" s="7"/>
      <c r="W112" s="33"/>
      <c r="X112" s="7"/>
      <c r="Y112" s="7"/>
      <c r="Z112" s="7"/>
      <c r="AA112" s="33"/>
      <c r="AB112" s="7"/>
      <c r="AC112" s="7"/>
      <c r="AD112" s="1"/>
      <c r="AE112" s="1"/>
    </row>
    <row r="113" spans="1:31" x14ac:dyDescent="0.25">
      <c r="A113" s="3"/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1"/>
      <c r="N113" s="1"/>
      <c r="O113" s="9"/>
      <c r="P113" s="7"/>
      <c r="Q113" s="7"/>
      <c r="R113" s="33"/>
      <c r="S113" s="33"/>
      <c r="T113" s="33"/>
      <c r="U113" s="7"/>
      <c r="V113" s="7"/>
      <c r="W113" s="33"/>
      <c r="X113" s="7"/>
      <c r="Y113" s="7"/>
      <c r="Z113" s="7"/>
      <c r="AA113" s="33"/>
      <c r="AB113" s="7"/>
      <c r="AC113" s="7"/>
      <c r="AD113" s="1"/>
      <c r="AE113" s="1"/>
    </row>
    <row r="114" spans="1:31" x14ac:dyDescent="0.25">
      <c r="A114" s="3"/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1"/>
      <c r="N114" s="1"/>
      <c r="O114" s="9"/>
      <c r="P114" s="7"/>
      <c r="Q114" s="7"/>
      <c r="R114" s="33"/>
      <c r="S114" s="33"/>
      <c r="T114" s="33"/>
      <c r="U114" s="7"/>
      <c r="V114" s="7"/>
      <c r="W114" s="33"/>
      <c r="X114" s="7"/>
      <c r="Y114" s="7"/>
      <c r="Z114" s="7"/>
      <c r="AA114" s="33"/>
      <c r="AB114" s="7"/>
      <c r="AC114" s="7"/>
      <c r="AD114" s="1"/>
      <c r="AE114" s="1"/>
    </row>
    <row r="115" spans="1:31" x14ac:dyDescent="0.25">
      <c r="A115" s="3"/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1"/>
      <c r="N115" s="1"/>
      <c r="O115" s="9"/>
      <c r="P115" s="7"/>
      <c r="Q115" s="7"/>
      <c r="R115" s="33"/>
      <c r="S115" s="33"/>
      <c r="T115" s="33"/>
      <c r="U115" s="7"/>
      <c r="V115" s="7"/>
      <c r="W115" s="33"/>
      <c r="X115" s="7"/>
      <c r="Y115" s="7"/>
      <c r="Z115" s="7"/>
      <c r="AA115" s="33"/>
      <c r="AB115" s="7"/>
      <c r="AC115" s="7"/>
      <c r="AD115" s="1"/>
      <c r="AE115" s="1"/>
    </row>
    <row r="116" spans="1:31" x14ac:dyDescent="0.25">
      <c r="A116" s="3"/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1"/>
      <c r="N116" s="1"/>
      <c r="O116" s="9"/>
      <c r="P116" s="7"/>
      <c r="Q116" s="7"/>
      <c r="R116" s="33"/>
      <c r="S116" s="33"/>
      <c r="T116" s="33"/>
      <c r="U116" s="7"/>
      <c r="V116" s="7"/>
      <c r="W116" s="33"/>
      <c r="X116" s="7"/>
      <c r="Y116" s="7"/>
      <c r="Z116" s="7"/>
      <c r="AA116" s="33"/>
      <c r="AB116" s="7"/>
      <c r="AC116" s="7"/>
      <c r="AD116" s="1"/>
      <c r="AE116" s="1"/>
    </row>
    <row r="117" spans="1:31" x14ac:dyDescent="0.25">
      <c r="A117" s="3"/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1"/>
      <c r="N117" s="1"/>
      <c r="O117" s="9"/>
      <c r="P117" s="7"/>
      <c r="Q117" s="7"/>
      <c r="R117" s="33"/>
      <c r="S117" s="33"/>
      <c r="T117" s="33"/>
      <c r="U117" s="7"/>
      <c r="V117" s="7"/>
      <c r="W117" s="33"/>
      <c r="X117" s="7"/>
      <c r="Y117" s="7"/>
      <c r="Z117" s="7"/>
      <c r="AA117" s="33"/>
      <c r="AB117" s="7"/>
      <c r="AC117" s="7"/>
      <c r="AD117" s="1"/>
      <c r="AE117" s="1"/>
    </row>
    <row r="118" spans="1:31" x14ac:dyDescent="0.25">
      <c r="A118" s="3"/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1"/>
      <c r="N118" s="1"/>
      <c r="O118" s="9"/>
      <c r="P118" s="7"/>
      <c r="Q118" s="7"/>
      <c r="R118" s="33"/>
      <c r="S118" s="33"/>
      <c r="T118" s="33"/>
      <c r="U118" s="7"/>
      <c r="V118" s="7"/>
      <c r="W118" s="33"/>
      <c r="X118" s="7"/>
      <c r="Y118" s="7"/>
      <c r="Z118" s="7"/>
      <c r="AA118" s="33"/>
      <c r="AB118" s="7"/>
      <c r="AC118" s="7"/>
      <c r="AD118" s="1"/>
      <c r="AE118" s="1"/>
    </row>
    <row r="119" spans="1:31" x14ac:dyDescent="0.25">
      <c r="A119" s="3"/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1"/>
      <c r="N119" s="1"/>
      <c r="O119" s="9"/>
      <c r="P119" s="7"/>
      <c r="Q119" s="7"/>
      <c r="R119" s="33"/>
      <c r="S119" s="33"/>
      <c r="T119" s="33"/>
      <c r="U119" s="7"/>
      <c r="V119" s="7"/>
      <c r="W119" s="33"/>
      <c r="X119" s="7"/>
      <c r="Y119" s="7"/>
      <c r="Z119" s="7"/>
      <c r="AA119" s="33"/>
      <c r="AB119" s="7"/>
      <c r="AC119" s="7"/>
      <c r="AD119" s="1"/>
      <c r="AE119" s="1"/>
    </row>
    <row r="120" spans="1:31" x14ac:dyDescent="0.25">
      <c r="A120" s="3"/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1"/>
      <c r="N120" s="1"/>
      <c r="O120" s="9"/>
      <c r="P120" s="7"/>
      <c r="Q120" s="7"/>
      <c r="R120" s="33"/>
      <c r="S120" s="33"/>
      <c r="T120" s="33"/>
      <c r="U120" s="7"/>
      <c r="V120" s="7"/>
      <c r="W120" s="33"/>
      <c r="X120" s="7"/>
      <c r="Y120" s="7"/>
      <c r="Z120" s="7"/>
      <c r="AA120" s="33"/>
      <c r="AB120" s="7"/>
      <c r="AC120" s="7"/>
      <c r="AD120" s="1"/>
      <c r="AE120" s="1"/>
    </row>
    <row r="121" spans="1:31" x14ac:dyDescent="0.25">
      <c r="A121" s="3"/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1"/>
      <c r="N121" s="1"/>
      <c r="O121" s="9"/>
      <c r="P121" s="7"/>
      <c r="Q121" s="7"/>
      <c r="R121" s="33"/>
      <c r="S121" s="33"/>
      <c r="T121" s="33"/>
      <c r="U121" s="7"/>
      <c r="V121" s="7"/>
      <c r="W121" s="33"/>
      <c r="X121" s="7"/>
      <c r="Y121" s="7"/>
      <c r="Z121" s="7"/>
      <c r="AA121" s="33"/>
      <c r="AB121" s="7"/>
      <c r="AC121" s="7"/>
      <c r="AD121" s="1"/>
      <c r="AE121" s="1"/>
    </row>
    <row r="122" spans="1:31" x14ac:dyDescent="0.25">
      <c r="A122" s="3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9"/>
      <c r="P122" s="7"/>
      <c r="Q122" s="7"/>
      <c r="R122" s="33"/>
      <c r="S122" s="33"/>
      <c r="T122" s="33"/>
      <c r="U122" s="7"/>
      <c r="V122" s="32"/>
      <c r="W122" s="33"/>
      <c r="X122" s="7"/>
      <c r="Y122" s="7"/>
      <c r="Z122" s="32"/>
      <c r="AA122" s="33"/>
      <c r="AB122" s="7"/>
      <c r="AC122" s="7"/>
      <c r="AD122" s="1"/>
      <c r="AE122" s="1"/>
    </row>
    <row r="123" spans="1:31" x14ac:dyDescent="0.25">
      <c r="A123" s="3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9"/>
      <c r="P123" s="7"/>
      <c r="Q123" s="7"/>
      <c r="R123" s="33"/>
      <c r="S123" s="33"/>
      <c r="T123" s="33"/>
      <c r="U123" s="7"/>
      <c r="V123" s="32"/>
      <c r="W123" s="33"/>
      <c r="X123" s="7"/>
      <c r="Y123" s="7"/>
      <c r="Z123" s="32"/>
      <c r="AA123" s="33"/>
      <c r="AB123" s="7"/>
      <c r="AC123" s="7"/>
      <c r="AD123" s="1"/>
      <c r="AE123" s="1"/>
    </row>
    <row r="124" spans="1:31" x14ac:dyDescent="0.25">
      <c r="A124" s="3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9"/>
      <c r="P124" s="7"/>
      <c r="Q124" s="7"/>
      <c r="R124" s="33"/>
      <c r="S124" s="33"/>
      <c r="T124" s="33"/>
      <c r="U124" s="7"/>
      <c r="V124" s="32"/>
      <c r="W124" s="33"/>
      <c r="X124" s="7"/>
      <c r="Y124" s="7"/>
      <c r="Z124" s="32"/>
      <c r="AA124" s="33"/>
      <c r="AB124" s="7"/>
      <c r="AC124" s="7"/>
      <c r="AD124" s="1"/>
      <c r="AE124" s="1"/>
    </row>
    <row r="125" spans="1:31" x14ac:dyDescent="0.25">
      <c r="A125" s="3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9"/>
      <c r="P125" s="7"/>
      <c r="Q125" s="7"/>
      <c r="R125" s="33"/>
      <c r="S125" s="33"/>
      <c r="T125" s="33"/>
      <c r="U125" s="7"/>
      <c r="V125" s="32"/>
      <c r="W125" s="33"/>
      <c r="X125" s="7"/>
      <c r="Y125" s="7"/>
      <c r="Z125" s="32"/>
      <c r="AA125" s="33"/>
      <c r="AB125" s="7"/>
      <c r="AC125" s="7"/>
      <c r="AD125" s="1"/>
      <c r="AE125" s="1"/>
    </row>
    <row r="126" spans="1:31" x14ac:dyDescent="0.25">
      <c r="A126" s="3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9"/>
      <c r="P126" s="7"/>
      <c r="Q126" s="7"/>
      <c r="R126" s="33"/>
      <c r="S126" s="33"/>
      <c r="T126" s="33"/>
      <c r="U126" s="7"/>
      <c r="V126" s="32"/>
      <c r="W126" s="33"/>
      <c r="X126" s="7"/>
      <c r="Y126" s="7"/>
      <c r="Z126" s="32"/>
      <c r="AA126" s="33"/>
      <c r="AB126" s="7"/>
      <c r="AC126" s="7"/>
      <c r="AD126" s="1"/>
      <c r="AE126" s="1"/>
    </row>
    <row r="127" spans="1:31" x14ac:dyDescent="0.25">
      <c r="A127" s="3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9"/>
      <c r="P127" s="7"/>
      <c r="Q127" s="7"/>
      <c r="R127" s="33"/>
      <c r="S127" s="33"/>
      <c r="T127" s="33"/>
      <c r="U127" s="7"/>
      <c r="V127" s="32"/>
      <c r="W127" s="33"/>
      <c r="X127" s="7"/>
      <c r="Y127" s="7"/>
      <c r="Z127" s="32"/>
      <c r="AA127" s="33"/>
      <c r="AB127" s="7"/>
      <c r="AC127" s="7"/>
      <c r="AD127" s="1"/>
      <c r="AE127" s="1"/>
    </row>
    <row r="128" spans="1:31" x14ac:dyDescent="0.25">
      <c r="A128" s="3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9"/>
      <c r="P128" s="7"/>
      <c r="Q128" s="7"/>
      <c r="R128" s="33"/>
      <c r="S128" s="33"/>
      <c r="T128" s="33"/>
      <c r="U128" s="7"/>
      <c r="V128" s="32"/>
      <c r="W128" s="33"/>
      <c r="X128" s="7"/>
      <c r="Y128" s="7"/>
      <c r="Z128" s="32"/>
      <c r="AA128" s="33"/>
      <c r="AB128" s="7"/>
      <c r="AC128" s="7"/>
      <c r="AD128" s="1"/>
      <c r="AE128" s="1"/>
    </row>
    <row r="129" spans="1:31" x14ac:dyDescent="0.25">
      <c r="A129" s="3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9"/>
      <c r="P129" s="7"/>
      <c r="Q129" s="7"/>
      <c r="R129" s="33"/>
      <c r="S129" s="33"/>
      <c r="T129" s="33"/>
      <c r="U129" s="7"/>
      <c r="V129" s="32"/>
      <c r="W129" s="33"/>
      <c r="X129" s="7"/>
      <c r="Y129" s="7"/>
      <c r="Z129" s="32"/>
      <c r="AA129" s="33"/>
      <c r="AB129" s="7"/>
      <c r="AC129" s="7"/>
      <c r="AD129" s="1"/>
      <c r="AE129" s="1"/>
    </row>
    <row r="130" spans="1:31" x14ac:dyDescent="0.25">
      <c r="A130" s="3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9"/>
      <c r="P130" s="7"/>
      <c r="Q130" s="7"/>
      <c r="R130" s="33"/>
      <c r="S130" s="33"/>
      <c r="T130" s="33"/>
      <c r="U130" s="7"/>
      <c r="V130" s="32"/>
      <c r="W130" s="33"/>
      <c r="X130" s="7"/>
      <c r="Y130" s="7"/>
      <c r="Z130" s="32"/>
      <c r="AA130" s="33"/>
      <c r="AB130" s="7"/>
      <c r="AC130" s="7"/>
      <c r="AD130" s="1"/>
      <c r="AE130" s="1"/>
    </row>
    <row r="131" spans="1:31" x14ac:dyDescent="0.25">
      <c r="A131" s="3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9"/>
      <c r="P131" s="7"/>
      <c r="Q131" s="7"/>
      <c r="R131" s="33"/>
      <c r="S131" s="33"/>
      <c r="T131" s="33"/>
      <c r="U131" s="7"/>
      <c r="V131" s="32"/>
      <c r="W131" s="33"/>
      <c r="X131" s="7"/>
      <c r="Y131" s="7"/>
      <c r="Z131" s="32"/>
      <c r="AA131" s="33"/>
      <c r="AB131" s="7"/>
      <c r="AC131" s="7"/>
      <c r="AD131" s="1"/>
      <c r="AE131" s="1"/>
    </row>
    <row r="132" spans="1:31" x14ac:dyDescent="0.25">
      <c r="A132" s="3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9"/>
      <c r="P132" s="7"/>
      <c r="Q132" s="7"/>
      <c r="R132" s="33"/>
      <c r="S132" s="33"/>
      <c r="T132" s="33"/>
      <c r="U132" s="7"/>
      <c r="V132" s="32"/>
      <c r="W132" s="33"/>
      <c r="X132" s="7"/>
      <c r="Y132" s="7"/>
      <c r="Z132" s="32"/>
      <c r="AA132" s="33"/>
      <c r="AB132" s="7"/>
      <c r="AC132" s="7"/>
      <c r="AD132" s="1"/>
      <c r="AE132" s="1"/>
    </row>
    <row r="133" spans="1:31" x14ac:dyDescent="0.25">
      <c r="A133" s="3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9"/>
      <c r="P133" s="7"/>
      <c r="Q133" s="7"/>
      <c r="R133" s="33"/>
      <c r="S133" s="33"/>
      <c r="T133" s="33"/>
      <c r="U133" s="7"/>
      <c r="V133" s="32"/>
      <c r="W133" s="33"/>
      <c r="X133" s="7"/>
      <c r="Y133" s="7"/>
      <c r="Z133" s="32"/>
      <c r="AA133" s="33"/>
      <c r="AB133" s="7"/>
      <c r="AC133" s="7"/>
      <c r="AD133" s="1"/>
      <c r="AE133" s="1"/>
    </row>
    <row r="134" spans="1:31" x14ac:dyDescent="0.25">
      <c r="A134" s="3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9"/>
      <c r="P134" s="7"/>
      <c r="Q134" s="7"/>
      <c r="R134" s="33"/>
      <c r="S134" s="33"/>
      <c r="T134" s="33"/>
      <c r="U134" s="7"/>
      <c r="V134" s="32"/>
      <c r="W134" s="33"/>
      <c r="X134" s="7"/>
      <c r="Y134" s="7"/>
      <c r="Z134" s="32"/>
      <c r="AA134" s="33"/>
      <c r="AB134" s="7"/>
      <c r="AC134" s="7"/>
      <c r="AD134" s="1"/>
      <c r="AE134" s="1"/>
    </row>
    <row r="135" spans="1:31" x14ac:dyDescent="0.25">
      <c r="A135" s="3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9"/>
      <c r="P135" s="7"/>
      <c r="Q135" s="7"/>
      <c r="R135" s="33"/>
      <c r="S135" s="33"/>
      <c r="T135" s="33"/>
      <c r="U135" s="7"/>
      <c r="V135" s="32"/>
      <c r="W135" s="33"/>
      <c r="X135" s="7"/>
      <c r="Y135" s="7"/>
      <c r="Z135" s="32"/>
      <c r="AA135" s="33"/>
      <c r="AB135" s="7"/>
      <c r="AC135" s="7"/>
      <c r="AD135" s="1"/>
      <c r="AE135" s="1"/>
    </row>
    <row r="136" spans="1:31" x14ac:dyDescent="0.25">
      <c r="A136" s="3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9"/>
      <c r="P136" s="7"/>
      <c r="Q136" s="7"/>
      <c r="R136" s="33"/>
      <c r="S136" s="33"/>
      <c r="T136" s="33"/>
      <c r="U136" s="7"/>
      <c r="V136" s="32"/>
      <c r="W136" s="33"/>
      <c r="X136" s="7"/>
      <c r="Y136" s="7"/>
      <c r="Z136" s="32"/>
      <c r="AA136" s="33"/>
      <c r="AB136" s="7"/>
      <c r="AC136" s="7"/>
      <c r="AD136" s="1"/>
      <c r="AE136" s="1"/>
    </row>
    <row r="137" spans="1:31" x14ac:dyDescent="0.25">
      <c r="A137" s="3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9"/>
      <c r="P137" s="7"/>
      <c r="Q137" s="7"/>
      <c r="R137" s="33"/>
      <c r="S137" s="33"/>
      <c r="T137" s="33"/>
      <c r="U137" s="7"/>
      <c r="V137" s="32"/>
      <c r="W137" s="33"/>
      <c r="X137" s="7"/>
      <c r="Y137" s="7"/>
      <c r="Z137" s="32"/>
      <c r="AA137" s="33"/>
      <c r="AB137" s="7"/>
      <c r="AC137" s="7"/>
      <c r="AD137" s="1"/>
      <c r="AE137" s="1"/>
    </row>
    <row r="138" spans="1:31" x14ac:dyDescent="0.25">
      <c r="A138" s="3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9"/>
      <c r="P138" s="7"/>
      <c r="Q138" s="7"/>
      <c r="R138" s="33"/>
      <c r="S138" s="33"/>
      <c r="T138" s="33"/>
      <c r="U138" s="7"/>
      <c r="V138" s="32"/>
      <c r="W138" s="33"/>
      <c r="X138" s="7"/>
      <c r="Y138" s="7"/>
      <c r="Z138" s="32"/>
      <c r="AA138" s="33"/>
      <c r="AB138" s="7"/>
      <c r="AC138" s="7"/>
      <c r="AD138" s="1"/>
      <c r="AE138" s="1"/>
    </row>
    <row r="139" spans="1:31" x14ac:dyDescent="0.25">
      <c r="A139" s="3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9"/>
      <c r="P139" s="7"/>
      <c r="Q139" s="7"/>
      <c r="R139" s="33"/>
      <c r="S139" s="33"/>
      <c r="T139" s="33"/>
      <c r="U139" s="7"/>
      <c r="V139" s="32"/>
      <c r="W139" s="33"/>
      <c r="X139" s="7"/>
      <c r="Y139" s="7"/>
      <c r="Z139" s="32"/>
      <c r="AA139" s="33"/>
      <c r="AB139" s="7"/>
      <c r="AC139" s="7"/>
      <c r="AD139" s="1"/>
      <c r="AE139" s="1"/>
    </row>
    <row r="140" spans="1:31" x14ac:dyDescent="0.25">
      <c r="A140" s="3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9"/>
      <c r="P140" s="7"/>
      <c r="Q140" s="7"/>
      <c r="R140" s="33"/>
      <c r="S140" s="33"/>
      <c r="T140" s="33"/>
      <c r="U140" s="7"/>
      <c r="V140" s="32"/>
      <c r="W140" s="33"/>
      <c r="X140" s="7"/>
      <c r="Y140" s="7"/>
      <c r="Z140" s="32"/>
      <c r="AA140" s="33"/>
      <c r="AB140" s="7"/>
      <c r="AC140" s="7"/>
      <c r="AD140" s="1"/>
      <c r="AE140" s="1"/>
    </row>
    <row r="141" spans="1:31" x14ac:dyDescent="0.25">
      <c r="A141" s="3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9"/>
      <c r="P141" s="7"/>
      <c r="Q141" s="7"/>
      <c r="R141" s="33"/>
      <c r="S141" s="33"/>
      <c r="T141" s="33"/>
      <c r="U141" s="7"/>
      <c r="V141" s="32"/>
      <c r="W141" s="33"/>
      <c r="X141" s="7"/>
      <c r="Y141" s="7"/>
      <c r="Z141" s="32"/>
      <c r="AA141" s="33"/>
      <c r="AB141" s="7"/>
      <c r="AC141" s="7"/>
      <c r="AD141" s="1"/>
      <c r="AE141" s="1"/>
    </row>
    <row r="142" spans="1:31" x14ac:dyDescent="0.25">
      <c r="A142" s="3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9"/>
      <c r="P142" s="7"/>
      <c r="Q142" s="7"/>
      <c r="R142" s="33"/>
      <c r="S142" s="33"/>
      <c r="T142" s="33"/>
      <c r="U142" s="7"/>
      <c r="V142" s="32"/>
      <c r="W142" s="33"/>
      <c r="X142" s="7"/>
      <c r="Y142" s="7"/>
      <c r="Z142" s="32"/>
      <c r="AA142" s="33"/>
      <c r="AB142" s="7"/>
      <c r="AC142" s="7"/>
      <c r="AD142" s="1"/>
      <c r="AE142" s="1"/>
    </row>
    <row r="143" spans="1:31" x14ac:dyDescent="0.25">
      <c r="A143" s="3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9"/>
      <c r="P143" s="7"/>
      <c r="Q143" s="7"/>
      <c r="R143" s="33"/>
      <c r="S143" s="33"/>
      <c r="T143" s="33"/>
      <c r="U143" s="7"/>
      <c r="V143" s="32"/>
      <c r="W143" s="33"/>
      <c r="X143" s="7"/>
      <c r="Y143" s="7"/>
      <c r="Z143" s="32"/>
      <c r="AA143" s="33"/>
      <c r="AB143" s="7"/>
      <c r="AC143" s="7"/>
      <c r="AD143" s="1"/>
      <c r="AE143" s="1"/>
    </row>
    <row r="144" spans="1:31" x14ac:dyDescent="0.25">
      <c r="A144" s="3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9"/>
      <c r="P144" s="7"/>
      <c r="Q144" s="7"/>
      <c r="R144" s="33"/>
      <c r="S144" s="33"/>
      <c r="T144" s="33"/>
      <c r="U144" s="7"/>
      <c r="V144" s="32"/>
      <c r="W144" s="33"/>
      <c r="X144" s="7"/>
      <c r="Y144" s="7"/>
      <c r="Z144" s="32"/>
      <c r="AA144" s="33"/>
      <c r="AB144" s="7"/>
      <c r="AC144" s="7"/>
      <c r="AD144" s="1"/>
      <c r="AE144" s="1"/>
    </row>
    <row r="145" spans="1:31" x14ac:dyDescent="0.25">
      <c r="A145" s="3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9"/>
      <c r="P145" s="7"/>
      <c r="Q145" s="7"/>
      <c r="R145" s="33"/>
      <c r="S145" s="33"/>
      <c r="T145" s="33"/>
      <c r="U145" s="7"/>
      <c r="V145" s="32"/>
      <c r="W145" s="33"/>
      <c r="X145" s="7"/>
      <c r="Y145" s="7"/>
      <c r="Z145" s="32"/>
      <c r="AA145" s="33"/>
      <c r="AB145" s="7"/>
      <c r="AC145" s="7"/>
      <c r="AD145" s="1"/>
      <c r="AE145" s="1"/>
    </row>
    <row r="146" spans="1:31" x14ac:dyDescent="0.25">
      <c r="A146" s="3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9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x14ac:dyDescent="0.25">
      <c r="A147" s="3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9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x14ac:dyDescent="0.25">
      <c r="A148" s="3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9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x14ac:dyDescent="0.25">
      <c r="A149" s="3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9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x14ac:dyDescent="0.25">
      <c r="A150" s="3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9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x14ac:dyDescent="0.25">
      <c r="A151" s="3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9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x14ac:dyDescent="0.25">
      <c r="A152" s="3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x14ac:dyDescent="0.25">
      <c r="A153" s="3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x14ac:dyDescent="0.25">
      <c r="A154" s="3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x14ac:dyDescent="0.25">
      <c r="A155" s="3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x14ac:dyDescent="0.25">
      <c r="A156" s="3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x14ac:dyDescent="0.25">
      <c r="A157" s="3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 x14ac:dyDescent="0.25">
      <c r="A158" s="3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x14ac:dyDescent="0.25">
      <c r="A159" s="3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x14ac:dyDescent="0.25">
      <c r="A160" s="3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x14ac:dyDescent="0.25">
      <c r="A161" s="3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x14ac:dyDescent="0.25">
      <c r="A162" s="3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x14ac:dyDescent="0.25">
      <c r="A163" s="3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x14ac:dyDescent="0.25">
      <c r="A164" s="3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x14ac:dyDescent="0.25">
      <c r="A165" s="3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x14ac:dyDescent="0.25">
      <c r="A166" s="3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x14ac:dyDescent="0.25">
      <c r="A167" s="3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x14ac:dyDescent="0.25">
      <c r="A168" s="3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x14ac:dyDescent="0.25">
      <c r="A169" s="3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x14ac:dyDescent="0.25">
      <c r="A170" s="3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x14ac:dyDescent="0.25">
      <c r="A171" s="3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9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x14ac:dyDescent="0.25">
      <c r="A172" s="3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9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x14ac:dyDescent="0.25">
      <c r="A173" s="3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9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x14ac:dyDescent="0.25">
      <c r="A174" s="3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9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x14ac:dyDescent="0.25">
      <c r="A175" s="3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9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x14ac:dyDescent="0.25">
      <c r="A176" s="3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9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x14ac:dyDescent="0.25">
      <c r="A177" s="3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9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25">
      <c r="A178" s="3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9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25">
      <c r="A179" s="3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9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25">
      <c r="A180" s="3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9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5">
      <c r="A181" s="3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9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25">
      <c r="A182" s="3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9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x14ac:dyDescent="0.25">
      <c r="A183" s="3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9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x14ac:dyDescent="0.25">
      <c r="A184" s="3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9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x14ac:dyDescent="0.25">
      <c r="A185" s="3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9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x14ac:dyDescent="0.25">
      <c r="A186" s="3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9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x14ac:dyDescent="0.25">
      <c r="A187" s="3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9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x14ac:dyDescent="0.25">
      <c r="A188" s="3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9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x14ac:dyDescent="0.25">
      <c r="A189" s="3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9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x14ac:dyDescent="0.25">
      <c r="A190" s="3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9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x14ac:dyDescent="0.25">
      <c r="A191" s="3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9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x14ac:dyDescent="0.25">
      <c r="A192" s="3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9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25">
      <c r="A193" s="3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9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5">
      <c r="A194" s="3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9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5">
      <c r="A195" s="3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9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x14ac:dyDescent="0.25">
      <c r="A196" s="3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9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x14ac:dyDescent="0.25">
      <c r="A197" s="3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9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5">
      <c r="A198" s="3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9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5">
      <c r="A199" s="3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9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5">
      <c r="A200" s="3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9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5">
      <c r="B201" s="39"/>
    </row>
    <row r="202" spans="1:31" x14ac:dyDescent="0.25">
      <c r="B202" s="39"/>
    </row>
    <row r="203" spans="1:31" x14ac:dyDescent="0.25">
      <c r="B203" s="39"/>
    </row>
    <row r="204" spans="1:31" x14ac:dyDescent="0.25">
      <c r="B204" s="39"/>
    </row>
    <row r="205" spans="1:31" x14ac:dyDescent="0.25">
      <c r="B205" s="39"/>
    </row>
    <row r="206" spans="1:31" x14ac:dyDescent="0.25">
      <c r="B206" s="39"/>
    </row>
    <row r="207" spans="1:31" x14ac:dyDescent="0.25">
      <c r="B207" s="39"/>
    </row>
    <row r="208" spans="1:31" x14ac:dyDescent="0.25">
      <c r="B208" s="39"/>
    </row>
    <row r="209" spans="2:2" x14ac:dyDescent="0.25">
      <c r="B209" s="39"/>
    </row>
    <row r="210" spans="2:2" x14ac:dyDescent="0.25">
      <c r="B210" s="39"/>
    </row>
    <row r="211" spans="2:2" x14ac:dyDescent="0.25">
      <c r="B211" s="39"/>
    </row>
    <row r="212" spans="2:2" x14ac:dyDescent="0.25">
      <c r="B212" s="39"/>
    </row>
    <row r="213" spans="2:2" x14ac:dyDescent="0.25">
      <c r="B213" s="39"/>
    </row>
    <row r="214" spans="2:2" x14ac:dyDescent="0.25">
      <c r="B214" s="39"/>
    </row>
    <row r="215" spans="2:2" x14ac:dyDescent="0.25">
      <c r="B215" s="39"/>
    </row>
    <row r="216" spans="2:2" x14ac:dyDescent="0.25">
      <c r="B216" s="39"/>
    </row>
    <row r="217" spans="2:2" x14ac:dyDescent="0.25">
      <c r="B217" s="39"/>
    </row>
    <row r="218" spans="2:2" x14ac:dyDescent="0.25">
      <c r="B218" s="39"/>
    </row>
    <row r="219" spans="2:2" x14ac:dyDescent="0.25">
      <c r="B219" s="39"/>
    </row>
    <row r="220" spans="2:2" x14ac:dyDescent="0.25">
      <c r="B220" s="39"/>
    </row>
    <row r="221" spans="2:2" x14ac:dyDescent="0.25">
      <c r="B221" s="39"/>
    </row>
    <row r="222" spans="2:2" x14ac:dyDescent="0.25">
      <c r="B222" s="39"/>
    </row>
    <row r="223" spans="2:2" x14ac:dyDescent="0.25">
      <c r="B223" s="39"/>
    </row>
    <row r="224" spans="2:2" x14ac:dyDescent="0.25">
      <c r="B224" s="39"/>
    </row>
    <row r="225" spans="2:2" x14ac:dyDescent="0.25">
      <c r="B225" s="39"/>
    </row>
    <row r="226" spans="2:2" x14ac:dyDescent="0.25">
      <c r="B226" s="39"/>
    </row>
    <row r="227" spans="2:2" x14ac:dyDescent="0.25">
      <c r="B227" s="39"/>
    </row>
    <row r="228" spans="2:2" x14ac:dyDescent="0.25">
      <c r="B228" s="39"/>
    </row>
    <row r="229" spans="2:2" x14ac:dyDescent="0.25">
      <c r="B229" s="39"/>
    </row>
    <row r="230" spans="2:2" x14ac:dyDescent="0.25">
      <c r="B230" s="39"/>
    </row>
    <row r="231" spans="2:2" x14ac:dyDescent="0.25">
      <c r="B231" s="39"/>
    </row>
    <row r="232" spans="2:2" x14ac:dyDescent="0.25">
      <c r="B232" s="39"/>
    </row>
    <row r="233" spans="2:2" x14ac:dyDescent="0.25">
      <c r="B233" s="39"/>
    </row>
    <row r="234" spans="2:2" x14ac:dyDescent="0.25">
      <c r="B234" s="39"/>
    </row>
    <row r="235" spans="2:2" x14ac:dyDescent="0.25">
      <c r="B235" s="39"/>
    </row>
    <row r="236" spans="2:2" x14ac:dyDescent="0.25">
      <c r="B236" s="39"/>
    </row>
    <row r="237" spans="2:2" x14ac:dyDescent="0.25">
      <c r="B237" s="39"/>
    </row>
    <row r="238" spans="2:2" x14ac:dyDescent="0.25">
      <c r="B238" s="39"/>
    </row>
    <row r="239" spans="2:2" x14ac:dyDescent="0.25">
      <c r="B239" s="39"/>
    </row>
    <row r="240" spans="2:2" x14ac:dyDescent="0.25">
      <c r="B240" s="39"/>
    </row>
    <row r="241" spans="2:2" x14ac:dyDescent="0.25">
      <c r="B241" s="39"/>
    </row>
    <row r="242" spans="2:2" x14ac:dyDescent="0.25">
      <c r="B242" s="39"/>
    </row>
    <row r="243" spans="2:2" x14ac:dyDescent="0.25">
      <c r="B243" s="39"/>
    </row>
    <row r="244" spans="2:2" x14ac:dyDescent="0.25">
      <c r="B244" s="39"/>
    </row>
    <row r="245" spans="2:2" x14ac:dyDescent="0.25">
      <c r="B245" s="39"/>
    </row>
    <row r="246" spans="2:2" x14ac:dyDescent="0.25">
      <c r="B246" s="39"/>
    </row>
    <row r="247" spans="2:2" x14ac:dyDescent="0.25">
      <c r="B247" s="39"/>
    </row>
    <row r="248" spans="2:2" x14ac:dyDescent="0.25">
      <c r="B248" s="39"/>
    </row>
    <row r="249" spans="2:2" x14ac:dyDescent="0.25">
      <c r="B249" s="39"/>
    </row>
    <row r="250" spans="2:2" x14ac:dyDescent="0.25">
      <c r="B250" s="39"/>
    </row>
    <row r="251" spans="2:2" x14ac:dyDescent="0.25">
      <c r="B251" s="39"/>
    </row>
    <row r="252" spans="2:2" x14ac:dyDescent="0.25">
      <c r="B252" s="39"/>
    </row>
    <row r="253" spans="2:2" x14ac:dyDescent="0.25">
      <c r="B253" s="39"/>
    </row>
    <row r="254" spans="2:2" x14ac:dyDescent="0.25">
      <c r="B254" s="39"/>
    </row>
    <row r="255" spans="2:2" x14ac:dyDescent="0.25">
      <c r="B255" s="39"/>
    </row>
    <row r="256" spans="2:2" x14ac:dyDescent="0.25">
      <c r="B256" s="39"/>
    </row>
    <row r="257" spans="2:2" x14ac:dyDescent="0.25">
      <c r="B257" s="39"/>
    </row>
    <row r="258" spans="2:2" x14ac:dyDescent="0.25">
      <c r="B258" s="39"/>
    </row>
    <row r="259" spans="2:2" x14ac:dyDescent="0.25">
      <c r="B259" s="39"/>
    </row>
    <row r="260" spans="2:2" x14ac:dyDescent="0.25">
      <c r="B260" s="39"/>
    </row>
    <row r="261" spans="2:2" x14ac:dyDescent="0.25">
      <c r="B261" s="39"/>
    </row>
    <row r="262" spans="2:2" x14ac:dyDescent="0.25">
      <c r="B262" s="39"/>
    </row>
    <row r="263" spans="2:2" x14ac:dyDescent="0.25">
      <c r="B263" s="39"/>
    </row>
    <row r="264" spans="2:2" x14ac:dyDescent="0.25">
      <c r="B264" s="39"/>
    </row>
    <row r="265" spans="2:2" x14ac:dyDescent="0.25">
      <c r="B265" s="39"/>
    </row>
    <row r="266" spans="2:2" x14ac:dyDescent="0.25">
      <c r="B266" s="39"/>
    </row>
    <row r="267" spans="2:2" x14ac:dyDescent="0.25">
      <c r="B267" s="39"/>
    </row>
    <row r="268" spans="2:2" x14ac:dyDescent="0.25">
      <c r="B268" s="39"/>
    </row>
    <row r="269" spans="2:2" x14ac:dyDescent="0.25">
      <c r="B269" s="39"/>
    </row>
    <row r="270" spans="2:2" x14ac:dyDescent="0.25">
      <c r="B270" s="39"/>
    </row>
    <row r="271" spans="2:2" x14ac:dyDescent="0.25">
      <c r="B271" s="39"/>
    </row>
    <row r="272" spans="2:2" x14ac:dyDescent="0.25">
      <c r="B272" s="39"/>
    </row>
    <row r="273" spans="2:2" x14ac:dyDescent="0.25">
      <c r="B273" s="39"/>
    </row>
    <row r="274" spans="2:2" x14ac:dyDescent="0.25">
      <c r="B274" s="39"/>
    </row>
    <row r="275" spans="2:2" x14ac:dyDescent="0.25">
      <c r="B275" s="39"/>
    </row>
    <row r="276" spans="2:2" x14ac:dyDescent="0.25">
      <c r="B276" s="39"/>
    </row>
    <row r="277" spans="2:2" x14ac:dyDescent="0.25">
      <c r="B277" s="39"/>
    </row>
    <row r="278" spans="2:2" x14ac:dyDescent="0.25">
      <c r="B278" s="39"/>
    </row>
    <row r="279" spans="2:2" x14ac:dyDescent="0.25">
      <c r="B279" s="39"/>
    </row>
    <row r="280" spans="2:2" x14ac:dyDescent="0.25">
      <c r="B280" s="39"/>
    </row>
    <row r="281" spans="2:2" x14ac:dyDescent="0.25">
      <c r="B281" s="39"/>
    </row>
    <row r="282" spans="2:2" x14ac:dyDescent="0.25">
      <c r="B282" s="39"/>
    </row>
    <row r="283" spans="2:2" x14ac:dyDescent="0.25">
      <c r="B283" s="39"/>
    </row>
    <row r="284" spans="2:2" x14ac:dyDescent="0.25">
      <c r="B284" s="39"/>
    </row>
    <row r="285" spans="2:2" x14ac:dyDescent="0.25">
      <c r="B285" s="39"/>
    </row>
    <row r="286" spans="2:2" x14ac:dyDescent="0.25">
      <c r="B286" s="39"/>
    </row>
    <row r="287" spans="2:2" x14ac:dyDescent="0.25">
      <c r="B287" s="39"/>
    </row>
    <row r="288" spans="2:2" x14ac:dyDescent="0.25">
      <c r="B288" s="39"/>
    </row>
    <row r="289" spans="2:2" x14ac:dyDescent="0.25">
      <c r="B289" s="39"/>
    </row>
    <row r="290" spans="2:2" x14ac:dyDescent="0.25">
      <c r="B290" s="39"/>
    </row>
    <row r="291" spans="2:2" x14ac:dyDescent="0.25">
      <c r="B291" s="39"/>
    </row>
    <row r="292" spans="2:2" x14ac:dyDescent="0.25">
      <c r="B292" s="39"/>
    </row>
    <row r="293" spans="2:2" x14ac:dyDescent="0.25">
      <c r="B293" s="39"/>
    </row>
    <row r="294" spans="2:2" x14ac:dyDescent="0.25">
      <c r="B294" s="39"/>
    </row>
    <row r="295" spans="2:2" x14ac:dyDescent="0.25">
      <c r="B295" s="39"/>
    </row>
    <row r="296" spans="2:2" x14ac:dyDescent="0.25">
      <c r="B296" s="39"/>
    </row>
    <row r="297" spans="2:2" x14ac:dyDescent="0.25">
      <c r="B297" s="39"/>
    </row>
    <row r="298" spans="2:2" x14ac:dyDescent="0.25">
      <c r="B298" s="39"/>
    </row>
    <row r="299" spans="2:2" x14ac:dyDescent="0.25">
      <c r="B299" s="39"/>
    </row>
    <row r="300" spans="2:2" x14ac:dyDescent="0.25">
      <c r="B300" s="39"/>
    </row>
    <row r="301" spans="2:2" x14ac:dyDescent="0.25">
      <c r="B301" s="39"/>
    </row>
    <row r="302" spans="2:2" x14ac:dyDescent="0.25">
      <c r="B302" s="39"/>
    </row>
    <row r="303" spans="2:2" x14ac:dyDescent="0.25">
      <c r="B303" s="39"/>
    </row>
    <row r="304" spans="2:2" x14ac:dyDescent="0.25">
      <c r="B304" s="39"/>
    </row>
    <row r="305" spans="2:2" x14ac:dyDescent="0.25">
      <c r="B305" s="39"/>
    </row>
    <row r="306" spans="2:2" x14ac:dyDescent="0.25">
      <c r="B306" s="39"/>
    </row>
    <row r="307" spans="2:2" x14ac:dyDescent="0.25">
      <c r="B307" s="39"/>
    </row>
    <row r="308" spans="2:2" x14ac:dyDescent="0.25">
      <c r="B308" s="39"/>
    </row>
    <row r="309" spans="2:2" x14ac:dyDescent="0.25">
      <c r="B309" s="39"/>
    </row>
    <row r="310" spans="2:2" x14ac:dyDescent="0.25">
      <c r="B310" s="39"/>
    </row>
    <row r="311" spans="2:2" x14ac:dyDescent="0.25">
      <c r="B311" s="39"/>
    </row>
    <row r="312" spans="2:2" x14ac:dyDescent="0.25">
      <c r="B312" s="39"/>
    </row>
    <row r="313" spans="2:2" x14ac:dyDescent="0.25">
      <c r="B313" s="39"/>
    </row>
    <row r="314" spans="2:2" x14ac:dyDescent="0.25">
      <c r="B314" s="39"/>
    </row>
    <row r="315" spans="2:2" x14ac:dyDescent="0.25">
      <c r="B315" s="39"/>
    </row>
    <row r="316" spans="2:2" x14ac:dyDescent="0.25">
      <c r="B316" s="39"/>
    </row>
    <row r="317" spans="2:2" x14ac:dyDescent="0.25">
      <c r="B317" s="39"/>
    </row>
    <row r="318" spans="2:2" x14ac:dyDescent="0.25">
      <c r="B318" s="39"/>
    </row>
    <row r="319" spans="2:2" x14ac:dyDescent="0.25">
      <c r="B319" s="39"/>
    </row>
    <row r="320" spans="2:2" x14ac:dyDescent="0.25">
      <c r="B320" s="39"/>
    </row>
    <row r="321" spans="2:2" x14ac:dyDescent="0.25">
      <c r="B321" s="39"/>
    </row>
    <row r="322" spans="2:2" x14ac:dyDescent="0.25">
      <c r="B322" s="39"/>
    </row>
    <row r="323" spans="2:2" x14ac:dyDescent="0.25">
      <c r="B323" s="39"/>
    </row>
    <row r="324" spans="2:2" x14ac:dyDescent="0.25">
      <c r="B324" s="39"/>
    </row>
    <row r="325" spans="2:2" x14ac:dyDescent="0.25">
      <c r="B325" s="39"/>
    </row>
    <row r="326" spans="2:2" x14ac:dyDescent="0.25">
      <c r="B326" s="39"/>
    </row>
    <row r="327" spans="2:2" x14ac:dyDescent="0.25">
      <c r="B327" s="39"/>
    </row>
    <row r="328" spans="2:2" x14ac:dyDescent="0.25">
      <c r="B328" s="39"/>
    </row>
    <row r="329" spans="2:2" x14ac:dyDescent="0.25">
      <c r="B329" s="39"/>
    </row>
    <row r="330" spans="2:2" x14ac:dyDescent="0.25">
      <c r="B330" s="39"/>
    </row>
    <row r="331" spans="2:2" x14ac:dyDescent="0.25">
      <c r="B331" s="39"/>
    </row>
    <row r="332" spans="2:2" x14ac:dyDescent="0.25">
      <c r="B332" s="39"/>
    </row>
    <row r="333" spans="2:2" x14ac:dyDescent="0.25">
      <c r="B333" s="39"/>
    </row>
    <row r="334" spans="2:2" x14ac:dyDescent="0.25">
      <c r="B334" s="39"/>
    </row>
    <row r="335" spans="2:2" x14ac:dyDescent="0.25">
      <c r="B335" s="39"/>
    </row>
    <row r="336" spans="2:2" x14ac:dyDescent="0.25">
      <c r="B336" s="39"/>
    </row>
    <row r="337" spans="2:2" x14ac:dyDescent="0.25">
      <c r="B337" s="39"/>
    </row>
    <row r="338" spans="2:2" x14ac:dyDescent="0.25">
      <c r="B338" s="39"/>
    </row>
    <row r="339" spans="2:2" x14ac:dyDescent="0.25">
      <c r="B339" s="39"/>
    </row>
    <row r="340" spans="2:2" x14ac:dyDescent="0.25">
      <c r="B340" s="39"/>
    </row>
    <row r="341" spans="2:2" x14ac:dyDescent="0.25">
      <c r="B341" s="39"/>
    </row>
    <row r="342" spans="2:2" x14ac:dyDescent="0.25">
      <c r="B342" s="39"/>
    </row>
    <row r="343" spans="2:2" x14ac:dyDescent="0.25">
      <c r="B343" s="39"/>
    </row>
    <row r="344" spans="2:2" x14ac:dyDescent="0.25">
      <c r="B344" s="39"/>
    </row>
    <row r="345" spans="2:2" x14ac:dyDescent="0.25">
      <c r="B345" s="39"/>
    </row>
    <row r="346" spans="2:2" x14ac:dyDescent="0.25">
      <c r="B346" s="39"/>
    </row>
    <row r="347" spans="2:2" x14ac:dyDescent="0.25">
      <c r="B347" s="39"/>
    </row>
    <row r="348" spans="2:2" x14ac:dyDescent="0.25">
      <c r="B348" s="39"/>
    </row>
    <row r="349" spans="2:2" x14ac:dyDescent="0.25">
      <c r="B349" s="39"/>
    </row>
    <row r="350" spans="2:2" x14ac:dyDescent="0.25">
      <c r="B350" s="39"/>
    </row>
    <row r="351" spans="2:2" x14ac:dyDescent="0.25">
      <c r="B351" s="39"/>
    </row>
    <row r="352" spans="2:2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195">
    <sortState ref="B4:AC195">
      <sortCondition descending="1" ref="U3:U195"/>
    </sortState>
  </autoFilter>
  <sortState ref="B4:L180">
    <sortCondition ref="C4:C180"/>
    <sortCondition descending="1" ref="F4:F180"/>
    <sortCondition ref="B4:B180"/>
  </sortState>
  <mergeCells count="4">
    <mergeCell ref="B1:C2"/>
    <mergeCell ref="T2:U2"/>
    <mergeCell ref="V2:Y2"/>
    <mergeCell ref="Z2:AC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llput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N200"/>
  <sheetViews>
    <sheetView topLeftCell="G1" zoomScale="80" zoomScaleNormal="80" workbookViewId="0">
      <selection activeCell="O20" sqref="O20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44"/>
      <c r="C1" s="44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45"/>
      <c r="C2" s="45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1819</v>
      </c>
      <c r="H3" s="19" t="s">
        <v>1822</v>
      </c>
      <c r="I3" s="19" t="s">
        <v>1815</v>
      </c>
      <c r="J3" s="19" t="s">
        <v>1816</v>
      </c>
      <c r="K3" s="19" t="s">
        <v>1817</v>
      </c>
      <c r="L3" s="19" t="s">
        <v>1818</v>
      </c>
      <c r="M3" s="19"/>
      <c r="N3" s="19"/>
      <c r="O3" s="19" t="s">
        <v>1826</v>
      </c>
      <c r="P3" s="19" t="s">
        <v>1827</v>
      </c>
      <c r="Q3" s="19" t="s">
        <v>1843</v>
      </c>
      <c r="R3" s="19" t="s">
        <v>1844</v>
      </c>
      <c r="S3" s="19" t="s">
        <v>1842</v>
      </c>
      <c r="T3" s="19" t="s">
        <v>1845</v>
      </c>
      <c r="U3" s="19" t="s">
        <v>1828</v>
      </c>
    </row>
    <row r="4" spans="1:118" x14ac:dyDescent="0.25">
      <c r="A4" s="1"/>
      <c r="B4" s="25">
        <v>43496</v>
      </c>
      <c r="C4" s="10" t="s">
        <v>44</v>
      </c>
      <c r="D4" s="1">
        <v>1490</v>
      </c>
      <c r="E4" s="30">
        <v>400</v>
      </c>
      <c r="F4" s="1">
        <v>1300</v>
      </c>
      <c r="G4" s="1">
        <v>4.9000000000000004</v>
      </c>
      <c r="H4" s="1">
        <v>800</v>
      </c>
      <c r="I4" s="1">
        <v>3200</v>
      </c>
      <c r="J4" s="1">
        <v>2.65</v>
      </c>
      <c r="K4" s="1">
        <v>8.85</v>
      </c>
      <c r="L4" s="1">
        <v>2400</v>
      </c>
      <c r="M4" s="36"/>
      <c r="N4" s="1"/>
      <c r="O4" s="7">
        <f t="shared" ref="O4:O67" si="0">G4/D4</f>
        <v>3.288590604026846E-3</v>
      </c>
      <c r="P4" s="7">
        <f t="shared" ref="P4:P67" ca="1" si="1">O4/(B4-TODAY())</f>
        <v>-7.4571215510812831E-6</v>
      </c>
      <c r="Q4" s="7">
        <f t="shared" ref="Q4:Q67" si="2">R4/D4-1</f>
        <v>-0.22550335570469804</v>
      </c>
      <c r="R4" s="33">
        <f t="shared" ref="R4:R67" si="3">mrigxl_stockquote(C4)</f>
        <v>1154</v>
      </c>
      <c r="S4" s="33">
        <f t="shared" ref="S4:S67" si="4">(MIN(F4,R4)-D4+G4)*E4</f>
        <v>-132440</v>
      </c>
      <c r="T4" s="7">
        <f t="shared" ref="T4:T67" si="5">S4/U4</f>
        <v>-0.22221476510067115</v>
      </c>
      <c r="U4" s="33">
        <f t="shared" ref="U4:U67" si="6">E4*D4</f>
        <v>596000</v>
      </c>
    </row>
    <row r="5" spans="1:118" x14ac:dyDescent="0.25">
      <c r="A5" s="1"/>
      <c r="B5" s="25">
        <v>43496</v>
      </c>
      <c r="C5" s="10" t="s">
        <v>86</v>
      </c>
      <c r="D5" s="1">
        <v>46.55</v>
      </c>
      <c r="E5" s="30">
        <v>11000</v>
      </c>
      <c r="F5" s="1">
        <v>39</v>
      </c>
      <c r="G5" s="1">
        <v>0.55000000000000004</v>
      </c>
      <c r="H5" s="1">
        <v>13000</v>
      </c>
      <c r="I5" s="1">
        <v>52000</v>
      </c>
      <c r="J5" s="1">
        <v>0.45</v>
      </c>
      <c r="K5" s="1">
        <v>0.65</v>
      </c>
      <c r="L5" s="1">
        <v>26000</v>
      </c>
      <c r="M5" s="36"/>
      <c r="N5" s="1"/>
      <c r="O5" s="7">
        <f t="shared" si="0"/>
        <v>1.1815252416756178E-2</v>
      </c>
      <c r="P5" s="7">
        <f t="shared" ca="1" si="1"/>
        <v>-2.6791955593551423E-5</v>
      </c>
      <c r="Q5" s="7">
        <f t="shared" si="2"/>
        <v>7.303974221267473E-2</v>
      </c>
      <c r="R5" s="33">
        <f t="shared" si="3"/>
        <v>49.95</v>
      </c>
      <c r="S5" s="33">
        <f t="shared" si="4"/>
        <v>-76999.999999999971</v>
      </c>
      <c r="T5" s="7">
        <f t="shared" si="5"/>
        <v>-0.15037593984962402</v>
      </c>
      <c r="U5" s="33">
        <f t="shared" si="6"/>
        <v>512049.99999999994</v>
      </c>
    </row>
    <row r="6" spans="1:118" x14ac:dyDescent="0.25">
      <c r="A6" s="1"/>
      <c r="B6" s="25">
        <v>43496</v>
      </c>
      <c r="C6" s="10" t="s">
        <v>86</v>
      </c>
      <c r="D6" s="1">
        <v>46.55</v>
      </c>
      <c r="E6" s="30">
        <v>11000</v>
      </c>
      <c r="F6" s="1">
        <v>40</v>
      </c>
      <c r="G6" s="1">
        <v>0.7</v>
      </c>
      <c r="H6" s="1">
        <v>299000</v>
      </c>
      <c r="I6" s="1">
        <v>117000</v>
      </c>
      <c r="J6" s="1">
        <v>0.6</v>
      </c>
      <c r="K6" s="1">
        <v>0.8</v>
      </c>
      <c r="L6" s="1">
        <v>26000</v>
      </c>
      <c r="M6" s="36"/>
      <c r="N6" s="1"/>
      <c r="O6" s="7">
        <f t="shared" si="0"/>
        <v>1.5037593984962405E-2</v>
      </c>
      <c r="P6" s="7">
        <f t="shared" ca="1" si="1"/>
        <v>-3.4098852573610897E-5</v>
      </c>
      <c r="Q6" s="7">
        <f t="shared" si="2"/>
        <v>7.303974221267473E-2</v>
      </c>
      <c r="R6" s="33">
        <f t="shared" si="3"/>
        <v>49.95</v>
      </c>
      <c r="S6" s="33">
        <f t="shared" si="4"/>
        <v>-64349.999999999964</v>
      </c>
      <c r="T6" s="7">
        <f t="shared" si="5"/>
        <v>-0.1256713211600429</v>
      </c>
      <c r="U6" s="33">
        <f t="shared" si="6"/>
        <v>512049.99999999994</v>
      </c>
    </row>
    <row r="7" spans="1:118" x14ac:dyDescent="0.25">
      <c r="A7" s="1"/>
      <c r="B7" s="25">
        <v>43496</v>
      </c>
      <c r="C7" s="10" t="s">
        <v>103</v>
      </c>
      <c r="D7" s="1">
        <v>220.35</v>
      </c>
      <c r="E7" s="30">
        <v>2500</v>
      </c>
      <c r="F7" s="1">
        <v>200</v>
      </c>
      <c r="G7" s="1">
        <v>2.5</v>
      </c>
      <c r="H7" s="1">
        <v>5000</v>
      </c>
      <c r="I7" s="1">
        <v>42500</v>
      </c>
      <c r="J7" s="1">
        <v>1.6</v>
      </c>
      <c r="K7" s="1">
        <v>3.1</v>
      </c>
      <c r="L7" s="1">
        <v>40000</v>
      </c>
      <c r="M7" s="36"/>
      <c r="N7" s="1"/>
      <c r="O7" s="7">
        <f t="shared" si="0"/>
        <v>1.1345586566825504E-2</v>
      </c>
      <c r="P7" s="7">
        <f t="shared" ca="1" si="1"/>
        <v>-2.5726953666270984E-5</v>
      </c>
      <c r="Q7" s="7">
        <f t="shared" si="2"/>
        <v>-0.21488540957567503</v>
      </c>
      <c r="R7" s="33">
        <f t="shared" si="3"/>
        <v>173</v>
      </c>
      <c r="S7" s="33">
        <f t="shared" si="4"/>
        <v>-112124.99999999999</v>
      </c>
      <c r="T7" s="7">
        <f t="shared" si="5"/>
        <v>-0.20353982300884954</v>
      </c>
      <c r="U7" s="33">
        <f t="shared" si="6"/>
        <v>550875</v>
      </c>
    </row>
    <row r="8" spans="1:118" x14ac:dyDescent="0.25">
      <c r="A8" s="1"/>
      <c r="B8" s="25">
        <v>43496</v>
      </c>
      <c r="C8" s="10" t="s">
        <v>103</v>
      </c>
      <c r="D8" s="1">
        <v>220.35</v>
      </c>
      <c r="E8" s="30">
        <v>2500</v>
      </c>
      <c r="F8" s="1">
        <v>205</v>
      </c>
      <c r="G8" s="1">
        <v>2.8</v>
      </c>
      <c r="H8" s="1">
        <v>10000</v>
      </c>
      <c r="I8" s="1">
        <v>30000</v>
      </c>
      <c r="J8" s="1">
        <v>2.7</v>
      </c>
      <c r="K8" s="1">
        <v>4.05</v>
      </c>
      <c r="L8" s="1">
        <v>40000</v>
      </c>
      <c r="M8" s="36"/>
      <c r="N8" s="1"/>
      <c r="O8" s="7">
        <f t="shared" si="0"/>
        <v>1.2707056954844566E-2</v>
      </c>
      <c r="P8" s="7">
        <f t="shared" ca="1" si="1"/>
        <v>-2.8814188106223505E-5</v>
      </c>
      <c r="Q8" s="7">
        <f t="shared" si="2"/>
        <v>-0.21488540957567503</v>
      </c>
      <c r="R8" s="33">
        <f t="shared" si="3"/>
        <v>173</v>
      </c>
      <c r="S8" s="33">
        <f t="shared" si="4"/>
        <v>-111375</v>
      </c>
      <c r="T8" s="7">
        <f t="shared" si="5"/>
        <v>-0.2021783526208305</v>
      </c>
      <c r="U8" s="33">
        <f t="shared" si="6"/>
        <v>550875</v>
      </c>
    </row>
    <row r="9" spans="1:118" x14ac:dyDescent="0.25">
      <c r="A9" s="1"/>
      <c r="B9" s="25">
        <v>43496</v>
      </c>
      <c r="C9" s="10" t="s">
        <v>154</v>
      </c>
      <c r="D9" s="1">
        <v>1389.7</v>
      </c>
      <c r="E9" s="30">
        <v>600</v>
      </c>
      <c r="F9" s="1">
        <v>1260</v>
      </c>
      <c r="G9" s="1">
        <v>5</v>
      </c>
      <c r="H9" s="1">
        <v>1200</v>
      </c>
      <c r="I9" s="1">
        <v>6000</v>
      </c>
      <c r="J9" s="1">
        <v>3.25</v>
      </c>
      <c r="K9" s="1">
        <v>11.4</v>
      </c>
      <c r="L9" s="1">
        <v>6000</v>
      </c>
      <c r="M9" s="36"/>
      <c r="N9" s="1"/>
      <c r="O9" s="7">
        <f t="shared" si="0"/>
        <v>3.5978988270849821E-3</v>
      </c>
      <c r="P9" s="7">
        <f t="shared" ca="1" si="1"/>
        <v>-8.158500741689301E-6</v>
      </c>
      <c r="Q9" s="7">
        <f t="shared" si="2"/>
        <v>0.24267827588688196</v>
      </c>
      <c r="R9" s="33">
        <f t="shared" si="3"/>
        <v>1726.95</v>
      </c>
      <c r="S9" s="33">
        <f t="shared" si="4"/>
        <v>-74820.000000000029</v>
      </c>
      <c r="T9" s="7">
        <f t="shared" si="5"/>
        <v>-8.973159674749949E-2</v>
      </c>
      <c r="U9" s="33">
        <f t="shared" si="6"/>
        <v>833820</v>
      </c>
    </row>
    <row r="10" spans="1:118" x14ac:dyDescent="0.25">
      <c r="A10" s="1"/>
      <c r="B10" s="25">
        <v>43496</v>
      </c>
      <c r="C10" s="10" t="s">
        <v>154</v>
      </c>
      <c r="D10" s="1">
        <v>1389.7</v>
      </c>
      <c r="E10" s="30">
        <v>600</v>
      </c>
      <c r="F10" s="1">
        <v>1280</v>
      </c>
      <c r="G10" s="1">
        <v>7</v>
      </c>
      <c r="H10" s="1">
        <v>1200</v>
      </c>
      <c r="I10" s="1">
        <v>6000</v>
      </c>
      <c r="J10" s="1">
        <v>5.0999999999999996</v>
      </c>
      <c r="K10" s="1">
        <v>11</v>
      </c>
      <c r="L10" s="1">
        <v>600</v>
      </c>
      <c r="M10" s="36"/>
      <c r="N10" s="1"/>
      <c r="O10" s="7">
        <f t="shared" si="0"/>
        <v>5.0370583579189753E-3</v>
      </c>
      <c r="P10" s="7">
        <f t="shared" ca="1" si="1"/>
        <v>-1.1421901038365023E-5</v>
      </c>
      <c r="Q10" s="7">
        <f t="shared" si="2"/>
        <v>0.24267827588688196</v>
      </c>
      <c r="R10" s="33">
        <f t="shared" si="3"/>
        <v>1726.95</v>
      </c>
      <c r="S10" s="33">
        <f t="shared" si="4"/>
        <v>-61620.000000000029</v>
      </c>
      <c r="T10" s="7">
        <f t="shared" si="5"/>
        <v>-7.3900841908325576E-2</v>
      </c>
      <c r="U10" s="33">
        <f t="shared" si="6"/>
        <v>833820</v>
      </c>
    </row>
    <row r="11" spans="1:118" x14ac:dyDescent="0.25">
      <c r="A11" s="1"/>
      <c r="B11" s="25">
        <v>43496</v>
      </c>
      <c r="C11" s="10" t="s">
        <v>16</v>
      </c>
      <c r="D11" s="1">
        <v>719</v>
      </c>
      <c r="E11" s="30">
        <v>1000</v>
      </c>
      <c r="F11" s="1">
        <v>620</v>
      </c>
      <c r="G11" s="1">
        <v>5.05</v>
      </c>
      <c r="H11" s="1">
        <v>1000</v>
      </c>
      <c r="I11" s="1">
        <v>9000</v>
      </c>
      <c r="J11" s="1">
        <v>2.4500000000000002</v>
      </c>
      <c r="K11" s="1">
        <v>6.65</v>
      </c>
      <c r="L11" s="1">
        <v>10000</v>
      </c>
      <c r="M11" s="36"/>
      <c r="N11" s="1"/>
      <c r="O11" s="7">
        <f t="shared" si="0"/>
        <v>7.0236439499304585E-3</v>
      </c>
      <c r="P11" s="7">
        <f t="shared" ca="1" si="1"/>
        <v>-1.5926630271951152E-5</v>
      </c>
      <c r="Q11" s="7">
        <f t="shared" si="2"/>
        <v>-0.26147426981919331</v>
      </c>
      <c r="R11" s="33">
        <f t="shared" si="3"/>
        <v>531</v>
      </c>
      <c r="S11" s="33">
        <f t="shared" si="4"/>
        <v>-182950</v>
      </c>
      <c r="T11" s="7">
        <f t="shared" si="5"/>
        <v>-0.25445062586926287</v>
      </c>
      <c r="U11" s="33">
        <f t="shared" si="6"/>
        <v>719000</v>
      </c>
    </row>
    <row r="12" spans="1:118" x14ac:dyDescent="0.25">
      <c r="A12" s="1"/>
      <c r="B12" s="25">
        <v>43496</v>
      </c>
      <c r="C12" s="10" t="s">
        <v>16</v>
      </c>
      <c r="D12" s="1">
        <v>719</v>
      </c>
      <c r="E12" s="30">
        <v>1000</v>
      </c>
      <c r="F12" s="1">
        <v>640</v>
      </c>
      <c r="G12" s="1">
        <v>6</v>
      </c>
      <c r="H12" s="1">
        <v>12000</v>
      </c>
      <c r="I12" s="1">
        <v>22000</v>
      </c>
      <c r="J12" s="1">
        <v>5.25</v>
      </c>
      <c r="K12" s="1">
        <v>7.7</v>
      </c>
      <c r="L12" s="1">
        <v>8000</v>
      </c>
      <c r="M12" s="36"/>
      <c r="N12" s="1"/>
      <c r="O12" s="7">
        <f t="shared" si="0"/>
        <v>8.3449235048678721E-3</v>
      </c>
      <c r="P12" s="7">
        <f t="shared" ca="1" si="1"/>
        <v>-1.892272903598157E-5</v>
      </c>
      <c r="Q12" s="7">
        <f t="shared" si="2"/>
        <v>-0.26147426981919331</v>
      </c>
      <c r="R12" s="33">
        <f t="shared" si="3"/>
        <v>531</v>
      </c>
      <c r="S12" s="33">
        <f t="shared" si="4"/>
        <v>-182000</v>
      </c>
      <c r="T12" s="7">
        <f t="shared" si="5"/>
        <v>-0.25312934631432543</v>
      </c>
      <c r="U12" s="33">
        <f t="shared" si="6"/>
        <v>719000</v>
      </c>
    </row>
    <row r="13" spans="1:118" x14ac:dyDescent="0.25">
      <c r="A13" s="1"/>
      <c r="B13" s="25">
        <v>43496</v>
      </c>
      <c r="C13" s="10" t="s">
        <v>16</v>
      </c>
      <c r="D13" s="1">
        <v>719</v>
      </c>
      <c r="E13" s="30">
        <v>1000</v>
      </c>
      <c r="F13" s="1">
        <v>660</v>
      </c>
      <c r="G13" s="1">
        <v>9.25</v>
      </c>
      <c r="H13" s="1">
        <v>40000</v>
      </c>
      <c r="I13" s="1">
        <v>6000</v>
      </c>
      <c r="J13" s="1">
        <v>9.4499999999999993</v>
      </c>
      <c r="K13" s="1">
        <v>9.5</v>
      </c>
      <c r="L13" s="1">
        <v>1000</v>
      </c>
      <c r="M13" s="36"/>
      <c r="N13" s="1"/>
      <c r="O13" s="7">
        <f t="shared" si="0"/>
        <v>1.286509040333797E-2</v>
      </c>
      <c r="P13" s="7">
        <f t="shared" ca="1" si="1"/>
        <v>-2.9172540597138253E-5</v>
      </c>
      <c r="Q13" s="7">
        <f t="shared" si="2"/>
        <v>-0.26147426981919331</v>
      </c>
      <c r="R13" s="33">
        <f t="shared" si="3"/>
        <v>531</v>
      </c>
      <c r="S13" s="33">
        <f t="shared" si="4"/>
        <v>-178750</v>
      </c>
      <c r="T13" s="7">
        <f t="shared" si="5"/>
        <v>-0.24860917941585536</v>
      </c>
      <c r="U13" s="33">
        <f t="shared" si="6"/>
        <v>719000</v>
      </c>
    </row>
    <row r="14" spans="1:118" x14ac:dyDescent="0.25">
      <c r="A14" s="1"/>
      <c r="B14" s="25">
        <v>43496</v>
      </c>
      <c r="C14" s="10" t="s">
        <v>180</v>
      </c>
      <c r="D14" s="1">
        <v>621.65</v>
      </c>
      <c r="E14" s="30">
        <v>1200</v>
      </c>
      <c r="F14" s="1">
        <v>540</v>
      </c>
      <c r="G14" s="1">
        <v>4</v>
      </c>
      <c r="H14" s="1">
        <v>19200</v>
      </c>
      <c r="I14" s="1">
        <v>1200</v>
      </c>
      <c r="J14" s="1">
        <v>2</v>
      </c>
      <c r="K14" s="1">
        <v>4.25</v>
      </c>
      <c r="L14" s="1">
        <v>1200</v>
      </c>
      <c r="M14" s="36"/>
      <c r="N14" s="1"/>
      <c r="O14" s="7">
        <f t="shared" si="0"/>
        <v>6.4344888602911607E-3</v>
      </c>
      <c r="P14" s="7">
        <f t="shared" ca="1" si="1"/>
        <v>-1.4590677687735059E-5</v>
      </c>
      <c r="Q14" s="7">
        <f t="shared" si="2"/>
        <v>-0.28536958095391296</v>
      </c>
      <c r="R14" s="33">
        <f t="shared" si="3"/>
        <v>444.25</v>
      </c>
      <c r="S14" s="33">
        <f t="shared" si="4"/>
        <v>-208079.99999999997</v>
      </c>
      <c r="T14" s="7">
        <f t="shared" si="5"/>
        <v>-0.27893509209362177</v>
      </c>
      <c r="U14" s="33">
        <f t="shared" si="6"/>
        <v>745980</v>
      </c>
    </row>
    <row r="15" spans="1:118" x14ac:dyDescent="0.25">
      <c r="A15" s="1"/>
      <c r="B15" s="25">
        <v>43496</v>
      </c>
      <c r="C15" s="10" t="s">
        <v>180</v>
      </c>
      <c r="D15" s="1">
        <v>621.65</v>
      </c>
      <c r="E15" s="30">
        <v>1200</v>
      </c>
      <c r="F15" s="1">
        <v>550</v>
      </c>
      <c r="G15" s="1">
        <v>5</v>
      </c>
      <c r="H15" s="1">
        <v>31200</v>
      </c>
      <c r="I15" s="1">
        <v>7200</v>
      </c>
      <c r="J15" s="1">
        <v>2.5499999999999998</v>
      </c>
      <c r="K15" s="1">
        <v>6.35</v>
      </c>
      <c r="L15" s="1">
        <v>12000</v>
      </c>
      <c r="M15" s="36"/>
      <c r="N15" s="1"/>
      <c r="O15" s="7">
        <f t="shared" si="0"/>
        <v>8.0431110753639515E-3</v>
      </c>
      <c r="P15" s="7">
        <f t="shared" ca="1" si="1"/>
        <v>-1.8238347109668825E-5</v>
      </c>
      <c r="Q15" s="7">
        <f t="shared" si="2"/>
        <v>-0.28536958095391296</v>
      </c>
      <c r="R15" s="33">
        <f t="shared" si="3"/>
        <v>444.25</v>
      </c>
      <c r="S15" s="33">
        <f t="shared" si="4"/>
        <v>-206879.99999999997</v>
      </c>
      <c r="T15" s="7">
        <f t="shared" si="5"/>
        <v>-0.27732646987854898</v>
      </c>
      <c r="U15" s="33">
        <f t="shared" si="6"/>
        <v>745980</v>
      </c>
    </row>
    <row r="16" spans="1:118" x14ac:dyDescent="0.25">
      <c r="A16" s="1"/>
      <c r="B16" s="25">
        <v>43496</v>
      </c>
      <c r="C16" s="10" t="s">
        <v>180</v>
      </c>
      <c r="D16" s="1">
        <v>621.65</v>
      </c>
      <c r="E16" s="30">
        <v>1200</v>
      </c>
      <c r="F16" s="1">
        <v>560</v>
      </c>
      <c r="G16" s="1">
        <v>6.5</v>
      </c>
      <c r="H16" s="1">
        <v>39600</v>
      </c>
      <c r="I16" s="1">
        <v>9600</v>
      </c>
      <c r="J16" s="1">
        <v>4.95</v>
      </c>
      <c r="K16" s="1">
        <v>6.25</v>
      </c>
      <c r="L16" s="1">
        <v>1200</v>
      </c>
      <c r="M16" s="36"/>
      <c r="N16" s="1"/>
      <c r="O16" s="7">
        <f t="shared" si="0"/>
        <v>1.0456044397973136E-2</v>
      </c>
      <c r="P16" s="7">
        <f t="shared" ca="1" si="1"/>
        <v>-2.3709851242569471E-5</v>
      </c>
      <c r="Q16" s="7">
        <f t="shared" si="2"/>
        <v>-0.28536958095391296</v>
      </c>
      <c r="R16" s="33">
        <f t="shared" si="3"/>
        <v>444.25</v>
      </c>
      <c r="S16" s="33">
        <f t="shared" si="4"/>
        <v>-205079.99999999997</v>
      </c>
      <c r="T16" s="7">
        <f t="shared" si="5"/>
        <v>-0.27491353655593981</v>
      </c>
      <c r="U16" s="33">
        <f t="shared" si="6"/>
        <v>745980</v>
      </c>
    </row>
    <row r="17" spans="1:21" x14ac:dyDescent="0.25">
      <c r="A17" s="1"/>
      <c r="B17" s="25">
        <v>43496</v>
      </c>
      <c r="C17" s="10" t="s">
        <v>204</v>
      </c>
      <c r="D17" s="1">
        <v>115.05</v>
      </c>
      <c r="E17" s="30">
        <v>4000</v>
      </c>
      <c r="F17" s="1">
        <v>95</v>
      </c>
      <c r="G17" s="1">
        <v>2.6</v>
      </c>
      <c r="H17" s="1">
        <v>4000</v>
      </c>
      <c r="I17" s="1">
        <v>40000</v>
      </c>
      <c r="J17" s="1">
        <v>0.55000000000000004</v>
      </c>
      <c r="K17" s="1">
        <v>1.1000000000000001</v>
      </c>
      <c r="L17" s="1">
        <v>20000</v>
      </c>
      <c r="M17" s="36"/>
      <c r="N17" s="1"/>
      <c r="O17" s="7">
        <f t="shared" si="0"/>
        <v>2.2598870056497175E-2</v>
      </c>
      <c r="P17" s="7">
        <f t="shared" ca="1" si="1"/>
        <v>-5.1244603302714683E-5</v>
      </c>
      <c r="Q17" s="7">
        <f t="shared" si="2"/>
        <v>-0.55932203389830504</v>
      </c>
      <c r="R17" s="33">
        <f t="shared" si="3"/>
        <v>50.7</v>
      </c>
      <c r="S17" s="33">
        <f t="shared" si="4"/>
        <v>-246999.99999999997</v>
      </c>
      <c r="T17" s="7">
        <f t="shared" si="5"/>
        <v>-0.53672316384180785</v>
      </c>
      <c r="U17" s="33">
        <f t="shared" si="6"/>
        <v>460200</v>
      </c>
    </row>
    <row r="18" spans="1:21" x14ac:dyDescent="0.25">
      <c r="A18" s="1"/>
      <c r="B18" s="25">
        <v>43496</v>
      </c>
      <c r="C18" s="10" t="s">
        <v>204</v>
      </c>
      <c r="D18" s="1">
        <v>115.05</v>
      </c>
      <c r="E18" s="30">
        <v>4000</v>
      </c>
      <c r="F18" s="1">
        <v>100</v>
      </c>
      <c r="G18" s="1">
        <v>1.4</v>
      </c>
      <c r="H18" s="1">
        <v>108000</v>
      </c>
      <c r="I18" s="1">
        <v>12000</v>
      </c>
      <c r="J18" s="1">
        <v>1.2</v>
      </c>
      <c r="K18" s="1">
        <v>1.5</v>
      </c>
      <c r="L18" s="1">
        <v>4000</v>
      </c>
      <c r="M18" s="36"/>
      <c r="N18" s="1"/>
      <c r="O18" s="7">
        <f t="shared" si="0"/>
        <v>1.2168622338113864E-2</v>
      </c>
      <c r="P18" s="7">
        <f t="shared" ca="1" si="1"/>
        <v>-2.7593247932230984E-5</v>
      </c>
      <c r="Q18" s="7">
        <f t="shared" si="2"/>
        <v>-0.55932203389830504</v>
      </c>
      <c r="R18" s="33">
        <f t="shared" si="3"/>
        <v>50.7</v>
      </c>
      <c r="S18" s="33">
        <f t="shared" si="4"/>
        <v>-251799.99999999997</v>
      </c>
      <c r="T18" s="7">
        <f t="shared" si="5"/>
        <v>-0.54715341156019115</v>
      </c>
      <c r="U18" s="33">
        <f t="shared" si="6"/>
        <v>460200</v>
      </c>
    </row>
    <row r="19" spans="1:21" x14ac:dyDescent="0.25">
      <c r="A19" s="1"/>
      <c r="B19" s="25">
        <v>43496</v>
      </c>
      <c r="C19" s="10" t="s">
        <v>204</v>
      </c>
      <c r="D19" s="1">
        <v>115.05</v>
      </c>
      <c r="E19" s="30">
        <v>4000</v>
      </c>
      <c r="F19" s="1">
        <v>105</v>
      </c>
      <c r="G19" s="1">
        <v>2.4500000000000002</v>
      </c>
      <c r="H19" s="1">
        <v>52000</v>
      </c>
      <c r="I19" s="1">
        <v>32000</v>
      </c>
      <c r="J19" s="1">
        <v>2.1</v>
      </c>
      <c r="K19" s="1">
        <v>2.7</v>
      </c>
      <c r="L19" s="1">
        <v>16000</v>
      </c>
      <c r="M19" s="36"/>
      <c r="N19" s="1"/>
      <c r="O19" s="7">
        <f t="shared" si="0"/>
        <v>2.1295089091699262E-2</v>
      </c>
      <c r="P19" s="7">
        <f t="shared" ca="1" si="1"/>
        <v>-4.8288183881404226E-5</v>
      </c>
      <c r="Q19" s="7">
        <f t="shared" si="2"/>
        <v>-0.55932203389830504</v>
      </c>
      <c r="R19" s="33">
        <f t="shared" si="3"/>
        <v>50.7</v>
      </c>
      <c r="S19" s="33">
        <f t="shared" si="4"/>
        <v>-247599.99999999997</v>
      </c>
      <c r="T19" s="7">
        <f t="shared" si="5"/>
        <v>-0.53802694480660573</v>
      </c>
      <c r="U19" s="33">
        <f t="shared" si="6"/>
        <v>460200</v>
      </c>
    </row>
    <row r="20" spans="1:21" x14ac:dyDescent="0.25">
      <c r="A20" s="1"/>
      <c r="B20" s="25">
        <v>43496</v>
      </c>
      <c r="C20" s="10" t="s">
        <v>206</v>
      </c>
      <c r="D20" s="1">
        <v>98.45</v>
      </c>
      <c r="E20" s="30">
        <v>6000</v>
      </c>
      <c r="F20" s="1">
        <v>75</v>
      </c>
      <c r="G20" s="1">
        <v>1.85</v>
      </c>
      <c r="H20" s="1">
        <v>6000</v>
      </c>
      <c r="I20" s="1">
        <v>6000</v>
      </c>
      <c r="J20" s="1">
        <v>0.3</v>
      </c>
      <c r="K20" s="1">
        <v>0.65</v>
      </c>
      <c r="L20" s="1">
        <v>36000</v>
      </c>
      <c r="M20" s="36"/>
      <c r="N20" s="1"/>
      <c r="O20" s="7">
        <f t="shared" si="0"/>
        <v>1.8791264601320468E-2</v>
      </c>
      <c r="P20" s="7">
        <f t="shared" ca="1" si="1"/>
        <v>-4.2610577327257297E-5</v>
      </c>
      <c r="Q20" s="7">
        <f t="shared" si="2"/>
        <v>-0.6505840528186897</v>
      </c>
      <c r="R20" s="33">
        <f t="shared" si="3"/>
        <v>34.4</v>
      </c>
      <c r="S20" s="33">
        <f t="shared" si="4"/>
        <v>-373200.00000000006</v>
      </c>
      <c r="T20" s="7">
        <f t="shared" si="5"/>
        <v>-0.63179278821736928</v>
      </c>
      <c r="U20" s="33">
        <f t="shared" si="6"/>
        <v>590700</v>
      </c>
    </row>
    <row r="21" spans="1:21" x14ac:dyDescent="0.25">
      <c r="A21" s="1"/>
      <c r="B21" s="25">
        <v>43496</v>
      </c>
      <c r="C21" s="10" t="s">
        <v>206</v>
      </c>
      <c r="D21" s="1">
        <v>98.45</v>
      </c>
      <c r="E21" s="30">
        <v>6000</v>
      </c>
      <c r="F21" s="1">
        <v>82.5</v>
      </c>
      <c r="G21" s="1">
        <v>2.5</v>
      </c>
      <c r="H21" s="1">
        <v>30000</v>
      </c>
      <c r="I21" s="1">
        <v>24000</v>
      </c>
      <c r="J21" s="1">
        <v>0.85</v>
      </c>
      <c r="K21" s="1">
        <v>1.45</v>
      </c>
      <c r="L21" s="1">
        <v>36000</v>
      </c>
      <c r="M21" s="36"/>
      <c r="N21" s="1"/>
      <c r="O21" s="7">
        <f t="shared" si="0"/>
        <v>2.5393600812595226E-2</v>
      </c>
      <c r="P21" s="7">
        <f t="shared" ca="1" si="1"/>
        <v>-5.75818612530504E-5</v>
      </c>
      <c r="Q21" s="7">
        <f t="shared" si="2"/>
        <v>-0.6505840528186897</v>
      </c>
      <c r="R21" s="33">
        <f t="shared" si="3"/>
        <v>34.4</v>
      </c>
      <c r="S21" s="33">
        <f t="shared" si="4"/>
        <v>-369300.00000000006</v>
      </c>
      <c r="T21" s="7">
        <f t="shared" si="5"/>
        <v>-0.62519045200609458</v>
      </c>
      <c r="U21" s="33">
        <f t="shared" si="6"/>
        <v>590700</v>
      </c>
    </row>
    <row r="22" spans="1:21" x14ac:dyDescent="0.25">
      <c r="A22" s="1"/>
      <c r="B22" s="25">
        <v>43496</v>
      </c>
      <c r="C22" s="10" t="s">
        <v>206</v>
      </c>
      <c r="D22" s="1">
        <v>98.45</v>
      </c>
      <c r="E22" s="30">
        <v>6000</v>
      </c>
      <c r="F22" s="1">
        <v>85</v>
      </c>
      <c r="G22" s="1">
        <v>1.7</v>
      </c>
      <c r="H22" s="1">
        <v>120000</v>
      </c>
      <c r="I22" s="1">
        <v>6000</v>
      </c>
      <c r="J22" s="1">
        <v>1.4</v>
      </c>
      <c r="K22" s="1">
        <v>1.7</v>
      </c>
      <c r="L22" s="1">
        <v>42000</v>
      </c>
      <c r="M22" s="36"/>
      <c r="N22" s="1"/>
      <c r="O22" s="7">
        <f t="shared" si="0"/>
        <v>1.7267648552564754E-2</v>
      </c>
      <c r="P22" s="7">
        <f t="shared" ca="1" si="1"/>
        <v>-3.9155665652074273E-5</v>
      </c>
      <c r="Q22" s="7">
        <f t="shared" si="2"/>
        <v>-0.6505840528186897</v>
      </c>
      <c r="R22" s="33">
        <f t="shared" si="3"/>
        <v>34.4</v>
      </c>
      <c r="S22" s="33">
        <f t="shared" si="4"/>
        <v>-374100.00000000006</v>
      </c>
      <c r="T22" s="7">
        <f t="shared" si="5"/>
        <v>-0.63331640426612501</v>
      </c>
      <c r="U22" s="33">
        <f t="shared" si="6"/>
        <v>590700</v>
      </c>
    </row>
    <row r="23" spans="1:21" x14ac:dyDescent="0.25">
      <c r="A23" s="1"/>
      <c r="B23" s="25">
        <v>43496</v>
      </c>
      <c r="C23" s="10" t="s">
        <v>206</v>
      </c>
      <c r="D23" s="1">
        <v>98.45</v>
      </c>
      <c r="E23" s="30">
        <v>6000</v>
      </c>
      <c r="F23" s="1">
        <v>87.5</v>
      </c>
      <c r="G23" s="1">
        <v>2.2000000000000002</v>
      </c>
      <c r="H23" s="1">
        <v>12000</v>
      </c>
      <c r="I23" s="1">
        <v>24000</v>
      </c>
      <c r="J23" s="1">
        <v>1.75</v>
      </c>
      <c r="K23" s="1">
        <v>2.2999999999999998</v>
      </c>
      <c r="L23" s="1">
        <v>24000</v>
      </c>
      <c r="M23" s="36"/>
      <c r="N23" s="1"/>
      <c r="O23" s="7">
        <f t="shared" si="0"/>
        <v>2.23463687150838E-2</v>
      </c>
      <c r="P23" s="7">
        <f t="shared" ca="1" si="1"/>
        <v>-5.0672037902684353E-5</v>
      </c>
      <c r="Q23" s="7">
        <f t="shared" si="2"/>
        <v>-0.6505840528186897</v>
      </c>
      <c r="R23" s="33">
        <f t="shared" si="3"/>
        <v>34.4</v>
      </c>
      <c r="S23" s="33">
        <f t="shared" si="4"/>
        <v>-371100.00000000006</v>
      </c>
      <c r="T23" s="7">
        <f t="shared" si="5"/>
        <v>-0.62823768410360603</v>
      </c>
      <c r="U23" s="33">
        <f t="shared" si="6"/>
        <v>590700</v>
      </c>
    </row>
    <row r="24" spans="1:21" x14ac:dyDescent="0.25">
      <c r="A24" s="1"/>
      <c r="B24" s="25">
        <v>43496</v>
      </c>
      <c r="C24" s="10" t="s">
        <v>206</v>
      </c>
      <c r="D24" s="1">
        <v>98.45</v>
      </c>
      <c r="E24" s="30">
        <v>6000</v>
      </c>
      <c r="F24" s="1">
        <v>90</v>
      </c>
      <c r="G24" s="1">
        <v>2.75</v>
      </c>
      <c r="H24" s="1">
        <v>174000</v>
      </c>
      <c r="I24" s="1">
        <v>18000</v>
      </c>
      <c r="J24" s="1">
        <v>2.5</v>
      </c>
      <c r="K24" s="1">
        <v>2.9</v>
      </c>
      <c r="L24" s="1">
        <v>24000</v>
      </c>
      <c r="M24" s="36"/>
      <c r="N24" s="1"/>
      <c r="O24" s="7">
        <f t="shared" si="0"/>
        <v>2.7932960893854747E-2</v>
      </c>
      <c r="P24" s="7">
        <f t="shared" ca="1" si="1"/>
        <v>-6.334004737835543E-5</v>
      </c>
      <c r="Q24" s="7">
        <f t="shared" si="2"/>
        <v>-0.6505840528186897</v>
      </c>
      <c r="R24" s="33">
        <f t="shared" si="3"/>
        <v>34.4</v>
      </c>
      <c r="S24" s="33">
        <f t="shared" si="4"/>
        <v>-367800.00000000006</v>
      </c>
      <c r="T24" s="7">
        <f t="shared" si="5"/>
        <v>-0.62265109192483503</v>
      </c>
      <c r="U24" s="33">
        <f t="shared" si="6"/>
        <v>590700</v>
      </c>
    </row>
    <row r="25" spans="1:21" x14ac:dyDescent="0.25">
      <c r="A25" s="1"/>
      <c r="B25" s="25">
        <v>43496</v>
      </c>
      <c r="C25" s="10" t="s">
        <v>212</v>
      </c>
      <c r="D25" s="1">
        <v>1111.3</v>
      </c>
      <c r="E25" s="30">
        <v>550</v>
      </c>
      <c r="F25" s="1">
        <v>960</v>
      </c>
      <c r="G25" s="1">
        <v>9.6999999999999993</v>
      </c>
      <c r="H25" s="1">
        <v>1100</v>
      </c>
      <c r="I25" s="1">
        <v>5500</v>
      </c>
      <c r="J25" s="1">
        <v>4.8499999999999996</v>
      </c>
      <c r="K25" s="1">
        <v>9.8000000000000007</v>
      </c>
      <c r="L25" s="1">
        <v>2200</v>
      </c>
      <c r="M25" s="36"/>
      <c r="N25" s="1"/>
      <c r="O25" s="7">
        <f t="shared" si="0"/>
        <v>8.728516152254116E-3</v>
      </c>
      <c r="P25" s="7">
        <f t="shared" ca="1" si="1"/>
        <v>-1.9792553633229287E-5</v>
      </c>
      <c r="Q25" s="7">
        <f t="shared" si="2"/>
        <v>0.11185098533249338</v>
      </c>
      <c r="R25" s="33">
        <f t="shared" si="3"/>
        <v>1235.5999999999999</v>
      </c>
      <c r="S25" s="33">
        <f t="shared" si="4"/>
        <v>-77879.999999999985</v>
      </c>
      <c r="T25" s="7">
        <f t="shared" si="5"/>
        <v>-0.12741833888238996</v>
      </c>
      <c r="U25" s="33">
        <f t="shared" si="6"/>
        <v>611215</v>
      </c>
    </row>
    <row r="26" spans="1:21" x14ac:dyDescent="0.25">
      <c r="A26" s="1"/>
      <c r="B26" s="25">
        <v>43496</v>
      </c>
      <c r="C26" s="10" t="s">
        <v>212</v>
      </c>
      <c r="D26" s="1">
        <v>1111.3</v>
      </c>
      <c r="E26" s="30">
        <v>550</v>
      </c>
      <c r="F26" s="1">
        <v>1000</v>
      </c>
      <c r="G26" s="1">
        <v>12</v>
      </c>
      <c r="H26" s="1">
        <v>2200</v>
      </c>
      <c r="I26" s="1">
        <v>3300</v>
      </c>
      <c r="J26" s="1">
        <v>11.35</v>
      </c>
      <c r="K26" s="1">
        <v>14</v>
      </c>
      <c r="L26" s="1">
        <v>550</v>
      </c>
      <c r="M26" s="36"/>
      <c r="N26" s="1"/>
      <c r="O26" s="7">
        <f t="shared" si="0"/>
        <v>1.0798164312066949E-2</v>
      </c>
      <c r="P26" s="7">
        <f t="shared" ca="1" si="1"/>
        <v>-2.448563336069603E-5</v>
      </c>
      <c r="Q26" s="7">
        <f t="shared" si="2"/>
        <v>0.11185098533249338</v>
      </c>
      <c r="R26" s="33">
        <f t="shared" si="3"/>
        <v>1235.5999999999999</v>
      </c>
      <c r="S26" s="33">
        <f t="shared" si="4"/>
        <v>-54614.999999999978</v>
      </c>
      <c r="T26" s="7">
        <f t="shared" si="5"/>
        <v>-8.9354809682353958E-2</v>
      </c>
      <c r="U26" s="33">
        <f t="shared" si="6"/>
        <v>611215</v>
      </c>
    </row>
    <row r="27" spans="1:21" x14ac:dyDescent="0.25">
      <c r="A27" s="1"/>
      <c r="B27" s="25">
        <v>43496</v>
      </c>
      <c r="C27" s="10" t="s">
        <v>220</v>
      </c>
      <c r="D27" s="1">
        <v>88.1</v>
      </c>
      <c r="E27" s="30">
        <v>6000</v>
      </c>
      <c r="F27" s="1">
        <v>75</v>
      </c>
      <c r="G27" s="1">
        <v>0.9</v>
      </c>
      <c r="H27" s="1">
        <v>18000</v>
      </c>
      <c r="I27" s="1">
        <v>48000</v>
      </c>
      <c r="J27" s="1">
        <v>0.65</v>
      </c>
      <c r="K27" s="1">
        <v>1.35</v>
      </c>
      <c r="L27" s="1">
        <v>24000</v>
      </c>
      <c r="M27" s="36"/>
      <c r="N27" s="1"/>
      <c r="O27" s="7">
        <f t="shared" si="0"/>
        <v>1.0215664018161182E-2</v>
      </c>
      <c r="P27" s="7">
        <f t="shared" ca="1" si="1"/>
        <v>-2.3164771016238509E-5</v>
      </c>
      <c r="Q27" s="7">
        <f t="shared" si="2"/>
        <v>-0.18047673098751416</v>
      </c>
      <c r="R27" s="33">
        <f t="shared" si="3"/>
        <v>72.2</v>
      </c>
      <c r="S27" s="33">
        <f t="shared" si="4"/>
        <v>-89999.999999999942</v>
      </c>
      <c r="T27" s="7">
        <f t="shared" si="5"/>
        <v>-0.17026106696935289</v>
      </c>
      <c r="U27" s="33">
        <f t="shared" si="6"/>
        <v>528600</v>
      </c>
    </row>
    <row r="28" spans="1:21" x14ac:dyDescent="0.25">
      <c r="A28" s="1"/>
      <c r="B28" s="25">
        <v>43496</v>
      </c>
      <c r="C28" s="10" t="s">
        <v>220</v>
      </c>
      <c r="D28" s="1">
        <v>88.1</v>
      </c>
      <c r="E28" s="30">
        <v>6000</v>
      </c>
      <c r="F28" s="1">
        <v>80</v>
      </c>
      <c r="G28" s="1">
        <v>1.7</v>
      </c>
      <c r="H28" s="1">
        <v>18000</v>
      </c>
      <c r="I28" s="1">
        <v>12000</v>
      </c>
      <c r="J28" s="1">
        <v>1.95</v>
      </c>
      <c r="K28" s="1">
        <v>2.6</v>
      </c>
      <c r="L28" s="1">
        <v>6000</v>
      </c>
      <c r="M28" s="36"/>
      <c r="N28" s="1"/>
      <c r="O28" s="7">
        <f t="shared" si="0"/>
        <v>1.9296254256526674E-2</v>
      </c>
      <c r="P28" s="7">
        <f t="shared" ca="1" si="1"/>
        <v>-4.3755678586228282E-5</v>
      </c>
      <c r="Q28" s="7">
        <f t="shared" si="2"/>
        <v>-0.18047673098751416</v>
      </c>
      <c r="R28" s="33">
        <f t="shared" si="3"/>
        <v>72.2</v>
      </c>
      <c r="S28" s="33">
        <f t="shared" si="4"/>
        <v>-85199.999999999956</v>
      </c>
      <c r="T28" s="7">
        <f t="shared" si="5"/>
        <v>-0.16118047673098743</v>
      </c>
      <c r="U28" s="33">
        <f t="shared" si="6"/>
        <v>528600</v>
      </c>
    </row>
    <row r="29" spans="1:21" x14ac:dyDescent="0.25">
      <c r="A29" s="1"/>
      <c r="B29" s="25">
        <v>43496</v>
      </c>
      <c r="C29" s="10" t="s">
        <v>221</v>
      </c>
      <c r="D29" s="1">
        <v>886.95</v>
      </c>
      <c r="E29" s="30">
        <v>700</v>
      </c>
      <c r="F29" s="1">
        <v>740</v>
      </c>
      <c r="G29" s="1">
        <v>8</v>
      </c>
      <c r="H29" s="1">
        <v>4900</v>
      </c>
      <c r="I29" s="1">
        <v>2800</v>
      </c>
      <c r="J29" s="1">
        <v>8.6999999999999993</v>
      </c>
      <c r="K29" s="1">
        <v>12.55</v>
      </c>
      <c r="L29" s="1">
        <v>1400</v>
      </c>
      <c r="M29" s="36"/>
      <c r="N29" s="1"/>
      <c r="O29" s="7">
        <f t="shared" si="0"/>
        <v>9.0196741642708158E-3</v>
      </c>
      <c r="P29" s="7">
        <f t="shared" ca="1" si="1"/>
        <v>-2.0452775882700261E-5</v>
      </c>
      <c r="Q29" s="7">
        <f t="shared" si="2"/>
        <v>-0.1847905744404984</v>
      </c>
      <c r="R29" s="33">
        <f t="shared" si="3"/>
        <v>723.05</v>
      </c>
      <c r="S29" s="33">
        <f t="shared" si="4"/>
        <v>-109130.00000000006</v>
      </c>
      <c r="T29" s="7">
        <f t="shared" si="5"/>
        <v>-0.1757709002762276</v>
      </c>
      <c r="U29" s="33">
        <f t="shared" si="6"/>
        <v>620865</v>
      </c>
    </row>
    <row r="30" spans="1:21" x14ac:dyDescent="0.25">
      <c r="A30" s="1"/>
      <c r="B30" s="25">
        <v>43496</v>
      </c>
      <c r="C30" s="10" t="s">
        <v>221</v>
      </c>
      <c r="D30" s="1">
        <v>886.95</v>
      </c>
      <c r="E30" s="30">
        <v>700</v>
      </c>
      <c r="F30" s="1">
        <v>800</v>
      </c>
      <c r="G30" s="1">
        <v>22</v>
      </c>
      <c r="H30" s="1">
        <v>9100</v>
      </c>
      <c r="I30" s="1">
        <v>2800</v>
      </c>
      <c r="J30" s="1">
        <v>19.600000000000001</v>
      </c>
      <c r="K30" s="1">
        <v>23.6</v>
      </c>
      <c r="L30" s="1">
        <v>700</v>
      </c>
      <c r="M30" s="36"/>
      <c r="N30" s="1"/>
      <c r="O30" s="7">
        <f t="shared" si="0"/>
        <v>2.4804103951744743E-2</v>
      </c>
      <c r="P30" s="7">
        <f t="shared" ca="1" si="1"/>
        <v>-5.6245133677425724E-5</v>
      </c>
      <c r="Q30" s="7">
        <f t="shared" si="2"/>
        <v>-0.1847905744404984</v>
      </c>
      <c r="R30" s="33">
        <f t="shared" si="3"/>
        <v>723.05</v>
      </c>
      <c r="S30" s="33">
        <f t="shared" si="4"/>
        <v>-99330.000000000058</v>
      </c>
      <c r="T30" s="7">
        <f t="shared" si="5"/>
        <v>-0.1599864704887537</v>
      </c>
      <c r="U30" s="33">
        <f t="shared" si="6"/>
        <v>620865</v>
      </c>
    </row>
    <row r="31" spans="1:21" x14ac:dyDescent="0.25">
      <c r="A31" s="1"/>
      <c r="B31" s="25">
        <v>43496</v>
      </c>
      <c r="C31" s="10" t="s">
        <v>223</v>
      </c>
      <c r="D31" s="1">
        <v>332.15</v>
      </c>
      <c r="E31" s="30">
        <v>2200</v>
      </c>
      <c r="F31" s="1">
        <v>290</v>
      </c>
      <c r="G31" s="1">
        <v>1.9</v>
      </c>
      <c r="H31" s="1">
        <v>4400</v>
      </c>
      <c r="I31" s="1">
        <v>13200</v>
      </c>
      <c r="J31" s="1">
        <v>1.35</v>
      </c>
      <c r="K31" s="1">
        <v>2.9</v>
      </c>
      <c r="L31" s="1">
        <v>17600</v>
      </c>
      <c r="M31" s="36"/>
      <c r="N31" s="1"/>
      <c r="O31" s="7">
        <f t="shared" si="0"/>
        <v>5.720307090170104E-3</v>
      </c>
      <c r="P31" s="7">
        <f t="shared" ca="1" si="1"/>
        <v>-1.2971217891542186E-5</v>
      </c>
      <c r="Q31" s="7">
        <f t="shared" si="2"/>
        <v>0.56796628029504737</v>
      </c>
      <c r="R31" s="33">
        <f t="shared" si="3"/>
        <v>520.79999999999995</v>
      </c>
      <c r="S31" s="33">
        <f t="shared" si="4"/>
        <v>-88549.999999999956</v>
      </c>
      <c r="T31" s="7">
        <f t="shared" si="5"/>
        <v>-0.12118018967334029</v>
      </c>
      <c r="U31" s="33">
        <f t="shared" si="6"/>
        <v>730730</v>
      </c>
    </row>
    <row r="32" spans="1:21" x14ac:dyDescent="0.25">
      <c r="A32" s="1"/>
      <c r="B32" s="25">
        <v>43496</v>
      </c>
      <c r="C32" s="10" t="s">
        <v>223</v>
      </c>
      <c r="D32" s="1">
        <v>332.15</v>
      </c>
      <c r="E32" s="30">
        <v>2200</v>
      </c>
      <c r="F32" s="1">
        <v>300</v>
      </c>
      <c r="G32" s="1">
        <v>2.9</v>
      </c>
      <c r="H32" s="1">
        <v>6600</v>
      </c>
      <c r="I32" s="1">
        <v>11000</v>
      </c>
      <c r="J32" s="1">
        <v>2.9</v>
      </c>
      <c r="K32" s="1">
        <v>4.5999999999999996</v>
      </c>
      <c r="L32" s="1">
        <v>22000</v>
      </c>
      <c r="M32" s="36"/>
      <c r="N32" s="1"/>
      <c r="O32" s="7">
        <f t="shared" si="0"/>
        <v>8.7309950323648956E-3</v>
      </c>
      <c r="P32" s="7">
        <f t="shared" ca="1" si="1"/>
        <v>-1.979817467656439E-5</v>
      </c>
      <c r="Q32" s="7">
        <f t="shared" si="2"/>
        <v>0.56796628029504737</v>
      </c>
      <c r="R32" s="33">
        <f t="shared" si="3"/>
        <v>520.79999999999995</v>
      </c>
      <c r="S32" s="33">
        <f t="shared" si="4"/>
        <v>-64349.999999999956</v>
      </c>
      <c r="T32" s="7">
        <f t="shared" si="5"/>
        <v>-8.8062622309197591E-2</v>
      </c>
      <c r="U32" s="33">
        <f t="shared" si="6"/>
        <v>730730</v>
      </c>
    </row>
    <row r="33" spans="1:21" x14ac:dyDescent="0.25">
      <c r="A33" s="1"/>
      <c r="B33" s="25">
        <v>43496</v>
      </c>
      <c r="C33" s="10" t="s">
        <v>238</v>
      </c>
      <c r="D33" s="1">
        <v>307.5</v>
      </c>
      <c r="E33" s="30">
        <v>1700</v>
      </c>
      <c r="F33" s="1">
        <v>260</v>
      </c>
      <c r="G33" s="1">
        <v>6</v>
      </c>
      <c r="H33" s="1">
        <v>1700</v>
      </c>
      <c r="I33" s="1">
        <v>13600</v>
      </c>
      <c r="J33" s="1">
        <v>1.25</v>
      </c>
      <c r="K33" s="1">
        <v>3.45</v>
      </c>
      <c r="L33" s="1">
        <v>13600</v>
      </c>
      <c r="M33" s="36"/>
      <c r="N33" s="1"/>
      <c r="O33" s="7">
        <f t="shared" si="0"/>
        <v>1.9512195121951219E-2</v>
      </c>
      <c r="P33" s="7">
        <f t="shared" ca="1" si="1"/>
        <v>-4.4245340412587801E-5</v>
      </c>
      <c r="Q33" s="7">
        <f t="shared" si="2"/>
        <v>0.72130081300812998</v>
      </c>
      <c r="R33" s="33">
        <f t="shared" si="3"/>
        <v>529.29999999999995</v>
      </c>
      <c r="S33" s="33">
        <f t="shared" si="4"/>
        <v>-70550</v>
      </c>
      <c r="T33" s="7">
        <f t="shared" si="5"/>
        <v>-0.13495934959349593</v>
      </c>
      <c r="U33" s="33">
        <f t="shared" si="6"/>
        <v>522750</v>
      </c>
    </row>
    <row r="34" spans="1:21" x14ac:dyDescent="0.25">
      <c r="A34" s="1"/>
      <c r="B34" s="25">
        <v>43496</v>
      </c>
      <c r="C34" s="10" t="s">
        <v>238</v>
      </c>
      <c r="D34" s="1">
        <v>307.5</v>
      </c>
      <c r="E34" s="30">
        <v>1700</v>
      </c>
      <c r="F34" s="1">
        <v>270</v>
      </c>
      <c r="G34" s="1">
        <v>3.5</v>
      </c>
      <c r="H34" s="1">
        <v>5100</v>
      </c>
      <c r="I34" s="1">
        <v>20400</v>
      </c>
      <c r="J34" s="1">
        <v>2.75</v>
      </c>
      <c r="K34" s="1">
        <v>4.25</v>
      </c>
      <c r="L34" s="1">
        <v>3400</v>
      </c>
      <c r="M34" s="36"/>
      <c r="N34" s="1"/>
      <c r="O34" s="7">
        <f t="shared" si="0"/>
        <v>1.1382113821138212E-2</v>
      </c>
      <c r="P34" s="7">
        <f t="shared" ca="1" si="1"/>
        <v>-2.5809781907342885E-5</v>
      </c>
      <c r="Q34" s="7">
        <f t="shared" si="2"/>
        <v>0.72130081300812998</v>
      </c>
      <c r="R34" s="33">
        <f t="shared" si="3"/>
        <v>529.29999999999995</v>
      </c>
      <c r="S34" s="33">
        <f t="shared" si="4"/>
        <v>-57800</v>
      </c>
      <c r="T34" s="7">
        <f t="shared" si="5"/>
        <v>-0.11056910569105691</v>
      </c>
      <c r="U34" s="33">
        <f t="shared" si="6"/>
        <v>522750</v>
      </c>
    </row>
    <row r="35" spans="1:21" x14ac:dyDescent="0.25">
      <c r="A35" s="1"/>
      <c r="B35" s="25">
        <v>43496</v>
      </c>
      <c r="C35" s="10" t="s">
        <v>239</v>
      </c>
      <c r="D35" s="1">
        <v>69.75</v>
      </c>
      <c r="E35" s="30">
        <v>7500</v>
      </c>
      <c r="F35" s="1">
        <v>60</v>
      </c>
      <c r="G35" s="1">
        <v>0.5</v>
      </c>
      <c r="H35" s="1">
        <v>82500</v>
      </c>
      <c r="I35" s="1">
        <v>7500</v>
      </c>
      <c r="J35" s="1">
        <v>0.35</v>
      </c>
      <c r="K35" s="1">
        <v>0.5</v>
      </c>
      <c r="L35" s="1">
        <v>7500</v>
      </c>
      <c r="M35" s="36"/>
      <c r="N35" s="1"/>
      <c r="O35" s="7">
        <f t="shared" si="0"/>
        <v>7.1684587813620072E-3</v>
      </c>
      <c r="P35" s="7">
        <f t="shared" ca="1" si="1"/>
        <v>-1.6255008574517021E-5</v>
      </c>
      <c r="Q35" s="7">
        <f t="shared" si="2"/>
        <v>-0.6752688172043011</v>
      </c>
      <c r="R35" s="33">
        <f t="shared" si="3"/>
        <v>22.65</v>
      </c>
      <c r="S35" s="33">
        <f t="shared" si="4"/>
        <v>-349500</v>
      </c>
      <c r="T35" s="7">
        <f t="shared" si="5"/>
        <v>-0.66810035842293902</v>
      </c>
      <c r="U35" s="33">
        <f t="shared" si="6"/>
        <v>523125</v>
      </c>
    </row>
    <row r="36" spans="1:21" x14ac:dyDescent="0.25">
      <c r="A36" s="1"/>
      <c r="B36" s="25">
        <v>43496</v>
      </c>
      <c r="C36" s="10" t="s">
        <v>239</v>
      </c>
      <c r="D36" s="1">
        <v>69.75</v>
      </c>
      <c r="E36" s="30">
        <v>7500</v>
      </c>
      <c r="F36" s="1">
        <v>62.5</v>
      </c>
      <c r="G36" s="1">
        <v>0.85</v>
      </c>
      <c r="H36" s="1">
        <v>37500</v>
      </c>
      <c r="I36" s="1">
        <v>7500</v>
      </c>
      <c r="J36" s="1">
        <v>0.75</v>
      </c>
      <c r="K36" s="1">
        <v>0.85</v>
      </c>
      <c r="L36" s="1">
        <v>7500</v>
      </c>
      <c r="M36" s="36"/>
      <c r="N36" s="1"/>
      <c r="O36" s="7">
        <f t="shared" si="0"/>
        <v>1.2186379928315411E-2</v>
      </c>
      <c r="P36" s="7">
        <f t="shared" ca="1" si="1"/>
        <v>-2.7633514576678937E-5</v>
      </c>
      <c r="Q36" s="7">
        <f t="shared" si="2"/>
        <v>-0.6752688172043011</v>
      </c>
      <c r="R36" s="33">
        <f t="shared" si="3"/>
        <v>22.65</v>
      </c>
      <c r="S36" s="33">
        <f t="shared" si="4"/>
        <v>-346875</v>
      </c>
      <c r="T36" s="7">
        <f t="shared" si="5"/>
        <v>-0.6630824372759857</v>
      </c>
      <c r="U36" s="33">
        <f t="shared" si="6"/>
        <v>523125</v>
      </c>
    </row>
    <row r="37" spans="1:21" x14ac:dyDescent="0.25">
      <c r="A37" s="1"/>
      <c r="B37" s="25">
        <v>43496</v>
      </c>
      <c r="C37" s="10" t="s">
        <v>239</v>
      </c>
      <c r="D37" s="1">
        <v>69.75</v>
      </c>
      <c r="E37" s="30">
        <v>7500</v>
      </c>
      <c r="F37" s="1">
        <v>65</v>
      </c>
      <c r="G37" s="1">
        <v>1.35</v>
      </c>
      <c r="H37" s="1">
        <v>150000</v>
      </c>
      <c r="I37" s="1">
        <v>7500</v>
      </c>
      <c r="J37" s="1">
        <v>1.4</v>
      </c>
      <c r="K37" s="1">
        <v>1.5</v>
      </c>
      <c r="L37" s="1">
        <v>7500</v>
      </c>
      <c r="M37" s="36"/>
      <c r="N37" s="1"/>
      <c r="O37" s="7">
        <f t="shared" si="0"/>
        <v>1.935483870967742E-2</v>
      </c>
      <c r="P37" s="7">
        <f t="shared" ca="1" si="1"/>
        <v>-4.3888523151195965E-5</v>
      </c>
      <c r="Q37" s="7">
        <f t="shared" si="2"/>
        <v>-0.6752688172043011</v>
      </c>
      <c r="R37" s="33">
        <f t="shared" si="3"/>
        <v>22.65</v>
      </c>
      <c r="S37" s="33">
        <f t="shared" si="4"/>
        <v>-343125</v>
      </c>
      <c r="T37" s="7">
        <f t="shared" si="5"/>
        <v>-0.65591397849462363</v>
      </c>
      <c r="U37" s="33">
        <f t="shared" si="6"/>
        <v>523125</v>
      </c>
    </row>
    <row r="38" spans="1:21" x14ac:dyDescent="0.25">
      <c r="A38" s="1"/>
      <c r="B38" s="25">
        <v>43496</v>
      </c>
      <c r="C38" s="10" t="s">
        <v>266</v>
      </c>
      <c r="D38" s="1">
        <v>374.35</v>
      </c>
      <c r="E38" s="30">
        <v>1800</v>
      </c>
      <c r="F38" s="1">
        <v>320</v>
      </c>
      <c r="G38" s="1">
        <v>3.1</v>
      </c>
      <c r="H38" s="1">
        <v>12600</v>
      </c>
      <c r="I38" s="1">
        <v>25200</v>
      </c>
      <c r="J38" s="1">
        <v>2.6</v>
      </c>
      <c r="K38" s="1">
        <v>3.9</v>
      </c>
      <c r="L38" s="1">
        <v>1800</v>
      </c>
      <c r="M38" s="36"/>
      <c r="N38" s="1"/>
      <c r="O38" s="7">
        <f t="shared" si="0"/>
        <v>8.2810204354213969E-3</v>
      </c>
      <c r="P38" s="7">
        <f t="shared" ca="1" si="1"/>
        <v>-1.8777824116601807E-5</v>
      </c>
      <c r="Q38" s="7">
        <f t="shared" si="2"/>
        <v>-2.6178709763590269E-2</v>
      </c>
      <c r="R38" s="33">
        <f t="shared" si="3"/>
        <v>364.55</v>
      </c>
      <c r="S38" s="33">
        <f t="shared" si="4"/>
        <v>-92250.000000000044</v>
      </c>
      <c r="T38" s="7">
        <f t="shared" si="5"/>
        <v>-0.13690396687591833</v>
      </c>
      <c r="U38" s="33">
        <f t="shared" si="6"/>
        <v>673830</v>
      </c>
    </row>
    <row r="39" spans="1:21" x14ac:dyDescent="0.25">
      <c r="A39" s="1"/>
      <c r="B39" s="25">
        <v>43496</v>
      </c>
      <c r="C39" s="10" t="s">
        <v>266</v>
      </c>
      <c r="D39" s="1">
        <v>374.35</v>
      </c>
      <c r="E39" s="30">
        <v>1800</v>
      </c>
      <c r="F39" s="1">
        <v>330</v>
      </c>
      <c r="G39" s="1">
        <v>5.4</v>
      </c>
      <c r="H39" s="1">
        <v>10800</v>
      </c>
      <c r="I39" s="1">
        <v>3600</v>
      </c>
      <c r="J39" s="1">
        <v>5</v>
      </c>
      <c r="K39" s="1">
        <v>5.55</v>
      </c>
      <c r="L39" s="1">
        <v>1800</v>
      </c>
      <c r="M39" s="36"/>
      <c r="N39" s="1"/>
      <c r="O39" s="7">
        <f t="shared" si="0"/>
        <v>1.4425003339121143E-2</v>
      </c>
      <c r="P39" s="7">
        <f t="shared" ca="1" si="1"/>
        <v>-3.2709758138596696E-5</v>
      </c>
      <c r="Q39" s="7">
        <f t="shared" si="2"/>
        <v>-2.6178709763590269E-2</v>
      </c>
      <c r="R39" s="33">
        <f t="shared" si="3"/>
        <v>364.55</v>
      </c>
      <c r="S39" s="33">
        <f t="shared" si="4"/>
        <v>-70110.000000000044</v>
      </c>
      <c r="T39" s="7">
        <f t="shared" si="5"/>
        <v>-0.10404701482569795</v>
      </c>
      <c r="U39" s="33">
        <f t="shared" si="6"/>
        <v>673830</v>
      </c>
    </row>
    <row r="40" spans="1:21" x14ac:dyDescent="0.25">
      <c r="A40" s="1"/>
      <c r="B40" s="25">
        <v>43496</v>
      </c>
      <c r="C40" s="10" t="s">
        <v>266</v>
      </c>
      <c r="D40" s="1">
        <v>374.35</v>
      </c>
      <c r="E40" s="30">
        <v>1800</v>
      </c>
      <c r="F40" s="1">
        <v>340</v>
      </c>
      <c r="G40" s="1">
        <v>8.1</v>
      </c>
      <c r="H40" s="1">
        <v>14400</v>
      </c>
      <c r="I40" s="1">
        <v>3600</v>
      </c>
      <c r="J40" s="1">
        <v>7.45</v>
      </c>
      <c r="K40" s="1">
        <v>9</v>
      </c>
      <c r="L40" s="1">
        <v>25200</v>
      </c>
      <c r="M40" s="36"/>
      <c r="N40" s="1"/>
      <c r="O40" s="7">
        <f t="shared" si="0"/>
        <v>2.1637505008681713E-2</v>
      </c>
      <c r="P40" s="7">
        <f t="shared" ca="1" si="1"/>
        <v>-4.9064637207895041E-5</v>
      </c>
      <c r="Q40" s="7">
        <f t="shared" si="2"/>
        <v>-2.6178709763590269E-2</v>
      </c>
      <c r="R40" s="33">
        <f t="shared" si="3"/>
        <v>364.55</v>
      </c>
      <c r="S40" s="33">
        <f t="shared" si="4"/>
        <v>-47250.000000000036</v>
      </c>
      <c r="T40" s="7">
        <f t="shared" si="5"/>
        <v>-7.0121544009616718E-2</v>
      </c>
      <c r="U40" s="33">
        <f t="shared" si="6"/>
        <v>673830</v>
      </c>
    </row>
    <row r="41" spans="1:21" x14ac:dyDescent="0.25">
      <c r="A41" s="1"/>
      <c r="B41" s="25">
        <v>43496</v>
      </c>
      <c r="C41" s="10" t="s">
        <v>266</v>
      </c>
      <c r="D41" s="1">
        <v>374.35</v>
      </c>
      <c r="E41" s="30">
        <v>1800</v>
      </c>
      <c r="F41" s="1">
        <v>350</v>
      </c>
      <c r="G41" s="1">
        <v>10</v>
      </c>
      <c r="H41" s="1">
        <v>19800</v>
      </c>
      <c r="I41" s="1">
        <v>3600</v>
      </c>
      <c r="J41" s="1">
        <v>10.4</v>
      </c>
      <c r="K41" s="1">
        <v>11.5</v>
      </c>
      <c r="L41" s="1">
        <v>1800</v>
      </c>
      <c r="M41" s="36"/>
      <c r="N41" s="1"/>
      <c r="O41" s="7">
        <f t="shared" si="0"/>
        <v>2.6712969146520636E-2</v>
      </c>
      <c r="P41" s="7">
        <f t="shared" ca="1" si="1"/>
        <v>-6.0573626182586473E-5</v>
      </c>
      <c r="Q41" s="7">
        <f t="shared" si="2"/>
        <v>-2.6178709763590269E-2</v>
      </c>
      <c r="R41" s="33">
        <f t="shared" si="3"/>
        <v>364.55</v>
      </c>
      <c r="S41" s="33">
        <f t="shared" si="4"/>
        <v>-25830.00000000004</v>
      </c>
      <c r="T41" s="7">
        <f t="shared" si="5"/>
        <v>-3.833311072525717E-2</v>
      </c>
      <c r="U41" s="33">
        <f t="shared" si="6"/>
        <v>673830</v>
      </c>
    </row>
    <row r="42" spans="1:21" x14ac:dyDescent="0.25">
      <c r="A42" s="1"/>
      <c r="B42" s="25">
        <v>43496</v>
      </c>
      <c r="C42" s="10" t="s">
        <v>283</v>
      </c>
      <c r="D42" s="1">
        <v>341.4</v>
      </c>
      <c r="E42" s="30">
        <v>1600</v>
      </c>
      <c r="F42" s="1">
        <v>310</v>
      </c>
      <c r="G42" s="1">
        <v>3.9</v>
      </c>
      <c r="H42" s="1">
        <v>3200</v>
      </c>
      <c r="I42" s="1">
        <v>19200</v>
      </c>
      <c r="J42" s="1">
        <v>3.2</v>
      </c>
      <c r="K42" s="1">
        <v>5.35</v>
      </c>
      <c r="L42" s="1">
        <v>22400</v>
      </c>
      <c r="M42" s="36"/>
      <c r="N42" s="1"/>
      <c r="O42" s="7">
        <f t="shared" si="0"/>
        <v>1.1423550087873463E-2</v>
      </c>
      <c r="P42" s="7">
        <f t="shared" ca="1" si="1"/>
        <v>-2.5903741695858193E-5</v>
      </c>
      <c r="Q42" s="7">
        <f t="shared" si="2"/>
        <v>2.8265963678969053E-2</v>
      </c>
      <c r="R42" s="33">
        <f t="shared" si="3"/>
        <v>351.05</v>
      </c>
      <c r="S42" s="33">
        <f t="shared" si="4"/>
        <v>-43999.999999999964</v>
      </c>
      <c r="T42" s="7">
        <f t="shared" si="5"/>
        <v>-8.0550673696543576E-2</v>
      </c>
      <c r="U42" s="33">
        <f t="shared" si="6"/>
        <v>546240</v>
      </c>
    </row>
    <row r="43" spans="1:21" x14ac:dyDescent="0.25">
      <c r="A43" s="1"/>
      <c r="B43" s="25">
        <v>43496</v>
      </c>
      <c r="C43" s="10" t="s">
        <v>283</v>
      </c>
      <c r="D43" s="1">
        <v>341.4</v>
      </c>
      <c r="E43" s="30">
        <v>1600</v>
      </c>
      <c r="F43" s="1">
        <v>320</v>
      </c>
      <c r="G43" s="1">
        <v>5.15</v>
      </c>
      <c r="H43" s="1">
        <v>1600</v>
      </c>
      <c r="I43" s="1">
        <v>22400</v>
      </c>
      <c r="J43" s="1">
        <v>5</v>
      </c>
      <c r="K43" s="1">
        <v>7.65</v>
      </c>
      <c r="L43" s="1">
        <v>22400</v>
      </c>
      <c r="M43" s="36"/>
      <c r="N43" s="1"/>
      <c r="O43" s="7">
        <f t="shared" si="0"/>
        <v>1.5084944346807266E-2</v>
      </c>
      <c r="P43" s="7">
        <f t="shared" ca="1" si="1"/>
        <v>-3.4206223008633259E-5</v>
      </c>
      <c r="Q43" s="7">
        <f t="shared" si="2"/>
        <v>2.8265963678969053E-2</v>
      </c>
      <c r="R43" s="33">
        <f t="shared" si="3"/>
        <v>351.05</v>
      </c>
      <c r="S43" s="33">
        <f t="shared" si="4"/>
        <v>-25999.999999999967</v>
      </c>
      <c r="T43" s="7">
        <f t="shared" si="5"/>
        <v>-4.7598125366139367E-2</v>
      </c>
      <c r="U43" s="33">
        <f t="shared" si="6"/>
        <v>546240</v>
      </c>
    </row>
    <row r="44" spans="1:21" x14ac:dyDescent="0.25">
      <c r="A44" s="1"/>
      <c r="B44" s="25">
        <v>43496</v>
      </c>
      <c r="C44" s="10" t="s">
        <v>286</v>
      </c>
      <c r="D44" s="1">
        <v>266.25</v>
      </c>
      <c r="E44" s="30">
        <v>2000</v>
      </c>
      <c r="F44" s="1">
        <v>210</v>
      </c>
      <c r="G44" s="1">
        <v>7.55</v>
      </c>
      <c r="H44" s="1">
        <v>4000</v>
      </c>
      <c r="I44" s="1">
        <v>10000</v>
      </c>
      <c r="J44" s="1">
        <v>0.45</v>
      </c>
      <c r="K44" s="1">
        <v>1.8</v>
      </c>
      <c r="L44" s="1">
        <v>24000</v>
      </c>
      <c r="M44" s="36"/>
      <c r="N44" s="1"/>
      <c r="O44" s="7">
        <f t="shared" si="0"/>
        <v>2.8356807511737088E-2</v>
      </c>
      <c r="P44" s="7">
        <f t="shared" ca="1" si="1"/>
        <v>-6.4301150820265503E-5</v>
      </c>
      <c r="Q44" s="7">
        <f t="shared" si="2"/>
        <v>-0.65971830985915503</v>
      </c>
      <c r="R44" s="33">
        <f t="shared" si="3"/>
        <v>90.6</v>
      </c>
      <c r="S44" s="33">
        <f t="shared" si="4"/>
        <v>-336200</v>
      </c>
      <c r="T44" s="7">
        <f t="shared" si="5"/>
        <v>-0.63136150234741784</v>
      </c>
      <c r="U44" s="33">
        <f t="shared" si="6"/>
        <v>532500</v>
      </c>
    </row>
    <row r="45" spans="1:21" x14ac:dyDescent="0.25">
      <c r="A45" s="1"/>
      <c r="B45" s="25">
        <v>43496</v>
      </c>
      <c r="C45" s="10" t="s">
        <v>286</v>
      </c>
      <c r="D45" s="1">
        <v>266.25</v>
      </c>
      <c r="E45" s="30">
        <v>2000</v>
      </c>
      <c r="F45" s="1">
        <v>215</v>
      </c>
      <c r="G45" s="1">
        <v>8.9</v>
      </c>
      <c r="H45" s="1">
        <v>4000</v>
      </c>
      <c r="I45" s="1">
        <v>8000</v>
      </c>
      <c r="J45" s="1">
        <v>0.85</v>
      </c>
      <c r="K45" s="1">
        <v>2.15</v>
      </c>
      <c r="L45" s="1">
        <v>24000</v>
      </c>
      <c r="M45" s="36"/>
      <c r="N45" s="1"/>
      <c r="O45" s="7">
        <f t="shared" si="0"/>
        <v>3.3427230046948357E-2</v>
      </c>
      <c r="P45" s="7">
        <f t="shared" ca="1" si="1"/>
        <v>-7.579870758945206E-5</v>
      </c>
      <c r="Q45" s="7">
        <f t="shared" si="2"/>
        <v>-0.65971830985915503</v>
      </c>
      <c r="R45" s="33">
        <f t="shared" si="3"/>
        <v>90.6</v>
      </c>
      <c r="S45" s="33">
        <f t="shared" si="4"/>
        <v>-333500</v>
      </c>
      <c r="T45" s="7">
        <f t="shared" si="5"/>
        <v>-0.62629107981220655</v>
      </c>
      <c r="U45" s="33">
        <f t="shared" si="6"/>
        <v>532500</v>
      </c>
    </row>
    <row r="46" spans="1:21" x14ac:dyDescent="0.25">
      <c r="A46" s="1"/>
      <c r="B46" s="25">
        <v>43496</v>
      </c>
      <c r="C46" s="10" t="s">
        <v>286</v>
      </c>
      <c r="D46" s="1">
        <v>266.25</v>
      </c>
      <c r="E46" s="30">
        <v>2000</v>
      </c>
      <c r="F46" s="1">
        <v>220</v>
      </c>
      <c r="G46" s="1">
        <v>10.4</v>
      </c>
      <c r="H46" s="1">
        <v>4000</v>
      </c>
      <c r="I46" s="1">
        <v>10000</v>
      </c>
      <c r="J46" s="1">
        <v>1.25</v>
      </c>
      <c r="K46" s="1">
        <v>2.5499999999999998</v>
      </c>
      <c r="L46" s="1">
        <v>24000</v>
      </c>
      <c r="M46" s="36"/>
      <c r="N46" s="1"/>
      <c r="O46" s="7">
        <f t="shared" si="0"/>
        <v>3.9061032863849765E-2</v>
      </c>
      <c r="P46" s="7">
        <f t="shared" ca="1" si="1"/>
        <v>-8.8573770666325997E-5</v>
      </c>
      <c r="Q46" s="7">
        <f t="shared" si="2"/>
        <v>-0.65971830985915503</v>
      </c>
      <c r="R46" s="33">
        <f t="shared" si="3"/>
        <v>90.6</v>
      </c>
      <c r="S46" s="33">
        <f t="shared" si="4"/>
        <v>-330500</v>
      </c>
      <c r="T46" s="7">
        <f t="shared" si="5"/>
        <v>-0.62065727699530515</v>
      </c>
      <c r="U46" s="33">
        <f t="shared" si="6"/>
        <v>532500</v>
      </c>
    </row>
    <row r="47" spans="1:21" x14ac:dyDescent="0.25">
      <c r="A47" s="1"/>
      <c r="B47" s="25">
        <v>43496</v>
      </c>
      <c r="C47" s="10" t="s">
        <v>286</v>
      </c>
      <c r="D47" s="1">
        <v>266.25</v>
      </c>
      <c r="E47" s="30">
        <v>2000</v>
      </c>
      <c r="F47" s="1">
        <v>225</v>
      </c>
      <c r="G47" s="1">
        <v>2.25</v>
      </c>
      <c r="H47" s="1">
        <v>6000</v>
      </c>
      <c r="I47" s="1">
        <v>4000</v>
      </c>
      <c r="J47" s="1">
        <v>1.85</v>
      </c>
      <c r="K47" s="1">
        <v>3.3</v>
      </c>
      <c r="L47" s="1">
        <v>28000</v>
      </c>
      <c r="M47" s="36"/>
      <c r="N47" s="1"/>
      <c r="O47" s="7">
        <f t="shared" si="0"/>
        <v>8.4507042253521118E-3</v>
      </c>
      <c r="P47" s="7">
        <f t="shared" ca="1" si="1"/>
        <v>-1.9162594615310912E-5</v>
      </c>
      <c r="Q47" s="7">
        <f t="shared" si="2"/>
        <v>-0.65971830985915503</v>
      </c>
      <c r="R47" s="33">
        <f t="shared" si="3"/>
        <v>90.6</v>
      </c>
      <c r="S47" s="33">
        <f t="shared" si="4"/>
        <v>-346800</v>
      </c>
      <c r="T47" s="7">
        <f t="shared" si="5"/>
        <v>-0.65126760563380282</v>
      </c>
      <c r="U47" s="33">
        <f t="shared" si="6"/>
        <v>532500</v>
      </c>
    </row>
    <row r="48" spans="1:21" x14ac:dyDescent="0.25">
      <c r="A48" s="1"/>
      <c r="B48" s="25">
        <v>43496</v>
      </c>
      <c r="C48" s="10" t="s">
        <v>286</v>
      </c>
      <c r="D48" s="1">
        <v>266.25</v>
      </c>
      <c r="E48" s="30">
        <v>2000</v>
      </c>
      <c r="F48" s="1">
        <v>230</v>
      </c>
      <c r="G48" s="1">
        <v>3</v>
      </c>
      <c r="H48" s="1">
        <v>12000</v>
      </c>
      <c r="I48" s="1">
        <v>6000</v>
      </c>
      <c r="J48" s="1">
        <v>2.5</v>
      </c>
      <c r="K48" s="1">
        <v>3.85</v>
      </c>
      <c r="L48" s="1">
        <v>28000</v>
      </c>
      <c r="M48" s="36"/>
      <c r="N48" s="1"/>
      <c r="O48" s="7">
        <f t="shared" si="0"/>
        <v>1.1267605633802818E-2</v>
      </c>
      <c r="P48" s="7">
        <f t="shared" ca="1" si="1"/>
        <v>-2.5550126153747887E-5</v>
      </c>
      <c r="Q48" s="7">
        <f t="shared" si="2"/>
        <v>-0.65971830985915503</v>
      </c>
      <c r="R48" s="33">
        <f t="shared" si="3"/>
        <v>90.6</v>
      </c>
      <c r="S48" s="33">
        <f t="shared" si="4"/>
        <v>-345300</v>
      </c>
      <c r="T48" s="7">
        <f t="shared" si="5"/>
        <v>-0.64845070422535211</v>
      </c>
      <c r="U48" s="33">
        <f t="shared" si="6"/>
        <v>532500</v>
      </c>
    </row>
    <row r="49" spans="1:21" x14ac:dyDescent="0.25">
      <c r="A49" s="1"/>
      <c r="B49" s="25">
        <v>43496</v>
      </c>
      <c r="C49" s="10" t="s">
        <v>286</v>
      </c>
      <c r="D49" s="1">
        <v>266.25</v>
      </c>
      <c r="E49" s="30">
        <v>2000</v>
      </c>
      <c r="F49" s="1">
        <v>235</v>
      </c>
      <c r="G49" s="1">
        <v>16.3</v>
      </c>
      <c r="H49" s="1">
        <v>4000</v>
      </c>
      <c r="I49" s="1">
        <v>8000</v>
      </c>
      <c r="J49" s="1">
        <v>3.1</v>
      </c>
      <c r="K49" s="1">
        <v>4.75</v>
      </c>
      <c r="L49" s="1">
        <v>28000</v>
      </c>
      <c r="M49" s="36"/>
      <c r="N49" s="1"/>
      <c r="O49" s="7">
        <f t="shared" si="0"/>
        <v>6.1220657276995306E-2</v>
      </c>
      <c r="P49" s="7">
        <f t="shared" ca="1" si="1"/>
        <v>-1.3882235210203018E-4</v>
      </c>
      <c r="Q49" s="7">
        <f t="shared" si="2"/>
        <v>-0.65971830985915503</v>
      </c>
      <c r="R49" s="33">
        <f t="shared" si="3"/>
        <v>90.6</v>
      </c>
      <c r="S49" s="33">
        <f t="shared" si="4"/>
        <v>-318700</v>
      </c>
      <c r="T49" s="7">
        <f t="shared" si="5"/>
        <v>-0.59849765258215959</v>
      </c>
      <c r="U49" s="33">
        <f t="shared" si="6"/>
        <v>532500</v>
      </c>
    </row>
    <row r="50" spans="1:21" x14ac:dyDescent="0.25">
      <c r="A50" s="1"/>
      <c r="B50" s="25">
        <v>43496</v>
      </c>
      <c r="C50" s="10" t="s">
        <v>286</v>
      </c>
      <c r="D50" s="1">
        <v>266.25</v>
      </c>
      <c r="E50" s="30">
        <v>2000</v>
      </c>
      <c r="F50" s="1">
        <v>240</v>
      </c>
      <c r="G50" s="1">
        <v>5.0999999999999996</v>
      </c>
      <c r="H50" s="1">
        <v>22000</v>
      </c>
      <c r="I50" s="1">
        <v>2000</v>
      </c>
      <c r="J50" s="1">
        <v>4.3499999999999996</v>
      </c>
      <c r="K50" s="1">
        <v>5.0999999999999996</v>
      </c>
      <c r="L50" s="1">
        <v>6000</v>
      </c>
      <c r="M50" s="36"/>
      <c r="N50" s="1"/>
      <c r="O50" s="7">
        <f t="shared" si="0"/>
        <v>1.9154929577464789E-2</v>
      </c>
      <c r="P50" s="7">
        <f t="shared" ca="1" si="1"/>
        <v>-4.3435214461371405E-5</v>
      </c>
      <c r="Q50" s="7">
        <f t="shared" si="2"/>
        <v>-0.65971830985915503</v>
      </c>
      <c r="R50" s="33">
        <f t="shared" si="3"/>
        <v>90.6</v>
      </c>
      <c r="S50" s="33">
        <f t="shared" si="4"/>
        <v>-341100</v>
      </c>
      <c r="T50" s="7">
        <f t="shared" si="5"/>
        <v>-0.64056338028169013</v>
      </c>
      <c r="U50" s="33">
        <f t="shared" si="6"/>
        <v>532500</v>
      </c>
    </row>
    <row r="51" spans="1:21" x14ac:dyDescent="0.25">
      <c r="A51" s="1"/>
      <c r="B51" s="25">
        <v>43496</v>
      </c>
      <c r="C51" s="10" t="s">
        <v>286</v>
      </c>
      <c r="D51" s="1">
        <v>266.25</v>
      </c>
      <c r="E51" s="30">
        <v>2000</v>
      </c>
      <c r="F51" s="1">
        <v>245</v>
      </c>
      <c r="G51" s="1">
        <v>20.8</v>
      </c>
      <c r="H51" s="1">
        <v>4000</v>
      </c>
      <c r="I51" s="1">
        <v>12000</v>
      </c>
      <c r="J51" s="1">
        <v>5.2</v>
      </c>
      <c r="K51" s="1">
        <v>6.75</v>
      </c>
      <c r="L51" s="1">
        <v>28000</v>
      </c>
      <c r="M51" s="36"/>
      <c r="N51" s="1"/>
      <c r="O51" s="7">
        <f t="shared" si="0"/>
        <v>7.812206572769953E-2</v>
      </c>
      <c r="P51" s="7">
        <f t="shared" ca="1" si="1"/>
        <v>-1.7714754133265199E-4</v>
      </c>
      <c r="Q51" s="7">
        <f t="shared" si="2"/>
        <v>-0.65971830985915503</v>
      </c>
      <c r="R51" s="33">
        <f t="shared" si="3"/>
        <v>90.6</v>
      </c>
      <c r="S51" s="33">
        <f t="shared" si="4"/>
        <v>-309700</v>
      </c>
      <c r="T51" s="7">
        <f t="shared" si="5"/>
        <v>-0.58159624413145539</v>
      </c>
      <c r="U51" s="33">
        <f t="shared" si="6"/>
        <v>532500</v>
      </c>
    </row>
    <row r="52" spans="1:21" x14ac:dyDescent="0.25">
      <c r="A52" s="1"/>
      <c r="B52" s="25">
        <v>43496</v>
      </c>
      <c r="C52" s="10" t="s">
        <v>288</v>
      </c>
      <c r="D52" s="1">
        <v>281</v>
      </c>
      <c r="E52" s="30">
        <v>1250</v>
      </c>
      <c r="F52" s="1">
        <v>250</v>
      </c>
      <c r="G52" s="1">
        <v>3.5</v>
      </c>
      <c r="H52" s="1">
        <v>3600</v>
      </c>
      <c r="I52" s="1">
        <v>7200</v>
      </c>
      <c r="J52" s="1">
        <v>4.2</v>
      </c>
      <c r="K52" s="1">
        <v>6.05</v>
      </c>
      <c r="L52" s="1">
        <v>18000</v>
      </c>
      <c r="M52" s="36"/>
      <c r="N52" s="1"/>
      <c r="O52" s="7">
        <f t="shared" si="0"/>
        <v>1.2455516014234875E-2</v>
      </c>
      <c r="P52" s="7">
        <f t="shared" ca="1" si="1"/>
        <v>-2.8243800485793367E-5</v>
      </c>
      <c r="Q52" s="7">
        <f t="shared" si="2"/>
        <v>-2.010676156583624E-2</v>
      </c>
      <c r="R52" s="33">
        <f t="shared" si="3"/>
        <v>275.35000000000002</v>
      </c>
      <c r="S52" s="33">
        <f t="shared" si="4"/>
        <v>-34375</v>
      </c>
      <c r="T52" s="7">
        <f t="shared" si="5"/>
        <v>-9.7864768683274025E-2</v>
      </c>
      <c r="U52" s="33">
        <f t="shared" si="6"/>
        <v>351250</v>
      </c>
    </row>
    <row r="53" spans="1:21" x14ac:dyDescent="0.25">
      <c r="A53" s="1"/>
      <c r="B53" s="25">
        <v>43496</v>
      </c>
      <c r="C53" s="10" t="s">
        <v>313</v>
      </c>
      <c r="D53" s="1">
        <v>912.75</v>
      </c>
      <c r="E53" s="30">
        <v>600</v>
      </c>
      <c r="F53" s="1">
        <v>840</v>
      </c>
      <c r="G53" s="1">
        <v>12.5</v>
      </c>
      <c r="H53" s="1">
        <v>600</v>
      </c>
      <c r="I53" s="1">
        <v>3600</v>
      </c>
      <c r="J53" s="1">
        <v>11.25</v>
      </c>
      <c r="K53" s="1">
        <v>14.4</v>
      </c>
      <c r="L53" s="1">
        <v>4800</v>
      </c>
      <c r="M53" s="36"/>
      <c r="N53" s="1"/>
      <c r="O53" s="7">
        <f t="shared" si="0"/>
        <v>1.3694878115584772E-2</v>
      </c>
      <c r="P53" s="7">
        <f t="shared" ca="1" si="1"/>
        <v>-3.1054145386813541E-5</v>
      </c>
      <c r="Q53" s="7">
        <f t="shared" si="2"/>
        <v>-0.63319638455217753</v>
      </c>
      <c r="R53" s="33">
        <f t="shared" si="3"/>
        <v>334.8</v>
      </c>
      <c r="S53" s="33">
        <f t="shared" si="4"/>
        <v>-339270</v>
      </c>
      <c r="T53" s="7">
        <f t="shared" si="5"/>
        <v>-0.61950150643659274</v>
      </c>
      <c r="U53" s="33">
        <f t="shared" si="6"/>
        <v>547650</v>
      </c>
    </row>
    <row r="54" spans="1:21" x14ac:dyDescent="0.25">
      <c r="A54" s="1"/>
      <c r="B54" s="25">
        <v>43496</v>
      </c>
      <c r="C54" s="10" t="s">
        <v>336</v>
      </c>
      <c r="D54" s="1">
        <v>1327</v>
      </c>
      <c r="E54" s="30">
        <v>700</v>
      </c>
      <c r="F54" s="1">
        <v>1220</v>
      </c>
      <c r="G54" s="1">
        <v>18</v>
      </c>
      <c r="H54" s="1">
        <v>1400</v>
      </c>
      <c r="I54" s="1">
        <v>7000</v>
      </c>
      <c r="J54" s="1">
        <v>3.7</v>
      </c>
      <c r="K54" s="1">
        <v>10</v>
      </c>
      <c r="L54" s="1">
        <v>700</v>
      </c>
      <c r="M54" s="36"/>
      <c r="N54" s="1"/>
      <c r="O54" s="7">
        <f t="shared" si="0"/>
        <v>1.3564431047475508E-2</v>
      </c>
      <c r="P54" s="7">
        <f t="shared" ca="1" si="1"/>
        <v>-3.0758347046429727E-5</v>
      </c>
      <c r="Q54" s="7">
        <f t="shared" si="2"/>
        <v>5.6518462697814575E-2</v>
      </c>
      <c r="R54" s="33">
        <f t="shared" si="3"/>
        <v>1402</v>
      </c>
      <c r="S54" s="33">
        <f t="shared" si="4"/>
        <v>-62300</v>
      </c>
      <c r="T54" s="7">
        <f t="shared" si="5"/>
        <v>-6.706857573474001E-2</v>
      </c>
      <c r="U54" s="33">
        <f t="shared" si="6"/>
        <v>928900</v>
      </c>
    </row>
    <row r="55" spans="1:21" x14ac:dyDescent="0.25">
      <c r="A55" s="1"/>
      <c r="B55" s="25">
        <v>43496</v>
      </c>
      <c r="C55" s="10" t="s">
        <v>362</v>
      </c>
      <c r="D55" s="1">
        <v>438.8</v>
      </c>
      <c r="E55" s="30">
        <v>1250</v>
      </c>
      <c r="F55" s="1">
        <v>400</v>
      </c>
      <c r="G55" s="1">
        <v>3.9</v>
      </c>
      <c r="H55" s="1">
        <v>7500</v>
      </c>
      <c r="I55" s="1">
        <v>12500</v>
      </c>
      <c r="J55" s="1">
        <v>2.5</v>
      </c>
      <c r="K55" s="1">
        <v>5</v>
      </c>
      <c r="L55" s="1">
        <v>17500</v>
      </c>
      <c r="M55" s="36"/>
      <c r="N55" s="1"/>
      <c r="O55" s="7">
        <f t="shared" si="0"/>
        <v>8.8878760255241569E-3</v>
      </c>
      <c r="P55" s="7">
        <f t="shared" ca="1" si="1"/>
        <v>-2.0153913890077453E-5</v>
      </c>
      <c r="Q55" s="7">
        <f t="shared" si="2"/>
        <v>0.12887420237010039</v>
      </c>
      <c r="R55" s="33">
        <f t="shared" si="3"/>
        <v>495.35</v>
      </c>
      <c r="S55" s="33">
        <f t="shared" si="4"/>
        <v>-43625.000000000015</v>
      </c>
      <c r="T55" s="7">
        <f t="shared" si="5"/>
        <v>-7.9535095715587992E-2</v>
      </c>
      <c r="U55" s="33">
        <f t="shared" si="6"/>
        <v>548500</v>
      </c>
    </row>
    <row r="56" spans="1:21" x14ac:dyDescent="0.25">
      <c r="A56" s="1"/>
      <c r="B56" s="25">
        <v>43496</v>
      </c>
      <c r="C56" s="10" t="s">
        <v>371</v>
      </c>
      <c r="D56" s="1">
        <v>165</v>
      </c>
      <c r="E56" s="30">
        <v>4500</v>
      </c>
      <c r="F56" s="1">
        <v>150</v>
      </c>
      <c r="G56" s="1">
        <v>2.7</v>
      </c>
      <c r="H56" s="1">
        <v>9000</v>
      </c>
      <c r="I56" s="1">
        <v>27000</v>
      </c>
      <c r="J56" s="1">
        <v>2.1</v>
      </c>
      <c r="K56" s="1">
        <v>3.05</v>
      </c>
      <c r="L56" s="1">
        <v>9000</v>
      </c>
      <c r="M56" s="36"/>
      <c r="N56" s="1"/>
      <c r="O56" s="7">
        <f t="shared" si="0"/>
        <v>1.6363636363636365E-2</v>
      </c>
      <c r="P56" s="7">
        <f t="shared" ca="1" si="1"/>
        <v>-3.7105751391465681E-5</v>
      </c>
      <c r="Q56" s="7">
        <f t="shared" si="2"/>
        <v>-0.47333333333333327</v>
      </c>
      <c r="R56" s="33">
        <f t="shared" si="3"/>
        <v>86.9</v>
      </c>
      <c r="S56" s="33">
        <f t="shared" si="4"/>
        <v>-339299.99999999994</v>
      </c>
      <c r="T56" s="7">
        <f t="shared" si="5"/>
        <v>-0.45696969696969691</v>
      </c>
      <c r="U56" s="33">
        <f t="shared" si="6"/>
        <v>742500</v>
      </c>
    </row>
    <row r="57" spans="1:21" x14ac:dyDescent="0.25">
      <c r="A57" s="1"/>
      <c r="B57" s="25">
        <v>43496</v>
      </c>
      <c r="C57" s="10" t="s">
        <v>18</v>
      </c>
      <c r="D57" s="1">
        <v>1480.8</v>
      </c>
      <c r="E57" s="30">
        <v>400</v>
      </c>
      <c r="F57" s="1">
        <v>1360</v>
      </c>
      <c r="G57" s="1">
        <v>15</v>
      </c>
      <c r="H57" s="1">
        <v>3200</v>
      </c>
      <c r="I57" s="1">
        <v>1600</v>
      </c>
      <c r="J57" s="1">
        <v>14.4</v>
      </c>
      <c r="K57" s="1">
        <v>22.9</v>
      </c>
      <c r="L57" s="1">
        <v>5200</v>
      </c>
      <c r="M57" s="36"/>
      <c r="N57" s="1"/>
      <c r="O57" s="7">
        <f t="shared" si="0"/>
        <v>1.0129659643435981E-2</v>
      </c>
      <c r="P57" s="7">
        <f t="shared" ca="1" si="1"/>
        <v>-2.2969749758358232E-5</v>
      </c>
      <c r="Q57" s="7">
        <f t="shared" si="2"/>
        <v>0.61659238249594805</v>
      </c>
      <c r="R57" s="33">
        <f t="shared" si="3"/>
        <v>2393.85</v>
      </c>
      <c r="S57" s="33">
        <f t="shared" si="4"/>
        <v>-42319.999999999985</v>
      </c>
      <c r="T57" s="7">
        <f t="shared" si="5"/>
        <v>-7.1447866018368431E-2</v>
      </c>
      <c r="U57" s="33">
        <f t="shared" si="6"/>
        <v>592320</v>
      </c>
    </row>
    <row r="58" spans="1:21" x14ac:dyDescent="0.25">
      <c r="A58" s="1"/>
      <c r="B58" s="25">
        <v>43496</v>
      </c>
      <c r="C58" s="10" t="s">
        <v>396</v>
      </c>
      <c r="D58" s="1">
        <v>187.1</v>
      </c>
      <c r="E58" s="30">
        <v>2600</v>
      </c>
      <c r="F58" s="1">
        <v>160</v>
      </c>
      <c r="G58" s="1">
        <v>1.75</v>
      </c>
      <c r="H58" s="1">
        <v>36400</v>
      </c>
      <c r="I58" s="1">
        <v>7800</v>
      </c>
      <c r="J58" s="1">
        <v>1.8</v>
      </c>
      <c r="K58" s="1">
        <v>2.25</v>
      </c>
      <c r="L58" s="1">
        <v>2600</v>
      </c>
      <c r="M58" s="36"/>
      <c r="N58" s="1"/>
      <c r="O58" s="7">
        <f t="shared" si="0"/>
        <v>9.3532870122928925E-3</v>
      </c>
      <c r="P58" s="7">
        <f t="shared" ca="1" si="1"/>
        <v>-2.1209267601571185E-5</v>
      </c>
      <c r="Q58" s="7">
        <f t="shared" si="2"/>
        <v>-0.24345269909139489</v>
      </c>
      <c r="R58" s="33">
        <f t="shared" si="3"/>
        <v>141.55000000000001</v>
      </c>
      <c r="S58" s="33">
        <f t="shared" si="4"/>
        <v>-113879.99999999996</v>
      </c>
      <c r="T58" s="7">
        <f t="shared" si="5"/>
        <v>-0.23409941207910198</v>
      </c>
      <c r="U58" s="33">
        <f t="shared" si="6"/>
        <v>486460</v>
      </c>
    </row>
    <row r="59" spans="1:21" x14ac:dyDescent="0.25">
      <c r="A59" s="1"/>
      <c r="B59" s="25">
        <v>43496</v>
      </c>
      <c r="C59" s="10" t="s">
        <v>396</v>
      </c>
      <c r="D59" s="1">
        <v>187.1</v>
      </c>
      <c r="E59" s="30">
        <v>2600</v>
      </c>
      <c r="F59" s="1">
        <v>165</v>
      </c>
      <c r="G59" s="1">
        <v>2.65</v>
      </c>
      <c r="H59" s="1">
        <v>2600</v>
      </c>
      <c r="I59" s="1">
        <v>2600</v>
      </c>
      <c r="J59" s="1">
        <v>2.65</v>
      </c>
      <c r="K59" s="1">
        <v>3.65</v>
      </c>
      <c r="L59" s="1">
        <v>10400</v>
      </c>
      <c r="M59" s="36"/>
      <c r="N59" s="1"/>
      <c r="O59" s="7">
        <f t="shared" si="0"/>
        <v>1.4163548904329236E-2</v>
      </c>
      <c r="P59" s="7">
        <f t="shared" ca="1" si="1"/>
        <v>-3.2116890939522077E-5</v>
      </c>
      <c r="Q59" s="7">
        <f t="shared" si="2"/>
        <v>-0.24345269909139489</v>
      </c>
      <c r="R59" s="33">
        <f t="shared" si="3"/>
        <v>141.55000000000001</v>
      </c>
      <c r="S59" s="33">
        <f t="shared" si="4"/>
        <v>-111539.99999999996</v>
      </c>
      <c r="T59" s="7">
        <f t="shared" si="5"/>
        <v>-0.22928915018706564</v>
      </c>
      <c r="U59" s="33">
        <f t="shared" si="6"/>
        <v>486460</v>
      </c>
    </row>
    <row r="60" spans="1:21" x14ac:dyDescent="0.25">
      <c r="A60" s="1"/>
      <c r="B60" s="25">
        <v>43496</v>
      </c>
      <c r="C60" s="10" t="s">
        <v>396</v>
      </c>
      <c r="D60" s="1">
        <v>187.1</v>
      </c>
      <c r="E60" s="30">
        <v>2600</v>
      </c>
      <c r="F60" s="1">
        <v>170</v>
      </c>
      <c r="G60" s="1">
        <v>4.25</v>
      </c>
      <c r="H60" s="1">
        <v>28600</v>
      </c>
      <c r="I60" s="1">
        <v>2600</v>
      </c>
      <c r="J60" s="1">
        <v>3.95</v>
      </c>
      <c r="K60" s="1">
        <v>4.5999999999999996</v>
      </c>
      <c r="L60" s="1">
        <v>2600</v>
      </c>
      <c r="M60" s="36"/>
      <c r="N60" s="1"/>
      <c r="O60" s="7">
        <f t="shared" si="0"/>
        <v>2.2715125601282738E-2</v>
      </c>
      <c r="P60" s="7">
        <f t="shared" ca="1" si="1"/>
        <v>-5.1508221318101448E-5</v>
      </c>
      <c r="Q60" s="7">
        <f t="shared" si="2"/>
        <v>-0.24345269909139489</v>
      </c>
      <c r="R60" s="33">
        <f t="shared" si="3"/>
        <v>141.55000000000001</v>
      </c>
      <c r="S60" s="33">
        <f t="shared" si="4"/>
        <v>-107379.99999999996</v>
      </c>
      <c r="T60" s="7">
        <f t="shared" si="5"/>
        <v>-0.22073757349011214</v>
      </c>
      <c r="U60" s="33">
        <f t="shared" si="6"/>
        <v>486460</v>
      </c>
    </row>
    <row r="61" spans="1:21" x14ac:dyDescent="0.25">
      <c r="A61" s="1"/>
      <c r="B61" s="25">
        <v>43496</v>
      </c>
      <c r="C61" s="10" t="s">
        <v>409</v>
      </c>
      <c r="D61" s="1">
        <v>2602.9499999999998</v>
      </c>
      <c r="E61" s="30">
        <v>250</v>
      </c>
      <c r="F61" s="1">
        <v>2250</v>
      </c>
      <c r="G61" s="1">
        <v>39.25</v>
      </c>
      <c r="H61" s="1">
        <v>500</v>
      </c>
      <c r="I61" s="1">
        <v>3000</v>
      </c>
      <c r="J61" s="1">
        <v>6.7</v>
      </c>
      <c r="K61" s="1">
        <v>22.15</v>
      </c>
      <c r="L61" s="1">
        <v>3750</v>
      </c>
      <c r="M61" s="36"/>
      <c r="N61" s="1"/>
      <c r="O61" s="7">
        <f t="shared" si="0"/>
        <v>1.5079044929791199E-2</v>
      </c>
      <c r="P61" s="7">
        <f t="shared" ca="1" si="1"/>
        <v>-3.4192845645785033E-5</v>
      </c>
      <c r="Q61" s="7">
        <f t="shared" si="2"/>
        <v>0.47868764286674748</v>
      </c>
      <c r="R61" s="33">
        <f t="shared" si="3"/>
        <v>3848.95</v>
      </c>
      <c r="S61" s="33">
        <f t="shared" si="4"/>
        <v>-78424.999999999956</v>
      </c>
      <c r="T61" s="7">
        <f t="shared" si="5"/>
        <v>-0.12051710559173238</v>
      </c>
      <c r="U61" s="33">
        <f t="shared" si="6"/>
        <v>650737.5</v>
      </c>
    </row>
    <row r="62" spans="1:21" x14ac:dyDescent="0.25">
      <c r="A62" s="1"/>
      <c r="B62" s="25">
        <v>43496</v>
      </c>
      <c r="C62" s="10" t="s">
        <v>409</v>
      </c>
      <c r="D62" s="1">
        <v>2602.9499999999998</v>
      </c>
      <c r="E62" s="30">
        <v>250</v>
      </c>
      <c r="F62" s="1">
        <v>2300</v>
      </c>
      <c r="G62" s="1">
        <v>18.350000000000001</v>
      </c>
      <c r="H62" s="1">
        <v>2750</v>
      </c>
      <c r="I62" s="1">
        <v>3000</v>
      </c>
      <c r="J62" s="1">
        <v>11.15</v>
      </c>
      <c r="K62" s="1">
        <v>21.95</v>
      </c>
      <c r="L62" s="1">
        <v>2000</v>
      </c>
      <c r="M62" s="36"/>
      <c r="N62" s="1"/>
      <c r="O62" s="7">
        <f t="shared" si="0"/>
        <v>7.0496936168577967E-3</v>
      </c>
      <c r="P62" s="7">
        <f t="shared" ca="1" si="1"/>
        <v>-1.5985699811468926E-5</v>
      </c>
      <c r="Q62" s="7">
        <f t="shared" si="2"/>
        <v>0.47868764286674748</v>
      </c>
      <c r="R62" s="33">
        <f t="shared" si="3"/>
        <v>3848.95</v>
      </c>
      <c r="S62" s="33">
        <f t="shared" si="4"/>
        <v>-71149.999999999942</v>
      </c>
      <c r="T62" s="7">
        <f t="shared" si="5"/>
        <v>-0.10933748247181074</v>
      </c>
      <c r="U62" s="33">
        <f t="shared" si="6"/>
        <v>650737.5</v>
      </c>
    </row>
    <row r="63" spans="1:21" x14ac:dyDescent="0.25">
      <c r="A63" s="1"/>
      <c r="B63" s="25">
        <v>43496</v>
      </c>
      <c r="C63" s="10" t="s">
        <v>409</v>
      </c>
      <c r="D63" s="1">
        <v>2602.9499999999998</v>
      </c>
      <c r="E63" s="30">
        <v>250</v>
      </c>
      <c r="F63" s="1">
        <v>2350</v>
      </c>
      <c r="G63" s="1">
        <v>50</v>
      </c>
      <c r="H63" s="1">
        <v>1750</v>
      </c>
      <c r="I63" s="1">
        <v>3500</v>
      </c>
      <c r="J63" s="1">
        <v>16.05</v>
      </c>
      <c r="K63" s="1">
        <v>24</v>
      </c>
      <c r="L63" s="1">
        <v>250</v>
      </c>
      <c r="M63" s="36"/>
      <c r="N63" s="1"/>
      <c r="O63" s="7">
        <f t="shared" si="0"/>
        <v>1.920897443285503E-2</v>
      </c>
      <c r="P63" s="7">
        <f t="shared" ca="1" si="1"/>
        <v>-4.3557765153866282E-5</v>
      </c>
      <c r="Q63" s="7">
        <f t="shared" si="2"/>
        <v>0.47868764286674748</v>
      </c>
      <c r="R63" s="33">
        <f t="shared" si="3"/>
        <v>3848.95</v>
      </c>
      <c r="S63" s="33">
        <f t="shared" si="4"/>
        <v>-50737.499999999956</v>
      </c>
      <c r="T63" s="7">
        <f t="shared" si="5"/>
        <v>-7.7969227222958501E-2</v>
      </c>
      <c r="U63" s="33">
        <f t="shared" si="6"/>
        <v>650737.5</v>
      </c>
    </row>
    <row r="64" spans="1:21" x14ac:dyDescent="0.25">
      <c r="A64" s="1"/>
      <c r="B64" s="25">
        <v>43496</v>
      </c>
      <c r="C64" s="10" t="s">
        <v>409</v>
      </c>
      <c r="D64" s="1">
        <v>2602.9499999999998</v>
      </c>
      <c r="E64" s="30">
        <v>250</v>
      </c>
      <c r="F64" s="1">
        <v>2400</v>
      </c>
      <c r="G64" s="1">
        <v>38</v>
      </c>
      <c r="H64" s="1">
        <v>2500</v>
      </c>
      <c r="I64" s="1">
        <v>3500</v>
      </c>
      <c r="J64" s="1">
        <v>24.35</v>
      </c>
      <c r="K64" s="1">
        <v>35</v>
      </c>
      <c r="L64" s="1">
        <v>250</v>
      </c>
      <c r="M64" s="36"/>
      <c r="N64" s="1"/>
      <c r="O64" s="7">
        <f t="shared" si="0"/>
        <v>1.4598820568969825E-2</v>
      </c>
      <c r="P64" s="7">
        <f t="shared" ca="1" si="1"/>
        <v>-3.3103901516938376E-5</v>
      </c>
      <c r="Q64" s="7">
        <f t="shared" si="2"/>
        <v>0.47868764286674748</v>
      </c>
      <c r="R64" s="33">
        <f t="shared" si="3"/>
        <v>3848.95</v>
      </c>
      <c r="S64" s="33">
        <f t="shared" si="4"/>
        <v>-41237.499999999956</v>
      </c>
      <c r="T64" s="7">
        <f t="shared" si="5"/>
        <v>-6.3370406653988673E-2</v>
      </c>
      <c r="U64" s="33">
        <f t="shared" si="6"/>
        <v>650737.5</v>
      </c>
    </row>
    <row r="65" spans="1:21" x14ac:dyDescent="0.25">
      <c r="A65" s="1"/>
      <c r="B65" s="25">
        <v>43496</v>
      </c>
      <c r="C65" s="10" t="s">
        <v>449</v>
      </c>
      <c r="D65" s="1">
        <v>123</v>
      </c>
      <c r="E65" s="30">
        <v>4100</v>
      </c>
      <c r="F65" s="1">
        <v>110</v>
      </c>
      <c r="G65" s="1">
        <v>1.4</v>
      </c>
      <c r="H65" s="1">
        <v>8200</v>
      </c>
      <c r="I65" s="1">
        <v>24600</v>
      </c>
      <c r="J65" s="1">
        <v>1.05</v>
      </c>
      <c r="K65" s="1">
        <v>1.85</v>
      </c>
      <c r="L65" s="1">
        <v>8200</v>
      </c>
      <c r="M65" s="36"/>
      <c r="N65" s="1"/>
      <c r="O65" s="7">
        <f t="shared" si="0"/>
        <v>1.1382113821138211E-2</v>
      </c>
      <c r="P65" s="7">
        <f t="shared" ca="1" si="1"/>
        <v>-2.5809781907342882E-5</v>
      </c>
      <c r="Q65" s="7">
        <f t="shared" si="2"/>
        <v>-0.45203252032520325</v>
      </c>
      <c r="R65" s="33">
        <f t="shared" si="3"/>
        <v>67.400000000000006</v>
      </c>
      <c r="S65" s="33">
        <f t="shared" si="4"/>
        <v>-222219.99999999997</v>
      </c>
      <c r="T65" s="7">
        <f t="shared" si="5"/>
        <v>-0.44065040650406501</v>
      </c>
      <c r="U65" s="33">
        <f t="shared" si="6"/>
        <v>504300</v>
      </c>
    </row>
    <row r="66" spans="1:21" x14ac:dyDescent="0.25">
      <c r="A66" s="1"/>
      <c r="B66" s="25">
        <v>43496</v>
      </c>
      <c r="C66" s="10" t="s">
        <v>458</v>
      </c>
      <c r="D66" s="1">
        <v>684.25</v>
      </c>
      <c r="E66" s="30">
        <v>1100</v>
      </c>
      <c r="F66" s="1">
        <v>560</v>
      </c>
      <c r="G66" s="1">
        <v>22.8</v>
      </c>
      <c r="H66" s="1">
        <v>2200</v>
      </c>
      <c r="I66" s="1">
        <v>11000</v>
      </c>
      <c r="J66" s="1">
        <v>0.55000000000000004</v>
      </c>
      <c r="K66" s="1">
        <v>5</v>
      </c>
      <c r="L66" s="1">
        <v>11000</v>
      </c>
      <c r="M66" s="36"/>
      <c r="N66" s="1"/>
      <c r="O66" s="7">
        <f t="shared" si="0"/>
        <v>3.332115454877603E-2</v>
      </c>
      <c r="P66" s="7">
        <f t="shared" ca="1" si="1"/>
        <v>-7.5558173579990995E-5</v>
      </c>
      <c r="Q66" s="7">
        <f t="shared" si="2"/>
        <v>9.7698209718670048E-2</v>
      </c>
      <c r="R66" s="33">
        <f t="shared" si="3"/>
        <v>751.1</v>
      </c>
      <c r="S66" s="33">
        <f t="shared" si="4"/>
        <v>-111595</v>
      </c>
      <c r="T66" s="7">
        <f t="shared" si="5"/>
        <v>-0.14826452320058459</v>
      </c>
      <c r="U66" s="33">
        <f t="shared" si="6"/>
        <v>752675</v>
      </c>
    </row>
    <row r="67" spans="1:21" x14ac:dyDescent="0.25">
      <c r="A67" s="1"/>
      <c r="B67" s="25">
        <v>43496</v>
      </c>
      <c r="C67" s="10" t="s">
        <v>458</v>
      </c>
      <c r="D67" s="1">
        <v>684.25</v>
      </c>
      <c r="E67" s="30">
        <v>1100</v>
      </c>
      <c r="F67" s="1">
        <v>580</v>
      </c>
      <c r="G67" s="1">
        <v>29.5</v>
      </c>
      <c r="H67" s="1">
        <v>2200</v>
      </c>
      <c r="I67" s="1">
        <v>8800</v>
      </c>
      <c r="J67" s="1">
        <v>3.1</v>
      </c>
      <c r="K67" s="1">
        <v>6.6</v>
      </c>
      <c r="L67" s="1">
        <v>11000</v>
      </c>
      <c r="M67" s="36"/>
      <c r="N67" s="1"/>
      <c r="O67" s="7">
        <f t="shared" si="0"/>
        <v>4.3112897332846185E-2</v>
      </c>
      <c r="P67" s="7">
        <f t="shared" ca="1" si="1"/>
        <v>-9.7761671956567308E-5</v>
      </c>
      <c r="Q67" s="7">
        <f t="shared" si="2"/>
        <v>9.7698209718670048E-2</v>
      </c>
      <c r="R67" s="33">
        <f t="shared" si="3"/>
        <v>751.1</v>
      </c>
      <c r="S67" s="33">
        <f t="shared" si="4"/>
        <v>-82225</v>
      </c>
      <c r="T67" s="7">
        <f t="shared" si="5"/>
        <v>-0.1092436974789916</v>
      </c>
      <c r="U67" s="33">
        <f t="shared" si="6"/>
        <v>752675</v>
      </c>
    </row>
    <row r="68" spans="1:21" x14ac:dyDescent="0.25">
      <c r="A68" s="1"/>
      <c r="B68" s="25">
        <v>43496</v>
      </c>
      <c r="C68" s="10" t="s">
        <v>458</v>
      </c>
      <c r="D68" s="1">
        <v>684.25</v>
      </c>
      <c r="E68" s="30">
        <v>1100</v>
      </c>
      <c r="F68" s="1">
        <v>600</v>
      </c>
      <c r="G68" s="1">
        <v>7.9</v>
      </c>
      <c r="H68" s="1">
        <v>3300</v>
      </c>
      <c r="I68" s="1">
        <v>8800</v>
      </c>
      <c r="J68" s="1">
        <v>4.25</v>
      </c>
      <c r="K68" s="1">
        <v>7.9</v>
      </c>
      <c r="L68" s="1">
        <v>7700</v>
      </c>
      <c r="M68" s="36"/>
      <c r="N68" s="1"/>
      <c r="O68" s="7">
        <f t="shared" ref="O68:O121" si="7">G68/D68</f>
        <v>1.1545487760321521E-2</v>
      </c>
      <c r="P68" s="7">
        <f t="shared" ref="P68:P121" ca="1" si="8">O68/(B68-TODAY())</f>
        <v>-2.618024435447057E-5</v>
      </c>
      <c r="Q68" s="7">
        <f t="shared" ref="Q68:Q121" si="9">R68/D68-1</f>
        <v>9.7698209718670048E-2</v>
      </c>
      <c r="R68" s="33">
        <f t="shared" ref="R68:R121" si="10">mrigxl_stockquote(C68)</f>
        <v>751.1</v>
      </c>
      <c r="S68" s="33">
        <f t="shared" ref="S68:S121" si="11">(MIN(F68,R68)-D68+G68)*E68</f>
        <v>-83985</v>
      </c>
      <c r="T68" s="7">
        <f t="shared" ref="T68:T121" si="12">S68/U68</f>
        <v>-0.11158202411399343</v>
      </c>
      <c r="U68" s="33">
        <f t="shared" ref="U68:U121" si="13">E68*D68</f>
        <v>752675</v>
      </c>
    </row>
    <row r="69" spans="1:21" x14ac:dyDescent="0.25">
      <c r="A69" s="1"/>
      <c r="B69" s="25">
        <v>43496</v>
      </c>
      <c r="C69" s="10" t="s">
        <v>458</v>
      </c>
      <c r="D69" s="1">
        <v>684.25</v>
      </c>
      <c r="E69" s="30">
        <v>1100</v>
      </c>
      <c r="F69" s="1">
        <v>620</v>
      </c>
      <c r="G69" s="1">
        <v>10</v>
      </c>
      <c r="H69" s="1">
        <v>3300</v>
      </c>
      <c r="I69" s="1">
        <v>11000</v>
      </c>
      <c r="J69" s="1">
        <v>7.45</v>
      </c>
      <c r="K69" s="1">
        <v>11.55</v>
      </c>
      <c r="L69" s="1">
        <v>11000</v>
      </c>
      <c r="M69" s="36"/>
      <c r="N69" s="1"/>
      <c r="O69" s="7">
        <f t="shared" si="7"/>
        <v>1.4614541468761417E-2</v>
      </c>
      <c r="P69" s="7">
        <f t="shared" ca="1" si="8"/>
        <v>-3.3139549815785527E-5</v>
      </c>
      <c r="Q69" s="7">
        <f t="shared" si="9"/>
        <v>9.7698209718670048E-2</v>
      </c>
      <c r="R69" s="33">
        <f t="shared" si="10"/>
        <v>751.1</v>
      </c>
      <c r="S69" s="33">
        <f t="shared" si="11"/>
        <v>-59675</v>
      </c>
      <c r="T69" s="7">
        <f t="shared" si="12"/>
        <v>-7.9283887468030695E-2</v>
      </c>
      <c r="U69" s="33">
        <f t="shared" si="13"/>
        <v>752675</v>
      </c>
    </row>
    <row r="70" spans="1:21" x14ac:dyDescent="0.25">
      <c r="A70" s="1"/>
      <c r="B70" s="25">
        <v>43496</v>
      </c>
      <c r="C70" s="10" t="s">
        <v>458</v>
      </c>
      <c r="D70" s="1">
        <v>684.25</v>
      </c>
      <c r="E70" s="30">
        <v>1100</v>
      </c>
      <c r="F70" s="1">
        <v>640</v>
      </c>
      <c r="G70" s="1">
        <v>60.3</v>
      </c>
      <c r="H70" s="1">
        <v>2200</v>
      </c>
      <c r="I70" s="1">
        <v>8800</v>
      </c>
      <c r="J70" s="1">
        <v>12.7</v>
      </c>
      <c r="K70" s="1">
        <v>16.5</v>
      </c>
      <c r="L70" s="1">
        <v>8800</v>
      </c>
      <c r="M70" s="36"/>
      <c r="N70" s="1"/>
      <c r="O70" s="7">
        <f t="shared" si="7"/>
        <v>8.8125685056631348E-2</v>
      </c>
      <c r="P70" s="7">
        <f t="shared" ca="1" si="8"/>
        <v>-1.9983148538918672E-4</v>
      </c>
      <c r="Q70" s="7">
        <f t="shared" si="9"/>
        <v>9.7698209718670048E-2</v>
      </c>
      <c r="R70" s="33">
        <f t="shared" si="10"/>
        <v>751.1</v>
      </c>
      <c r="S70" s="33">
        <f t="shared" si="11"/>
        <v>17654.999999999996</v>
      </c>
      <c r="T70" s="7">
        <f t="shared" si="12"/>
        <v>2.345633905736207E-2</v>
      </c>
      <c r="U70" s="33">
        <f t="shared" si="13"/>
        <v>752675</v>
      </c>
    </row>
    <row r="71" spans="1:21" x14ac:dyDescent="0.25">
      <c r="A71" s="1"/>
      <c r="B71" s="25">
        <v>43496</v>
      </c>
      <c r="C71" s="10" t="s">
        <v>478</v>
      </c>
      <c r="D71" s="1">
        <v>92.95</v>
      </c>
      <c r="E71" s="30">
        <v>7000</v>
      </c>
      <c r="F71" s="1">
        <v>80</v>
      </c>
      <c r="G71" s="1">
        <v>0.75</v>
      </c>
      <c r="H71" s="1">
        <v>133000</v>
      </c>
      <c r="I71" s="1">
        <v>7000</v>
      </c>
      <c r="J71" s="1">
        <v>0.95</v>
      </c>
      <c r="K71" s="1">
        <v>1.25</v>
      </c>
      <c r="L71" s="1">
        <v>56000</v>
      </c>
      <c r="M71" s="36"/>
      <c r="N71" s="1"/>
      <c r="O71" s="7">
        <f t="shared" si="7"/>
        <v>8.0688542227003758E-3</v>
      </c>
      <c r="P71" s="7">
        <f t="shared" ca="1" si="8"/>
        <v>-1.8296721593424887E-5</v>
      </c>
      <c r="Q71" s="7">
        <f t="shared" si="9"/>
        <v>-0.53684776761699848</v>
      </c>
      <c r="R71" s="33">
        <f t="shared" si="10"/>
        <v>43.05</v>
      </c>
      <c r="S71" s="33">
        <f t="shared" si="11"/>
        <v>-344050.00000000006</v>
      </c>
      <c r="T71" s="7">
        <f t="shared" si="12"/>
        <v>-0.52877891339429806</v>
      </c>
      <c r="U71" s="33">
        <f t="shared" si="13"/>
        <v>650650</v>
      </c>
    </row>
    <row r="72" spans="1:21" x14ac:dyDescent="0.25">
      <c r="A72" s="1"/>
      <c r="B72" s="25">
        <v>43496</v>
      </c>
      <c r="C72" s="10" t="s">
        <v>478</v>
      </c>
      <c r="D72" s="1">
        <v>92.95</v>
      </c>
      <c r="E72" s="30">
        <v>7000</v>
      </c>
      <c r="F72" s="1">
        <v>85</v>
      </c>
      <c r="G72" s="1">
        <v>2.1</v>
      </c>
      <c r="H72" s="1">
        <v>42000</v>
      </c>
      <c r="I72" s="1">
        <v>7000</v>
      </c>
      <c r="J72" s="1">
        <v>1.7</v>
      </c>
      <c r="K72" s="1">
        <v>2.2000000000000002</v>
      </c>
      <c r="L72" s="1">
        <v>63000</v>
      </c>
      <c r="M72" s="36"/>
      <c r="N72" s="1"/>
      <c r="O72" s="7">
        <f t="shared" si="7"/>
        <v>2.2592791823561054E-2</v>
      </c>
      <c r="P72" s="7">
        <f t="shared" ca="1" si="8"/>
        <v>-5.1230820461589689E-5</v>
      </c>
      <c r="Q72" s="7">
        <f t="shared" si="9"/>
        <v>-0.53684776761699848</v>
      </c>
      <c r="R72" s="33">
        <f t="shared" si="10"/>
        <v>43.05</v>
      </c>
      <c r="S72" s="33">
        <f t="shared" si="11"/>
        <v>-334600.00000000006</v>
      </c>
      <c r="T72" s="7">
        <f t="shared" si="12"/>
        <v>-0.51425497579343737</v>
      </c>
      <c r="U72" s="33">
        <f t="shared" si="13"/>
        <v>650650</v>
      </c>
    </row>
    <row r="73" spans="1:21" x14ac:dyDescent="0.25">
      <c r="A73" s="1"/>
      <c r="B73" s="25">
        <v>43496</v>
      </c>
      <c r="C73" s="10" t="s">
        <v>500</v>
      </c>
      <c r="D73" s="1">
        <v>345.5</v>
      </c>
      <c r="E73" s="30">
        <v>2667</v>
      </c>
      <c r="F73" s="1">
        <v>300</v>
      </c>
      <c r="G73" s="1">
        <v>2</v>
      </c>
      <c r="H73" s="1">
        <v>5334</v>
      </c>
      <c r="I73" s="1">
        <v>26670</v>
      </c>
      <c r="J73" s="1">
        <v>0.65</v>
      </c>
      <c r="K73" s="1">
        <v>2</v>
      </c>
      <c r="L73" s="1">
        <v>5334</v>
      </c>
      <c r="M73" s="36"/>
      <c r="N73" s="1"/>
      <c r="O73" s="7">
        <f t="shared" si="7"/>
        <v>5.7887120115774236E-3</v>
      </c>
      <c r="P73" s="7">
        <f t="shared" ca="1" si="8"/>
        <v>-1.3126331092012298E-5</v>
      </c>
      <c r="Q73" s="7">
        <f t="shared" si="9"/>
        <v>-0.74413892908827783</v>
      </c>
      <c r="R73" s="33">
        <f t="shared" si="10"/>
        <v>88.4</v>
      </c>
      <c r="S73" s="33">
        <f t="shared" si="11"/>
        <v>-680351.70000000007</v>
      </c>
      <c r="T73" s="7">
        <f t="shared" si="12"/>
        <v>-0.73835021707670045</v>
      </c>
      <c r="U73" s="33">
        <f t="shared" si="13"/>
        <v>921448.5</v>
      </c>
    </row>
    <row r="74" spans="1:21" x14ac:dyDescent="0.25">
      <c r="A74" s="1"/>
      <c r="B74" s="25">
        <v>43496</v>
      </c>
      <c r="C74" s="10" t="s">
        <v>539</v>
      </c>
      <c r="D74" s="1">
        <v>670.65</v>
      </c>
      <c r="E74" s="30">
        <v>1000</v>
      </c>
      <c r="F74" s="1">
        <v>600</v>
      </c>
      <c r="G74" s="1">
        <v>5.25</v>
      </c>
      <c r="H74" s="1">
        <v>6000</v>
      </c>
      <c r="I74" s="1">
        <v>10000</v>
      </c>
      <c r="J74" s="1">
        <v>3.8</v>
      </c>
      <c r="K74" s="1">
        <v>7.6</v>
      </c>
      <c r="L74" s="1">
        <v>12000</v>
      </c>
      <c r="M74" s="36"/>
      <c r="N74" s="1"/>
      <c r="O74" s="7">
        <f t="shared" si="7"/>
        <v>7.8282263475732503E-3</v>
      </c>
      <c r="P74" s="7">
        <f t="shared" ca="1" si="8"/>
        <v>-1.7751080153227324E-5</v>
      </c>
      <c r="Q74" s="7">
        <f t="shared" si="9"/>
        <v>-0.49988816819503468</v>
      </c>
      <c r="R74" s="33">
        <f t="shared" si="10"/>
        <v>335.4</v>
      </c>
      <c r="S74" s="33">
        <f t="shared" si="11"/>
        <v>-330000</v>
      </c>
      <c r="T74" s="7">
        <f t="shared" si="12"/>
        <v>-0.49205994184746144</v>
      </c>
      <c r="U74" s="33">
        <f t="shared" si="13"/>
        <v>670650</v>
      </c>
    </row>
    <row r="75" spans="1:21" x14ac:dyDescent="0.25">
      <c r="A75" s="1"/>
      <c r="B75" s="25">
        <v>43496</v>
      </c>
      <c r="C75" s="10" t="s">
        <v>539</v>
      </c>
      <c r="D75" s="1">
        <v>670.65</v>
      </c>
      <c r="E75" s="30">
        <v>1000</v>
      </c>
      <c r="F75" s="1">
        <v>610</v>
      </c>
      <c r="G75" s="1">
        <v>11.75</v>
      </c>
      <c r="H75" s="1">
        <v>1000</v>
      </c>
      <c r="I75" s="1">
        <v>8000</v>
      </c>
      <c r="J75" s="1">
        <v>6.15</v>
      </c>
      <c r="K75" s="1">
        <v>8.9499999999999993</v>
      </c>
      <c r="L75" s="1">
        <v>6000</v>
      </c>
      <c r="M75" s="36"/>
      <c r="N75" s="1"/>
      <c r="O75" s="7">
        <f t="shared" si="7"/>
        <v>1.7520316111235369E-2</v>
      </c>
      <c r="P75" s="7">
        <f t="shared" ca="1" si="8"/>
        <v>-3.9728607961984964E-5</v>
      </c>
      <c r="Q75" s="7">
        <f t="shared" si="9"/>
        <v>-0.49988816819503468</v>
      </c>
      <c r="R75" s="33">
        <f t="shared" si="10"/>
        <v>335.4</v>
      </c>
      <c r="S75" s="33">
        <f t="shared" si="11"/>
        <v>-323500</v>
      </c>
      <c r="T75" s="7">
        <f t="shared" si="12"/>
        <v>-0.48236785208379929</v>
      </c>
      <c r="U75" s="33">
        <f t="shared" si="13"/>
        <v>670650</v>
      </c>
    </row>
    <row r="76" spans="1:21" x14ac:dyDescent="0.25">
      <c r="A76" s="1"/>
      <c r="B76" s="25">
        <v>43496</v>
      </c>
      <c r="C76" s="10" t="s">
        <v>545</v>
      </c>
      <c r="D76" s="1">
        <v>15.85</v>
      </c>
      <c r="E76" s="30">
        <v>45000</v>
      </c>
      <c r="F76" s="1">
        <v>14</v>
      </c>
      <c r="G76" s="1">
        <v>0.2</v>
      </c>
      <c r="H76" s="1">
        <v>45000</v>
      </c>
      <c r="I76" s="1">
        <v>45000</v>
      </c>
      <c r="J76" s="1">
        <v>0.2</v>
      </c>
      <c r="K76" s="1">
        <v>0.35</v>
      </c>
      <c r="L76" s="1">
        <v>45000</v>
      </c>
      <c r="M76" s="36"/>
      <c r="N76" s="1"/>
      <c r="O76" s="7">
        <f t="shared" si="7"/>
        <v>1.2618296529968456E-2</v>
      </c>
      <c r="P76" s="7">
        <f t="shared" ca="1" si="8"/>
        <v>-2.8612917301515772E-5</v>
      </c>
      <c r="Q76" s="7">
        <f t="shared" si="9"/>
        <v>0.10094637223974767</v>
      </c>
      <c r="R76" s="33">
        <f t="shared" si="10"/>
        <v>17.45</v>
      </c>
      <c r="S76" s="33">
        <f t="shared" si="11"/>
        <v>-74249.999999999985</v>
      </c>
      <c r="T76" s="7">
        <f t="shared" si="12"/>
        <v>-0.10410094637223972</v>
      </c>
      <c r="U76" s="33">
        <f t="shared" si="13"/>
        <v>713250</v>
      </c>
    </row>
    <row r="77" spans="1:21" x14ac:dyDescent="0.25">
      <c r="A77" s="1"/>
      <c r="B77" s="25">
        <v>43496</v>
      </c>
      <c r="C77" s="10" t="s">
        <v>571</v>
      </c>
      <c r="D77" s="1">
        <v>816</v>
      </c>
      <c r="E77" s="30">
        <v>750</v>
      </c>
      <c r="F77" s="1">
        <v>700</v>
      </c>
      <c r="G77" s="1">
        <v>3.5</v>
      </c>
      <c r="H77" s="1">
        <v>750</v>
      </c>
      <c r="I77" s="1">
        <v>6750</v>
      </c>
      <c r="J77" s="1">
        <v>1.5</v>
      </c>
      <c r="K77" s="1">
        <v>3.9</v>
      </c>
      <c r="L77" s="1">
        <v>750</v>
      </c>
      <c r="M77" s="36"/>
      <c r="N77" s="1"/>
      <c r="O77" s="7">
        <f t="shared" si="7"/>
        <v>4.2892156862745102E-3</v>
      </c>
      <c r="P77" s="7">
        <f t="shared" ca="1" si="8"/>
        <v>-9.7261126672891383E-6</v>
      </c>
      <c r="Q77" s="7">
        <f t="shared" si="9"/>
        <v>-0.31188725490196079</v>
      </c>
      <c r="R77" s="33">
        <f t="shared" si="10"/>
        <v>561.5</v>
      </c>
      <c r="S77" s="33">
        <f t="shared" si="11"/>
        <v>-188250</v>
      </c>
      <c r="T77" s="7">
        <f t="shared" si="12"/>
        <v>-0.30759803921568629</v>
      </c>
      <c r="U77" s="33">
        <f t="shared" si="13"/>
        <v>612000</v>
      </c>
    </row>
    <row r="78" spans="1:21" x14ac:dyDescent="0.25">
      <c r="A78" s="1"/>
      <c r="B78" s="25">
        <v>43496</v>
      </c>
      <c r="C78" s="10" t="s">
        <v>606</v>
      </c>
      <c r="D78" s="1">
        <v>690.7</v>
      </c>
      <c r="E78" s="30">
        <v>1000</v>
      </c>
      <c r="F78" s="1">
        <v>640</v>
      </c>
      <c r="G78" s="1">
        <v>9</v>
      </c>
      <c r="H78" s="1">
        <v>2000</v>
      </c>
      <c r="I78" s="1">
        <v>1000</v>
      </c>
      <c r="J78" s="1">
        <v>9</v>
      </c>
      <c r="K78" s="1">
        <v>10.7</v>
      </c>
      <c r="L78" s="1">
        <v>4000</v>
      </c>
      <c r="M78" s="36"/>
      <c r="N78" s="1"/>
      <c r="O78" s="7">
        <f t="shared" si="7"/>
        <v>1.3030259157376574E-2</v>
      </c>
      <c r="P78" s="7">
        <f t="shared" ca="1" si="8"/>
        <v>-2.9547072919221256E-5</v>
      </c>
      <c r="Q78" s="7">
        <f t="shared" si="9"/>
        <v>-0.18249601853192421</v>
      </c>
      <c r="R78" s="33">
        <f t="shared" si="10"/>
        <v>564.65</v>
      </c>
      <c r="S78" s="33">
        <f t="shared" si="11"/>
        <v>-117050.00000000007</v>
      </c>
      <c r="T78" s="7">
        <f t="shared" si="12"/>
        <v>-0.16946575937454766</v>
      </c>
      <c r="U78" s="33">
        <f t="shared" si="13"/>
        <v>690700</v>
      </c>
    </row>
    <row r="79" spans="1:21" x14ac:dyDescent="0.25">
      <c r="A79" s="1"/>
      <c r="B79" s="25">
        <v>43496</v>
      </c>
      <c r="C79" s="10" t="s">
        <v>636</v>
      </c>
      <c r="D79" s="1">
        <v>223.75</v>
      </c>
      <c r="E79" s="30">
        <v>3500</v>
      </c>
      <c r="F79" s="1">
        <v>190</v>
      </c>
      <c r="G79" s="1">
        <v>1.2</v>
      </c>
      <c r="H79" s="1">
        <v>3500</v>
      </c>
      <c r="I79" s="1">
        <v>28000</v>
      </c>
      <c r="J79" s="1">
        <v>1</v>
      </c>
      <c r="K79" s="1">
        <v>1.9</v>
      </c>
      <c r="L79" s="1">
        <v>38500</v>
      </c>
      <c r="M79" s="36"/>
      <c r="N79" s="1"/>
      <c r="O79" s="7">
        <f t="shared" si="7"/>
        <v>5.3631284916201118E-3</v>
      </c>
      <c r="P79" s="7">
        <f t="shared" ca="1" si="8"/>
        <v>-1.2161289096644245E-5</v>
      </c>
      <c r="Q79" s="7">
        <f t="shared" si="9"/>
        <v>-0.46368715083798884</v>
      </c>
      <c r="R79" s="33">
        <f t="shared" si="10"/>
        <v>120</v>
      </c>
      <c r="S79" s="33">
        <f t="shared" si="11"/>
        <v>-358925</v>
      </c>
      <c r="T79" s="7">
        <f t="shared" si="12"/>
        <v>-0.45832402234636871</v>
      </c>
      <c r="U79" s="33">
        <f t="shared" si="13"/>
        <v>783125</v>
      </c>
    </row>
    <row r="80" spans="1:21" x14ac:dyDescent="0.25">
      <c r="A80" s="1"/>
      <c r="B80" s="25">
        <v>43496</v>
      </c>
      <c r="C80" s="10" t="s">
        <v>636</v>
      </c>
      <c r="D80" s="1">
        <v>223.75</v>
      </c>
      <c r="E80" s="30">
        <v>3500</v>
      </c>
      <c r="F80" s="1">
        <v>195</v>
      </c>
      <c r="G80" s="1">
        <v>1.8</v>
      </c>
      <c r="H80" s="1">
        <v>17500</v>
      </c>
      <c r="I80" s="1">
        <v>49000</v>
      </c>
      <c r="J80" s="1">
        <v>1.05</v>
      </c>
      <c r="K80" s="1">
        <v>2</v>
      </c>
      <c r="L80" s="1">
        <v>3500</v>
      </c>
      <c r="M80" s="36"/>
      <c r="N80" s="1"/>
      <c r="O80" s="7">
        <f t="shared" si="7"/>
        <v>8.0446927374301681E-3</v>
      </c>
      <c r="P80" s="7">
        <f t="shared" ca="1" si="8"/>
        <v>-1.8241933644966369E-5</v>
      </c>
      <c r="Q80" s="7">
        <f t="shared" si="9"/>
        <v>-0.46368715083798884</v>
      </c>
      <c r="R80" s="33">
        <f t="shared" si="10"/>
        <v>120</v>
      </c>
      <c r="S80" s="33">
        <f t="shared" si="11"/>
        <v>-356825</v>
      </c>
      <c r="T80" s="7">
        <f t="shared" si="12"/>
        <v>-0.45564245810055864</v>
      </c>
      <c r="U80" s="33">
        <f t="shared" si="13"/>
        <v>783125</v>
      </c>
    </row>
    <row r="81" spans="1:21" x14ac:dyDescent="0.25">
      <c r="A81" s="1"/>
      <c r="B81" s="25">
        <v>43496</v>
      </c>
      <c r="C81" s="10" t="s">
        <v>636</v>
      </c>
      <c r="D81" s="1">
        <v>223.75</v>
      </c>
      <c r="E81" s="30">
        <v>3500</v>
      </c>
      <c r="F81" s="1">
        <v>200</v>
      </c>
      <c r="G81" s="1">
        <v>2.5</v>
      </c>
      <c r="H81" s="1">
        <v>112000</v>
      </c>
      <c r="I81" s="1">
        <v>10500</v>
      </c>
      <c r="J81" s="1">
        <v>2.2999999999999998</v>
      </c>
      <c r="K81" s="1">
        <v>2.9</v>
      </c>
      <c r="L81" s="1">
        <v>21000</v>
      </c>
      <c r="M81" s="36"/>
      <c r="N81" s="1"/>
      <c r="O81" s="7">
        <f t="shared" si="7"/>
        <v>1.11731843575419E-2</v>
      </c>
      <c r="P81" s="7">
        <f t="shared" ca="1" si="8"/>
        <v>-2.5336018951342177E-5</v>
      </c>
      <c r="Q81" s="7">
        <f t="shared" si="9"/>
        <v>-0.46368715083798884</v>
      </c>
      <c r="R81" s="33">
        <f t="shared" si="10"/>
        <v>120</v>
      </c>
      <c r="S81" s="33">
        <f t="shared" si="11"/>
        <v>-354375</v>
      </c>
      <c r="T81" s="7">
        <f t="shared" si="12"/>
        <v>-0.45251396648044695</v>
      </c>
      <c r="U81" s="33">
        <f t="shared" si="13"/>
        <v>783125</v>
      </c>
    </row>
    <row r="82" spans="1:21" x14ac:dyDescent="0.25">
      <c r="A82" s="1"/>
      <c r="B82" s="25">
        <v>43496</v>
      </c>
      <c r="C82" s="10" t="s">
        <v>642</v>
      </c>
      <c r="D82" s="1">
        <v>250.1</v>
      </c>
      <c r="E82" s="30">
        <v>2100</v>
      </c>
      <c r="F82" s="1">
        <v>190</v>
      </c>
      <c r="G82" s="1">
        <v>4.4000000000000004</v>
      </c>
      <c r="H82" s="1">
        <v>2100</v>
      </c>
      <c r="I82" s="1">
        <v>12600</v>
      </c>
      <c r="J82" s="1">
        <v>0.2</v>
      </c>
      <c r="K82" s="1">
        <v>1.5</v>
      </c>
      <c r="L82" s="1">
        <v>21000</v>
      </c>
      <c r="M82" s="36"/>
      <c r="N82" s="1"/>
      <c r="O82" s="7">
        <f t="shared" si="7"/>
        <v>1.7592962814874054E-2</v>
      </c>
      <c r="P82" s="7">
        <f t="shared" ca="1" si="8"/>
        <v>-3.9893339716267696E-5</v>
      </c>
      <c r="Q82" s="7">
        <f t="shared" si="9"/>
        <v>-0.13114754098360648</v>
      </c>
      <c r="R82" s="33">
        <f t="shared" si="10"/>
        <v>217.3</v>
      </c>
      <c r="S82" s="33">
        <f t="shared" si="11"/>
        <v>-116969.99999999999</v>
      </c>
      <c r="T82" s="7">
        <f t="shared" si="12"/>
        <v>-0.22271091563374648</v>
      </c>
      <c r="U82" s="33">
        <f t="shared" si="13"/>
        <v>525210</v>
      </c>
    </row>
    <row r="83" spans="1:21" x14ac:dyDescent="0.25">
      <c r="A83" s="1"/>
      <c r="B83" s="25">
        <v>43496</v>
      </c>
      <c r="C83" s="10" t="s">
        <v>642</v>
      </c>
      <c r="D83" s="1">
        <v>250.1</v>
      </c>
      <c r="E83" s="30">
        <v>2100</v>
      </c>
      <c r="F83" s="1">
        <v>210</v>
      </c>
      <c r="G83" s="1">
        <v>2.15</v>
      </c>
      <c r="H83" s="1">
        <v>21000</v>
      </c>
      <c r="I83" s="1">
        <v>8400</v>
      </c>
      <c r="J83" s="1">
        <v>1.7</v>
      </c>
      <c r="K83" s="1">
        <v>2.9</v>
      </c>
      <c r="L83" s="1">
        <v>16800</v>
      </c>
      <c r="M83" s="36"/>
      <c r="N83" s="1"/>
      <c r="O83" s="7">
        <f t="shared" si="7"/>
        <v>8.5965613754498196E-3</v>
      </c>
      <c r="P83" s="7">
        <f t="shared" ca="1" si="8"/>
        <v>-1.9493336452267164E-5</v>
      </c>
      <c r="Q83" s="7">
        <f t="shared" si="9"/>
        <v>-0.13114754098360648</v>
      </c>
      <c r="R83" s="33">
        <f t="shared" si="10"/>
        <v>217.3</v>
      </c>
      <c r="S83" s="33">
        <f t="shared" si="11"/>
        <v>-79694.999999999985</v>
      </c>
      <c r="T83" s="7">
        <f t="shared" si="12"/>
        <v>-0.15173930427828866</v>
      </c>
      <c r="U83" s="33">
        <f t="shared" si="13"/>
        <v>525210</v>
      </c>
    </row>
    <row r="84" spans="1:21" x14ac:dyDescent="0.25">
      <c r="A84" s="1"/>
      <c r="B84" s="25">
        <v>43496</v>
      </c>
      <c r="C84" s="10" t="s">
        <v>642</v>
      </c>
      <c r="D84" s="1">
        <v>250.1</v>
      </c>
      <c r="E84" s="30">
        <v>2100</v>
      </c>
      <c r="F84" s="1">
        <v>215</v>
      </c>
      <c r="G84" s="1">
        <v>12.85</v>
      </c>
      <c r="H84" s="1">
        <v>10500</v>
      </c>
      <c r="I84" s="1">
        <v>12600</v>
      </c>
      <c r="J84" s="1">
        <v>2.4</v>
      </c>
      <c r="K84" s="1">
        <v>3.85</v>
      </c>
      <c r="L84" s="1">
        <v>25200</v>
      </c>
      <c r="M84" s="36"/>
      <c r="N84" s="1"/>
      <c r="O84" s="7">
        <f t="shared" si="7"/>
        <v>5.1379448220711714E-2</v>
      </c>
      <c r="P84" s="7">
        <f t="shared" ca="1" si="8"/>
        <v>-1.1650668530773631E-4</v>
      </c>
      <c r="Q84" s="7">
        <f t="shared" si="9"/>
        <v>-0.13114754098360648</v>
      </c>
      <c r="R84" s="33">
        <f t="shared" si="10"/>
        <v>217.3</v>
      </c>
      <c r="S84" s="33">
        <f t="shared" si="11"/>
        <v>-46724.999999999985</v>
      </c>
      <c r="T84" s="7">
        <f t="shared" si="12"/>
        <v>-8.8964414234306247E-2</v>
      </c>
      <c r="U84" s="33">
        <f t="shared" si="13"/>
        <v>525210</v>
      </c>
    </row>
    <row r="85" spans="1:21" x14ac:dyDescent="0.25">
      <c r="A85" s="1"/>
      <c r="B85" s="25">
        <v>43496</v>
      </c>
      <c r="C85" s="10" t="s">
        <v>642</v>
      </c>
      <c r="D85" s="1">
        <v>250.1</v>
      </c>
      <c r="E85" s="30">
        <v>2100</v>
      </c>
      <c r="F85" s="1">
        <v>220</v>
      </c>
      <c r="G85" s="1">
        <v>3.75</v>
      </c>
      <c r="H85" s="1">
        <v>14700</v>
      </c>
      <c r="I85" s="1">
        <v>25200</v>
      </c>
      <c r="J85" s="1">
        <v>3.15</v>
      </c>
      <c r="K85" s="1">
        <v>4.7</v>
      </c>
      <c r="L85" s="1">
        <v>12600</v>
      </c>
      <c r="M85" s="36"/>
      <c r="N85" s="1"/>
      <c r="O85" s="7">
        <f t="shared" si="7"/>
        <v>1.4994002399040383E-2</v>
      </c>
      <c r="P85" s="7">
        <f t="shared" ca="1" si="8"/>
        <v>-3.4000005440000866E-5</v>
      </c>
      <c r="Q85" s="7">
        <f t="shared" si="9"/>
        <v>-0.13114754098360648</v>
      </c>
      <c r="R85" s="33">
        <f t="shared" si="10"/>
        <v>217.3</v>
      </c>
      <c r="S85" s="33">
        <f t="shared" si="11"/>
        <v>-61004.999999999964</v>
      </c>
      <c r="T85" s="7">
        <f t="shared" si="12"/>
        <v>-0.1161535385845661</v>
      </c>
      <c r="U85" s="33">
        <f t="shared" si="13"/>
        <v>525210</v>
      </c>
    </row>
    <row r="86" spans="1:21" x14ac:dyDescent="0.25">
      <c r="A86" s="1"/>
      <c r="B86" s="25">
        <v>43496</v>
      </c>
      <c r="C86" s="10" t="s">
        <v>642</v>
      </c>
      <c r="D86" s="1">
        <v>250.1</v>
      </c>
      <c r="E86" s="30">
        <v>2100</v>
      </c>
      <c r="F86" s="1">
        <v>225</v>
      </c>
      <c r="G86" s="1">
        <v>5.25</v>
      </c>
      <c r="H86" s="1">
        <v>52500</v>
      </c>
      <c r="I86" s="1">
        <v>8400</v>
      </c>
      <c r="J86" s="1">
        <v>4.5999999999999996</v>
      </c>
      <c r="K86" s="1">
        <v>6</v>
      </c>
      <c r="L86" s="1">
        <v>21000</v>
      </c>
      <c r="M86" s="36"/>
      <c r="N86" s="1"/>
      <c r="O86" s="7">
        <f t="shared" si="7"/>
        <v>2.099160335865654E-2</v>
      </c>
      <c r="P86" s="7">
        <f t="shared" ca="1" si="8"/>
        <v>-4.7600007616001225E-5</v>
      </c>
      <c r="Q86" s="7">
        <f t="shared" si="9"/>
        <v>-0.13114754098360648</v>
      </c>
      <c r="R86" s="33">
        <f t="shared" si="10"/>
        <v>217.3</v>
      </c>
      <c r="S86" s="33">
        <f t="shared" si="11"/>
        <v>-57854.999999999964</v>
      </c>
      <c r="T86" s="7">
        <f t="shared" si="12"/>
        <v>-0.11015593762494995</v>
      </c>
      <c r="U86" s="33">
        <f t="shared" si="13"/>
        <v>525210</v>
      </c>
    </row>
    <row r="87" spans="1:21" x14ac:dyDescent="0.25">
      <c r="A87" s="1"/>
      <c r="B87" s="25">
        <v>43496</v>
      </c>
      <c r="C87" s="10" t="s">
        <v>671</v>
      </c>
      <c r="D87" s="1">
        <v>355.05</v>
      </c>
      <c r="E87" s="30">
        <v>2750</v>
      </c>
      <c r="F87" s="1">
        <v>315</v>
      </c>
      <c r="G87" s="1">
        <v>2</v>
      </c>
      <c r="H87" s="1">
        <v>5500</v>
      </c>
      <c r="I87" s="1">
        <v>22000</v>
      </c>
      <c r="J87" s="1">
        <v>1.1499999999999999</v>
      </c>
      <c r="K87" s="1">
        <v>2.8</v>
      </c>
      <c r="L87" s="1">
        <v>22000</v>
      </c>
      <c r="M87" s="36"/>
      <c r="N87" s="1"/>
      <c r="O87" s="7">
        <f t="shared" si="7"/>
        <v>5.6330094352908039E-3</v>
      </c>
      <c r="P87" s="7">
        <f t="shared" ca="1" si="8"/>
        <v>-1.277326402560273E-5</v>
      </c>
      <c r="Q87" s="7">
        <f t="shared" si="9"/>
        <v>-2.1264610618222823E-2</v>
      </c>
      <c r="R87" s="33">
        <f t="shared" si="10"/>
        <v>347.5</v>
      </c>
      <c r="S87" s="33">
        <f t="shared" si="11"/>
        <v>-104637.50000000003</v>
      </c>
      <c r="T87" s="7">
        <f t="shared" si="12"/>
        <v>-0.10716800450640758</v>
      </c>
      <c r="U87" s="33">
        <f t="shared" si="13"/>
        <v>976387.5</v>
      </c>
    </row>
    <row r="88" spans="1:21" x14ac:dyDescent="0.25">
      <c r="A88" s="1"/>
      <c r="B88" s="25">
        <v>43496</v>
      </c>
      <c r="C88" s="10" t="s">
        <v>671</v>
      </c>
      <c r="D88" s="1">
        <v>355.05</v>
      </c>
      <c r="E88" s="30">
        <v>2750</v>
      </c>
      <c r="F88" s="1">
        <v>320</v>
      </c>
      <c r="G88" s="1">
        <v>2.75</v>
      </c>
      <c r="H88" s="1">
        <v>101750</v>
      </c>
      <c r="I88" s="1">
        <v>11000</v>
      </c>
      <c r="J88" s="1">
        <v>2.1</v>
      </c>
      <c r="K88" s="1">
        <v>3</v>
      </c>
      <c r="L88" s="1">
        <v>19250</v>
      </c>
      <c r="M88" s="36"/>
      <c r="N88" s="1"/>
      <c r="O88" s="7">
        <f t="shared" si="7"/>
        <v>7.7453879735248556E-3</v>
      </c>
      <c r="P88" s="7">
        <f t="shared" ca="1" si="8"/>
        <v>-1.7563238035203755E-5</v>
      </c>
      <c r="Q88" s="7">
        <f t="shared" si="9"/>
        <v>-2.1264610618222823E-2</v>
      </c>
      <c r="R88" s="33">
        <f t="shared" si="10"/>
        <v>347.5</v>
      </c>
      <c r="S88" s="33">
        <f t="shared" si="11"/>
        <v>-88825.000000000029</v>
      </c>
      <c r="T88" s="7">
        <f t="shared" si="12"/>
        <v>-9.0973102379946519E-2</v>
      </c>
      <c r="U88" s="33">
        <f t="shared" si="13"/>
        <v>976387.5</v>
      </c>
    </row>
    <row r="89" spans="1:21" x14ac:dyDescent="0.25">
      <c r="A89" s="1"/>
      <c r="B89" s="25">
        <v>43496</v>
      </c>
      <c r="C89" s="10" t="s">
        <v>684</v>
      </c>
      <c r="D89" s="1">
        <v>61.65</v>
      </c>
      <c r="E89" s="30">
        <v>10000</v>
      </c>
      <c r="F89" s="1">
        <v>52.5</v>
      </c>
      <c r="G89" s="1">
        <v>0.4</v>
      </c>
      <c r="H89" s="1">
        <v>260000</v>
      </c>
      <c r="I89" s="1">
        <v>40000</v>
      </c>
      <c r="J89" s="1">
        <v>0.1</v>
      </c>
      <c r="K89" s="1">
        <v>0.4</v>
      </c>
      <c r="L89" s="1">
        <v>20000</v>
      </c>
      <c r="M89" s="36"/>
      <c r="N89" s="1"/>
      <c r="O89" s="7">
        <f t="shared" si="7"/>
        <v>6.4882400648824008E-3</v>
      </c>
      <c r="P89" s="7">
        <f t="shared" ca="1" si="8"/>
        <v>-1.4712562505402269E-5</v>
      </c>
      <c r="Q89" s="7">
        <f t="shared" si="9"/>
        <v>-0.6585563665855636</v>
      </c>
      <c r="R89" s="33">
        <f t="shared" si="10"/>
        <v>21.05</v>
      </c>
      <c r="S89" s="33">
        <f t="shared" si="11"/>
        <v>-401999.99999999994</v>
      </c>
      <c r="T89" s="7">
        <f t="shared" si="12"/>
        <v>-0.65206812652068114</v>
      </c>
      <c r="U89" s="33">
        <f t="shared" si="13"/>
        <v>616500</v>
      </c>
    </row>
    <row r="90" spans="1:21" x14ac:dyDescent="0.25">
      <c r="A90" s="1"/>
      <c r="B90" s="25">
        <v>43496</v>
      </c>
      <c r="C90" s="10" t="s">
        <v>684</v>
      </c>
      <c r="D90" s="1">
        <v>61.65</v>
      </c>
      <c r="E90" s="30">
        <v>10000</v>
      </c>
      <c r="F90" s="1">
        <v>55</v>
      </c>
      <c r="G90" s="1">
        <v>0.4</v>
      </c>
      <c r="H90" s="1">
        <v>80000</v>
      </c>
      <c r="I90" s="1">
        <v>10000</v>
      </c>
      <c r="J90" s="1">
        <v>0.25</v>
      </c>
      <c r="K90" s="1">
        <v>0.45</v>
      </c>
      <c r="L90" s="1">
        <v>10000</v>
      </c>
      <c r="M90" s="36"/>
      <c r="N90" s="1"/>
      <c r="O90" s="7">
        <f t="shared" si="7"/>
        <v>6.4882400648824008E-3</v>
      </c>
      <c r="P90" s="7">
        <f t="shared" ca="1" si="8"/>
        <v>-1.4712562505402269E-5</v>
      </c>
      <c r="Q90" s="7">
        <f t="shared" si="9"/>
        <v>-0.6585563665855636</v>
      </c>
      <c r="R90" s="33">
        <f t="shared" si="10"/>
        <v>21.05</v>
      </c>
      <c r="S90" s="33">
        <f t="shared" si="11"/>
        <v>-401999.99999999994</v>
      </c>
      <c r="T90" s="7">
        <f t="shared" si="12"/>
        <v>-0.65206812652068114</v>
      </c>
      <c r="U90" s="33">
        <f t="shared" si="13"/>
        <v>616500</v>
      </c>
    </row>
    <row r="91" spans="1:21" x14ac:dyDescent="0.25">
      <c r="A91" s="1"/>
      <c r="B91" s="25">
        <v>43496</v>
      </c>
      <c r="C91" s="10" t="s">
        <v>686</v>
      </c>
      <c r="D91" s="1">
        <v>38.15</v>
      </c>
      <c r="E91" s="30">
        <v>12000</v>
      </c>
      <c r="F91" s="1">
        <v>32</v>
      </c>
      <c r="G91" s="1">
        <v>0.45</v>
      </c>
      <c r="H91" s="1">
        <v>120000</v>
      </c>
      <c r="I91" s="1">
        <v>12000</v>
      </c>
      <c r="J91" s="1">
        <v>0.3</v>
      </c>
      <c r="K91" s="1">
        <v>0.45</v>
      </c>
      <c r="L91" s="1">
        <v>12000</v>
      </c>
      <c r="M91" s="36"/>
      <c r="N91" s="1"/>
      <c r="O91" s="7">
        <f t="shared" si="7"/>
        <v>1.179554390563565E-2</v>
      </c>
      <c r="P91" s="7">
        <f t="shared" ca="1" si="8"/>
        <v>-2.6747265092144332E-5</v>
      </c>
      <c r="Q91" s="7">
        <f t="shared" si="9"/>
        <v>-0.88466579292267367</v>
      </c>
      <c r="R91" s="33">
        <f t="shared" si="10"/>
        <v>4.4000000000000004</v>
      </c>
      <c r="S91" s="33">
        <f t="shared" si="11"/>
        <v>-399599.99999999994</v>
      </c>
      <c r="T91" s="7">
        <f t="shared" si="12"/>
        <v>-0.87287024901703791</v>
      </c>
      <c r="U91" s="33">
        <f t="shared" si="13"/>
        <v>457800</v>
      </c>
    </row>
    <row r="92" spans="1:21" x14ac:dyDescent="0.25">
      <c r="A92" s="1"/>
      <c r="B92" s="25">
        <v>43496</v>
      </c>
      <c r="C92" s="10" t="s">
        <v>686</v>
      </c>
      <c r="D92" s="1">
        <v>38.15</v>
      </c>
      <c r="E92" s="30">
        <v>12000</v>
      </c>
      <c r="F92" s="1">
        <v>33</v>
      </c>
      <c r="G92" s="1">
        <v>0.55000000000000004</v>
      </c>
      <c r="H92" s="1">
        <v>72000</v>
      </c>
      <c r="I92" s="1">
        <v>60000</v>
      </c>
      <c r="J92" s="1">
        <v>0.4</v>
      </c>
      <c r="K92" s="1">
        <v>0.65</v>
      </c>
      <c r="L92" s="1">
        <v>72000</v>
      </c>
      <c r="M92" s="36"/>
      <c r="N92" s="1"/>
      <c r="O92" s="7">
        <f t="shared" si="7"/>
        <v>1.4416775884665795E-2</v>
      </c>
      <c r="P92" s="7">
        <f t="shared" ca="1" si="8"/>
        <v>-3.2691101779287515E-5</v>
      </c>
      <c r="Q92" s="7">
        <f t="shared" si="9"/>
        <v>-0.88466579292267367</v>
      </c>
      <c r="R92" s="33">
        <f t="shared" si="10"/>
        <v>4.4000000000000004</v>
      </c>
      <c r="S92" s="33">
        <f t="shared" si="11"/>
        <v>-398400.00000000006</v>
      </c>
      <c r="T92" s="7">
        <f t="shared" si="12"/>
        <v>-0.87024901703800794</v>
      </c>
      <c r="U92" s="33">
        <f t="shared" si="13"/>
        <v>457800</v>
      </c>
    </row>
    <row r="93" spans="1:21" x14ac:dyDescent="0.25">
      <c r="A93" s="1"/>
      <c r="B93" s="25">
        <v>43496</v>
      </c>
      <c r="C93" s="10" t="s">
        <v>686</v>
      </c>
      <c r="D93" s="1">
        <v>38.15</v>
      </c>
      <c r="E93" s="30">
        <v>12000</v>
      </c>
      <c r="F93" s="1">
        <v>34</v>
      </c>
      <c r="G93" s="1">
        <v>0.65</v>
      </c>
      <c r="H93" s="1">
        <v>48000</v>
      </c>
      <c r="I93" s="1">
        <v>12000</v>
      </c>
      <c r="J93" s="1">
        <v>0.65</v>
      </c>
      <c r="K93" s="1">
        <v>0.85</v>
      </c>
      <c r="L93" s="1">
        <v>72000</v>
      </c>
      <c r="M93" s="36"/>
      <c r="N93" s="1"/>
      <c r="O93" s="7">
        <f t="shared" si="7"/>
        <v>1.7038007863695939E-2</v>
      </c>
      <c r="P93" s="7">
        <f t="shared" ca="1" si="8"/>
        <v>-3.8634938466430702E-5</v>
      </c>
      <c r="Q93" s="7">
        <f t="shared" si="9"/>
        <v>-0.88466579292267367</v>
      </c>
      <c r="R93" s="33">
        <f t="shared" si="10"/>
        <v>4.4000000000000004</v>
      </c>
      <c r="S93" s="33">
        <f t="shared" si="11"/>
        <v>-397200</v>
      </c>
      <c r="T93" s="7">
        <f t="shared" si="12"/>
        <v>-0.86762778505897775</v>
      </c>
      <c r="U93" s="33">
        <f t="shared" si="13"/>
        <v>457800</v>
      </c>
    </row>
    <row r="94" spans="1:21" x14ac:dyDescent="0.25">
      <c r="A94" s="1"/>
      <c r="B94" s="25">
        <v>43496</v>
      </c>
      <c r="C94" s="10" t="s">
        <v>686</v>
      </c>
      <c r="D94" s="1">
        <v>38.15</v>
      </c>
      <c r="E94" s="30">
        <v>12000</v>
      </c>
      <c r="F94" s="1">
        <v>35</v>
      </c>
      <c r="G94" s="1">
        <v>0.9</v>
      </c>
      <c r="H94" s="1">
        <v>216000</v>
      </c>
      <c r="I94" s="1">
        <v>12000</v>
      </c>
      <c r="J94" s="1">
        <v>0.85</v>
      </c>
      <c r="K94" s="1">
        <v>1</v>
      </c>
      <c r="L94" s="1">
        <v>36000</v>
      </c>
      <c r="M94" s="36"/>
      <c r="N94" s="1"/>
      <c r="O94" s="7">
        <f t="shared" si="7"/>
        <v>2.35910878112713E-2</v>
      </c>
      <c r="P94" s="7">
        <f t="shared" ca="1" si="8"/>
        <v>-5.3494530184288663E-5</v>
      </c>
      <c r="Q94" s="7">
        <f t="shared" si="9"/>
        <v>-0.88466579292267367</v>
      </c>
      <c r="R94" s="33">
        <f t="shared" si="10"/>
        <v>4.4000000000000004</v>
      </c>
      <c r="S94" s="33">
        <f t="shared" si="11"/>
        <v>-394200</v>
      </c>
      <c r="T94" s="7">
        <f t="shared" si="12"/>
        <v>-0.86107470511140238</v>
      </c>
      <c r="U94" s="33">
        <f t="shared" si="13"/>
        <v>457800</v>
      </c>
    </row>
    <row r="95" spans="1:21" x14ac:dyDescent="0.25">
      <c r="A95" s="1"/>
      <c r="B95" s="25">
        <v>43496</v>
      </c>
      <c r="C95" s="10" t="s">
        <v>686</v>
      </c>
      <c r="D95" s="1">
        <v>38.15</v>
      </c>
      <c r="E95" s="30">
        <v>12000</v>
      </c>
      <c r="F95" s="1">
        <v>36</v>
      </c>
      <c r="G95" s="1">
        <v>1.25</v>
      </c>
      <c r="H95" s="1">
        <v>420000</v>
      </c>
      <c r="I95" s="1">
        <v>12000</v>
      </c>
      <c r="J95" s="1">
        <v>1.1499999999999999</v>
      </c>
      <c r="K95" s="1">
        <v>1.35</v>
      </c>
      <c r="L95" s="1">
        <v>36000</v>
      </c>
      <c r="M95" s="36"/>
      <c r="N95" s="1"/>
      <c r="O95" s="7">
        <f t="shared" si="7"/>
        <v>3.2765399737876802E-2</v>
      </c>
      <c r="P95" s="7">
        <f t="shared" ca="1" si="8"/>
        <v>-7.4297958589289798E-5</v>
      </c>
      <c r="Q95" s="7">
        <f t="shared" si="9"/>
        <v>-0.88466579292267367</v>
      </c>
      <c r="R95" s="33">
        <f t="shared" si="10"/>
        <v>4.4000000000000004</v>
      </c>
      <c r="S95" s="33">
        <f t="shared" si="11"/>
        <v>-390000</v>
      </c>
      <c r="T95" s="7">
        <f t="shared" si="12"/>
        <v>-0.85190039318479682</v>
      </c>
      <c r="U95" s="33">
        <f t="shared" si="13"/>
        <v>457800</v>
      </c>
    </row>
    <row r="96" spans="1:21" x14ac:dyDescent="0.25">
      <c r="A96" s="1"/>
      <c r="B96" s="25">
        <v>43496</v>
      </c>
      <c r="C96" s="10" t="s">
        <v>687</v>
      </c>
      <c r="D96" s="1">
        <v>42.85</v>
      </c>
      <c r="E96" s="30">
        <v>13200</v>
      </c>
      <c r="F96" s="1">
        <v>36</v>
      </c>
      <c r="G96" s="1">
        <v>0.6</v>
      </c>
      <c r="H96" s="1">
        <v>13200</v>
      </c>
      <c r="I96" s="1">
        <v>52800</v>
      </c>
      <c r="J96" s="1">
        <v>0.1</v>
      </c>
      <c r="K96" s="1">
        <v>0.35</v>
      </c>
      <c r="L96" s="1">
        <v>52800</v>
      </c>
      <c r="M96" s="36"/>
      <c r="N96" s="1"/>
      <c r="O96" s="7">
        <f t="shared" si="7"/>
        <v>1.4002333722287047E-2</v>
      </c>
      <c r="P96" s="7">
        <f t="shared" ca="1" si="8"/>
        <v>-3.1751323633303961E-5</v>
      </c>
      <c r="Q96" s="7">
        <f t="shared" si="9"/>
        <v>-0.63360560093348894</v>
      </c>
      <c r="R96" s="33">
        <f t="shared" si="10"/>
        <v>15.7</v>
      </c>
      <c r="S96" s="33">
        <f t="shared" si="11"/>
        <v>-350460</v>
      </c>
      <c r="T96" s="7">
        <f t="shared" si="12"/>
        <v>-0.61960326721120185</v>
      </c>
      <c r="U96" s="33">
        <f t="shared" si="13"/>
        <v>565620</v>
      </c>
    </row>
    <row r="97" spans="1:21" x14ac:dyDescent="0.25">
      <c r="A97" s="1"/>
      <c r="B97" s="25">
        <v>43496</v>
      </c>
      <c r="C97" s="10" t="s">
        <v>687</v>
      </c>
      <c r="D97" s="1">
        <v>42.85</v>
      </c>
      <c r="E97" s="30">
        <v>13200</v>
      </c>
      <c r="F97" s="1">
        <v>37</v>
      </c>
      <c r="G97" s="1">
        <v>0.65</v>
      </c>
      <c r="H97" s="1">
        <v>13200</v>
      </c>
      <c r="I97" s="1">
        <v>79200</v>
      </c>
      <c r="J97" s="1">
        <v>0.2</v>
      </c>
      <c r="K97" s="1">
        <v>0.45</v>
      </c>
      <c r="L97" s="1">
        <v>26400</v>
      </c>
      <c r="M97" s="36"/>
      <c r="N97" s="1"/>
      <c r="O97" s="7">
        <f t="shared" si="7"/>
        <v>1.5169194865810968E-2</v>
      </c>
      <c r="P97" s="7">
        <f t="shared" ca="1" si="8"/>
        <v>-3.4397267269412625E-5</v>
      </c>
      <c r="Q97" s="7">
        <f t="shared" si="9"/>
        <v>-0.63360560093348894</v>
      </c>
      <c r="R97" s="33">
        <f t="shared" si="10"/>
        <v>15.7</v>
      </c>
      <c r="S97" s="33">
        <f t="shared" si="11"/>
        <v>-349800.00000000006</v>
      </c>
      <c r="T97" s="7">
        <f t="shared" si="12"/>
        <v>-0.61843640606767802</v>
      </c>
      <c r="U97" s="33">
        <f t="shared" si="13"/>
        <v>565620</v>
      </c>
    </row>
    <row r="98" spans="1:21" x14ac:dyDescent="0.25">
      <c r="A98" s="1"/>
      <c r="B98" s="25">
        <v>43496</v>
      </c>
      <c r="C98" s="10" t="s">
        <v>693</v>
      </c>
      <c r="D98" s="1">
        <v>14.55</v>
      </c>
      <c r="E98" s="30">
        <v>35000</v>
      </c>
      <c r="F98" s="1">
        <v>13</v>
      </c>
      <c r="G98" s="1">
        <v>0.3</v>
      </c>
      <c r="H98" s="1">
        <v>70000</v>
      </c>
      <c r="I98" s="1">
        <v>70000</v>
      </c>
      <c r="J98" s="1">
        <v>0.15</v>
      </c>
      <c r="K98" s="1">
        <v>0.35</v>
      </c>
      <c r="L98" s="1">
        <v>35000</v>
      </c>
      <c r="M98" s="36"/>
      <c r="N98" s="1"/>
      <c r="O98" s="7">
        <f t="shared" si="7"/>
        <v>2.0618556701030927E-2</v>
      </c>
      <c r="P98" s="7">
        <f t="shared" ca="1" si="8"/>
        <v>-4.6754096827734531E-5</v>
      </c>
      <c r="Q98" s="7">
        <f t="shared" si="9"/>
        <v>-0.71134020618556704</v>
      </c>
      <c r="R98" s="33">
        <f t="shared" si="10"/>
        <v>4.2</v>
      </c>
      <c r="S98" s="33">
        <f t="shared" si="11"/>
        <v>-351750</v>
      </c>
      <c r="T98" s="7">
        <f t="shared" si="12"/>
        <v>-0.69072164948453607</v>
      </c>
      <c r="U98" s="33">
        <f t="shared" si="13"/>
        <v>509250</v>
      </c>
    </row>
    <row r="99" spans="1:21" x14ac:dyDescent="0.25">
      <c r="A99" s="1"/>
      <c r="B99" s="25">
        <v>43496</v>
      </c>
      <c r="C99" s="10" t="s">
        <v>696</v>
      </c>
      <c r="D99" s="1">
        <v>260.5</v>
      </c>
      <c r="E99" s="30">
        <v>2750</v>
      </c>
      <c r="F99" s="1">
        <v>240</v>
      </c>
      <c r="G99" s="1">
        <v>2.75</v>
      </c>
      <c r="H99" s="1">
        <v>33000</v>
      </c>
      <c r="I99" s="1">
        <v>2750</v>
      </c>
      <c r="J99" s="1">
        <v>3</v>
      </c>
      <c r="K99" s="1">
        <v>3.75</v>
      </c>
      <c r="L99" s="1">
        <v>11000</v>
      </c>
      <c r="M99" s="36"/>
      <c r="N99" s="1"/>
      <c r="O99" s="7">
        <f t="shared" si="7"/>
        <v>1.055662188099808E-2</v>
      </c>
      <c r="P99" s="7">
        <f t="shared" ca="1" si="8"/>
        <v>-2.3937918097501315E-5</v>
      </c>
      <c r="Q99" s="7">
        <f t="shared" si="9"/>
        <v>0.73032629558541262</v>
      </c>
      <c r="R99" s="33">
        <f t="shared" si="10"/>
        <v>450.75</v>
      </c>
      <c r="S99" s="33">
        <f t="shared" si="11"/>
        <v>-48812.5</v>
      </c>
      <c r="T99" s="7">
        <f t="shared" si="12"/>
        <v>-6.8138195777351251E-2</v>
      </c>
      <c r="U99" s="33">
        <f t="shared" si="13"/>
        <v>716375</v>
      </c>
    </row>
    <row r="100" spans="1:21" x14ac:dyDescent="0.25">
      <c r="A100" s="1"/>
      <c r="B100" s="25">
        <v>43496</v>
      </c>
      <c r="C100" s="10" t="s">
        <v>709</v>
      </c>
      <c r="D100" s="1">
        <v>95.7</v>
      </c>
      <c r="E100" s="30">
        <v>4500</v>
      </c>
      <c r="F100" s="1">
        <v>80</v>
      </c>
      <c r="G100" s="1">
        <v>1.1000000000000001</v>
      </c>
      <c r="H100" s="1">
        <v>85500</v>
      </c>
      <c r="I100" s="1">
        <v>9000</v>
      </c>
      <c r="J100" s="1">
        <v>0.95</v>
      </c>
      <c r="K100" s="1">
        <v>1.3</v>
      </c>
      <c r="L100" s="1">
        <v>4500</v>
      </c>
      <c r="M100" s="36"/>
      <c r="N100" s="1"/>
      <c r="O100" s="7">
        <f t="shared" si="7"/>
        <v>1.1494252873563218E-2</v>
      </c>
      <c r="P100" s="7">
        <f t="shared" ca="1" si="8"/>
        <v>-2.6064065472932468E-5</v>
      </c>
      <c r="Q100" s="7">
        <f t="shared" si="9"/>
        <v>0.14942528735632177</v>
      </c>
      <c r="R100" s="33">
        <f t="shared" si="10"/>
        <v>110</v>
      </c>
      <c r="S100" s="33">
        <f t="shared" si="11"/>
        <v>-65700.000000000015</v>
      </c>
      <c r="T100" s="7">
        <f t="shared" si="12"/>
        <v>-0.15256008359456638</v>
      </c>
      <c r="U100" s="33">
        <f t="shared" si="13"/>
        <v>430650</v>
      </c>
    </row>
    <row r="101" spans="1:21" x14ac:dyDescent="0.25">
      <c r="A101" s="1"/>
      <c r="B101" s="25">
        <v>43496</v>
      </c>
      <c r="C101" s="10" t="s">
        <v>709</v>
      </c>
      <c r="D101" s="1">
        <v>95.7</v>
      </c>
      <c r="E101" s="30">
        <v>4500</v>
      </c>
      <c r="F101" s="1">
        <v>85</v>
      </c>
      <c r="G101" s="1">
        <v>1.9</v>
      </c>
      <c r="H101" s="1">
        <v>31500</v>
      </c>
      <c r="I101" s="1">
        <v>13500</v>
      </c>
      <c r="J101" s="1">
        <v>1.7</v>
      </c>
      <c r="K101" s="1">
        <v>2.25</v>
      </c>
      <c r="L101" s="1">
        <v>9000</v>
      </c>
      <c r="M101" s="36"/>
      <c r="N101" s="1"/>
      <c r="O101" s="7">
        <f t="shared" si="7"/>
        <v>1.985370950888192E-2</v>
      </c>
      <c r="P101" s="7">
        <f t="shared" ca="1" si="8"/>
        <v>-4.5019749453246984E-5</v>
      </c>
      <c r="Q101" s="7">
        <f t="shared" si="9"/>
        <v>0.14942528735632177</v>
      </c>
      <c r="R101" s="33">
        <f t="shared" si="10"/>
        <v>110</v>
      </c>
      <c r="S101" s="33">
        <f t="shared" si="11"/>
        <v>-39600.000000000015</v>
      </c>
      <c r="T101" s="7">
        <f t="shared" si="12"/>
        <v>-9.1954022988505787E-2</v>
      </c>
      <c r="U101" s="33">
        <f t="shared" si="13"/>
        <v>430650</v>
      </c>
    </row>
    <row r="102" spans="1:21" x14ac:dyDescent="0.25">
      <c r="A102" s="1"/>
      <c r="B102" s="25">
        <v>43496</v>
      </c>
      <c r="C102" s="10" t="s">
        <v>709</v>
      </c>
      <c r="D102" s="1">
        <v>95.7</v>
      </c>
      <c r="E102" s="30">
        <v>4500</v>
      </c>
      <c r="F102" s="1">
        <v>90</v>
      </c>
      <c r="G102" s="1">
        <v>3.2</v>
      </c>
      <c r="H102" s="1">
        <v>171000</v>
      </c>
      <c r="I102" s="1">
        <v>4500</v>
      </c>
      <c r="J102" s="1">
        <v>3.4</v>
      </c>
      <c r="K102" s="1">
        <v>3.8</v>
      </c>
      <c r="L102" s="1">
        <v>27000</v>
      </c>
      <c r="M102" s="36"/>
      <c r="N102" s="1"/>
      <c r="O102" s="7">
        <f t="shared" si="7"/>
        <v>3.343782654127482E-2</v>
      </c>
      <c r="P102" s="7">
        <f t="shared" ca="1" si="8"/>
        <v>-7.5822735921258103E-5</v>
      </c>
      <c r="Q102" s="7">
        <f t="shared" si="9"/>
        <v>0.14942528735632177</v>
      </c>
      <c r="R102" s="33">
        <f t="shared" si="10"/>
        <v>110</v>
      </c>
      <c r="S102" s="33">
        <f t="shared" si="11"/>
        <v>-11250.000000000013</v>
      </c>
      <c r="T102" s="7">
        <f t="shared" si="12"/>
        <v>-2.6123301985370981E-2</v>
      </c>
      <c r="U102" s="33">
        <f t="shared" si="13"/>
        <v>430650</v>
      </c>
    </row>
    <row r="103" spans="1:21" x14ac:dyDescent="0.25">
      <c r="A103" s="1"/>
      <c r="B103" s="25">
        <v>43496</v>
      </c>
      <c r="C103" s="10" t="s">
        <v>711</v>
      </c>
      <c r="D103" s="1">
        <v>238.6</v>
      </c>
      <c r="E103" s="30">
        <v>2000</v>
      </c>
      <c r="F103" s="1">
        <v>200</v>
      </c>
      <c r="G103" s="1">
        <v>2</v>
      </c>
      <c r="H103" s="1">
        <v>14000</v>
      </c>
      <c r="I103" s="1">
        <v>8000</v>
      </c>
      <c r="J103" s="1">
        <v>1.95</v>
      </c>
      <c r="K103" s="1">
        <v>3</v>
      </c>
      <c r="L103" s="1">
        <v>2000</v>
      </c>
      <c r="M103" s="36"/>
      <c r="N103" s="1"/>
      <c r="O103" s="7">
        <f t="shared" si="7"/>
        <v>8.3822296730930428E-3</v>
      </c>
      <c r="P103" s="7">
        <f t="shared" ca="1" si="8"/>
        <v>-1.9007323521752932E-5</v>
      </c>
      <c r="Q103" s="7">
        <f t="shared" si="9"/>
        <v>-0.80364626990779553</v>
      </c>
      <c r="R103" s="33">
        <f t="shared" si="10"/>
        <v>46.85</v>
      </c>
      <c r="S103" s="33">
        <f t="shared" si="11"/>
        <v>-379500</v>
      </c>
      <c r="T103" s="7">
        <f t="shared" si="12"/>
        <v>-0.79526404023470243</v>
      </c>
      <c r="U103" s="33">
        <f t="shared" si="13"/>
        <v>477200</v>
      </c>
    </row>
    <row r="104" spans="1:21" x14ac:dyDescent="0.25">
      <c r="A104" s="1"/>
      <c r="B104" s="25">
        <v>43496</v>
      </c>
      <c r="C104" s="10" t="s">
        <v>711</v>
      </c>
      <c r="D104" s="1">
        <v>238.6</v>
      </c>
      <c r="E104" s="30">
        <v>2000</v>
      </c>
      <c r="F104" s="1">
        <v>210</v>
      </c>
      <c r="G104" s="1">
        <v>3.8</v>
      </c>
      <c r="H104" s="1">
        <v>10000</v>
      </c>
      <c r="I104" s="1">
        <v>8000</v>
      </c>
      <c r="J104" s="1">
        <v>4</v>
      </c>
      <c r="K104" s="1">
        <v>4.4000000000000004</v>
      </c>
      <c r="L104" s="1">
        <v>2000</v>
      </c>
      <c r="M104" s="36"/>
      <c r="N104" s="1"/>
      <c r="O104" s="7">
        <f t="shared" si="7"/>
        <v>1.5926236378876781E-2</v>
      </c>
      <c r="P104" s="7">
        <f t="shared" ca="1" si="8"/>
        <v>-3.611391469133057E-5</v>
      </c>
      <c r="Q104" s="7">
        <f t="shared" si="9"/>
        <v>-0.80364626990779553</v>
      </c>
      <c r="R104" s="33">
        <f t="shared" si="10"/>
        <v>46.85</v>
      </c>
      <c r="S104" s="33">
        <f t="shared" si="11"/>
        <v>-375900</v>
      </c>
      <c r="T104" s="7">
        <f t="shared" si="12"/>
        <v>-0.78772003352891873</v>
      </c>
      <c r="U104" s="33">
        <f t="shared" si="13"/>
        <v>477200</v>
      </c>
    </row>
    <row r="105" spans="1:21" x14ac:dyDescent="0.25">
      <c r="A105" s="1"/>
      <c r="B105" s="25">
        <v>43496</v>
      </c>
      <c r="C105" s="10" t="s">
        <v>14</v>
      </c>
      <c r="D105" s="1">
        <v>139.80000000000001</v>
      </c>
      <c r="E105" s="30">
        <v>3500</v>
      </c>
      <c r="F105" s="1">
        <v>125</v>
      </c>
      <c r="G105" s="1">
        <v>0.9</v>
      </c>
      <c r="H105" s="1">
        <v>17500</v>
      </c>
      <c r="I105" s="1">
        <v>10500</v>
      </c>
      <c r="J105" s="1">
        <v>0.25</v>
      </c>
      <c r="K105" s="1">
        <v>0.75</v>
      </c>
      <c r="L105" s="1">
        <v>3500</v>
      </c>
      <c r="M105" s="36"/>
      <c r="N105" s="1"/>
      <c r="O105" s="7">
        <f t="shared" si="7"/>
        <v>6.4377682403433476E-3</v>
      </c>
      <c r="P105" s="7">
        <f t="shared" ca="1" si="8"/>
        <v>-1.4598113923681061E-5</v>
      </c>
      <c r="Q105" s="7">
        <f t="shared" si="9"/>
        <v>-0.38841201716738205</v>
      </c>
      <c r="R105" s="33">
        <f t="shared" si="10"/>
        <v>85.5</v>
      </c>
      <c r="S105" s="33">
        <f t="shared" si="11"/>
        <v>-186900.00000000006</v>
      </c>
      <c r="T105" s="7">
        <f t="shared" si="12"/>
        <v>-0.38197424892703868</v>
      </c>
      <c r="U105" s="33">
        <f t="shared" si="13"/>
        <v>489300.00000000006</v>
      </c>
    </row>
    <row r="106" spans="1:21" x14ac:dyDescent="0.25">
      <c r="A106" s="1"/>
      <c r="B106" s="25">
        <v>43496</v>
      </c>
      <c r="C106" s="10" t="s">
        <v>749</v>
      </c>
      <c r="D106" s="1">
        <v>167.5</v>
      </c>
      <c r="E106" s="30">
        <v>3200</v>
      </c>
      <c r="F106" s="1">
        <v>140</v>
      </c>
      <c r="G106" s="1">
        <v>2.0499999999999998</v>
      </c>
      <c r="H106" s="1">
        <v>6400</v>
      </c>
      <c r="I106" s="1">
        <v>6400</v>
      </c>
      <c r="J106" s="1">
        <v>1.1000000000000001</v>
      </c>
      <c r="K106" s="1">
        <v>2.0499999999999998</v>
      </c>
      <c r="L106" s="1">
        <v>16000</v>
      </c>
      <c r="M106" s="36"/>
      <c r="N106" s="1"/>
      <c r="O106" s="7">
        <f t="shared" si="7"/>
        <v>1.2238805970149253E-2</v>
      </c>
      <c r="P106" s="7">
        <f t="shared" ca="1" si="8"/>
        <v>-2.775239449013436E-5</v>
      </c>
      <c r="Q106" s="7">
        <f t="shared" si="9"/>
        <v>-0.55134328358208951</v>
      </c>
      <c r="R106" s="33">
        <f t="shared" si="10"/>
        <v>75.150000000000006</v>
      </c>
      <c r="S106" s="33">
        <f t="shared" si="11"/>
        <v>-288960</v>
      </c>
      <c r="T106" s="7">
        <f t="shared" si="12"/>
        <v>-0.53910447761194025</v>
      </c>
      <c r="U106" s="33">
        <f t="shared" si="13"/>
        <v>536000</v>
      </c>
    </row>
    <row r="107" spans="1:21" x14ac:dyDescent="0.25">
      <c r="A107" s="1"/>
      <c r="B107" s="25">
        <v>43496</v>
      </c>
      <c r="C107" s="10" t="s">
        <v>749</v>
      </c>
      <c r="D107" s="1">
        <v>167.5</v>
      </c>
      <c r="E107" s="30">
        <v>3200</v>
      </c>
      <c r="F107" s="1">
        <v>145</v>
      </c>
      <c r="G107" s="1">
        <v>3</v>
      </c>
      <c r="H107" s="1">
        <v>3200</v>
      </c>
      <c r="I107" s="1">
        <v>19200</v>
      </c>
      <c r="J107" s="1">
        <v>1.75</v>
      </c>
      <c r="K107" s="1">
        <v>2.8</v>
      </c>
      <c r="L107" s="1">
        <v>19200</v>
      </c>
      <c r="M107" s="36"/>
      <c r="N107" s="1"/>
      <c r="O107" s="7">
        <f t="shared" si="7"/>
        <v>1.7910447761194031E-2</v>
      </c>
      <c r="P107" s="7">
        <f t="shared" ca="1" si="8"/>
        <v>-4.0613260229464922E-5</v>
      </c>
      <c r="Q107" s="7">
        <f t="shared" si="9"/>
        <v>-0.55134328358208951</v>
      </c>
      <c r="R107" s="33">
        <f t="shared" si="10"/>
        <v>75.150000000000006</v>
      </c>
      <c r="S107" s="33">
        <f t="shared" si="11"/>
        <v>-285920</v>
      </c>
      <c r="T107" s="7">
        <f t="shared" si="12"/>
        <v>-0.53343283582089551</v>
      </c>
      <c r="U107" s="33">
        <f t="shared" si="13"/>
        <v>536000</v>
      </c>
    </row>
    <row r="108" spans="1:21" x14ac:dyDescent="0.25">
      <c r="A108" s="1"/>
      <c r="B108" s="25">
        <v>43496</v>
      </c>
      <c r="C108" s="10" t="s">
        <v>749</v>
      </c>
      <c r="D108" s="1">
        <v>167.5</v>
      </c>
      <c r="E108" s="30">
        <v>3200</v>
      </c>
      <c r="F108" s="1">
        <v>150</v>
      </c>
      <c r="G108" s="1">
        <v>4.05</v>
      </c>
      <c r="H108" s="1">
        <v>6400</v>
      </c>
      <c r="I108" s="1">
        <v>19200</v>
      </c>
      <c r="J108" s="1">
        <v>2.75</v>
      </c>
      <c r="K108" s="1">
        <v>3.65</v>
      </c>
      <c r="L108" s="1">
        <v>6400</v>
      </c>
      <c r="M108" s="36"/>
      <c r="N108" s="1"/>
      <c r="O108" s="7">
        <f t="shared" si="7"/>
        <v>2.4179104477611939E-2</v>
      </c>
      <c r="P108" s="7">
        <f t="shared" ca="1" si="8"/>
        <v>-5.4827901309777642E-5</v>
      </c>
      <c r="Q108" s="7">
        <f t="shared" si="9"/>
        <v>-0.55134328358208951</v>
      </c>
      <c r="R108" s="33">
        <f t="shared" si="10"/>
        <v>75.150000000000006</v>
      </c>
      <c r="S108" s="33">
        <f t="shared" si="11"/>
        <v>-282560</v>
      </c>
      <c r="T108" s="7">
        <f t="shared" si="12"/>
        <v>-0.52716417910447766</v>
      </c>
      <c r="U108" s="33">
        <f t="shared" si="13"/>
        <v>536000</v>
      </c>
    </row>
    <row r="109" spans="1:21" x14ac:dyDescent="0.25">
      <c r="A109" s="1"/>
      <c r="B109" s="25">
        <v>43496</v>
      </c>
      <c r="C109" s="10" t="s">
        <v>780</v>
      </c>
      <c r="D109" s="1">
        <v>251</v>
      </c>
      <c r="E109" s="30">
        <v>2200</v>
      </c>
      <c r="F109" s="1">
        <v>210</v>
      </c>
      <c r="G109" s="1">
        <v>7</v>
      </c>
      <c r="H109" s="1">
        <v>6600</v>
      </c>
      <c r="I109" s="1">
        <v>11000</v>
      </c>
      <c r="J109" s="1">
        <v>6.3</v>
      </c>
      <c r="K109" s="1">
        <v>21.1</v>
      </c>
      <c r="L109" s="1">
        <v>2200</v>
      </c>
      <c r="M109" s="36"/>
      <c r="N109" s="1"/>
      <c r="O109" s="7">
        <f t="shared" si="7"/>
        <v>2.7888446215139442E-2</v>
      </c>
      <c r="P109" s="7">
        <f t="shared" ca="1" si="8"/>
        <v>-6.3239107063808254E-5</v>
      </c>
      <c r="Q109" s="7">
        <f t="shared" si="9"/>
        <v>-0.9241035856573705</v>
      </c>
      <c r="R109" s="33">
        <f t="shared" si="10"/>
        <v>19.05</v>
      </c>
      <c r="S109" s="33">
        <f t="shared" si="11"/>
        <v>-494890</v>
      </c>
      <c r="T109" s="7">
        <f t="shared" si="12"/>
        <v>-0.89621513944223108</v>
      </c>
      <c r="U109" s="33">
        <f t="shared" si="13"/>
        <v>552200</v>
      </c>
    </row>
    <row r="110" spans="1:21" x14ac:dyDescent="0.25">
      <c r="A110" s="1"/>
      <c r="B110" s="25">
        <v>43496</v>
      </c>
      <c r="C110" s="10" t="s">
        <v>785</v>
      </c>
      <c r="D110" s="1">
        <v>164</v>
      </c>
      <c r="E110" s="30">
        <v>2250</v>
      </c>
      <c r="F110" s="1">
        <v>140</v>
      </c>
      <c r="G110" s="1">
        <v>2.5</v>
      </c>
      <c r="H110" s="1">
        <v>24750</v>
      </c>
      <c r="I110" s="1">
        <v>4500</v>
      </c>
      <c r="J110" s="1">
        <v>2.25</v>
      </c>
      <c r="K110" s="1">
        <v>2.7</v>
      </c>
      <c r="L110" s="1">
        <v>2250</v>
      </c>
      <c r="M110" s="36"/>
      <c r="N110" s="1"/>
      <c r="O110" s="7">
        <f t="shared" si="7"/>
        <v>1.524390243902439E-2</v>
      </c>
      <c r="P110" s="7">
        <f t="shared" ca="1" si="8"/>
        <v>-3.456667219733422E-5</v>
      </c>
      <c r="Q110" s="7">
        <f t="shared" si="9"/>
        <v>-0.42835365853658536</v>
      </c>
      <c r="R110" s="33">
        <f t="shared" si="10"/>
        <v>93.75</v>
      </c>
      <c r="S110" s="33">
        <f t="shared" si="11"/>
        <v>-152437.5</v>
      </c>
      <c r="T110" s="7">
        <f t="shared" si="12"/>
        <v>-0.41310975609756095</v>
      </c>
      <c r="U110" s="33">
        <f t="shared" si="13"/>
        <v>369000</v>
      </c>
    </row>
    <row r="111" spans="1:21" x14ac:dyDescent="0.25">
      <c r="A111" s="1"/>
      <c r="B111" s="25">
        <v>43496</v>
      </c>
      <c r="C111" s="10" t="s">
        <v>785</v>
      </c>
      <c r="D111" s="1">
        <v>164</v>
      </c>
      <c r="E111" s="30">
        <v>2250</v>
      </c>
      <c r="F111" s="1">
        <v>150</v>
      </c>
      <c r="G111" s="1">
        <v>4.55</v>
      </c>
      <c r="H111" s="1">
        <v>180000</v>
      </c>
      <c r="I111" s="1">
        <v>11250</v>
      </c>
      <c r="J111" s="1">
        <v>4.5</v>
      </c>
      <c r="K111" s="1">
        <v>5.45</v>
      </c>
      <c r="L111" s="1">
        <v>13500</v>
      </c>
      <c r="M111" s="36"/>
      <c r="N111" s="1"/>
      <c r="O111" s="7">
        <f t="shared" si="7"/>
        <v>2.7743902439024391E-2</v>
      </c>
      <c r="P111" s="7">
        <f t="shared" ca="1" si="8"/>
        <v>-6.2911343399148277E-5</v>
      </c>
      <c r="Q111" s="7">
        <f t="shared" si="9"/>
        <v>-0.42835365853658536</v>
      </c>
      <c r="R111" s="33">
        <f t="shared" si="10"/>
        <v>93.75</v>
      </c>
      <c r="S111" s="33">
        <f t="shared" si="11"/>
        <v>-147825</v>
      </c>
      <c r="T111" s="7">
        <f t="shared" si="12"/>
        <v>-0.400609756097561</v>
      </c>
      <c r="U111" s="33">
        <f t="shared" si="13"/>
        <v>369000</v>
      </c>
    </row>
    <row r="112" spans="1:21" x14ac:dyDescent="0.25">
      <c r="A112" s="1"/>
      <c r="B112" s="25">
        <v>43496</v>
      </c>
      <c r="C112" s="10" t="s">
        <v>790</v>
      </c>
      <c r="D112" s="1">
        <v>68.95</v>
      </c>
      <c r="E112" s="30">
        <v>9000</v>
      </c>
      <c r="F112" s="1">
        <v>57.5</v>
      </c>
      <c r="G112" s="1">
        <v>1.25</v>
      </c>
      <c r="H112" s="1">
        <v>9000</v>
      </c>
      <c r="I112" s="1">
        <v>63000</v>
      </c>
      <c r="J112" s="1">
        <v>0.5</v>
      </c>
      <c r="K112" s="1">
        <v>0.95</v>
      </c>
      <c r="L112" s="1">
        <v>54000</v>
      </c>
      <c r="M112" s="36"/>
      <c r="N112" s="1"/>
      <c r="O112" s="7">
        <f t="shared" si="7"/>
        <v>1.8129079042784626E-2</v>
      </c>
      <c r="P112" s="7">
        <f t="shared" ca="1" si="8"/>
        <v>-4.1109022772754252E-5</v>
      </c>
      <c r="Q112" s="7">
        <f t="shared" si="9"/>
        <v>-0.9376359680928209</v>
      </c>
      <c r="R112" s="33">
        <f t="shared" si="10"/>
        <v>4.3</v>
      </c>
      <c r="S112" s="33">
        <f t="shared" si="11"/>
        <v>-570600</v>
      </c>
      <c r="T112" s="7">
        <f t="shared" si="12"/>
        <v>-0.9195068890500363</v>
      </c>
      <c r="U112" s="33">
        <f t="shared" si="13"/>
        <v>620550</v>
      </c>
    </row>
    <row r="113" spans="1:21" x14ac:dyDescent="0.25">
      <c r="A113" s="1"/>
      <c r="B113" s="25">
        <v>43496</v>
      </c>
      <c r="C113" s="10" t="s">
        <v>790</v>
      </c>
      <c r="D113" s="1">
        <v>68.95</v>
      </c>
      <c r="E113" s="30">
        <v>9000</v>
      </c>
      <c r="F113" s="1">
        <v>60</v>
      </c>
      <c r="G113" s="1">
        <v>1.75</v>
      </c>
      <c r="H113" s="1">
        <v>36000</v>
      </c>
      <c r="I113" s="1">
        <v>9000</v>
      </c>
      <c r="J113" s="1">
        <v>1</v>
      </c>
      <c r="K113" s="1">
        <v>1.3</v>
      </c>
      <c r="L113" s="1">
        <v>36000</v>
      </c>
      <c r="M113" s="36"/>
      <c r="N113" s="1"/>
      <c r="O113" s="7">
        <f t="shared" si="7"/>
        <v>2.5380710659898477E-2</v>
      </c>
      <c r="P113" s="7">
        <f t="shared" ca="1" si="8"/>
        <v>-5.7552631881855956E-5</v>
      </c>
      <c r="Q113" s="7">
        <f t="shared" si="9"/>
        <v>-0.9376359680928209</v>
      </c>
      <c r="R113" s="33">
        <f t="shared" si="10"/>
        <v>4.3</v>
      </c>
      <c r="S113" s="33">
        <f t="shared" si="11"/>
        <v>-566100</v>
      </c>
      <c r="T113" s="7">
        <f t="shared" si="12"/>
        <v>-0.91225525743292246</v>
      </c>
      <c r="U113" s="33">
        <f t="shared" si="13"/>
        <v>620550</v>
      </c>
    </row>
    <row r="114" spans="1:21" x14ac:dyDescent="0.25">
      <c r="A114" s="1"/>
      <c r="B114" s="25">
        <v>43496</v>
      </c>
      <c r="C114" s="10" t="s">
        <v>790</v>
      </c>
      <c r="D114" s="1">
        <v>68.95</v>
      </c>
      <c r="E114" s="30">
        <v>9000</v>
      </c>
      <c r="F114" s="1">
        <v>62.5</v>
      </c>
      <c r="G114" s="1">
        <v>1.75</v>
      </c>
      <c r="H114" s="1">
        <v>27000</v>
      </c>
      <c r="I114" s="1">
        <v>9000</v>
      </c>
      <c r="J114" s="1">
        <v>1.5</v>
      </c>
      <c r="K114" s="1">
        <v>1.9</v>
      </c>
      <c r="L114" s="1">
        <v>54000</v>
      </c>
      <c r="M114" s="36"/>
      <c r="N114" s="1"/>
      <c r="O114" s="7">
        <f t="shared" si="7"/>
        <v>2.5380710659898477E-2</v>
      </c>
      <c r="P114" s="7">
        <f t="shared" ca="1" si="8"/>
        <v>-5.7552631881855956E-5</v>
      </c>
      <c r="Q114" s="7">
        <f t="shared" si="9"/>
        <v>-0.9376359680928209</v>
      </c>
      <c r="R114" s="33">
        <f t="shared" si="10"/>
        <v>4.3</v>
      </c>
      <c r="S114" s="33">
        <f t="shared" si="11"/>
        <v>-566100</v>
      </c>
      <c r="T114" s="7">
        <f t="shared" si="12"/>
        <v>-0.91225525743292246</v>
      </c>
      <c r="U114" s="33">
        <f t="shared" si="13"/>
        <v>620550</v>
      </c>
    </row>
    <row r="115" spans="1:21" x14ac:dyDescent="0.25">
      <c r="A115" s="1"/>
      <c r="B115" s="25">
        <v>43496</v>
      </c>
      <c r="C115" s="10" t="s">
        <v>790</v>
      </c>
      <c r="D115" s="1">
        <v>68.95</v>
      </c>
      <c r="E115" s="30">
        <v>9000</v>
      </c>
      <c r="F115" s="1">
        <v>65</v>
      </c>
      <c r="G115" s="1">
        <v>3</v>
      </c>
      <c r="H115" s="1">
        <v>63000</v>
      </c>
      <c r="I115" s="1">
        <v>9000</v>
      </c>
      <c r="J115" s="1">
        <v>2.5</v>
      </c>
      <c r="K115" s="1">
        <v>2.7</v>
      </c>
      <c r="L115" s="1">
        <v>54000</v>
      </c>
      <c r="M115" s="36"/>
      <c r="N115" s="1"/>
      <c r="O115" s="7">
        <f t="shared" si="7"/>
        <v>4.3509789702683099E-2</v>
      </c>
      <c r="P115" s="7">
        <f t="shared" ca="1" si="8"/>
        <v>-9.8661654654610208E-5</v>
      </c>
      <c r="Q115" s="7">
        <f t="shared" si="9"/>
        <v>-0.9376359680928209</v>
      </c>
      <c r="R115" s="33">
        <f t="shared" si="10"/>
        <v>4.3</v>
      </c>
      <c r="S115" s="33">
        <f t="shared" si="11"/>
        <v>-554850</v>
      </c>
      <c r="T115" s="7">
        <f t="shared" si="12"/>
        <v>-0.89412617839013775</v>
      </c>
      <c r="U115" s="33">
        <f t="shared" si="13"/>
        <v>620550</v>
      </c>
    </row>
    <row r="116" spans="1:21" x14ac:dyDescent="0.25">
      <c r="A116" s="1"/>
      <c r="B116" s="25">
        <v>43496</v>
      </c>
      <c r="C116" s="10" t="s">
        <v>869</v>
      </c>
      <c r="D116" s="1">
        <v>1228</v>
      </c>
      <c r="E116" s="30">
        <v>800</v>
      </c>
      <c r="F116" s="1">
        <v>1060</v>
      </c>
      <c r="G116" s="1">
        <v>12</v>
      </c>
      <c r="H116" s="1">
        <v>6400</v>
      </c>
      <c r="I116" s="1">
        <v>11200</v>
      </c>
      <c r="J116" s="1">
        <v>1.05</v>
      </c>
      <c r="K116" s="1">
        <v>9.0500000000000007</v>
      </c>
      <c r="L116" s="1">
        <v>11200</v>
      </c>
      <c r="M116" s="36"/>
      <c r="N116" s="1"/>
      <c r="O116" s="7">
        <f t="shared" si="7"/>
        <v>9.7719869706840382E-3</v>
      </c>
      <c r="P116" s="7">
        <f t="shared" ca="1" si="8"/>
        <v>-2.2158700613796007E-5</v>
      </c>
      <c r="Q116" s="7">
        <f t="shared" si="9"/>
        <v>1.624592833876215E-2</v>
      </c>
      <c r="R116" s="33">
        <f t="shared" si="10"/>
        <v>1247.95</v>
      </c>
      <c r="S116" s="33">
        <f t="shared" si="11"/>
        <v>-124800</v>
      </c>
      <c r="T116" s="7">
        <f t="shared" si="12"/>
        <v>-0.12703583061889251</v>
      </c>
      <c r="U116" s="33">
        <f t="shared" si="13"/>
        <v>982400</v>
      </c>
    </row>
    <row r="117" spans="1:21" x14ac:dyDescent="0.25">
      <c r="A117" s="1"/>
      <c r="B117" s="25">
        <v>43496</v>
      </c>
      <c r="C117" s="10" t="s">
        <v>869</v>
      </c>
      <c r="D117" s="1">
        <v>1228</v>
      </c>
      <c r="E117" s="30">
        <v>800</v>
      </c>
      <c r="F117" s="1">
        <v>1080</v>
      </c>
      <c r="G117" s="1">
        <v>7.95</v>
      </c>
      <c r="H117" s="1">
        <v>5600</v>
      </c>
      <c r="I117" s="1">
        <v>1600</v>
      </c>
      <c r="J117" s="1">
        <v>5.5</v>
      </c>
      <c r="K117" s="1">
        <v>7.95</v>
      </c>
      <c r="L117" s="1">
        <v>4800</v>
      </c>
      <c r="M117" s="36"/>
      <c r="N117" s="1"/>
      <c r="O117" s="7">
        <f t="shared" si="7"/>
        <v>6.473941368078176E-3</v>
      </c>
      <c r="P117" s="7">
        <f t="shared" ca="1" si="8"/>
        <v>-1.4680139156639855E-5</v>
      </c>
      <c r="Q117" s="7">
        <f t="shared" si="9"/>
        <v>1.624592833876215E-2</v>
      </c>
      <c r="R117" s="33">
        <f t="shared" si="10"/>
        <v>1247.95</v>
      </c>
      <c r="S117" s="33">
        <f t="shared" si="11"/>
        <v>-112040.00000000001</v>
      </c>
      <c r="T117" s="7">
        <f t="shared" si="12"/>
        <v>-0.11404723127035832</v>
      </c>
      <c r="U117" s="33">
        <f t="shared" si="13"/>
        <v>982400</v>
      </c>
    </row>
    <row r="118" spans="1:21" x14ac:dyDescent="0.25">
      <c r="A118" s="1"/>
      <c r="B118" s="25">
        <v>43496</v>
      </c>
      <c r="C118" s="10" t="s">
        <v>869</v>
      </c>
      <c r="D118" s="1">
        <v>1228</v>
      </c>
      <c r="E118" s="30">
        <v>800</v>
      </c>
      <c r="F118" s="1">
        <v>1100</v>
      </c>
      <c r="G118" s="1">
        <v>9.6</v>
      </c>
      <c r="H118" s="1">
        <v>56000</v>
      </c>
      <c r="I118" s="1">
        <v>1600</v>
      </c>
      <c r="J118" s="1">
        <v>8.5</v>
      </c>
      <c r="K118" s="1">
        <v>9.9499999999999993</v>
      </c>
      <c r="L118" s="1">
        <v>800</v>
      </c>
      <c r="M118" s="36"/>
      <c r="N118" s="1"/>
      <c r="O118" s="7">
        <f t="shared" si="7"/>
        <v>7.8175895765472316E-3</v>
      </c>
      <c r="P118" s="7">
        <f t="shared" ca="1" si="8"/>
        <v>-1.7726960491036806E-5</v>
      </c>
      <c r="Q118" s="7">
        <f t="shared" si="9"/>
        <v>1.624592833876215E-2</v>
      </c>
      <c r="R118" s="33">
        <f t="shared" si="10"/>
        <v>1247.95</v>
      </c>
      <c r="S118" s="33">
        <f t="shared" si="11"/>
        <v>-94720</v>
      </c>
      <c r="T118" s="7">
        <f t="shared" si="12"/>
        <v>-9.6416938110749181E-2</v>
      </c>
      <c r="U118" s="33">
        <f t="shared" si="13"/>
        <v>982400</v>
      </c>
    </row>
    <row r="119" spans="1:21" x14ac:dyDescent="0.25">
      <c r="A119" s="1"/>
      <c r="B119" s="25">
        <v>43496</v>
      </c>
      <c r="C119" s="10" t="s">
        <v>878</v>
      </c>
      <c r="D119" s="1">
        <v>222.8</v>
      </c>
      <c r="E119" s="30">
        <v>2250</v>
      </c>
      <c r="F119" s="1">
        <v>200</v>
      </c>
      <c r="G119" s="1">
        <v>1.6</v>
      </c>
      <c r="H119" s="1">
        <v>36000</v>
      </c>
      <c r="I119" s="1">
        <v>18000</v>
      </c>
      <c r="J119" s="1">
        <v>1.35</v>
      </c>
      <c r="K119" s="1">
        <v>2.7</v>
      </c>
      <c r="L119" s="1">
        <v>13500</v>
      </c>
      <c r="M119" s="36"/>
      <c r="N119" s="1"/>
      <c r="O119" s="7">
        <f t="shared" si="7"/>
        <v>7.1813285457809697E-3</v>
      </c>
      <c r="P119" s="7">
        <f t="shared" ca="1" si="8"/>
        <v>-1.6284191713789048E-5</v>
      </c>
      <c r="Q119" s="7" t="e">
        <f t="shared" si="9"/>
        <v>#VALUE!</v>
      </c>
      <c r="R119" s="33" t="str">
        <f t="shared" si="10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119" s="33">
        <f t="shared" si="11"/>
        <v>-47700.000000000022</v>
      </c>
      <c r="T119" s="7">
        <f t="shared" si="12"/>
        <v>-9.5152603231597896E-2</v>
      </c>
      <c r="U119" s="33">
        <f t="shared" si="13"/>
        <v>501300</v>
      </c>
    </row>
    <row r="120" spans="1:21" x14ac:dyDescent="0.25">
      <c r="A120" s="1"/>
      <c r="B120" s="25">
        <v>43496</v>
      </c>
      <c r="C120" s="10" t="s">
        <v>889</v>
      </c>
      <c r="D120" s="1">
        <v>108.3</v>
      </c>
      <c r="E120" s="30">
        <v>4700</v>
      </c>
      <c r="F120" s="1">
        <v>100</v>
      </c>
      <c r="G120" s="1">
        <v>2.25</v>
      </c>
      <c r="H120" s="1">
        <v>47000</v>
      </c>
      <c r="I120" s="1">
        <v>14100</v>
      </c>
      <c r="J120" s="1">
        <v>1.75</v>
      </c>
      <c r="K120" s="1">
        <v>2.4</v>
      </c>
      <c r="L120" s="1">
        <v>56400</v>
      </c>
      <c r="M120" s="36"/>
      <c r="N120" s="1"/>
      <c r="O120" s="7">
        <f t="shared" si="7"/>
        <v>2.077562326869806E-2</v>
      </c>
      <c r="P120" s="7">
        <f t="shared" ca="1" si="8"/>
        <v>-4.7110256845120321E-5</v>
      </c>
      <c r="Q120" s="7">
        <f t="shared" si="9"/>
        <v>-0.59002770083102496</v>
      </c>
      <c r="R120" s="33">
        <f t="shared" si="10"/>
        <v>44.4</v>
      </c>
      <c r="S120" s="33">
        <f t="shared" si="11"/>
        <v>-289755</v>
      </c>
      <c r="T120" s="7">
        <f t="shared" si="12"/>
        <v>-0.56925207756232687</v>
      </c>
      <c r="U120" s="33">
        <f t="shared" si="13"/>
        <v>509010</v>
      </c>
    </row>
    <row r="121" spans="1:21" x14ac:dyDescent="0.25">
      <c r="A121" s="1"/>
      <c r="B121" s="25">
        <v>43496</v>
      </c>
      <c r="C121" s="10" t="s">
        <v>933</v>
      </c>
      <c r="D121" s="1">
        <v>859.7</v>
      </c>
      <c r="E121" s="30">
        <v>700</v>
      </c>
      <c r="F121" s="1">
        <v>740</v>
      </c>
      <c r="G121" s="1">
        <v>4.9000000000000004</v>
      </c>
      <c r="H121" s="1">
        <v>700</v>
      </c>
      <c r="I121" s="1">
        <v>1400</v>
      </c>
      <c r="J121" s="1">
        <v>2</v>
      </c>
      <c r="K121" s="1">
        <v>5.75</v>
      </c>
      <c r="L121" s="1">
        <v>11200</v>
      </c>
      <c r="M121" s="36"/>
      <c r="N121" s="1"/>
      <c r="O121" s="7">
        <f t="shared" si="7"/>
        <v>5.6996626730254742E-3</v>
      </c>
      <c r="P121" s="7">
        <f t="shared" ca="1" si="8"/>
        <v>-1.2924405154252777E-5</v>
      </c>
      <c r="Q121" s="7">
        <f t="shared" si="9"/>
        <v>-1.5761312085611379E-2</v>
      </c>
      <c r="R121" s="33">
        <f t="shared" si="10"/>
        <v>846.15</v>
      </c>
      <c r="S121" s="33">
        <f t="shared" si="11"/>
        <v>-80360.000000000029</v>
      </c>
      <c r="T121" s="7">
        <f t="shared" si="12"/>
        <v>-0.13353495405373972</v>
      </c>
      <c r="U121" s="33">
        <f t="shared" si="13"/>
        <v>601790</v>
      </c>
    </row>
    <row r="122" spans="1:21" x14ac:dyDescent="0.25">
      <c r="A122" s="1"/>
      <c r="B122" s="25">
        <v>43496</v>
      </c>
      <c r="C122" s="10" t="s">
        <v>933</v>
      </c>
      <c r="D122" s="1">
        <v>859.7</v>
      </c>
      <c r="E122" s="30">
        <v>700</v>
      </c>
      <c r="F122" s="1">
        <v>760</v>
      </c>
      <c r="G122" s="1">
        <v>5.5</v>
      </c>
      <c r="H122" s="1">
        <v>2100</v>
      </c>
      <c r="I122" s="1">
        <v>14700</v>
      </c>
      <c r="J122" s="1">
        <v>2.1</v>
      </c>
      <c r="K122" s="1">
        <v>6.75</v>
      </c>
      <c r="L122" s="1">
        <v>11200</v>
      </c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>
        <v>43496</v>
      </c>
      <c r="C123" s="10" t="s">
        <v>933</v>
      </c>
      <c r="D123" s="1">
        <v>859.7</v>
      </c>
      <c r="E123" s="30">
        <v>700</v>
      </c>
      <c r="F123" s="1">
        <v>780</v>
      </c>
      <c r="G123" s="1">
        <v>7.75</v>
      </c>
      <c r="H123" s="1">
        <v>2800</v>
      </c>
      <c r="I123" s="1">
        <v>700</v>
      </c>
      <c r="J123" s="1">
        <v>5.85</v>
      </c>
      <c r="K123" s="1">
        <v>9.5500000000000007</v>
      </c>
      <c r="L123" s="1">
        <v>11900</v>
      </c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>
        <v>43496</v>
      </c>
      <c r="C124" s="10" t="s">
        <v>995</v>
      </c>
      <c r="D124" s="1">
        <v>621</v>
      </c>
      <c r="E124" s="30">
        <v>1250</v>
      </c>
      <c r="F124" s="1">
        <v>550</v>
      </c>
      <c r="G124" s="1">
        <v>5.5</v>
      </c>
      <c r="H124" s="1">
        <v>15000</v>
      </c>
      <c r="I124" s="1">
        <v>17500</v>
      </c>
      <c r="J124" s="1">
        <v>5.25</v>
      </c>
      <c r="K124" s="1">
        <v>8.1</v>
      </c>
      <c r="L124" s="1">
        <v>20000</v>
      </c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>
        <v>43496</v>
      </c>
      <c r="C125" s="10" t="s">
        <v>1016</v>
      </c>
      <c r="D125" s="1">
        <v>847</v>
      </c>
      <c r="E125" s="30">
        <v>600</v>
      </c>
      <c r="F125" s="1">
        <v>740</v>
      </c>
      <c r="G125" s="1">
        <v>10.8</v>
      </c>
      <c r="H125" s="1">
        <v>600</v>
      </c>
      <c r="I125" s="1">
        <v>3600</v>
      </c>
      <c r="J125" s="1">
        <v>7.75</v>
      </c>
      <c r="K125" s="1">
        <v>10.65</v>
      </c>
      <c r="L125" s="1">
        <v>600</v>
      </c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>
        <v>43496</v>
      </c>
      <c r="C126" s="10" t="s">
        <v>1016</v>
      </c>
      <c r="D126" s="1">
        <v>847</v>
      </c>
      <c r="E126" s="30">
        <v>600</v>
      </c>
      <c r="F126" s="1">
        <v>760</v>
      </c>
      <c r="G126" s="1">
        <v>12.25</v>
      </c>
      <c r="H126" s="1">
        <v>4200</v>
      </c>
      <c r="I126" s="1">
        <v>600</v>
      </c>
      <c r="J126" s="1">
        <v>12</v>
      </c>
      <c r="K126" s="1">
        <v>16.3</v>
      </c>
      <c r="L126" s="1">
        <v>4800</v>
      </c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>
        <v>43496</v>
      </c>
      <c r="C127" s="10" t="s">
        <v>1037</v>
      </c>
      <c r="D127" s="1">
        <v>168.75</v>
      </c>
      <c r="E127" s="30">
        <v>2850</v>
      </c>
      <c r="F127" s="1">
        <v>140</v>
      </c>
      <c r="G127" s="1">
        <v>2.15</v>
      </c>
      <c r="H127" s="1">
        <v>2850</v>
      </c>
      <c r="I127" s="1">
        <v>28500</v>
      </c>
      <c r="J127" s="1">
        <v>1.2</v>
      </c>
      <c r="K127" s="1">
        <v>2.35</v>
      </c>
      <c r="L127" s="1">
        <v>11400</v>
      </c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>
        <v>43496</v>
      </c>
      <c r="C128" s="10" t="s">
        <v>1037</v>
      </c>
      <c r="D128" s="1">
        <v>168.75</v>
      </c>
      <c r="E128" s="30">
        <v>2850</v>
      </c>
      <c r="F128" s="1">
        <v>145</v>
      </c>
      <c r="G128" s="1">
        <v>2</v>
      </c>
      <c r="H128" s="1">
        <v>5700</v>
      </c>
      <c r="I128" s="1">
        <v>28500</v>
      </c>
      <c r="J128" s="1">
        <v>1.8</v>
      </c>
      <c r="K128" s="1">
        <v>3</v>
      </c>
      <c r="L128" s="1">
        <v>5700</v>
      </c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>
        <v>43496</v>
      </c>
      <c r="C129" s="10" t="s">
        <v>1037</v>
      </c>
      <c r="D129" s="1">
        <v>168.75</v>
      </c>
      <c r="E129" s="30">
        <v>2850</v>
      </c>
      <c r="F129" s="1">
        <v>150</v>
      </c>
      <c r="G129" s="1">
        <v>2.65</v>
      </c>
      <c r="H129" s="1">
        <v>42750</v>
      </c>
      <c r="I129" s="1">
        <v>28500</v>
      </c>
      <c r="J129" s="1">
        <v>2.7</v>
      </c>
      <c r="K129" s="1">
        <v>3.4</v>
      </c>
      <c r="L129" s="1">
        <v>2850</v>
      </c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>
        <v>43496</v>
      </c>
      <c r="C130" s="10" t="s">
        <v>1149</v>
      </c>
      <c r="D130" s="1">
        <v>93.1</v>
      </c>
      <c r="E130" s="30">
        <v>7000</v>
      </c>
      <c r="F130" s="1">
        <v>77.5</v>
      </c>
      <c r="G130" s="1">
        <v>1.25</v>
      </c>
      <c r="H130" s="1">
        <v>7000</v>
      </c>
      <c r="I130" s="1">
        <v>49000</v>
      </c>
      <c r="J130" s="1">
        <v>1</v>
      </c>
      <c r="K130" s="1">
        <v>1.45</v>
      </c>
      <c r="L130" s="1">
        <v>14000</v>
      </c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>
        <v>43496</v>
      </c>
      <c r="C131" s="10" t="s">
        <v>1149</v>
      </c>
      <c r="D131" s="1">
        <v>93.1</v>
      </c>
      <c r="E131" s="30">
        <v>7000</v>
      </c>
      <c r="F131" s="1">
        <v>80</v>
      </c>
      <c r="G131" s="1">
        <v>2</v>
      </c>
      <c r="H131" s="1">
        <v>21000</v>
      </c>
      <c r="I131" s="1">
        <v>14000</v>
      </c>
      <c r="J131" s="1">
        <v>1.5</v>
      </c>
      <c r="K131" s="1">
        <v>1.9</v>
      </c>
      <c r="L131" s="1">
        <v>14000</v>
      </c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>
        <v>43496</v>
      </c>
      <c r="C132" s="10" t="s">
        <v>1149</v>
      </c>
      <c r="D132" s="1">
        <v>93.1</v>
      </c>
      <c r="E132" s="30">
        <v>7000</v>
      </c>
      <c r="F132" s="1">
        <v>85</v>
      </c>
      <c r="G132" s="1">
        <v>2.7</v>
      </c>
      <c r="H132" s="1">
        <v>56000</v>
      </c>
      <c r="I132" s="1">
        <v>14000</v>
      </c>
      <c r="J132" s="1">
        <v>2.7</v>
      </c>
      <c r="K132" s="1">
        <v>3.25</v>
      </c>
      <c r="L132" s="1">
        <v>56000</v>
      </c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>
        <v>43496</v>
      </c>
      <c r="C133" s="10" t="s">
        <v>1190</v>
      </c>
      <c r="D133" s="1">
        <v>221.4</v>
      </c>
      <c r="E133" s="30">
        <v>3000</v>
      </c>
      <c r="F133" s="1">
        <v>200</v>
      </c>
      <c r="G133" s="1">
        <v>1.65</v>
      </c>
      <c r="H133" s="1">
        <v>3000</v>
      </c>
      <c r="I133" s="1">
        <v>36000</v>
      </c>
      <c r="J133" s="1">
        <v>0.65</v>
      </c>
      <c r="K133" s="1">
        <v>1.75</v>
      </c>
      <c r="L133" s="1">
        <v>30000</v>
      </c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>
        <v>43496</v>
      </c>
      <c r="C134" s="10" t="s">
        <v>21</v>
      </c>
      <c r="D134" s="1">
        <v>98.25</v>
      </c>
      <c r="E134" s="30">
        <v>6200</v>
      </c>
      <c r="F134" s="1">
        <v>85</v>
      </c>
      <c r="G134" s="1">
        <v>0.75</v>
      </c>
      <c r="H134" s="1">
        <v>136400</v>
      </c>
      <c r="I134" s="1">
        <v>12400</v>
      </c>
      <c r="J134" s="1">
        <v>0.8</v>
      </c>
      <c r="K134" s="1">
        <v>1.1000000000000001</v>
      </c>
      <c r="L134" s="1">
        <v>24800</v>
      </c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>
        <v>43496</v>
      </c>
      <c r="C135" s="10" t="s">
        <v>21</v>
      </c>
      <c r="D135" s="1">
        <v>98.25</v>
      </c>
      <c r="E135" s="30">
        <v>6200</v>
      </c>
      <c r="F135" s="1">
        <v>90</v>
      </c>
      <c r="G135" s="1">
        <v>1.55</v>
      </c>
      <c r="H135" s="1">
        <v>62000</v>
      </c>
      <c r="I135" s="1">
        <v>24800</v>
      </c>
      <c r="J135" s="1">
        <v>1.55</v>
      </c>
      <c r="K135" s="1">
        <v>2.15</v>
      </c>
      <c r="L135" s="1">
        <v>49600</v>
      </c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>
        <v>43496</v>
      </c>
      <c r="C136" s="10" t="s">
        <v>21</v>
      </c>
      <c r="D136" s="1">
        <v>98.25</v>
      </c>
      <c r="E136" s="30">
        <v>6200</v>
      </c>
      <c r="F136" s="1">
        <v>92.5</v>
      </c>
      <c r="G136" s="1">
        <v>2.2999999999999998</v>
      </c>
      <c r="H136" s="1">
        <v>12400</v>
      </c>
      <c r="I136" s="1">
        <v>24800</v>
      </c>
      <c r="J136" s="1">
        <v>2.2000000000000002</v>
      </c>
      <c r="K136" s="1">
        <v>2.9</v>
      </c>
      <c r="L136" s="1">
        <v>62000</v>
      </c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>
        <v>43496</v>
      </c>
      <c r="C137" s="10" t="s">
        <v>1199</v>
      </c>
      <c r="D137" s="1">
        <v>1139</v>
      </c>
      <c r="E137" s="30">
        <v>500</v>
      </c>
      <c r="F137" s="1">
        <v>1020</v>
      </c>
      <c r="G137" s="1">
        <v>3.9</v>
      </c>
      <c r="H137" s="1">
        <v>500</v>
      </c>
      <c r="I137" s="1">
        <v>7000</v>
      </c>
      <c r="J137" s="1">
        <v>2.4500000000000002</v>
      </c>
      <c r="K137" s="1">
        <v>10.45</v>
      </c>
      <c r="L137" s="1">
        <v>6000</v>
      </c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>
        <v>43496</v>
      </c>
      <c r="C138" s="10" t="s">
        <v>1210</v>
      </c>
      <c r="D138" s="1">
        <v>76.7</v>
      </c>
      <c r="E138" s="30">
        <v>7000</v>
      </c>
      <c r="F138" s="1">
        <v>62.5</v>
      </c>
      <c r="G138" s="1">
        <v>0.9</v>
      </c>
      <c r="H138" s="1">
        <v>7000</v>
      </c>
      <c r="I138" s="1">
        <v>14000</v>
      </c>
      <c r="J138" s="1">
        <v>0.4</v>
      </c>
      <c r="K138" s="1">
        <v>0.75</v>
      </c>
      <c r="L138" s="1">
        <v>56000</v>
      </c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>
        <v>43496</v>
      </c>
      <c r="C139" s="10" t="s">
        <v>1210</v>
      </c>
      <c r="D139" s="1">
        <v>76.7</v>
      </c>
      <c r="E139" s="30">
        <v>7000</v>
      </c>
      <c r="F139" s="1">
        <v>65</v>
      </c>
      <c r="G139" s="1">
        <v>0.8</v>
      </c>
      <c r="H139" s="1">
        <v>364000</v>
      </c>
      <c r="I139" s="1">
        <v>14000</v>
      </c>
      <c r="J139" s="1">
        <v>0.7</v>
      </c>
      <c r="K139" s="1">
        <v>0.85</v>
      </c>
      <c r="L139" s="1">
        <v>7000</v>
      </c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>
        <v>43496</v>
      </c>
      <c r="C140" s="10" t="s">
        <v>1210</v>
      </c>
      <c r="D140" s="1">
        <v>76.7</v>
      </c>
      <c r="E140" s="30">
        <v>7000</v>
      </c>
      <c r="F140" s="1">
        <v>67.5</v>
      </c>
      <c r="G140" s="1">
        <v>1.1000000000000001</v>
      </c>
      <c r="H140" s="1">
        <v>35000</v>
      </c>
      <c r="I140" s="1">
        <v>7000</v>
      </c>
      <c r="J140" s="1">
        <v>1.05</v>
      </c>
      <c r="K140" s="1">
        <v>1.4</v>
      </c>
      <c r="L140" s="1">
        <v>49000</v>
      </c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>
        <v>43496</v>
      </c>
      <c r="C141" s="10" t="s">
        <v>1210</v>
      </c>
      <c r="D141" s="1">
        <v>76.7</v>
      </c>
      <c r="E141" s="30">
        <v>7000</v>
      </c>
      <c r="F141" s="1">
        <v>70</v>
      </c>
      <c r="G141" s="1">
        <v>1.65</v>
      </c>
      <c r="H141" s="1">
        <v>441000</v>
      </c>
      <c r="I141" s="1">
        <v>28000</v>
      </c>
      <c r="J141" s="1">
        <v>1.6</v>
      </c>
      <c r="K141" s="1">
        <v>1.75</v>
      </c>
      <c r="L141" s="1">
        <v>21000</v>
      </c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>
        <v>43496</v>
      </c>
      <c r="C142" s="10" t="s">
        <v>1223</v>
      </c>
      <c r="D142" s="1">
        <v>198.45</v>
      </c>
      <c r="E142" s="30">
        <v>4000</v>
      </c>
      <c r="F142" s="1">
        <v>175</v>
      </c>
      <c r="G142" s="1">
        <v>0.75</v>
      </c>
      <c r="H142" s="1">
        <v>8000</v>
      </c>
      <c r="I142" s="1">
        <v>4000</v>
      </c>
      <c r="J142" s="1">
        <v>0.35</v>
      </c>
      <c r="K142" s="1">
        <v>0.95</v>
      </c>
      <c r="L142" s="1">
        <v>48000</v>
      </c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>
        <v>43496</v>
      </c>
      <c r="C143" s="10" t="s">
        <v>1223</v>
      </c>
      <c r="D143" s="1">
        <v>198.45</v>
      </c>
      <c r="E143" s="30">
        <v>4000</v>
      </c>
      <c r="F143" s="1">
        <v>180</v>
      </c>
      <c r="G143" s="1">
        <v>0.9</v>
      </c>
      <c r="H143" s="1">
        <v>8000</v>
      </c>
      <c r="I143" s="1">
        <v>4000</v>
      </c>
      <c r="J143" s="1">
        <v>0.6</v>
      </c>
      <c r="K143" s="1">
        <v>0.85</v>
      </c>
      <c r="L143" s="1">
        <v>4000</v>
      </c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>
        <v>43496</v>
      </c>
      <c r="C144" s="10" t="s">
        <v>5</v>
      </c>
      <c r="D144" s="1">
        <v>88</v>
      </c>
      <c r="E144" s="30">
        <v>8000</v>
      </c>
      <c r="F144" s="1">
        <v>80</v>
      </c>
      <c r="G144" s="1">
        <v>1.5</v>
      </c>
      <c r="H144" s="1">
        <v>8000</v>
      </c>
      <c r="I144" s="1">
        <v>80000</v>
      </c>
      <c r="J144" s="1">
        <v>1.45</v>
      </c>
      <c r="K144" s="1">
        <v>2</v>
      </c>
      <c r="L144" s="1">
        <v>96000</v>
      </c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>
        <v>43496</v>
      </c>
      <c r="C145" s="10" t="s">
        <v>1283</v>
      </c>
      <c r="D145" s="1">
        <v>856.8</v>
      </c>
      <c r="E145" s="30">
        <v>800</v>
      </c>
      <c r="F145" s="1">
        <v>680</v>
      </c>
      <c r="G145" s="1">
        <v>15.9</v>
      </c>
      <c r="H145" s="1">
        <v>1600</v>
      </c>
      <c r="I145" s="1">
        <v>4800</v>
      </c>
      <c r="J145" s="1">
        <v>0.1</v>
      </c>
      <c r="K145" s="1">
        <v>4</v>
      </c>
      <c r="L145" s="1">
        <v>8000</v>
      </c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>
        <v>43496</v>
      </c>
      <c r="C146" s="10" t="s">
        <v>1283</v>
      </c>
      <c r="D146" s="1">
        <v>856.8</v>
      </c>
      <c r="E146" s="30">
        <v>800</v>
      </c>
      <c r="F146" s="1">
        <v>700</v>
      </c>
      <c r="G146" s="1">
        <v>21</v>
      </c>
      <c r="H146" s="1">
        <v>1600</v>
      </c>
      <c r="I146" s="1">
        <v>11200</v>
      </c>
      <c r="J146" s="1">
        <v>0.35</v>
      </c>
      <c r="K146" s="1">
        <v>4.95</v>
      </c>
      <c r="L146" s="1">
        <v>9600</v>
      </c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>
        <v>43496</v>
      </c>
      <c r="C147" s="10" t="s">
        <v>1283</v>
      </c>
      <c r="D147" s="1">
        <v>856.8</v>
      </c>
      <c r="E147" s="30">
        <v>800</v>
      </c>
      <c r="F147" s="1">
        <v>720</v>
      </c>
      <c r="G147" s="1">
        <v>27.6</v>
      </c>
      <c r="H147" s="1">
        <v>1600</v>
      </c>
      <c r="I147" s="1">
        <v>11200</v>
      </c>
      <c r="J147" s="1">
        <v>1.65</v>
      </c>
      <c r="K147" s="1">
        <v>6.15</v>
      </c>
      <c r="L147" s="1">
        <v>9600</v>
      </c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>
        <v>43496</v>
      </c>
      <c r="C148" s="10" t="s">
        <v>1283</v>
      </c>
      <c r="D148" s="1">
        <v>856.8</v>
      </c>
      <c r="E148" s="30">
        <v>800</v>
      </c>
      <c r="F148" s="1">
        <v>740</v>
      </c>
      <c r="G148" s="1">
        <v>34.799999999999997</v>
      </c>
      <c r="H148" s="1">
        <v>3200</v>
      </c>
      <c r="I148" s="1">
        <v>11200</v>
      </c>
      <c r="J148" s="1">
        <v>3.75</v>
      </c>
      <c r="K148" s="1">
        <v>8.0500000000000007</v>
      </c>
      <c r="L148" s="1">
        <v>9600</v>
      </c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>
        <v>43496</v>
      </c>
      <c r="C149" s="10" t="s">
        <v>1283</v>
      </c>
      <c r="D149" s="1">
        <v>856.8</v>
      </c>
      <c r="E149" s="30">
        <v>800</v>
      </c>
      <c r="F149" s="1">
        <v>760</v>
      </c>
      <c r="G149" s="1">
        <v>43.85</v>
      </c>
      <c r="H149" s="1">
        <v>1600</v>
      </c>
      <c r="I149" s="1">
        <v>12800</v>
      </c>
      <c r="J149" s="1">
        <v>6.1</v>
      </c>
      <c r="K149" s="1">
        <v>11</v>
      </c>
      <c r="L149" s="1">
        <v>11200</v>
      </c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>
        <v>43496</v>
      </c>
      <c r="C150" s="10" t="s">
        <v>1287</v>
      </c>
      <c r="D150" s="1">
        <v>14.3</v>
      </c>
      <c r="E150" s="30">
        <v>34000</v>
      </c>
      <c r="F150" s="1">
        <v>11</v>
      </c>
      <c r="G150" s="1">
        <v>0.6</v>
      </c>
      <c r="H150" s="1">
        <v>34000</v>
      </c>
      <c r="I150" s="1">
        <v>34000</v>
      </c>
      <c r="J150" s="1">
        <v>0.35</v>
      </c>
      <c r="K150" s="1">
        <v>0.5</v>
      </c>
      <c r="L150" s="1">
        <v>136000</v>
      </c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>
        <v>43496</v>
      </c>
      <c r="C151" s="10" t="s">
        <v>1287</v>
      </c>
      <c r="D151" s="1">
        <v>14.3</v>
      </c>
      <c r="E151" s="30">
        <v>34000</v>
      </c>
      <c r="F151" s="1">
        <v>12</v>
      </c>
      <c r="G151" s="1">
        <v>0.75</v>
      </c>
      <c r="H151" s="1">
        <v>204000</v>
      </c>
      <c r="I151" s="1">
        <v>136000</v>
      </c>
      <c r="J151" s="1">
        <v>0.5</v>
      </c>
      <c r="K151" s="1">
        <v>0.7</v>
      </c>
      <c r="L151" s="1">
        <v>102000</v>
      </c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>
        <v>43496</v>
      </c>
      <c r="C152" s="10" t="s">
        <v>1287</v>
      </c>
      <c r="D152" s="1">
        <v>14.3</v>
      </c>
      <c r="E152" s="30">
        <v>34000</v>
      </c>
      <c r="F152" s="1">
        <v>13</v>
      </c>
      <c r="G152" s="1">
        <v>0.9</v>
      </c>
      <c r="H152" s="1">
        <v>374000</v>
      </c>
      <c r="I152" s="1">
        <v>68000</v>
      </c>
      <c r="J152" s="1">
        <v>0.85</v>
      </c>
      <c r="K152" s="1">
        <v>0.95</v>
      </c>
      <c r="L152" s="1">
        <v>34000</v>
      </c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>
        <v>43496</v>
      </c>
      <c r="C153" s="10" t="s">
        <v>1288</v>
      </c>
      <c r="D153" s="1">
        <v>109.6</v>
      </c>
      <c r="E153" s="30">
        <v>6000</v>
      </c>
      <c r="F153" s="1">
        <v>95</v>
      </c>
      <c r="G153" s="1">
        <v>1</v>
      </c>
      <c r="H153" s="1">
        <v>12000</v>
      </c>
      <c r="I153" s="1">
        <v>18000</v>
      </c>
      <c r="J153" s="1">
        <v>0.95</v>
      </c>
      <c r="K153" s="1">
        <v>1.35</v>
      </c>
      <c r="L153" s="1">
        <v>60000</v>
      </c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>
        <v>43496</v>
      </c>
      <c r="C154" s="10" t="s">
        <v>1298</v>
      </c>
      <c r="D154" s="1">
        <v>1098</v>
      </c>
      <c r="E154" s="30">
        <v>500</v>
      </c>
      <c r="F154" s="1">
        <v>960</v>
      </c>
      <c r="G154" s="1">
        <v>12</v>
      </c>
      <c r="H154" s="1">
        <v>500</v>
      </c>
      <c r="I154" s="1">
        <v>2000</v>
      </c>
      <c r="J154" s="1">
        <v>0.65</v>
      </c>
      <c r="K154" s="1">
        <v>5.95</v>
      </c>
      <c r="L154" s="1">
        <v>500</v>
      </c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>
        <v>43496</v>
      </c>
      <c r="C155" s="10" t="s">
        <v>1298</v>
      </c>
      <c r="D155" s="1">
        <v>1098</v>
      </c>
      <c r="E155" s="30">
        <v>500</v>
      </c>
      <c r="F155" s="1">
        <v>980</v>
      </c>
      <c r="G155" s="1">
        <v>5.8</v>
      </c>
      <c r="H155" s="1">
        <v>4000</v>
      </c>
      <c r="I155" s="1">
        <v>3500</v>
      </c>
      <c r="J155" s="1">
        <v>4</v>
      </c>
      <c r="K155" s="1">
        <v>6.25</v>
      </c>
      <c r="L155" s="1">
        <v>500</v>
      </c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>
        <v>43496</v>
      </c>
      <c r="C156" s="10" t="s">
        <v>1298</v>
      </c>
      <c r="D156" s="1">
        <v>1098</v>
      </c>
      <c r="E156" s="30">
        <v>500</v>
      </c>
      <c r="F156" s="1">
        <v>1000</v>
      </c>
      <c r="G156" s="1">
        <v>8.9499999999999993</v>
      </c>
      <c r="H156" s="1">
        <v>88000</v>
      </c>
      <c r="I156" s="1">
        <v>1000</v>
      </c>
      <c r="J156" s="1">
        <v>8.5</v>
      </c>
      <c r="K156" s="1">
        <v>8.9</v>
      </c>
      <c r="L156" s="1">
        <v>500</v>
      </c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>
        <v>43496</v>
      </c>
      <c r="C157" s="10" t="s">
        <v>1327</v>
      </c>
      <c r="D157" s="1">
        <v>28.1</v>
      </c>
      <c r="E157" s="30">
        <v>16000</v>
      </c>
      <c r="F157" s="1">
        <v>24</v>
      </c>
      <c r="G157" s="1">
        <v>0.65</v>
      </c>
      <c r="H157" s="1">
        <v>64000</v>
      </c>
      <c r="I157" s="1">
        <v>96000</v>
      </c>
      <c r="J157" s="1">
        <v>0.3</v>
      </c>
      <c r="K157" s="1">
        <v>0.45</v>
      </c>
      <c r="L157" s="1">
        <v>16000</v>
      </c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>
        <v>43496</v>
      </c>
      <c r="C158" s="10" t="s">
        <v>1327</v>
      </c>
      <c r="D158" s="1">
        <v>28.1</v>
      </c>
      <c r="E158" s="30">
        <v>16000</v>
      </c>
      <c r="F158" s="1">
        <v>25</v>
      </c>
      <c r="G158" s="1">
        <v>0.7</v>
      </c>
      <c r="H158" s="1">
        <v>64000</v>
      </c>
      <c r="I158" s="1">
        <v>80000</v>
      </c>
      <c r="J158" s="1">
        <v>0.5</v>
      </c>
      <c r="K158" s="1">
        <v>0.65</v>
      </c>
      <c r="L158" s="1">
        <v>16000</v>
      </c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>
        <v>43496</v>
      </c>
      <c r="C159" s="10" t="s">
        <v>1327</v>
      </c>
      <c r="D159" s="1">
        <v>28.1</v>
      </c>
      <c r="E159" s="30">
        <v>16000</v>
      </c>
      <c r="F159" s="1">
        <v>26</v>
      </c>
      <c r="G159" s="1">
        <v>1</v>
      </c>
      <c r="H159" s="1">
        <v>112000</v>
      </c>
      <c r="I159" s="1">
        <v>64000</v>
      </c>
      <c r="J159" s="1">
        <v>0.75</v>
      </c>
      <c r="K159" s="1">
        <v>0.95</v>
      </c>
      <c r="L159" s="1">
        <v>16000</v>
      </c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>
        <v>43496</v>
      </c>
      <c r="C160" s="10" t="s">
        <v>1373</v>
      </c>
      <c r="D160" s="1">
        <v>292</v>
      </c>
      <c r="E160" s="30">
        <v>3000</v>
      </c>
      <c r="F160" s="1">
        <v>255</v>
      </c>
      <c r="G160" s="1">
        <v>2</v>
      </c>
      <c r="H160" s="1">
        <v>30000</v>
      </c>
      <c r="I160" s="1">
        <v>36000</v>
      </c>
      <c r="J160" s="1">
        <v>0.75</v>
      </c>
      <c r="K160" s="1">
        <v>1.95</v>
      </c>
      <c r="L160" s="1">
        <v>21000</v>
      </c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>
        <v>43496</v>
      </c>
      <c r="C161" s="10" t="s">
        <v>1373</v>
      </c>
      <c r="D161" s="1">
        <v>292</v>
      </c>
      <c r="E161" s="30">
        <v>3000</v>
      </c>
      <c r="F161" s="1">
        <v>260</v>
      </c>
      <c r="G161" s="1">
        <v>2</v>
      </c>
      <c r="H161" s="1">
        <v>195000</v>
      </c>
      <c r="I161" s="1">
        <v>3000</v>
      </c>
      <c r="J161" s="1">
        <v>1.85</v>
      </c>
      <c r="K161" s="1">
        <v>2.2000000000000002</v>
      </c>
      <c r="L161" s="1">
        <v>3000</v>
      </c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>
        <v>43496</v>
      </c>
      <c r="C162" s="10" t="s">
        <v>1373</v>
      </c>
      <c r="D162" s="1">
        <v>292</v>
      </c>
      <c r="E162" s="30">
        <v>3000</v>
      </c>
      <c r="F162" s="1">
        <v>265</v>
      </c>
      <c r="G162" s="1">
        <v>1.05</v>
      </c>
      <c r="H162" s="1">
        <v>12000</v>
      </c>
      <c r="I162" s="1">
        <v>18000</v>
      </c>
      <c r="J162" s="1">
        <v>2.2999999999999998</v>
      </c>
      <c r="K162" s="1">
        <v>2.95</v>
      </c>
      <c r="L162" s="1">
        <v>3000</v>
      </c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>
        <v>43496</v>
      </c>
      <c r="C163" s="10" t="s">
        <v>1373</v>
      </c>
      <c r="D163" s="1">
        <v>292</v>
      </c>
      <c r="E163" s="30">
        <v>3000</v>
      </c>
      <c r="F163" s="1">
        <v>270</v>
      </c>
      <c r="G163" s="1">
        <v>3.4</v>
      </c>
      <c r="H163" s="1">
        <v>147000</v>
      </c>
      <c r="I163" s="1">
        <v>18000</v>
      </c>
      <c r="J163" s="1">
        <v>3.1</v>
      </c>
      <c r="K163" s="1">
        <v>3.4</v>
      </c>
      <c r="L163" s="1">
        <v>3000</v>
      </c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>
        <v>43524</v>
      </c>
      <c r="C164" s="10" t="s">
        <v>1373</v>
      </c>
      <c r="D164" s="1">
        <v>292</v>
      </c>
      <c r="E164" s="30">
        <v>3000</v>
      </c>
      <c r="F164" s="1">
        <v>255</v>
      </c>
      <c r="G164" s="1">
        <v>2.9</v>
      </c>
      <c r="H164" s="1">
        <v>3000</v>
      </c>
      <c r="I164" s="1">
        <v>54000</v>
      </c>
      <c r="J164" s="1">
        <v>2.95</v>
      </c>
      <c r="K164" s="1">
        <v>5</v>
      </c>
      <c r="L164" s="1">
        <v>3000</v>
      </c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>
        <v>43496</v>
      </c>
      <c r="C165" s="10" t="s">
        <v>1441</v>
      </c>
      <c r="D165" s="1">
        <v>994</v>
      </c>
      <c r="E165" s="30">
        <v>550</v>
      </c>
      <c r="F165" s="1">
        <v>860</v>
      </c>
      <c r="G165" s="1">
        <v>6</v>
      </c>
      <c r="H165" s="1">
        <v>1100</v>
      </c>
      <c r="I165" s="1">
        <v>7700</v>
      </c>
      <c r="J165" s="1">
        <v>2.7</v>
      </c>
      <c r="K165" s="1">
        <v>8.65</v>
      </c>
      <c r="L165" s="1">
        <v>6600</v>
      </c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>
        <v>43496</v>
      </c>
      <c r="C166" s="10" t="s">
        <v>1441</v>
      </c>
      <c r="D166" s="1">
        <v>994</v>
      </c>
      <c r="E166" s="30">
        <v>550</v>
      </c>
      <c r="F166" s="1">
        <v>900</v>
      </c>
      <c r="G166" s="1">
        <v>12</v>
      </c>
      <c r="H166" s="1">
        <v>1650</v>
      </c>
      <c r="I166" s="1">
        <v>7700</v>
      </c>
      <c r="J166" s="1">
        <v>7.75</v>
      </c>
      <c r="K166" s="1">
        <v>13</v>
      </c>
      <c r="L166" s="1">
        <v>1100</v>
      </c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>
        <v>43496</v>
      </c>
      <c r="C167" s="10" t="s">
        <v>1482</v>
      </c>
      <c r="D167" s="1">
        <v>15.45</v>
      </c>
      <c r="E167" s="30">
        <v>33141</v>
      </c>
      <c r="F167" s="1">
        <v>14</v>
      </c>
      <c r="G167" s="1">
        <v>0.3</v>
      </c>
      <c r="H167" s="1">
        <v>132564</v>
      </c>
      <c r="I167" s="1">
        <v>165705</v>
      </c>
      <c r="J167" s="1">
        <v>0.25</v>
      </c>
      <c r="K167" s="1">
        <v>0.35</v>
      </c>
      <c r="L167" s="1">
        <v>66282</v>
      </c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>
        <v>43496</v>
      </c>
      <c r="C168" s="10" t="s">
        <v>1503</v>
      </c>
      <c r="D168" s="1">
        <v>1200.3</v>
      </c>
      <c r="E168" s="30">
        <v>600</v>
      </c>
      <c r="F168" s="1">
        <v>1050</v>
      </c>
      <c r="G168" s="1">
        <v>15</v>
      </c>
      <c r="H168" s="1">
        <v>1800</v>
      </c>
      <c r="I168" s="1">
        <v>9600</v>
      </c>
      <c r="J168" s="1">
        <v>9.6999999999999993</v>
      </c>
      <c r="K168" s="1">
        <v>17.149999999999999</v>
      </c>
      <c r="L168" s="1">
        <v>9600</v>
      </c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>
        <v>43496</v>
      </c>
      <c r="C169" s="10" t="s">
        <v>1503</v>
      </c>
      <c r="D169" s="1">
        <v>1200.3</v>
      </c>
      <c r="E169" s="30">
        <v>600</v>
      </c>
      <c r="F169" s="1">
        <v>1100</v>
      </c>
      <c r="G169" s="1">
        <v>24.1</v>
      </c>
      <c r="H169" s="1">
        <v>1800</v>
      </c>
      <c r="I169" s="1">
        <v>8400</v>
      </c>
      <c r="J169" s="1">
        <v>21.55</v>
      </c>
      <c r="K169" s="1">
        <v>26.1</v>
      </c>
      <c r="L169" s="1">
        <v>2400</v>
      </c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>
        <v>43496</v>
      </c>
      <c r="C170" s="10" t="s">
        <v>1507</v>
      </c>
      <c r="D170" s="1">
        <v>459</v>
      </c>
      <c r="E170" s="30">
        <v>800</v>
      </c>
      <c r="F170" s="1">
        <v>400</v>
      </c>
      <c r="G170" s="1">
        <v>5</v>
      </c>
      <c r="H170" s="1">
        <v>3300</v>
      </c>
      <c r="I170" s="1">
        <v>15400</v>
      </c>
      <c r="J170" s="1">
        <v>4.3</v>
      </c>
      <c r="K170" s="1">
        <v>6.75</v>
      </c>
      <c r="L170" s="1">
        <v>7700</v>
      </c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>
        <v>43496</v>
      </c>
      <c r="C171" s="10" t="s">
        <v>1554</v>
      </c>
      <c r="D171" s="1">
        <v>37.6</v>
      </c>
      <c r="E171" s="30">
        <v>15000</v>
      </c>
      <c r="F171" s="1">
        <v>33</v>
      </c>
      <c r="G171" s="1">
        <v>0.75</v>
      </c>
      <c r="H171" s="1">
        <v>30000</v>
      </c>
      <c r="I171" s="1">
        <v>45000</v>
      </c>
      <c r="J171" s="1">
        <v>0.6</v>
      </c>
      <c r="K171" s="1">
        <v>0.8</v>
      </c>
      <c r="L171" s="1">
        <v>75000</v>
      </c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>
        <v>43496</v>
      </c>
      <c r="C172" s="10" t="s">
        <v>1554</v>
      </c>
      <c r="D172" s="1">
        <v>37.6</v>
      </c>
      <c r="E172" s="30">
        <v>15000</v>
      </c>
      <c r="F172" s="1">
        <v>34</v>
      </c>
      <c r="G172" s="1">
        <v>0.95</v>
      </c>
      <c r="H172" s="1">
        <v>315000</v>
      </c>
      <c r="I172" s="1">
        <v>30000</v>
      </c>
      <c r="J172" s="1">
        <v>0.85</v>
      </c>
      <c r="K172" s="1">
        <v>1.05</v>
      </c>
      <c r="L172" s="1">
        <v>60000</v>
      </c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>
        <v>43496</v>
      </c>
      <c r="C173" s="10" t="s">
        <v>1572</v>
      </c>
      <c r="D173" s="1">
        <v>997.6</v>
      </c>
      <c r="E173" s="30">
        <v>400</v>
      </c>
      <c r="F173" s="1">
        <v>900</v>
      </c>
      <c r="G173" s="1">
        <v>15.5</v>
      </c>
      <c r="H173" s="1">
        <v>3200</v>
      </c>
      <c r="I173" s="1">
        <v>4000</v>
      </c>
      <c r="J173" s="1">
        <v>14.25</v>
      </c>
      <c r="K173" s="1">
        <v>20.3</v>
      </c>
      <c r="L173" s="1">
        <v>2400</v>
      </c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>
        <v>43496</v>
      </c>
      <c r="C174" s="10" t="s">
        <v>1576</v>
      </c>
      <c r="D174" s="1">
        <v>175.5</v>
      </c>
      <c r="E174" s="30">
        <v>2000</v>
      </c>
      <c r="F174" s="1">
        <v>145</v>
      </c>
      <c r="G174" s="1">
        <v>2.2000000000000002</v>
      </c>
      <c r="H174" s="1">
        <v>4000</v>
      </c>
      <c r="I174" s="1">
        <v>2000</v>
      </c>
      <c r="J174" s="1">
        <v>0.85</v>
      </c>
      <c r="K174" s="1">
        <v>1.6</v>
      </c>
      <c r="L174" s="1">
        <v>4000</v>
      </c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>
        <v>43496</v>
      </c>
      <c r="C175" s="10" t="s">
        <v>1576</v>
      </c>
      <c r="D175" s="1">
        <v>175.5</v>
      </c>
      <c r="E175" s="30">
        <v>2000</v>
      </c>
      <c r="F175" s="1">
        <v>150</v>
      </c>
      <c r="G175" s="1">
        <v>1.35</v>
      </c>
      <c r="H175" s="1">
        <v>204000</v>
      </c>
      <c r="I175" s="1">
        <v>2000</v>
      </c>
      <c r="J175" s="1">
        <v>1.35</v>
      </c>
      <c r="K175" s="1">
        <v>1.5</v>
      </c>
      <c r="L175" s="1">
        <v>2000</v>
      </c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>
        <v>43496</v>
      </c>
      <c r="C176" s="10" t="s">
        <v>1576</v>
      </c>
      <c r="D176" s="1">
        <v>175.5</v>
      </c>
      <c r="E176" s="30">
        <v>2000</v>
      </c>
      <c r="F176" s="1">
        <v>155</v>
      </c>
      <c r="G176" s="1">
        <v>2.4</v>
      </c>
      <c r="H176" s="1">
        <v>34000</v>
      </c>
      <c r="I176" s="1">
        <v>2000</v>
      </c>
      <c r="J176" s="1">
        <v>1.95</v>
      </c>
      <c r="K176" s="1">
        <v>2.4500000000000002</v>
      </c>
      <c r="L176" s="1">
        <v>2000</v>
      </c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>
        <v>43496</v>
      </c>
      <c r="C177" s="10" t="s">
        <v>1576</v>
      </c>
      <c r="D177" s="1">
        <v>175.5</v>
      </c>
      <c r="E177" s="30">
        <v>2000</v>
      </c>
      <c r="F177" s="1">
        <v>160</v>
      </c>
      <c r="G177" s="1">
        <v>3.25</v>
      </c>
      <c r="H177" s="1">
        <v>308000</v>
      </c>
      <c r="I177" s="1">
        <v>10000</v>
      </c>
      <c r="J177" s="1">
        <v>3.25</v>
      </c>
      <c r="K177" s="1">
        <v>3.35</v>
      </c>
      <c r="L177" s="1">
        <v>2000</v>
      </c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>
        <v>43496</v>
      </c>
      <c r="C178" s="10" t="s">
        <v>1577</v>
      </c>
      <c r="D178" s="1">
        <v>95.8</v>
      </c>
      <c r="E178" s="30">
        <v>3800</v>
      </c>
      <c r="F178" s="1">
        <v>85</v>
      </c>
      <c r="G178" s="1">
        <v>1.3</v>
      </c>
      <c r="H178" s="1">
        <v>3800</v>
      </c>
      <c r="I178" s="1">
        <v>7600</v>
      </c>
      <c r="J178" s="1">
        <v>0.85</v>
      </c>
      <c r="K178" s="1">
        <v>1.45</v>
      </c>
      <c r="L178" s="1">
        <v>15200</v>
      </c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>
        <v>43496</v>
      </c>
      <c r="C179" s="10" t="s">
        <v>1577</v>
      </c>
      <c r="D179" s="1">
        <v>95.8</v>
      </c>
      <c r="E179" s="30">
        <v>3800</v>
      </c>
      <c r="F179" s="1">
        <v>87.5</v>
      </c>
      <c r="G179" s="1">
        <v>3.3</v>
      </c>
      <c r="H179" s="1">
        <v>3800</v>
      </c>
      <c r="I179" s="1">
        <v>38000</v>
      </c>
      <c r="J179" s="1">
        <v>1.1499999999999999</v>
      </c>
      <c r="K179" s="1">
        <v>1.9</v>
      </c>
      <c r="L179" s="1">
        <v>15200</v>
      </c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>
        <v>43496</v>
      </c>
      <c r="C180" s="10" t="s">
        <v>1577</v>
      </c>
      <c r="D180" s="1">
        <v>95.8</v>
      </c>
      <c r="E180" s="30">
        <v>3800</v>
      </c>
      <c r="F180" s="1">
        <v>90</v>
      </c>
      <c r="G180" s="1">
        <v>2.5</v>
      </c>
      <c r="H180" s="1">
        <v>3800</v>
      </c>
      <c r="I180" s="1">
        <v>7600</v>
      </c>
      <c r="J180" s="1">
        <v>1.9</v>
      </c>
      <c r="K180" s="1">
        <v>2.25</v>
      </c>
      <c r="L180" s="1">
        <v>3800</v>
      </c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>
        <v>43496</v>
      </c>
      <c r="C181" s="10" t="s">
        <v>1588</v>
      </c>
      <c r="D181" s="1">
        <v>1905</v>
      </c>
      <c r="E181" s="30">
        <v>250</v>
      </c>
      <c r="F181" s="1">
        <v>1700</v>
      </c>
      <c r="G181" s="1">
        <v>14</v>
      </c>
      <c r="H181" s="1">
        <v>1024250</v>
      </c>
      <c r="I181" s="1">
        <v>1000</v>
      </c>
      <c r="J181" s="1">
        <v>10.1</v>
      </c>
      <c r="K181" s="1">
        <v>14.7</v>
      </c>
      <c r="L181" s="1">
        <v>250</v>
      </c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>
        <v>43496</v>
      </c>
      <c r="C182" s="10" t="s">
        <v>23</v>
      </c>
      <c r="D182" s="1">
        <v>696.7</v>
      </c>
      <c r="E182" s="30">
        <v>1200</v>
      </c>
      <c r="F182" s="1">
        <v>600</v>
      </c>
      <c r="G182" s="1">
        <v>2.2000000000000002</v>
      </c>
      <c r="H182" s="1">
        <v>6000</v>
      </c>
      <c r="I182" s="1">
        <v>9600</v>
      </c>
      <c r="J182" s="1">
        <v>1.05</v>
      </c>
      <c r="K182" s="1">
        <v>4</v>
      </c>
      <c r="L182" s="1">
        <v>1200</v>
      </c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>
        <v>43496</v>
      </c>
      <c r="C183" s="10" t="s">
        <v>1654</v>
      </c>
      <c r="D183" s="1">
        <v>1350.05</v>
      </c>
      <c r="E183" s="30">
        <v>700</v>
      </c>
      <c r="F183" s="1">
        <v>1200</v>
      </c>
      <c r="G183" s="1">
        <v>13</v>
      </c>
      <c r="H183" s="1">
        <v>1400</v>
      </c>
      <c r="I183" s="1">
        <v>1400</v>
      </c>
      <c r="J183" s="1">
        <v>15.75</v>
      </c>
      <c r="K183" s="1">
        <v>22.35</v>
      </c>
      <c r="L183" s="1">
        <v>9800</v>
      </c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>
        <v>43496</v>
      </c>
      <c r="C184" s="10" t="s">
        <v>1668</v>
      </c>
      <c r="D184" s="1">
        <v>82.4</v>
      </c>
      <c r="E184" s="30">
        <v>7000</v>
      </c>
      <c r="F184" s="1">
        <v>70</v>
      </c>
      <c r="G184" s="1">
        <v>1</v>
      </c>
      <c r="H184" s="1">
        <v>21000</v>
      </c>
      <c r="I184" s="1">
        <v>21000</v>
      </c>
      <c r="J184" s="1">
        <v>0.75</v>
      </c>
      <c r="K184" s="1">
        <v>0.9</v>
      </c>
      <c r="L184" s="1">
        <v>21000</v>
      </c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>
        <v>43496</v>
      </c>
      <c r="C185" s="10" t="s">
        <v>1668</v>
      </c>
      <c r="D185" s="1">
        <v>82.4</v>
      </c>
      <c r="E185" s="30">
        <v>7000</v>
      </c>
      <c r="F185" s="1">
        <v>75</v>
      </c>
      <c r="G185" s="1">
        <v>1.95</v>
      </c>
      <c r="H185" s="1">
        <v>42000</v>
      </c>
      <c r="I185" s="1">
        <v>14000</v>
      </c>
      <c r="J185" s="1">
        <v>1.7</v>
      </c>
      <c r="K185" s="1">
        <v>2.0499999999999998</v>
      </c>
      <c r="L185" s="1">
        <v>35000</v>
      </c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>
        <v>43496</v>
      </c>
      <c r="C186" s="10" t="s">
        <v>1726</v>
      </c>
      <c r="D186" s="1">
        <v>571.1</v>
      </c>
      <c r="E186" s="30">
        <v>1000</v>
      </c>
      <c r="F186" s="1">
        <v>500</v>
      </c>
      <c r="G186" s="1">
        <v>7</v>
      </c>
      <c r="H186" s="1">
        <v>4000</v>
      </c>
      <c r="I186" s="1">
        <v>12000</v>
      </c>
      <c r="J186" s="1">
        <v>2.7</v>
      </c>
      <c r="K186" s="1">
        <v>5.8</v>
      </c>
      <c r="L186" s="1">
        <v>10000</v>
      </c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>
        <v>43496</v>
      </c>
      <c r="C187" s="10" t="s">
        <v>1750</v>
      </c>
      <c r="D187" s="1">
        <v>505.7</v>
      </c>
      <c r="E187" s="30">
        <v>900</v>
      </c>
      <c r="F187" s="1">
        <v>440</v>
      </c>
      <c r="G187" s="1">
        <v>6</v>
      </c>
      <c r="H187" s="1">
        <v>900</v>
      </c>
      <c r="I187" s="1">
        <v>1800</v>
      </c>
      <c r="J187" s="1">
        <v>7.6</v>
      </c>
      <c r="K187" s="1">
        <v>10.199999999999999</v>
      </c>
      <c r="L187" s="1">
        <v>12600</v>
      </c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>
        <v>43496</v>
      </c>
      <c r="C188" s="10" t="s">
        <v>1757</v>
      </c>
      <c r="D188" s="1">
        <v>183.15</v>
      </c>
      <c r="E188" s="30">
        <v>1750</v>
      </c>
      <c r="F188" s="1">
        <v>145</v>
      </c>
      <c r="G188" s="1">
        <v>3</v>
      </c>
      <c r="H188" s="1">
        <v>15750</v>
      </c>
      <c r="I188" s="1">
        <v>12250</v>
      </c>
      <c r="J188" s="1">
        <v>2.8</v>
      </c>
      <c r="K188" s="1">
        <v>3.25</v>
      </c>
      <c r="L188" s="1">
        <v>1750</v>
      </c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>
        <v>43496</v>
      </c>
      <c r="C189" s="10" t="s">
        <v>1757</v>
      </c>
      <c r="D189" s="1">
        <v>183.15</v>
      </c>
      <c r="E189" s="30">
        <v>1750</v>
      </c>
      <c r="F189" s="1">
        <v>150</v>
      </c>
      <c r="G189" s="1">
        <v>3.9</v>
      </c>
      <c r="H189" s="1">
        <v>388500</v>
      </c>
      <c r="I189" s="1">
        <v>1750</v>
      </c>
      <c r="J189" s="1">
        <v>3.7</v>
      </c>
      <c r="K189" s="1">
        <v>4.2</v>
      </c>
      <c r="L189" s="1">
        <v>5250</v>
      </c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>
        <v>43496</v>
      </c>
      <c r="C190" s="10" t="s">
        <v>1757</v>
      </c>
      <c r="D190" s="1">
        <v>183.15</v>
      </c>
      <c r="E190" s="30">
        <v>1750</v>
      </c>
      <c r="F190" s="1">
        <v>155</v>
      </c>
      <c r="G190" s="1">
        <v>4.3</v>
      </c>
      <c r="H190" s="1">
        <v>5250</v>
      </c>
      <c r="I190" s="1">
        <v>3500</v>
      </c>
      <c r="J190" s="1">
        <v>4.6500000000000004</v>
      </c>
      <c r="K190" s="1">
        <v>5.25</v>
      </c>
      <c r="L190" s="1">
        <v>1750</v>
      </c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>
        <v>43496</v>
      </c>
      <c r="C191" s="10" t="s">
        <v>1757</v>
      </c>
      <c r="D191" s="1">
        <v>183.15</v>
      </c>
      <c r="E191" s="30">
        <v>1750</v>
      </c>
      <c r="F191" s="1">
        <v>160</v>
      </c>
      <c r="G191" s="1">
        <v>6.7</v>
      </c>
      <c r="H191" s="1">
        <v>603750</v>
      </c>
      <c r="I191" s="1">
        <v>3500</v>
      </c>
      <c r="J191" s="1">
        <v>6</v>
      </c>
      <c r="K191" s="1">
        <v>6.9</v>
      </c>
      <c r="L191" s="1">
        <v>1750</v>
      </c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>
        <v>43496</v>
      </c>
      <c r="C192" s="10" t="s">
        <v>1757</v>
      </c>
      <c r="D192" s="1">
        <v>183.15</v>
      </c>
      <c r="E192" s="30">
        <v>1750</v>
      </c>
      <c r="F192" s="1">
        <v>165</v>
      </c>
      <c r="G192" s="1">
        <v>7.8</v>
      </c>
      <c r="H192" s="1">
        <v>80500</v>
      </c>
      <c r="I192" s="1">
        <v>7000</v>
      </c>
      <c r="J192" s="1">
        <v>7.55</v>
      </c>
      <c r="K192" s="1">
        <v>8.5</v>
      </c>
      <c r="L192" s="1">
        <v>1750</v>
      </c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>
        <v>43496</v>
      </c>
      <c r="C193" s="10" t="s">
        <v>1757</v>
      </c>
      <c r="D193" s="1">
        <v>183.15</v>
      </c>
      <c r="E193" s="30">
        <v>1750</v>
      </c>
      <c r="F193" s="1">
        <v>170</v>
      </c>
      <c r="G193" s="1">
        <v>9.9499999999999993</v>
      </c>
      <c r="H193" s="1">
        <v>411250</v>
      </c>
      <c r="I193" s="1">
        <v>10500</v>
      </c>
      <c r="J193" s="1">
        <v>9.75</v>
      </c>
      <c r="K193" s="1">
        <v>10.4</v>
      </c>
      <c r="L193" s="1">
        <v>1750</v>
      </c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>
        <v>43496</v>
      </c>
      <c r="C194" s="10" t="s">
        <v>1758</v>
      </c>
      <c r="D194" s="1">
        <v>446.05</v>
      </c>
      <c r="E194" s="30">
        <v>1300</v>
      </c>
      <c r="F194" s="1">
        <v>400</v>
      </c>
      <c r="G194" s="1">
        <v>5.35</v>
      </c>
      <c r="H194" s="1">
        <v>19500</v>
      </c>
      <c r="I194" s="1">
        <v>5200</v>
      </c>
      <c r="J194" s="1">
        <v>2.5</v>
      </c>
      <c r="K194" s="1">
        <v>5.35</v>
      </c>
      <c r="L194" s="1">
        <v>3900</v>
      </c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>
        <v>43496</v>
      </c>
      <c r="C195" s="10" t="s">
        <v>1758</v>
      </c>
      <c r="D195" s="1">
        <v>446.05</v>
      </c>
      <c r="E195" s="30">
        <v>1300</v>
      </c>
      <c r="F195" s="1">
        <v>410</v>
      </c>
      <c r="G195" s="1">
        <v>4.5</v>
      </c>
      <c r="H195" s="1">
        <v>2600</v>
      </c>
      <c r="I195" s="1">
        <v>7800</v>
      </c>
      <c r="J195" s="1">
        <v>4.9000000000000004</v>
      </c>
      <c r="K195" s="1">
        <v>7.6</v>
      </c>
      <c r="L195" s="1">
        <v>7800</v>
      </c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M691"/>
  <sheetViews>
    <sheetView zoomScale="80" zoomScaleNormal="80" workbookViewId="0">
      <pane ySplit="3" topLeftCell="A4" activePane="bottomLeft" state="frozen"/>
      <selection pane="bottomLeft" activeCell="E14" sqref="E14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</cols>
  <sheetData>
    <row r="1" spans="1:39" x14ac:dyDescent="0.25">
      <c r="A1" s="1"/>
      <c r="B1" s="44" t="s">
        <v>1853</v>
      </c>
      <c r="C1" s="44"/>
      <c r="D1" s="12"/>
      <c r="E1" s="12"/>
      <c r="F1" s="1"/>
      <c r="G1" s="1"/>
      <c r="H1" s="1"/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</row>
    <row r="2" spans="1:39" x14ac:dyDescent="0.25">
      <c r="A2" s="1"/>
      <c r="B2" s="45"/>
      <c r="C2" s="45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5"/>
      <c r="P2" s="4"/>
      <c r="Q2" s="1"/>
      <c r="R2" s="1"/>
      <c r="S2" s="1"/>
      <c r="T2" s="46" t="s">
        <v>1851</v>
      </c>
      <c r="U2" s="48"/>
      <c r="V2" s="46" t="s">
        <v>1849</v>
      </c>
      <c r="W2" s="47"/>
      <c r="X2" s="47"/>
      <c r="Y2" s="48"/>
      <c r="Z2" s="46" t="s">
        <v>1850</v>
      </c>
      <c r="AA2" s="47"/>
      <c r="AB2" s="47"/>
      <c r="AC2" s="48"/>
      <c r="AD2" s="1"/>
      <c r="AE2" s="1"/>
      <c r="AM2" s="11"/>
    </row>
    <row r="3" spans="1:39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1858</v>
      </c>
      <c r="G3" s="19" t="s">
        <v>1859</v>
      </c>
      <c r="H3" s="19" t="s">
        <v>1837</v>
      </c>
      <c r="I3" s="19" t="s">
        <v>1810</v>
      </c>
      <c r="J3" s="19" t="s">
        <v>1807</v>
      </c>
      <c r="K3" s="19" t="s">
        <v>1811</v>
      </c>
      <c r="L3" s="19" t="s">
        <v>1812</v>
      </c>
      <c r="M3" s="19" t="s">
        <v>1813</v>
      </c>
      <c r="N3" s="19" t="s">
        <v>1814</v>
      </c>
      <c r="O3" s="5"/>
      <c r="P3" s="19" t="s">
        <v>1826</v>
      </c>
      <c r="Q3" s="19" t="s">
        <v>1827</v>
      </c>
      <c r="R3" s="19" t="s">
        <v>1856</v>
      </c>
      <c r="S3" s="19" t="s">
        <v>1857</v>
      </c>
      <c r="T3" s="37" t="s">
        <v>1824</v>
      </c>
      <c r="U3" s="38" t="s">
        <v>1829</v>
      </c>
      <c r="V3" s="37" t="s">
        <v>1831</v>
      </c>
      <c r="W3" s="19" t="s">
        <v>1825</v>
      </c>
      <c r="X3" s="19" t="s">
        <v>1830</v>
      </c>
      <c r="Y3" s="38" t="s">
        <v>1832</v>
      </c>
      <c r="Z3" s="37" t="s">
        <v>1847</v>
      </c>
      <c r="AA3" s="19" t="s">
        <v>1848</v>
      </c>
      <c r="AB3" s="19" t="s">
        <v>1830</v>
      </c>
      <c r="AC3" s="38" t="s">
        <v>1832</v>
      </c>
      <c r="AD3" s="1"/>
      <c r="AE3" s="1"/>
      <c r="AG3" s="28" t="str">
        <f>B3</f>
        <v>Expiry</v>
      </c>
    </row>
    <row r="4" spans="1:39" x14ac:dyDescent="0.25">
      <c r="A4" s="1"/>
      <c r="B4" s="25">
        <v>43496</v>
      </c>
      <c r="C4" s="10" t="s">
        <v>48</v>
      </c>
      <c r="D4" s="1">
        <v>149</v>
      </c>
      <c r="E4" s="30">
        <v>4000</v>
      </c>
      <c r="F4" s="1">
        <v>160</v>
      </c>
      <c r="G4" s="1">
        <v>4.2</v>
      </c>
      <c r="H4" s="1">
        <v>165</v>
      </c>
      <c r="I4" s="1">
        <v>3</v>
      </c>
      <c r="J4" s="1">
        <v>280000</v>
      </c>
      <c r="K4" s="1">
        <v>4000</v>
      </c>
      <c r="L4" s="1">
        <v>2.9</v>
      </c>
      <c r="M4" s="1">
        <v>3.45</v>
      </c>
      <c r="N4" s="1">
        <v>16000</v>
      </c>
      <c r="O4" s="9"/>
      <c r="P4" s="7">
        <f>($G4-$I4)/($F4-$H4)</f>
        <v>-0.24000000000000005</v>
      </c>
      <c r="Q4" s="7">
        <f t="shared" ref="Q4" ca="1" si="0">P4/($B4-TODAY())</f>
        <v>5.4421768707483002E-4</v>
      </c>
      <c r="R4" s="33">
        <f t="shared" ref="R4:R39" si="1">$E4*($G4-$I4)</f>
        <v>4800.0000000000009</v>
      </c>
      <c r="S4" s="33">
        <f t="shared" ref="S4:S39" si="2">-(($H4-$F4)*$E4-$R4)</f>
        <v>-15200</v>
      </c>
      <c r="T4" s="33">
        <f t="shared" ref="T4" si="3">R4</f>
        <v>4800.0000000000009</v>
      </c>
      <c r="U4" s="7">
        <f t="shared" ref="U4:U39" si="4">ABS($T4/$S4)</f>
        <v>0.31578947368421056</v>
      </c>
      <c r="V4" s="7" t="str">
        <f t="shared" ref="V4:V39" ca="1" si="5">mrigxl_max_drawdown($C4,INT($B4-TODAY()))</f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4" s="33" t="e">
        <f t="shared" ref="W4" ca="1" si="6">-(MAX(($F4-MAX($D4*(1+V4),$H4)),0)*$E4-$R4)</f>
        <v>#VALUE!</v>
      </c>
      <c r="X4" s="7" t="e">
        <f t="shared" ref="X4" ca="1" si="7">W4/$R4</f>
        <v>#VALUE!</v>
      </c>
      <c r="Y4" s="7" t="e">
        <f t="shared" ref="Y4" ca="1" si="8">$U4+X4</f>
        <v>#VALUE!</v>
      </c>
      <c r="Z4" s="7" t="str">
        <f t="shared" ref="Z4:Z39" ca="1" si="9">mrigxl_avg_drawdown($C4,INT($B4-TODAY()))</f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4" s="33" t="e">
        <f t="shared" ref="AA4" ca="1" si="10">-(MAX(($F4-MAX($D4*(1+Z4),$H4)),0)*$E4-$R4)</f>
        <v>#VALUE!</v>
      </c>
      <c r="AB4" s="7" t="e">
        <f t="shared" ref="AB4" ca="1" si="11">AA4/$R4</f>
        <v>#VALUE!</v>
      </c>
      <c r="AC4" s="7" t="e">
        <f t="shared" ref="AC4" ca="1" si="12">$U4+AB4</f>
        <v>#VALUE!</v>
      </c>
      <c r="AD4" s="40"/>
      <c r="AE4" s="40" t="s">
        <v>1860</v>
      </c>
      <c r="AF4" s="34"/>
      <c r="AH4" s="34"/>
    </row>
    <row r="5" spans="1:39" x14ac:dyDescent="0.25">
      <c r="A5" s="3"/>
      <c r="B5" s="25">
        <v>43496</v>
      </c>
      <c r="C5" s="10" t="s">
        <v>48</v>
      </c>
      <c r="D5" s="1">
        <v>149</v>
      </c>
      <c r="E5" s="30">
        <v>4000</v>
      </c>
      <c r="F5" s="1">
        <v>160</v>
      </c>
      <c r="G5" s="1">
        <v>4.2</v>
      </c>
      <c r="H5" s="1">
        <v>170</v>
      </c>
      <c r="I5" s="1">
        <v>1.85</v>
      </c>
      <c r="J5" s="1">
        <v>604000</v>
      </c>
      <c r="K5" s="1">
        <v>4000</v>
      </c>
      <c r="L5" s="1">
        <v>1.8</v>
      </c>
      <c r="M5" s="1">
        <v>2</v>
      </c>
      <c r="N5" s="1">
        <v>4000</v>
      </c>
      <c r="O5" s="9"/>
      <c r="P5" s="7">
        <f t="shared" ref="P5:P39" si="13">($G5-$I5)/($F5-$H5)</f>
        <v>-0.23500000000000001</v>
      </c>
      <c r="Q5" s="7">
        <f t="shared" ref="Q5:Q39" ca="1" si="14">P5/($B5-TODAY())</f>
        <v>5.3287981859410439E-4</v>
      </c>
      <c r="R5" s="33">
        <f t="shared" si="1"/>
        <v>9400</v>
      </c>
      <c r="S5" s="33">
        <f t="shared" si="2"/>
        <v>-30600</v>
      </c>
      <c r="T5" s="33">
        <f t="shared" ref="T5:T39" si="15">R5</f>
        <v>9400</v>
      </c>
      <c r="U5" s="7">
        <f t="shared" si="4"/>
        <v>0.30718954248366015</v>
      </c>
      <c r="V5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5" s="33" t="e">
        <f t="shared" ref="W5:W39" ca="1" si="16">-(MAX(($F5-MAX($D5*(1+V5),$H5)),0)*$E5-$R5)</f>
        <v>#VALUE!</v>
      </c>
      <c r="X5" s="7" t="e">
        <f t="shared" ref="X5:X39" ca="1" si="17">W5/$R5</f>
        <v>#VALUE!</v>
      </c>
      <c r="Y5" s="7" t="e">
        <f t="shared" ref="Y5:Y39" ca="1" si="18">$U5+X5</f>
        <v>#VALUE!</v>
      </c>
      <c r="Z5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5" s="33" t="e">
        <f t="shared" ref="AA5:AA39" ca="1" si="19">-(MAX(($F5-MAX($D5*(1+Z5),$H5)),0)*$E5-$R5)</f>
        <v>#VALUE!</v>
      </c>
      <c r="AB5" s="7" t="e">
        <f t="shared" ref="AB5:AB39" ca="1" si="20">AA5/$R5</f>
        <v>#VALUE!</v>
      </c>
      <c r="AC5" s="7" t="e">
        <f t="shared" ref="AC5:AC39" ca="1" si="21">$U5+AB5</f>
        <v>#VALUE!</v>
      </c>
      <c r="AD5" s="1"/>
      <c r="AE5" s="1"/>
    </row>
    <row r="6" spans="1:39" x14ac:dyDescent="0.25">
      <c r="A6" s="3"/>
      <c r="B6" s="25">
        <v>43496</v>
      </c>
      <c r="C6" s="10" t="s">
        <v>48</v>
      </c>
      <c r="D6" s="1">
        <v>149</v>
      </c>
      <c r="E6" s="30">
        <v>4000</v>
      </c>
      <c r="F6" s="1">
        <v>160</v>
      </c>
      <c r="G6" s="1">
        <v>4.2</v>
      </c>
      <c r="H6" s="1">
        <v>175</v>
      </c>
      <c r="I6" s="1">
        <v>1.25</v>
      </c>
      <c r="J6" s="1">
        <v>120000</v>
      </c>
      <c r="K6" s="1">
        <v>12000</v>
      </c>
      <c r="L6" s="1">
        <v>1.1499999999999999</v>
      </c>
      <c r="M6" s="1">
        <v>1.8</v>
      </c>
      <c r="N6" s="1">
        <v>16000</v>
      </c>
      <c r="O6" s="9"/>
      <c r="P6" s="7">
        <f t="shared" si="13"/>
        <v>-0.19666666666666668</v>
      </c>
      <c r="Q6" s="7">
        <f t="shared" ca="1" si="14"/>
        <v>4.4595616024187458E-4</v>
      </c>
      <c r="R6" s="33">
        <f t="shared" si="1"/>
        <v>11800</v>
      </c>
      <c r="S6" s="33">
        <f t="shared" si="2"/>
        <v>-48200</v>
      </c>
      <c r="T6" s="33">
        <f t="shared" si="15"/>
        <v>11800</v>
      </c>
      <c r="U6" s="7">
        <f t="shared" si="4"/>
        <v>0.24481327800829875</v>
      </c>
      <c r="V6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6" s="33" t="e">
        <f t="shared" ca="1" si="16"/>
        <v>#VALUE!</v>
      </c>
      <c r="X6" s="7" t="e">
        <f t="shared" ca="1" si="17"/>
        <v>#VALUE!</v>
      </c>
      <c r="Y6" s="7" t="e">
        <f t="shared" ca="1" si="18"/>
        <v>#VALUE!</v>
      </c>
      <c r="Z6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6" s="33" t="e">
        <f t="shared" ca="1" si="19"/>
        <v>#VALUE!</v>
      </c>
      <c r="AB6" s="7" t="e">
        <f t="shared" ca="1" si="20"/>
        <v>#VALUE!</v>
      </c>
      <c r="AC6" s="7" t="e">
        <f t="shared" ca="1" si="21"/>
        <v>#VALUE!</v>
      </c>
      <c r="AD6" s="1"/>
      <c r="AE6" s="1"/>
    </row>
    <row r="7" spans="1:39" x14ac:dyDescent="0.25">
      <c r="A7" s="3"/>
      <c r="B7" s="25">
        <v>43496</v>
      </c>
      <c r="C7" s="10" t="s">
        <v>48</v>
      </c>
      <c r="D7" s="1">
        <v>149</v>
      </c>
      <c r="E7" s="30">
        <v>4000</v>
      </c>
      <c r="F7" s="1">
        <v>160</v>
      </c>
      <c r="G7" s="1">
        <v>4.2</v>
      </c>
      <c r="H7" s="1">
        <v>180</v>
      </c>
      <c r="I7" s="1">
        <v>0.85</v>
      </c>
      <c r="J7" s="1">
        <v>560000</v>
      </c>
      <c r="K7" s="1">
        <v>8000</v>
      </c>
      <c r="L7" s="1">
        <v>0.8</v>
      </c>
      <c r="M7" s="1">
        <v>0.9</v>
      </c>
      <c r="N7" s="1">
        <v>8000</v>
      </c>
      <c r="O7" s="9"/>
      <c r="P7" s="7">
        <f t="shared" si="13"/>
        <v>-0.16750000000000001</v>
      </c>
      <c r="Q7" s="7">
        <f t="shared" ca="1" si="14"/>
        <v>3.7981859410430842E-4</v>
      </c>
      <c r="R7" s="33">
        <f t="shared" si="1"/>
        <v>13400</v>
      </c>
      <c r="S7" s="33">
        <f t="shared" si="2"/>
        <v>-66600</v>
      </c>
      <c r="T7" s="33">
        <f t="shared" si="15"/>
        <v>13400</v>
      </c>
      <c r="U7" s="7">
        <f t="shared" si="4"/>
        <v>0.20120120120120119</v>
      </c>
      <c r="V7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7" s="33" t="e">
        <f t="shared" ca="1" si="16"/>
        <v>#VALUE!</v>
      </c>
      <c r="X7" s="7" t="e">
        <f t="shared" ca="1" si="17"/>
        <v>#VALUE!</v>
      </c>
      <c r="Y7" s="7" t="e">
        <f t="shared" ca="1" si="18"/>
        <v>#VALUE!</v>
      </c>
      <c r="Z7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7" s="33" t="e">
        <f t="shared" ca="1" si="19"/>
        <v>#VALUE!</v>
      </c>
      <c r="AB7" s="7" t="e">
        <f t="shared" ca="1" si="20"/>
        <v>#VALUE!</v>
      </c>
      <c r="AC7" s="7" t="e">
        <f t="shared" ca="1" si="21"/>
        <v>#VALUE!</v>
      </c>
      <c r="AD7" s="1"/>
      <c r="AE7" s="1"/>
    </row>
    <row r="8" spans="1:39" x14ac:dyDescent="0.25">
      <c r="A8" s="3"/>
      <c r="B8" s="25">
        <v>43496</v>
      </c>
      <c r="C8" s="10" t="s">
        <v>48</v>
      </c>
      <c r="D8" s="1">
        <v>149</v>
      </c>
      <c r="E8" s="30">
        <v>4000</v>
      </c>
      <c r="F8" s="1">
        <v>160</v>
      </c>
      <c r="G8" s="1">
        <v>4.2</v>
      </c>
      <c r="H8" s="1">
        <v>185</v>
      </c>
      <c r="I8" s="1">
        <v>0.8</v>
      </c>
      <c r="J8" s="1">
        <v>36000</v>
      </c>
      <c r="K8" s="1">
        <v>28000</v>
      </c>
      <c r="L8" s="1">
        <v>0.4</v>
      </c>
      <c r="M8" s="1">
        <v>0.9</v>
      </c>
      <c r="N8" s="1">
        <v>4000</v>
      </c>
      <c r="O8" s="9"/>
      <c r="P8" s="7">
        <f t="shared" si="13"/>
        <v>-0.13600000000000001</v>
      </c>
      <c r="Q8" s="7">
        <f t="shared" ca="1" si="14"/>
        <v>3.0839002267573696E-4</v>
      </c>
      <c r="R8" s="33">
        <f t="shared" si="1"/>
        <v>13600.000000000002</v>
      </c>
      <c r="S8" s="33">
        <f t="shared" si="2"/>
        <v>-86400</v>
      </c>
      <c r="T8" s="33">
        <f t="shared" si="15"/>
        <v>13600.000000000002</v>
      </c>
      <c r="U8" s="7">
        <f t="shared" si="4"/>
        <v>0.15740740740740744</v>
      </c>
      <c r="V8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8" s="33" t="e">
        <f t="shared" ca="1" si="16"/>
        <v>#VALUE!</v>
      </c>
      <c r="X8" s="7" t="e">
        <f t="shared" ca="1" si="17"/>
        <v>#VALUE!</v>
      </c>
      <c r="Y8" s="7" t="e">
        <f t="shared" ca="1" si="18"/>
        <v>#VALUE!</v>
      </c>
      <c r="Z8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8" s="33" t="e">
        <f t="shared" ca="1" si="19"/>
        <v>#VALUE!</v>
      </c>
      <c r="AB8" s="7" t="e">
        <f t="shared" ca="1" si="20"/>
        <v>#VALUE!</v>
      </c>
      <c r="AC8" s="7" t="e">
        <f t="shared" ca="1" si="21"/>
        <v>#VALUE!</v>
      </c>
      <c r="AD8" s="1"/>
      <c r="AE8" s="1"/>
    </row>
    <row r="9" spans="1:39" x14ac:dyDescent="0.25">
      <c r="A9" s="3"/>
      <c r="B9" s="25">
        <v>43496</v>
      </c>
      <c r="C9" s="10" t="s">
        <v>48</v>
      </c>
      <c r="D9" s="1">
        <v>149</v>
      </c>
      <c r="E9" s="30">
        <v>4000</v>
      </c>
      <c r="F9" s="1">
        <v>160</v>
      </c>
      <c r="G9" s="1">
        <v>4.2</v>
      </c>
      <c r="H9" s="1">
        <v>190</v>
      </c>
      <c r="I9" s="1">
        <v>0.4</v>
      </c>
      <c r="J9" s="1">
        <v>292000</v>
      </c>
      <c r="K9" s="1">
        <v>20000</v>
      </c>
      <c r="L9" s="1">
        <v>0.35</v>
      </c>
      <c r="M9" s="1">
        <v>0.45</v>
      </c>
      <c r="N9" s="1">
        <v>4000</v>
      </c>
      <c r="O9" s="9"/>
      <c r="P9" s="7">
        <f t="shared" si="13"/>
        <v>-0.12666666666666668</v>
      </c>
      <c r="Q9" s="7">
        <f t="shared" ca="1" si="14"/>
        <v>2.8722600151171585E-4</v>
      </c>
      <c r="R9" s="33">
        <f t="shared" si="1"/>
        <v>15200.000000000002</v>
      </c>
      <c r="S9" s="33">
        <f t="shared" si="2"/>
        <v>-104800</v>
      </c>
      <c r="T9" s="33">
        <f t="shared" si="15"/>
        <v>15200.000000000002</v>
      </c>
      <c r="U9" s="7">
        <f t="shared" si="4"/>
        <v>0.14503816793893132</v>
      </c>
      <c r="V9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9" s="33" t="e">
        <f t="shared" ca="1" si="16"/>
        <v>#VALUE!</v>
      </c>
      <c r="X9" s="7" t="e">
        <f t="shared" ca="1" si="17"/>
        <v>#VALUE!</v>
      </c>
      <c r="Y9" s="7" t="e">
        <f t="shared" ca="1" si="18"/>
        <v>#VALUE!</v>
      </c>
      <c r="Z9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9" s="33" t="e">
        <f t="shared" ca="1" si="19"/>
        <v>#VALUE!</v>
      </c>
      <c r="AB9" s="7" t="e">
        <f t="shared" ca="1" si="20"/>
        <v>#VALUE!</v>
      </c>
      <c r="AC9" s="7" t="e">
        <f t="shared" ca="1" si="21"/>
        <v>#VALUE!</v>
      </c>
      <c r="AD9" s="1"/>
      <c r="AE9" s="1"/>
    </row>
    <row r="10" spans="1:39" x14ac:dyDescent="0.25">
      <c r="A10" s="3"/>
      <c r="B10" s="25">
        <v>43496</v>
      </c>
      <c r="C10" s="10" t="s">
        <v>48</v>
      </c>
      <c r="D10" s="1">
        <v>149</v>
      </c>
      <c r="E10" s="30">
        <v>4000</v>
      </c>
      <c r="F10" s="1">
        <v>160</v>
      </c>
      <c r="G10" s="1">
        <v>4.2</v>
      </c>
      <c r="H10" s="1">
        <v>195</v>
      </c>
      <c r="I10" s="1">
        <v>0.5</v>
      </c>
      <c r="J10" s="1">
        <v>60000</v>
      </c>
      <c r="K10" s="1">
        <v>8000</v>
      </c>
      <c r="L10" s="1">
        <v>0.2</v>
      </c>
      <c r="M10" s="1">
        <v>0.5</v>
      </c>
      <c r="N10" s="1">
        <v>16000</v>
      </c>
      <c r="O10" s="9"/>
      <c r="P10" s="7">
        <f t="shared" si="13"/>
        <v>-0.10571428571428572</v>
      </c>
      <c r="Q10" s="7">
        <f t="shared" ca="1" si="14"/>
        <v>2.3971493359248463E-4</v>
      </c>
      <c r="R10" s="33">
        <f t="shared" si="1"/>
        <v>14800</v>
      </c>
      <c r="S10" s="33">
        <f t="shared" si="2"/>
        <v>-125200</v>
      </c>
      <c r="T10" s="33">
        <f t="shared" si="15"/>
        <v>14800</v>
      </c>
      <c r="U10" s="7">
        <f t="shared" si="4"/>
        <v>0.1182108626198083</v>
      </c>
      <c r="V10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0" s="33" t="e">
        <f t="shared" ca="1" si="16"/>
        <v>#VALUE!</v>
      </c>
      <c r="X10" s="7" t="e">
        <f t="shared" ca="1" si="17"/>
        <v>#VALUE!</v>
      </c>
      <c r="Y10" s="7" t="e">
        <f t="shared" ca="1" si="18"/>
        <v>#VALUE!</v>
      </c>
      <c r="Z10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sh.symbol='ADANIENT'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0" s="33" t="e">
        <f t="shared" ca="1" si="19"/>
        <v>#VALUE!</v>
      </c>
      <c r="AB10" s="7" t="e">
        <f t="shared" ca="1" si="20"/>
        <v>#VALUE!</v>
      </c>
      <c r="AC10" s="7" t="e">
        <f t="shared" ca="1" si="21"/>
        <v>#VALUE!</v>
      </c>
      <c r="AD10" s="1"/>
      <c r="AE10" s="1"/>
    </row>
    <row r="11" spans="1:39" x14ac:dyDescent="0.25">
      <c r="A11" s="3"/>
      <c r="B11" s="25">
        <v>43496</v>
      </c>
      <c r="C11" s="10" t="s">
        <v>152</v>
      </c>
      <c r="D11" s="1">
        <v>94.55</v>
      </c>
      <c r="E11" s="30">
        <v>4000</v>
      </c>
      <c r="F11" s="1">
        <v>102.5</v>
      </c>
      <c r="G11" s="1">
        <v>1</v>
      </c>
      <c r="H11" s="1">
        <v>105</v>
      </c>
      <c r="I11" s="1">
        <v>0.65</v>
      </c>
      <c r="J11" s="1">
        <v>7576000</v>
      </c>
      <c r="K11" s="1">
        <v>296000</v>
      </c>
      <c r="L11" s="1">
        <v>0.65</v>
      </c>
      <c r="M11" s="1">
        <v>0.7</v>
      </c>
      <c r="N11" s="1">
        <v>608000</v>
      </c>
      <c r="O11" s="9"/>
      <c r="P11" s="7">
        <f t="shared" si="13"/>
        <v>-0.13999999999999999</v>
      </c>
      <c r="Q11" s="7">
        <f t="shared" ca="1" si="14"/>
        <v>3.1746031746031741E-4</v>
      </c>
      <c r="R11" s="33">
        <f t="shared" si="1"/>
        <v>1400</v>
      </c>
      <c r="S11" s="33">
        <f t="shared" si="2"/>
        <v>-8600</v>
      </c>
      <c r="T11" s="33">
        <f t="shared" si="15"/>
        <v>1400</v>
      </c>
      <c r="U11" s="7">
        <f t="shared" si="4"/>
        <v>0.16279069767441862</v>
      </c>
      <c r="V11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sh.symbol='ASHOKLEY'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1" s="33" t="e">
        <f t="shared" ca="1" si="16"/>
        <v>#VALUE!</v>
      </c>
      <c r="X11" s="7" t="e">
        <f t="shared" ca="1" si="17"/>
        <v>#VALUE!</v>
      </c>
      <c r="Y11" s="7" t="e">
        <f t="shared" ca="1" si="18"/>
        <v>#VALUE!</v>
      </c>
      <c r="Z11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sh.symbol='ASHOKLEY'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1" s="33" t="e">
        <f t="shared" ca="1" si="19"/>
        <v>#VALUE!</v>
      </c>
      <c r="AB11" s="7" t="e">
        <f t="shared" ca="1" si="20"/>
        <v>#VALUE!</v>
      </c>
      <c r="AC11" s="7" t="e">
        <f t="shared" ca="1" si="21"/>
        <v>#VALUE!</v>
      </c>
      <c r="AD11" s="1"/>
      <c r="AE11" s="1"/>
    </row>
    <row r="12" spans="1:39" x14ac:dyDescent="0.25">
      <c r="A12" s="3"/>
      <c r="B12" s="25">
        <v>43496</v>
      </c>
      <c r="C12" s="10" t="s">
        <v>152</v>
      </c>
      <c r="D12" s="1">
        <v>94.55</v>
      </c>
      <c r="E12" s="30">
        <v>4000</v>
      </c>
      <c r="F12" s="1">
        <v>102.5</v>
      </c>
      <c r="G12" s="1">
        <v>1</v>
      </c>
      <c r="H12" s="1">
        <v>107.5</v>
      </c>
      <c r="I12" s="1">
        <v>0.45</v>
      </c>
      <c r="J12" s="1">
        <v>736000</v>
      </c>
      <c r="K12" s="1">
        <v>32000</v>
      </c>
      <c r="L12" s="1">
        <v>0.4</v>
      </c>
      <c r="M12" s="1">
        <v>0.5</v>
      </c>
      <c r="N12" s="1">
        <v>48000</v>
      </c>
      <c r="O12" s="9"/>
      <c r="P12" s="7">
        <f t="shared" si="13"/>
        <v>-0.11000000000000001</v>
      </c>
      <c r="Q12" s="7">
        <f t="shared" ca="1" si="14"/>
        <v>2.4943310657596373E-4</v>
      </c>
      <c r="R12" s="33">
        <f t="shared" si="1"/>
        <v>2200</v>
      </c>
      <c r="S12" s="33">
        <f t="shared" si="2"/>
        <v>-17800</v>
      </c>
      <c r="T12" s="33">
        <f t="shared" si="15"/>
        <v>2200</v>
      </c>
      <c r="U12" s="7">
        <f t="shared" si="4"/>
        <v>0.12359550561797752</v>
      </c>
      <c r="V12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sh.symbol='ASHOKLEY'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2" s="33" t="e">
        <f t="shared" ca="1" si="16"/>
        <v>#VALUE!</v>
      </c>
      <c r="X12" s="7" t="e">
        <f t="shared" ca="1" si="17"/>
        <v>#VALUE!</v>
      </c>
      <c r="Y12" s="7" t="e">
        <f t="shared" ca="1" si="18"/>
        <v>#VALUE!</v>
      </c>
      <c r="Z12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sh.symbol='ASHOKLEY'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2" s="33" t="e">
        <f t="shared" ca="1" si="19"/>
        <v>#VALUE!</v>
      </c>
      <c r="AB12" s="7" t="e">
        <f t="shared" ca="1" si="20"/>
        <v>#VALUE!</v>
      </c>
      <c r="AC12" s="7" t="e">
        <f t="shared" ca="1" si="21"/>
        <v>#VALUE!</v>
      </c>
      <c r="AD12" s="1"/>
      <c r="AE12" s="1"/>
    </row>
    <row r="13" spans="1:39" x14ac:dyDescent="0.25">
      <c r="A13" s="3"/>
      <c r="B13" s="25">
        <v>43496</v>
      </c>
      <c r="C13" s="10" t="s">
        <v>16</v>
      </c>
      <c r="D13" s="1">
        <v>756.85</v>
      </c>
      <c r="E13" s="30">
        <v>1000</v>
      </c>
      <c r="F13" s="1">
        <v>800</v>
      </c>
      <c r="G13" s="1">
        <v>6.25</v>
      </c>
      <c r="H13" s="1">
        <v>820</v>
      </c>
      <c r="I13" s="1">
        <v>3.25</v>
      </c>
      <c r="J13" s="1">
        <v>120000</v>
      </c>
      <c r="K13" s="1">
        <v>1000</v>
      </c>
      <c r="L13" s="1">
        <v>3.1</v>
      </c>
      <c r="M13" s="1">
        <v>3.25</v>
      </c>
      <c r="N13" s="1">
        <v>1000</v>
      </c>
      <c r="O13" s="9"/>
      <c r="P13" s="7">
        <f t="shared" si="13"/>
        <v>-0.15</v>
      </c>
      <c r="Q13" s="7">
        <f t="shared" ca="1" si="14"/>
        <v>3.4013605442176868E-4</v>
      </c>
      <c r="R13" s="33">
        <f t="shared" si="1"/>
        <v>3000</v>
      </c>
      <c r="S13" s="33">
        <f t="shared" si="2"/>
        <v>-17000</v>
      </c>
      <c r="T13" s="33">
        <f t="shared" si="15"/>
        <v>3000</v>
      </c>
      <c r="U13" s="7">
        <f t="shared" si="4"/>
        <v>0.17647058823529413</v>
      </c>
      <c r="V13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sh.symbol='AUROPHARMA'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3" s="33" t="e">
        <f t="shared" ca="1" si="16"/>
        <v>#VALUE!</v>
      </c>
      <c r="X13" s="7" t="e">
        <f t="shared" ca="1" si="17"/>
        <v>#VALUE!</v>
      </c>
      <c r="Y13" s="7" t="e">
        <f t="shared" ca="1" si="18"/>
        <v>#VALUE!</v>
      </c>
      <c r="Z13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sh.symbol='AUROPHARMA'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3" s="33" t="e">
        <f t="shared" ca="1" si="19"/>
        <v>#VALUE!</v>
      </c>
      <c r="AB13" s="7" t="e">
        <f t="shared" ca="1" si="20"/>
        <v>#VALUE!</v>
      </c>
      <c r="AC13" s="7" t="e">
        <f t="shared" ca="1" si="21"/>
        <v>#VALUE!</v>
      </c>
      <c r="AD13" s="1"/>
      <c r="AE13" s="1"/>
    </row>
    <row r="14" spans="1:39" x14ac:dyDescent="0.25">
      <c r="A14" s="3"/>
      <c r="B14" s="25">
        <v>43496</v>
      </c>
      <c r="C14" s="10" t="s">
        <v>16</v>
      </c>
      <c r="D14" s="1">
        <v>756.85</v>
      </c>
      <c r="E14" s="30">
        <v>1000</v>
      </c>
      <c r="F14" s="1">
        <v>800</v>
      </c>
      <c r="G14" s="1">
        <v>6.25</v>
      </c>
      <c r="H14" s="1">
        <v>840</v>
      </c>
      <c r="I14" s="1">
        <v>1.75</v>
      </c>
      <c r="J14" s="1">
        <v>65000</v>
      </c>
      <c r="K14" s="1">
        <v>1000</v>
      </c>
      <c r="L14" s="1">
        <v>1.7</v>
      </c>
      <c r="M14" s="1">
        <v>1.9</v>
      </c>
      <c r="N14" s="1">
        <v>1000</v>
      </c>
      <c r="O14" s="9"/>
      <c r="P14" s="7">
        <f t="shared" si="13"/>
        <v>-0.1125</v>
      </c>
      <c r="Q14" s="7">
        <f t="shared" ca="1" si="14"/>
        <v>2.5510204081632655E-4</v>
      </c>
      <c r="R14" s="33">
        <f t="shared" si="1"/>
        <v>4500</v>
      </c>
      <c r="S14" s="33">
        <f t="shared" si="2"/>
        <v>-35500</v>
      </c>
      <c r="T14" s="33">
        <f t="shared" si="15"/>
        <v>4500</v>
      </c>
      <c r="U14" s="7">
        <f t="shared" si="4"/>
        <v>0.12676056338028169</v>
      </c>
      <c r="V14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sh.symbol='AUROPHARMA'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4" s="33" t="e">
        <f t="shared" ca="1" si="16"/>
        <v>#VALUE!</v>
      </c>
      <c r="X14" s="7" t="e">
        <f t="shared" ca="1" si="17"/>
        <v>#VALUE!</v>
      </c>
      <c r="Y14" s="7" t="e">
        <f t="shared" ca="1" si="18"/>
        <v>#VALUE!</v>
      </c>
      <c r="Z14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sh.symbol='AUROPHARMA'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4" s="33" t="e">
        <f t="shared" ca="1" si="19"/>
        <v>#VALUE!</v>
      </c>
      <c r="AB14" s="7" t="e">
        <f t="shared" ca="1" si="20"/>
        <v>#VALUE!</v>
      </c>
      <c r="AC14" s="7" t="e">
        <f t="shared" ca="1" si="21"/>
        <v>#VALUE!</v>
      </c>
      <c r="AD14" s="1"/>
      <c r="AE14" s="1"/>
    </row>
    <row r="15" spans="1:39" x14ac:dyDescent="0.25">
      <c r="A15" s="3"/>
      <c r="B15" s="25">
        <v>43496</v>
      </c>
      <c r="C15" s="10" t="s">
        <v>220</v>
      </c>
      <c r="D15" s="1">
        <v>91.9</v>
      </c>
      <c r="E15" s="30">
        <v>6000</v>
      </c>
      <c r="F15" s="1">
        <v>97.5</v>
      </c>
      <c r="G15" s="1">
        <v>1.3</v>
      </c>
      <c r="H15" s="1">
        <v>100</v>
      </c>
      <c r="I15" s="1">
        <v>0.85</v>
      </c>
      <c r="J15" s="1">
        <v>1530000</v>
      </c>
      <c r="K15" s="1">
        <v>30000</v>
      </c>
      <c r="L15" s="1">
        <v>0.8</v>
      </c>
      <c r="M15" s="1">
        <v>0.9</v>
      </c>
      <c r="N15" s="1">
        <v>12000</v>
      </c>
      <c r="O15" s="9"/>
      <c r="P15" s="7">
        <f t="shared" si="13"/>
        <v>-0.18000000000000002</v>
      </c>
      <c r="Q15" s="7">
        <f t="shared" ca="1" si="14"/>
        <v>4.0816326530612252E-4</v>
      </c>
      <c r="R15" s="33">
        <f t="shared" si="1"/>
        <v>2700.0000000000005</v>
      </c>
      <c r="S15" s="33">
        <f t="shared" si="2"/>
        <v>-12300</v>
      </c>
      <c r="T15" s="33">
        <f t="shared" si="15"/>
        <v>2700.0000000000005</v>
      </c>
      <c r="U15" s="7">
        <f t="shared" si="4"/>
        <v>0.21951219512195125</v>
      </c>
      <c r="V15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sh.symbol='BEL'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5" s="33" t="e">
        <f t="shared" ca="1" si="16"/>
        <v>#VALUE!</v>
      </c>
      <c r="X15" s="7" t="e">
        <f t="shared" ca="1" si="17"/>
        <v>#VALUE!</v>
      </c>
      <c r="Y15" s="7" t="e">
        <f t="shared" ca="1" si="18"/>
        <v>#VALUE!</v>
      </c>
      <c r="Z15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sh.symbol='BEL'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5" s="33" t="e">
        <f t="shared" ca="1" si="19"/>
        <v>#VALUE!</v>
      </c>
      <c r="AB15" s="7" t="e">
        <f t="shared" ca="1" si="20"/>
        <v>#VALUE!</v>
      </c>
      <c r="AC15" s="7" t="e">
        <f t="shared" ca="1" si="21"/>
        <v>#VALUE!</v>
      </c>
      <c r="AD15" s="1"/>
      <c r="AE15" s="1"/>
    </row>
    <row r="16" spans="1:39" x14ac:dyDescent="0.25">
      <c r="A16" s="3"/>
      <c r="B16" s="25">
        <v>43496</v>
      </c>
      <c r="C16" s="10" t="s">
        <v>220</v>
      </c>
      <c r="D16" s="1">
        <v>91.9</v>
      </c>
      <c r="E16" s="30">
        <v>6000</v>
      </c>
      <c r="F16" s="1">
        <v>97.5</v>
      </c>
      <c r="G16" s="1">
        <v>1.3</v>
      </c>
      <c r="H16" s="1">
        <v>102.5</v>
      </c>
      <c r="I16" s="1">
        <v>0.55000000000000004</v>
      </c>
      <c r="J16" s="1">
        <v>66000</v>
      </c>
      <c r="K16" s="1">
        <v>6000</v>
      </c>
      <c r="L16" s="1">
        <v>0.45</v>
      </c>
      <c r="M16" s="1">
        <v>0.65</v>
      </c>
      <c r="N16" s="1">
        <v>12000</v>
      </c>
      <c r="O16" s="9"/>
      <c r="P16" s="7">
        <f t="shared" si="13"/>
        <v>-0.15</v>
      </c>
      <c r="Q16" s="7">
        <f t="shared" ca="1" si="14"/>
        <v>3.4013605442176868E-4</v>
      </c>
      <c r="R16" s="33">
        <f t="shared" si="1"/>
        <v>4500</v>
      </c>
      <c r="S16" s="33">
        <f t="shared" si="2"/>
        <v>-25500</v>
      </c>
      <c r="T16" s="33">
        <f t="shared" si="15"/>
        <v>4500</v>
      </c>
      <c r="U16" s="7">
        <f t="shared" si="4"/>
        <v>0.17647058823529413</v>
      </c>
      <c r="V16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sh.symbol='BEL'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6" s="33" t="e">
        <f t="shared" ca="1" si="16"/>
        <v>#VALUE!</v>
      </c>
      <c r="X16" s="7" t="e">
        <f t="shared" ca="1" si="17"/>
        <v>#VALUE!</v>
      </c>
      <c r="Y16" s="7" t="e">
        <f t="shared" ca="1" si="18"/>
        <v>#VALUE!</v>
      </c>
      <c r="Z16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sh.symbol='BEL'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6" s="33" t="e">
        <f t="shared" ca="1" si="19"/>
        <v>#VALUE!</v>
      </c>
      <c r="AB16" s="7" t="e">
        <f t="shared" ca="1" si="20"/>
        <v>#VALUE!</v>
      </c>
      <c r="AC16" s="7" t="e">
        <f t="shared" ca="1" si="21"/>
        <v>#VALUE!</v>
      </c>
      <c r="AD16" s="1"/>
      <c r="AE16" s="1"/>
    </row>
    <row r="17" spans="1:31" x14ac:dyDescent="0.25">
      <c r="A17" s="3"/>
      <c r="B17" s="25">
        <v>43496</v>
      </c>
      <c r="C17" s="10" t="s">
        <v>220</v>
      </c>
      <c r="D17" s="1">
        <v>91.9</v>
      </c>
      <c r="E17" s="30">
        <v>6000</v>
      </c>
      <c r="F17" s="1">
        <v>97.5</v>
      </c>
      <c r="G17" s="1">
        <v>1.3</v>
      </c>
      <c r="H17" s="1">
        <v>105</v>
      </c>
      <c r="I17" s="1">
        <v>0.4</v>
      </c>
      <c r="J17" s="1">
        <v>246000</v>
      </c>
      <c r="K17" s="1">
        <v>6000</v>
      </c>
      <c r="L17" s="1">
        <v>0.4</v>
      </c>
      <c r="M17" s="1">
        <v>0.55000000000000004</v>
      </c>
      <c r="N17" s="1">
        <v>18000</v>
      </c>
      <c r="O17" s="9"/>
      <c r="P17" s="7">
        <f t="shared" si="13"/>
        <v>-0.12000000000000001</v>
      </c>
      <c r="Q17" s="7">
        <f t="shared" ca="1" si="14"/>
        <v>2.7210884353741501E-4</v>
      </c>
      <c r="R17" s="33">
        <f t="shared" si="1"/>
        <v>5400</v>
      </c>
      <c r="S17" s="33">
        <f t="shared" si="2"/>
        <v>-39600</v>
      </c>
      <c r="T17" s="33">
        <f t="shared" si="15"/>
        <v>5400</v>
      </c>
      <c r="U17" s="7">
        <f t="shared" si="4"/>
        <v>0.13636363636363635</v>
      </c>
      <c r="V17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sh.symbol='BEL'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7" s="33" t="e">
        <f t="shared" ca="1" si="16"/>
        <v>#VALUE!</v>
      </c>
      <c r="X17" s="7" t="e">
        <f t="shared" ca="1" si="17"/>
        <v>#VALUE!</v>
      </c>
      <c r="Y17" s="7" t="e">
        <f t="shared" ca="1" si="18"/>
        <v>#VALUE!</v>
      </c>
      <c r="Z17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sh.symbol='BEL'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7" s="33" t="e">
        <f t="shared" ca="1" si="19"/>
        <v>#VALUE!</v>
      </c>
      <c r="AB17" s="7" t="e">
        <f t="shared" ca="1" si="20"/>
        <v>#VALUE!</v>
      </c>
      <c r="AC17" s="7" t="e">
        <f t="shared" ca="1" si="21"/>
        <v>#VALUE!</v>
      </c>
      <c r="AD17" s="1"/>
      <c r="AE17" s="1"/>
    </row>
    <row r="18" spans="1:31" x14ac:dyDescent="0.25">
      <c r="A18" s="3"/>
      <c r="B18" s="25">
        <v>43496</v>
      </c>
      <c r="C18" s="10" t="s">
        <v>220</v>
      </c>
      <c r="D18" s="1">
        <v>91.9</v>
      </c>
      <c r="E18" s="30">
        <v>6000</v>
      </c>
      <c r="F18" s="1">
        <v>97.5</v>
      </c>
      <c r="G18" s="1">
        <v>1.3</v>
      </c>
      <c r="H18" s="1">
        <v>107.5</v>
      </c>
      <c r="I18" s="1">
        <v>0.25</v>
      </c>
      <c r="J18" s="1">
        <v>90000</v>
      </c>
      <c r="K18" s="1">
        <v>6000</v>
      </c>
      <c r="L18" s="1">
        <v>0.2</v>
      </c>
      <c r="M18" s="1">
        <v>0.3</v>
      </c>
      <c r="N18" s="1">
        <v>6000</v>
      </c>
      <c r="O18" s="9"/>
      <c r="P18" s="7">
        <f t="shared" si="13"/>
        <v>-0.10500000000000001</v>
      </c>
      <c r="Q18" s="7">
        <f t="shared" ca="1" si="14"/>
        <v>2.3809523809523812E-4</v>
      </c>
      <c r="R18" s="33">
        <f t="shared" si="1"/>
        <v>6300</v>
      </c>
      <c r="S18" s="33">
        <f t="shared" si="2"/>
        <v>-53700</v>
      </c>
      <c r="T18" s="33">
        <f t="shared" si="15"/>
        <v>6300</v>
      </c>
      <c r="U18" s="7">
        <f t="shared" si="4"/>
        <v>0.11731843575418995</v>
      </c>
      <c r="V18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sh.symbol='BEL'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8" s="33" t="e">
        <f t="shared" ca="1" si="16"/>
        <v>#VALUE!</v>
      </c>
      <c r="X18" s="7" t="e">
        <f t="shared" ca="1" si="17"/>
        <v>#VALUE!</v>
      </c>
      <c r="Y18" s="7" t="e">
        <f t="shared" ca="1" si="18"/>
        <v>#VALUE!</v>
      </c>
      <c r="Z18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sh.symbol='BEL'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8" s="33" t="e">
        <f t="shared" ca="1" si="19"/>
        <v>#VALUE!</v>
      </c>
      <c r="AB18" s="7" t="e">
        <f t="shared" ca="1" si="20"/>
        <v>#VALUE!</v>
      </c>
      <c r="AC18" s="7" t="e">
        <f t="shared" ca="1" si="21"/>
        <v>#VALUE!</v>
      </c>
      <c r="AD18" s="1"/>
      <c r="AE18" s="1"/>
    </row>
    <row r="19" spans="1:31" ht="15" customHeight="1" x14ac:dyDescent="0.25">
      <c r="A19" s="3"/>
      <c r="B19" s="25">
        <v>43496</v>
      </c>
      <c r="C19" s="10" t="s">
        <v>233</v>
      </c>
      <c r="D19" s="1">
        <v>477.85</v>
      </c>
      <c r="E19" s="30">
        <v>1200</v>
      </c>
      <c r="F19" s="1">
        <v>510</v>
      </c>
      <c r="G19" s="1">
        <v>9.4499999999999993</v>
      </c>
      <c r="H19" s="1">
        <v>520</v>
      </c>
      <c r="I19" s="1">
        <v>6.65</v>
      </c>
      <c r="J19" s="1">
        <v>214800</v>
      </c>
      <c r="K19" s="1">
        <v>2400</v>
      </c>
      <c r="L19" s="1">
        <v>6.25</v>
      </c>
      <c r="M19" s="1">
        <v>6.9</v>
      </c>
      <c r="N19" s="1">
        <v>1200</v>
      </c>
      <c r="O19" s="9"/>
      <c r="P19" s="7">
        <f t="shared" si="13"/>
        <v>-0.27999999999999992</v>
      </c>
      <c r="Q19" s="7">
        <f t="shared" ca="1" si="14"/>
        <v>6.349206349206347E-4</v>
      </c>
      <c r="R19" s="33">
        <f t="shared" si="1"/>
        <v>3359.9999999999986</v>
      </c>
      <c r="S19" s="33">
        <f t="shared" si="2"/>
        <v>-8640.0000000000018</v>
      </c>
      <c r="T19" s="33">
        <f t="shared" si="15"/>
        <v>3359.9999999999986</v>
      </c>
      <c r="U19" s="7">
        <f t="shared" si="4"/>
        <v>0.38888888888888867</v>
      </c>
      <c r="V19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19" s="33" t="e">
        <f t="shared" ca="1" si="16"/>
        <v>#VALUE!</v>
      </c>
      <c r="X19" s="7" t="e">
        <f t="shared" ca="1" si="17"/>
        <v>#VALUE!</v>
      </c>
      <c r="Y19" s="7" t="e">
        <f t="shared" ca="1" si="18"/>
        <v>#VALUE!</v>
      </c>
      <c r="Z19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19" s="33" t="e">
        <f t="shared" ca="1" si="19"/>
        <v>#VALUE!</v>
      </c>
      <c r="AB19" s="7" t="e">
        <f t="shared" ca="1" si="20"/>
        <v>#VALUE!</v>
      </c>
      <c r="AC19" s="7" t="e">
        <f t="shared" ca="1" si="21"/>
        <v>#VALUE!</v>
      </c>
      <c r="AD19" s="1"/>
      <c r="AE19" s="1"/>
    </row>
    <row r="20" spans="1:31" ht="15" customHeight="1" x14ac:dyDescent="0.25">
      <c r="A20" s="3"/>
      <c r="B20" s="25">
        <v>43496</v>
      </c>
      <c r="C20" s="10" t="s">
        <v>233</v>
      </c>
      <c r="D20" s="1">
        <v>477.85</v>
      </c>
      <c r="E20" s="30">
        <v>1200</v>
      </c>
      <c r="F20" s="1">
        <v>510</v>
      </c>
      <c r="G20" s="1">
        <v>9.4499999999999993</v>
      </c>
      <c r="H20" s="1">
        <v>530</v>
      </c>
      <c r="I20" s="1">
        <v>4.45</v>
      </c>
      <c r="J20" s="1">
        <v>525600</v>
      </c>
      <c r="K20" s="1">
        <v>1200</v>
      </c>
      <c r="L20" s="1">
        <v>4.25</v>
      </c>
      <c r="M20" s="1">
        <v>4.5</v>
      </c>
      <c r="N20" s="1">
        <v>2400</v>
      </c>
      <c r="O20" s="9"/>
      <c r="P20" s="7">
        <f t="shared" si="13"/>
        <v>-0.24999999999999994</v>
      </c>
      <c r="Q20" s="7">
        <f t="shared" ca="1" si="14"/>
        <v>5.6689342403628109E-4</v>
      </c>
      <c r="R20" s="33">
        <f t="shared" si="1"/>
        <v>5999.9999999999991</v>
      </c>
      <c r="S20" s="33">
        <f t="shared" si="2"/>
        <v>-18000</v>
      </c>
      <c r="T20" s="33">
        <f t="shared" si="15"/>
        <v>5999.9999999999991</v>
      </c>
      <c r="U20" s="7">
        <f t="shared" si="4"/>
        <v>0.33333333333333326</v>
      </c>
      <c r="V20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0" s="33" t="e">
        <f t="shared" ca="1" si="16"/>
        <v>#VALUE!</v>
      </c>
      <c r="X20" s="7" t="e">
        <f t="shared" ca="1" si="17"/>
        <v>#VALUE!</v>
      </c>
      <c r="Y20" s="7" t="e">
        <f t="shared" ca="1" si="18"/>
        <v>#VALUE!</v>
      </c>
      <c r="Z20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0" s="33" t="e">
        <f t="shared" ca="1" si="19"/>
        <v>#VALUE!</v>
      </c>
      <c r="AB20" s="7" t="e">
        <f t="shared" ca="1" si="20"/>
        <v>#VALUE!</v>
      </c>
      <c r="AC20" s="7" t="e">
        <f t="shared" ca="1" si="21"/>
        <v>#VALUE!</v>
      </c>
      <c r="AD20" s="1"/>
      <c r="AE20" s="1"/>
    </row>
    <row r="21" spans="1:31" x14ac:dyDescent="0.25">
      <c r="A21" s="3"/>
      <c r="B21" s="25">
        <v>43496</v>
      </c>
      <c r="C21" s="10" t="s">
        <v>233</v>
      </c>
      <c r="D21" s="1">
        <v>477.85</v>
      </c>
      <c r="E21" s="30">
        <v>1200</v>
      </c>
      <c r="F21" s="1">
        <v>510</v>
      </c>
      <c r="G21" s="1">
        <v>9.4499999999999993</v>
      </c>
      <c r="H21" s="1">
        <v>540</v>
      </c>
      <c r="I21" s="1">
        <v>3.2</v>
      </c>
      <c r="J21" s="1">
        <v>96000</v>
      </c>
      <c r="K21" s="1">
        <v>1200</v>
      </c>
      <c r="L21" s="1">
        <v>3.05</v>
      </c>
      <c r="M21" s="1">
        <v>3.6</v>
      </c>
      <c r="N21" s="1">
        <v>1200</v>
      </c>
      <c r="O21" s="9"/>
      <c r="P21" s="7">
        <f t="shared" si="13"/>
        <v>-0.20833333333333331</v>
      </c>
      <c r="Q21" s="7">
        <f t="shared" ca="1" si="14"/>
        <v>4.7241118669690094E-4</v>
      </c>
      <c r="R21" s="33">
        <f t="shared" si="1"/>
        <v>7499.9999999999991</v>
      </c>
      <c r="S21" s="33">
        <f t="shared" si="2"/>
        <v>-28500</v>
      </c>
      <c r="T21" s="33">
        <f t="shared" si="15"/>
        <v>7499.9999999999991</v>
      </c>
      <c r="U21" s="7">
        <f t="shared" si="4"/>
        <v>0.26315789473684209</v>
      </c>
      <c r="V21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1" s="33" t="e">
        <f t="shared" ca="1" si="16"/>
        <v>#VALUE!</v>
      </c>
      <c r="X21" s="7" t="e">
        <f t="shared" ca="1" si="17"/>
        <v>#VALUE!</v>
      </c>
      <c r="Y21" s="7" t="e">
        <f t="shared" ca="1" si="18"/>
        <v>#VALUE!</v>
      </c>
      <c r="Z21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1" s="33" t="e">
        <f t="shared" ca="1" si="19"/>
        <v>#VALUE!</v>
      </c>
      <c r="AB21" s="7" t="e">
        <f t="shared" ca="1" si="20"/>
        <v>#VALUE!</v>
      </c>
      <c r="AC21" s="7" t="e">
        <f t="shared" ca="1" si="21"/>
        <v>#VALUE!</v>
      </c>
      <c r="AD21" s="1"/>
      <c r="AE21" s="1"/>
    </row>
    <row r="22" spans="1:31" x14ac:dyDescent="0.25">
      <c r="A22" s="3"/>
      <c r="B22" s="25">
        <v>43496</v>
      </c>
      <c r="C22" s="10" t="s">
        <v>233</v>
      </c>
      <c r="D22" s="1">
        <v>477.85</v>
      </c>
      <c r="E22" s="30">
        <v>1200</v>
      </c>
      <c r="F22" s="1">
        <v>510</v>
      </c>
      <c r="G22" s="1">
        <v>9.4499999999999993</v>
      </c>
      <c r="H22" s="1">
        <v>550</v>
      </c>
      <c r="I22" s="1">
        <v>1.75</v>
      </c>
      <c r="J22" s="1">
        <v>75600</v>
      </c>
      <c r="K22" s="1">
        <v>1200</v>
      </c>
      <c r="L22" s="1">
        <v>1.65</v>
      </c>
      <c r="M22" s="1">
        <v>2.1</v>
      </c>
      <c r="N22" s="1">
        <v>2400</v>
      </c>
      <c r="O22" s="9"/>
      <c r="P22" s="7">
        <f t="shared" si="13"/>
        <v>-0.19249999999999998</v>
      </c>
      <c r="Q22" s="7">
        <f t="shared" ca="1" si="14"/>
        <v>4.3650793650793645E-4</v>
      </c>
      <c r="R22" s="33">
        <f t="shared" si="1"/>
        <v>9240</v>
      </c>
      <c r="S22" s="33">
        <f t="shared" si="2"/>
        <v>-38760</v>
      </c>
      <c r="T22" s="33">
        <f t="shared" si="15"/>
        <v>9240</v>
      </c>
      <c r="U22" s="7">
        <f t="shared" si="4"/>
        <v>0.23839009287925697</v>
      </c>
      <c r="V22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2" s="33" t="e">
        <f t="shared" ca="1" si="16"/>
        <v>#VALUE!</v>
      </c>
      <c r="X22" s="7" t="e">
        <f t="shared" ca="1" si="17"/>
        <v>#VALUE!</v>
      </c>
      <c r="Y22" s="7" t="e">
        <f t="shared" ca="1" si="18"/>
        <v>#VALUE!</v>
      </c>
      <c r="Z22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2" s="33" t="e">
        <f t="shared" ca="1" si="19"/>
        <v>#VALUE!</v>
      </c>
      <c r="AB22" s="7" t="e">
        <f t="shared" ca="1" si="20"/>
        <v>#VALUE!</v>
      </c>
      <c r="AC22" s="7" t="e">
        <f t="shared" ca="1" si="21"/>
        <v>#VALUE!</v>
      </c>
      <c r="AD22" s="1"/>
      <c r="AE22" s="1"/>
    </row>
    <row r="23" spans="1:31" x14ac:dyDescent="0.25">
      <c r="A23" s="3"/>
      <c r="B23" s="25">
        <v>43496</v>
      </c>
      <c r="C23" s="10" t="s">
        <v>233</v>
      </c>
      <c r="D23" s="1">
        <v>477.85</v>
      </c>
      <c r="E23" s="30">
        <v>1200</v>
      </c>
      <c r="F23" s="1">
        <v>510</v>
      </c>
      <c r="G23" s="1">
        <v>9.4499999999999993</v>
      </c>
      <c r="H23" s="1">
        <v>560</v>
      </c>
      <c r="I23" s="1">
        <v>1.4</v>
      </c>
      <c r="J23" s="1">
        <v>55200</v>
      </c>
      <c r="K23" s="1">
        <v>1200</v>
      </c>
      <c r="L23" s="1">
        <v>0.7</v>
      </c>
      <c r="M23" s="1">
        <v>2.1</v>
      </c>
      <c r="N23" s="1">
        <v>1200</v>
      </c>
      <c r="O23" s="9"/>
      <c r="P23" s="7">
        <f t="shared" si="13"/>
        <v>-0.16099999999999998</v>
      </c>
      <c r="Q23" s="7">
        <f t="shared" ca="1" si="14"/>
        <v>3.6507936507936505E-4</v>
      </c>
      <c r="R23" s="33">
        <f t="shared" si="1"/>
        <v>9659.9999999999982</v>
      </c>
      <c r="S23" s="33">
        <f t="shared" si="2"/>
        <v>-50340</v>
      </c>
      <c r="T23" s="33">
        <f t="shared" si="15"/>
        <v>9659.9999999999982</v>
      </c>
      <c r="U23" s="7">
        <f t="shared" si="4"/>
        <v>0.19189511323003572</v>
      </c>
      <c r="V23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3" s="33" t="e">
        <f t="shared" ca="1" si="16"/>
        <v>#VALUE!</v>
      </c>
      <c r="X23" s="7" t="e">
        <f t="shared" ca="1" si="17"/>
        <v>#VALUE!</v>
      </c>
      <c r="Y23" s="7" t="e">
        <f t="shared" ca="1" si="18"/>
        <v>#VALUE!</v>
      </c>
      <c r="Z23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3" s="33" t="e">
        <f t="shared" ca="1" si="19"/>
        <v>#VALUE!</v>
      </c>
      <c r="AB23" s="7" t="e">
        <f t="shared" ca="1" si="20"/>
        <v>#VALUE!</v>
      </c>
      <c r="AC23" s="7" t="e">
        <f t="shared" ca="1" si="21"/>
        <v>#VALUE!</v>
      </c>
      <c r="AD23" s="1"/>
      <c r="AE23" s="1"/>
    </row>
    <row r="24" spans="1:31" x14ac:dyDescent="0.25">
      <c r="A24" s="3"/>
      <c r="B24" s="25">
        <v>43496</v>
      </c>
      <c r="C24" s="10" t="s">
        <v>233</v>
      </c>
      <c r="D24" s="1">
        <v>477.85</v>
      </c>
      <c r="E24" s="30">
        <v>1200</v>
      </c>
      <c r="F24" s="1">
        <v>510</v>
      </c>
      <c r="G24" s="1">
        <v>9.4499999999999993</v>
      </c>
      <c r="H24" s="1">
        <v>570</v>
      </c>
      <c r="I24" s="1">
        <v>1.4</v>
      </c>
      <c r="J24" s="1">
        <v>6000</v>
      </c>
      <c r="K24" s="1">
        <v>1200</v>
      </c>
      <c r="L24" s="1">
        <v>0.5</v>
      </c>
      <c r="M24" s="1">
        <v>1.9</v>
      </c>
      <c r="N24" s="1">
        <v>14400</v>
      </c>
      <c r="O24" s="9"/>
      <c r="P24" s="7">
        <f t="shared" si="13"/>
        <v>-0.13416666666666666</v>
      </c>
      <c r="Q24" s="7">
        <f t="shared" ca="1" si="14"/>
        <v>3.042328042328042E-4</v>
      </c>
      <c r="R24" s="33">
        <f t="shared" si="1"/>
        <v>9659.9999999999982</v>
      </c>
      <c r="S24" s="33">
        <f t="shared" si="2"/>
        <v>-62340</v>
      </c>
      <c r="T24" s="33">
        <f t="shared" si="15"/>
        <v>9659.9999999999982</v>
      </c>
      <c r="U24" s="7">
        <f t="shared" si="4"/>
        <v>0.1549566891241578</v>
      </c>
      <c r="V24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" s="33" t="e">
        <f t="shared" ca="1" si="16"/>
        <v>#VALUE!</v>
      </c>
      <c r="X24" s="7" t="e">
        <f t="shared" ca="1" si="17"/>
        <v>#VALUE!</v>
      </c>
      <c r="Y24" s="7" t="e">
        <f t="shared" ca="1" si="18"/>
        <v>#VALUE!</v>
      </c>
      <c r="Z24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" s="33" t="e">
        <f t="shared" ca="1" si="19"/>
        <v>#VALUE!</v>
      </c>
      <c r="AB24" s="7" t="e">
        <f t="shared" ca="1" si="20"/>
        <v>#VALUE!</v>
      </c>
      <c r="AC24" s="7" t="e">
        <f t="shared" ca="1" si="21"/>
        <v>#VALUE!</v>
      </c>
      <c r="AD24" s="1"/>
      <c r="AE24" s="1"/>
    </row>
    <row r="25" spans="1:31" x14ac:dyDescent="0.25">
      <c r="A25" s="3"/>
      <c r="B25" s="25">
        <v>43496</v>
      </c>
      <c r="C25" s="10" t="s">
        <v>233</v>
      </c>
      <c r="D25" s="1">
        <v>477.85</v>
      </c>
      <c r="E25" s="30">
        <v>1200</v>
      </c>
      <c r="F25" s="1">
        <v>510</v>
      </c>
      <c r="G25" s="1">
        <v>9.4499999999999993</v>
      </c>
      <c r="H25" s="1">
        <v>590</v>
      </c>
      <c r="I25" s="1">
        <v>0.55000000000000004</v>
      </c>
      <c r="J25" s="1">
        <v>7200</v>
      </c>
      <c r="K25" s="1">
        <v>1200</v>
      </c>
      <c r="L25" s="1">
        <v>0.3</v>
      </c>
      <c r="M25" s="1">
        <v>0.9</v>
      </c>
      <c r="N25" s="1">
        <v>1200</v>
      </c>
      <c r="O25" s="9"/>
      <c r="P25" s="7">
        <f t="shared" si="13"/>
        <v>-0.11124999999999999</v>
      </c>
      <c r="Q25" s="7">
        <f t="shared" ca="1" si="14"/>
        <v>2.5226757369614509E-4</v>
      </c>
      <c r="R25" s="33">
        <f t="shared" si="1"/>
        <v>10679.999999999998</v>
      </c>
      <c r="S25" s="33">
        <f t="shared" si="2"/>
        <v>-85320</v>
      </c>
      <c r="T25" s="33">
        <f t="shared" si="15"/>
        <v>10679.999999999998</v>
      </c>
      <c r="U25" s="7">
        <f t="shared" si="4"/>
        <v>0.1251758087201125</v>
      </c>
      <c r="V25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" s="33" t="e">
        <f t="shared" ca="1" si="16"/>
        <v>#VALUE!</v>
      </c>
      <c r="X25" s="7" t="e">
        <f t="shared" ca="1" si="17"/>
        <v>#VALUE!</v>
      </c>
      <c r="Y25" s="7" t="e">
        <f t="shared" ca="1" si="18"/>
        <v>#VALUE!</v>
      </c>
      <c r="Z25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sh.symbol='BHARATFORG'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" s="33" t="e">
        <f t="shared" ca="1" si="19"/>
        <v>#VALUE!</v>
      </c>
      <c r="AB25" s="7" t="e">
        <f t="shared" ca="1" si="20"/>
        <v>#VALUE!</v>
      </c>
      <c r="AC25" s="7" t="e">
        <f t="shared" ca="1" si="21"/>
        <v>#VALUE!</v>
      </c>
      <c r="AD25" s="1"/>
      <c r="AE25" s="1"/>
    </row>
    <row r="26" spans="1:31" x14ac:dyDescent="0.25">
      <c r="A26" s="3"/>
      <c r="B26" s="25">
        <v>43496</v>
      </c>
      <c r="C26" s="10" t="s">
        <v>283</v>
      </c>
      <c r="D26" s="1">
        <v>347.65</v>
      </c>
      <c r="E26" s="30">
        <v>1600</v>
      </c>
      <c r="F26" s="1">
        <v>370</v>
      </c>
      <c r="G26" s="1">
        <v>4</v>
      </c>
      <c r="H26" s="1">
        <v>380</v>
      </c>
      <c r="I26" s="1">
        <v>2.25</v>
      </c>
      <c r="J26" s="1">
        <v>72000</v>
      </c>
      <c r="K26" s="1">
        <v>16000</v>
      </c>
      <c r="L26" s="1">
        <v>1.7</v>
      </c>
      <c r="M26" s="1">
        <v>2.9</v>
      </c>
      <c r="N26" s="1">
        <v>1600</v>
      </c>
      <c r="O26" s="9"/>
      <c r="P26" s="7">
        <f t="shared" si="13"/>
        <v>-0.17499999999999999</v>
      </c>
      <c r="Q26" s="7">
        <f t="shared" ca="1" si="14"/>
        <v>3.9682539682539683E-4</v>
      </c>
      <c r="R26" s="33">
        <f t="shared" si="1"/>
        <v>2800</v>
      </c>
      <c r="S26" s="33">
        <f t="shared" si="2"/>
        <v>-13200</v>
      </c>
      <c r="T26" s="33">
        <f t="shared" si="15"/>
        <v>2800</v>
      </c>
      <c r="U26" s="7">
        <f t="shared" si="4"/>
        <v>0.21212121212121213</v>
      </c>
      <c r="V26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sh.symbol='CADILAHC'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" s="33" t="e">
        <f t="shared" ca="1" si="16"/>
        <v>#VALUE!</v>
      </c>
      <c r="X26" s="7" t="e">
        <f t="shared" ca="1" si="17"/>
        <v>#VALUE!</v>
      </c>
      <c r="Y26" s="7" t="e">
        <f t="shared" ca="1" si="18"/>
        <v>#VALUE!</v>
      </c>
      <c r="Z26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sh.symbol='CADILAHC'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" s="33" t="e">
        <f t="shared" ca="1" si="19"/>
        <v>#VALUE!</v>
      </c>
      <c r="AB26" s="7" t="e">
        <f t="shared" ca="1" si="20"/>
        <v>#VALUE!</v>
      </c>
      <c r="AC26" s="7" t="e">
        <f t="shared" ca="1" si="21"/>
        <v>#VALUE!</v>
      </c>
      <c r="AD26" s="1"/>
      <c r="AE26" s="1"/>
    </row>
    <row r="27" spans="1:31" x14ac:dyDescent="0.25">
      <c r="A27" s="3"/>
      <c r="B27" s="25">
        <v>43496</v>
      </c>
      <c r="C27" s="10" t="s">
        <v>283</v>
      </c>
      <c r="D27" s="1">
        <v>347.65</v>
      </c>
      <c r="E27" s="30">
        <v>1600</v>
      </c>
      <c r="F27" s="1">
        <v>370</v>
      </c>
      <c r="G27" s="1">
        <v>4</v>
      </c>
      <c r="H27" s="1">
        <v>390</v>
      </c>
      <c r="I27" s="1">
        <v>1.4</v>
      </c>
      <c r="J27" s="1">
        <v>30400</v>
      </c>
      <c r="K27" s="1">
        <v>3200</v>
      </c>
      <c r="L27" s="1">
        <v>1</v>
      </c>
      <c r="M27" s="1">
        <v>1.75</v>
      </c>
      <c r="N27" s="1">
        <v>3200</v>
      </c>
      <c r="O27" s="9"/>
      <c r="P27" s="7">
        <f t="shared" si="13"/>
        <v>-0.13</v>
      </c>
      <c r="Q27" s="7">
        <f t="shared" ca="1" si="14"/>
        <v>2.9478458049886624E-4</v>
      </c>
      <c r="R27" s="33">
        <f t="shared" si="1"/>
        <v>4160</v>
      </c>
      <c r="S27" s="33">
        <f t="shared" si="2"/>
        <v>-27840</v>
      </c>
      <c r="T27" s="33">
        <f t="shared" si="15"/>
        <v>4160</v>
      </c>
      <c r="U27" s="7">
        <f t="shared" si="4"/>
        <v>0.14942528735632185</v>
      </c>
      <c r="V27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sh.symbol='CADILAHC'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" s="33" t="e">
        <f t="shared" ca="1" si="16"/>
        <v>#VALUE!</v>
      </c>
      <c r="X27" s="7" t="e">
        <f t="shared" ca="1" si="17"/>
        <v>#VALUE!</v>
      </c>
      <c r="Y27" s="7" t="e">
        <f t="shared" ca="1" si="18"/>
        <v>#VALUE!</v>
      </c>
      <c r="Z27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sh.symbol='CADILAHC'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" s="33" t="e">
        <f t="shared" ca="1" si="19"/>
        <v>#VALUE!</v>
      </c>
      <c r="AB27" s="7" t="e">
        <f t="shared" ca="1" si="20"/>
        <v>#VALUE!</v>
      </c>
      <c r="AC27" s="7" t="e">
        <f t="shared" ca="1" si="21"/>
        <v>#VALUE!</v>
      </c>
      <c r="AD27" s="1"/>
      <c r="AE27" s="1"/>
    </row>
    <row r="28" spans="1:31" x14ac:dyDescent="0.25">
      <c r="A28" s="3"/>
      <c r="B28" s="25">
        <v>43496</v>
      </c>
      <c r="C28" s="10" t="s">
        <v>283</v>
      </c>
      <c r="D28" s="1">
        <v>347.65</v>
      </c>
      <c r="E28" s="30">
        <v>1600</v>
      </c>
      <c r="F28" s="1">
        <v>370</v>
      </c>
      <c r="G28" s="1">
        <v>4</v>
      </c>
      <c r="H28" s="1">
        <v>400</v>
      </c>
      <c r="I28" s="1">
        <v>0.7</v>
      </c>
      <c r="J28" s="1">
        <v>14400</v>
      </c>
      <c r="K28" s="1">
        <v>1600</v>
      </c>
      <c r="L28" s="1">
        <v>0.4</v>
      </c>
      <c r="M28" s="1">
        <v>0.8</v>
      </c>
      <c r="N28" s="1">
        <v>1600</v>
      </c>
      <c r="O28" s="9"/>
      <c r="P28" s="7">
        <f t="shared" si="13"/>
        <v>-0.11</v>
      </c>
      <c r="Q28" s="7">
        <f t="shared" ca="1" si="14"/>
        <v>2.4943310657596373E-4</v>
      </c>
      <c r="R28" s="33">
        <f t="shared" si="1"/>
        <v>5280</v>
      </c>
      <c r="S28" s="33">
        <f t="shared" si="2"/>
        <v>-42720</v>
      </c>
      <c r="T28" s="33">
        <f t="shared" si="15"/>
        <v>5280</v>
      </c>
      <c r="U28" s="7">
        <f t="shared" si="4"/>
        <v>0.12359550561797752</v>
      </c>
      <c r="V28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sh.symbol='CADILAHC'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" s="33" t="e">
        <f t="shared" ca="1" si="16"/>
        <v>#VALUE!</v>
      </c>
      <c r="X28" s="7" t="e">
        <f t="shared" ca="1" si="17"/>
        <v>#VALUE!</v>
      </c>
      <c r="Y28" s="7" t="e">
        <f t="shared" ca="1" si="18"/>
        <v>#VALUE!</v>
      </c>
      <c r="Z28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sh.symbol='CADILAHC'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" s="33" t="e">
        <f t="shared" ca="1" si="19"/>
        <v>#VALUE!</v>
      </c>
      <c r="AB28" s="7" t="e">
        <f t="shared" ca="1" si="20"/>
        <v>#VALUE!</v>
      </c>
      <c r="AC28" s="7" t="e">
        <f t="shared" ca="1" si="21"/>
        <v>#VALUE!</v>
      </c>
      <c r="AD28" s="1"/>
      <c r="AE28" s="1"/>
    </row>
    <row r="29" spans="1:31" x14ac:dyDescent="0.25">
      <c r="A29" s="3"/>
      <c r="B29" s="25">
        <v>43496</v>
      </c>
      <c r="C29" s="10" t="s">
        <v>18</v>
      </c>
      <c r="D29" s="1">
        <v>1472.1</v>
      </c>
      <c r="E29" s="30">
        <v>400</v>
      </c>
      <c r="F29" s="1">
        <v>1600</v>
      </c>
      <c r="G29" s="1">
        <v>8.6</v>
      </c>
      <c r="H29" s="1">
        <v>1640</v>
      </c>
      <c r="I29" s="1">
        <v>4</v>
      </c>
      <c r="J29" s="1">
        <v>1200</v>
      </c>
      <c r="K29" s="1">
        <v>2400</v>
      </c>
      <c r="L29" s="1">
        <v>1.3</v>
      </c>
      <c r="M29" s="1">
        <v>6.95</v>
      </c>
      <c r="N29" s="1">
        <v>3200</v>
      </c>
      <c r="O29" s="9"/>
      <c r="P29" s="7">
        <f t="shared" si="13"/>
        <v>-0.11499999999999999</v>
      </c>
      <c r="Q29" s="7">
        <f t="shared" ca="1" si="14"/>
        <v>2.6077097505668932E-4</v>
      </c>
      <c r="R29" s="33">
        <f t="shared" si="1"/>
        <v>1839.9999999999998</v>
      </c>
      <c r="S29" s="33">
        <f t="shared" si="2"/>
        <v>-14160</v>
      </c>
      <c r="T29" s="33">
        <f t="shared" si="15"/>
        <v>1839.9999999999998</v>
      </c>
      <c r="U29" s="7">
        <f t="shared" si="4"/>
        <v>0.12994350282485875</v>
      </c>
      <c r="V29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sh.symbol='DIVISLAB'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" s="33" t="e">
        <f t="shared" ca="1" si="16"/>
        <v>#VALUE!</v>
      </c>
      <c r="X29" s="7" t="e">
        <f t="shared" ca="1" si="17"/>
        <v>#VALUE!</v>
      </c>
      <c r="Y29" s="7" t="e">
        <f t="shared" ca="1" si="18"/>
        <v>#VALUE!</v>
      </c>
      <c r="Z29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sh.symbol='DIVISLAB'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" s="33" t="e">
        <f t="shared" ca="1" si="19"/>
        <v>#VALUE!</v>
      </c>
      <c r="AB29" s="7" t="e">
        <f t="shared" ca="1" si="20"/>
        <v>#VALUE!</v>
      </c>
      <c r="AC29" s="7" t="e">
        <f t="shared" ca="1" si="21"/>
        <v>#VALUE!</v>
      </c>
      <c r="AD29" s="1"/>
      <c r="AE29" s="1"/>
    </row>
    <row r="30" spans="1:31" x14ac:dyDescent="0.25">
      <c r="A30" s="3"/>
      <c r="B30" s="25">
        <v>43496</v>
      </c>
      <c r="C30" s="10" t="s">
        <v>539</v>
      </c>
      <c r="D30" s="1">
        <v>653.85</v>
      </c>
      <c r="E30" s="30">
        <v>1000</v>
      </c>
      <c r="F30" s="1">
        <v>710</v>
      </c>
      <c r="G30" s="1">
        <v>5.5</v>
      </c>
      <c r="H30" s="1">
        <v>730</v>
      </c>
      <c r="I30" s="1">
        <v>3.5</v>
      </c>
      <c r="J30" s="1">
        <v>39000</v>
      </c>
      <c r="K30" s="1">
        <v>1000</v>
      </c>
      <c r="L30" s="1">
        <v>3.35</v>
      </c>
      <c r="M30" s="1">
        <v>4.4000000000000004</v>
      </c>
      <c r="N30" s="1">
        <v>1000</v>
      </c>
      <c r="O30" s="9"/>
      <c r="P30" s="7">
        <f t="shared" si="13"/>
        <v>-0.1</v>
      </c>
      <c r="Q30" s="7">
        <f t="shared" ca="1" si="14"/>
        <v>2.2675736961451248E-4</v>
      </c>
      <c r="R30" s="33">
        <f t="shared" si="1"/>
        <v>2000</v>
      </c>
      <c r="S30" s="33">
        <f t="shared" si="2"/>
        <v>-18000</v>
      </c>
      <c r="T30" s="33">
        <f t="shared" si="15"/>
        <v>2000</v>
      </c>
      <c r="U30" s="7">
        <f t="shared" si="4"/>
        <v>0.1111111111111111</v>
      </c>
      <c r="V30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sh.symbol='GLENMARK'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" s="33" t="e">
        <f t="shared" ca="1" si="16"/>
        <v>#VALUE!</v>
      </c>
      <c r="X30" s="7" t="e">
        <f t="shared" ca="1" si="17"/>
        <v>#VALUE!</v>
      </c>
      <c r="Y30" s="7" t="e">
        <f t="shared" ca="1" si="18"/>
        <v>#VALUE!</v>
      </c>
      <c r="Z30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sh.symbol='GLENMARK'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" s="33" t="e">
        <f t="shared" ca="1" si="19"/>
        <v>#VALUE!</v>
      </c>
      <c r="AB30" s="7" t="e">
        <f t="shared" ca="1" si="20"/>
        <v>#VALUE!</v>
      </c>
      <c r="AC30" s="7" t="e">
        <f t="shared" ca="1" si="21"/>
        <v>#VALUE!</v>
      </c>
      <c r="AD30" s="1"/>
      <c r="AE30" s="1"/>
    </row>
    <row r="31" spans="1:31" x14ac:dyDescent="0.25">
      <c r="A31" s="3"/>
      <c r="B31" s="25">
        <v>43496</v>
      </c>
      <c r="C31" s="10" t="s">
        <v>539</v>
      </c>
      <c r="D31" s="1">
        <v>653.85</v>
      </c>
      <c r="E31" s="30">
        <v>1000</v>
      </c>
      <c r="F31" s="1">
        <v>710</v>
      </c>
      <c r="G31" s="1">
        <v>5.5</v>
      </c>
      <c r="H31" s="1">
        <v>740</v>
      </c>
      <c r="I31" s="1">
        <v>2.15</v>
      </c>
      <c r="J31" s="1">
        <v>38000</v>
      </c>
      <c r="K31" s="1">
        <v>1000</v>
      </c>
      <c r="L31" s="1">
        <v>2.15</v>
      </c>
      <c r="M31" s="1">
        <v>3.3</v>
      </c>
      <c r="N31" s="1">
        <v>1000</v>
      </c>
      <c r="O31" s="9"/>
      <c r="P31" s="7">
        <f t="shared" si="13"/>
        <v>-0.11166666666666666</v>
      </c>
      <c r="Q31" s="7">
        <f t="shared" ca="1" si="14"/>
        <v>2.5321239606953893E-4</v>
      </c>
      <c r="R31" s="33">
        <f t="shared" si="1"/>
        <v>3350</v>
      </c>
      <c r="S31" s="33">
        <f t="shared" si="2"/>
        <v>-26650</v>
      </c>
      <c r="T31" s="33">
        <f t="shared" si="15"/>
        <v>3350</v>
      </c>
      <c r="U31" s="7">
        <f t="shared" si="4"/>
        <v>0.12570356472795496</v>
      </c>
      <c r="V31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sh.symbol='GLENMARK'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1" s="33" t="e">
        <f t="shared" ca="1" si="16"/>
        <v>#VALUE!</v>
      </c>
      <c r="X31" s="7" t="e">
        <f t="shared" ca="1" si="17"/>
        <v>#VALUE!</v>
      </c>
      <c r="Y31" s="7" t="e">
        <f t="shared" ca="1" si="18"/>
        <v>#VALUE!</v>
      </c>
      <c r="Z31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sh.symbol='GLENMARK'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1" s="33" t="e">
        <f t="shared" ca="1" si="19"/>
        <v>#VALUE!</v>
      </c>
      <c r="AB31" s="7" t="e">
        <f t="shared" ca="1" si="20"/>
        <v>#VALUE!</v>
      </c>
      <c r="AC31" s="7" t="e">
        <f t="shared" ca="1" si="21"/>
        <v>#VALUE!</v>
      </c>
      <c r="AD31" s="1"/>
      <c r="AE31" s="1"/>
    </row>
    <row r="32" spans="1:31" x14ac:dyDescent="0.25">
      <c r="A32" s="3"/>
      <c r="B32" s="25">
        <v>43496</v>
      </c>
      <c r="C32" s="10" t="s">
        <v>545</v>
      </c>
      <c r="D32" s="1">
        <v>16.899999999999999</v>
      </c>
      <c r="E32" s="30">
        <v>45000</v>
      </c>
      <c r="F32" s="1">
        <v>17</v>
      </c>
      <c r="G32" s="1">
        <v>0.3</v>
      </c>
      <c r="H32" s="1">
        <v>18</v>
      </c>
      <c r="I32" s="1">
        <v>0.15</v>
      </c>
      <c r="J32" s="1">
        <v>3780000</v>
      </c>
      <c r="K32" s="1">
        <v>2025000</v>
      </c>
      <c r="L32" s="1">
        <v>0.1</v>
      </c>
      <c r="M32" s="1">
        <v>0.15</v>
      </c>
      <c r="N32" s="1">
        <v>360000</v>
      </c>
      <c r="O32" s="9"/>
      <c r="P32" s="7">
        <f t="shared" si="13"/>
        <v>-0.15</v>
      </c>
      <c r="Q32" s="7">
        <f t="shared" ca="1" si="14"/>
        <v>3.4013605442176868E-4</v>
      </c>
      <c r="R32" s="33">
        <f t="shared" si="1"/>
        <v>6750</v>
      </c>
      <c r="S32" s="33">
        <f t="shared" si="2"/>
        <v>-38250</v>
      </c>
      <c r="T32" s="33">
        <f t="shared" si="15"/>
        <v>6750</v>
      </c>
      <c r="U32" s="7">
        <f t="shared" si="4"/>
        <v>0.17647058823529413</v>
      </c>
      <c r="V32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sh.symbol='GMRINFRA'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2" s="33" t="e">
        <f t="shared" ca="1" si="16"/>
        <v>#VALUE!</v>
      </c>
      <c r="X32" s="7" t="e">
        <f t="shared" ca="1" si="17"/>
        <v>#VALUE!</v>
      </c>
      <c r="Y32" s="7" t="e">
        <f t="shared" ca="1" si="18"/>
        <v>#VALUE!</v>
      </c>
      <c r="Z32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sh.symbol='GMRINFRA'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2" s="33" t="e">
        <f t="shared" ca="1" si="19"/>
        <v>#VALUE!</v>
      </c>
      <c r="AB32" s="7" t="e">
        <f t="shared" ca="1" si="20"/>
        <v>#VALUE!</v>
      </c>
      <c r="AC32" s="7" t="e">
        <f t="shared" ca="1" si="21"/>
        <v>#VALUE!</v>
      </c>
      <c r="AD32" s="1"/>
      <c r="AE32" s="1"/>
    </row>
    <row r="33" spans="1:31" x14ac:dyDescent="0.25">
      <c r="A33" s="3"/>
      <c r="B33" s="25">
        <v>43496</v>
      </c>
      <c r="C33" s="10" t="s">
        <v>545</v>
      </c>
      <c r="D33" s="1">
        <v>16.899999999999999</v>
      </c>
      <c r="E33" s="30">
        <v>45000</v>
      </c>
      <c r="F33" s="1">
        <v>17</v>
      </c>
      <c r="G33" s="1">
        <v>0.3</v>
      </c>
      <c r="H33" s="1">
        <v>19</v>
      </c>
      <c r="I33" s="1">
        <v>0.05</v>
      </c>
      <c r="J33" s="1">
        <v>2385000</v>
      </c>
      <c r="K33" s="1">
        <v>135000</v>
      </c>
      <c r="L33" s="1">
        <v>0.05</v>
      </c>
      <c r="M33" s="1">
        <v>0.1</v>
      </c>
      <c r="N33" s="1">
        <v>3015000</v>
      </c>
      <c r="O33" s="9"/>
      <c r="P33" s="7">
        <f t="shared" si="13"/>
        <v>-0.125</v>
      </c>
      <c r="Q33" s="7">
        <f t="shared" ca="1" si="14"/>
        <v>2.834467120181406E-4</v>
      </c>
      <c r="R33" s="33">
        <f t="shared" si="1"/>
        <v>11250</v>
      </c>
      <c r="S33" s="33">
        <f t="shared" si="2"/>
        <v>-78750</v>
      </c>
      <c r="T33" s="33">
        <f t="shared" si="15"/>
        <v>11250</v>
      </c>
      <c r="U33" s="7">
        <f t="shared" si="4"/>
        <v>0.14285714285714285</v>
      </c>
      <c r="V33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sh.symbol='GMRINFRA'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3" s="33" t="e">
        <f t="shared" ca="1" si="16"/>
        <v>#VALUE!</v>
      </c>
      <c r="X33" s="7" t="e">
        <f t="shared" ca="1" si="17"/>
        <v>#VALUE!</v>
      </c>
      <c r="Y33" s="7" t="e">
        <f t="shared" ca="1" si="18"/>
        <v>#VALUE!</v>
      </c>
      <c r="Z33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sh.symbol='GMRINFRA'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3" s="33" t="e">
        <f t="shared" ca="1" si="19"/>
        <v>#VALUE!</v>
      </c>
      <c r="AB33" s="7" t="e">
        <f t="shared" ca="1" si="20"/>
        <v>#VALUE!</v>
      </c>
      <c r="AC33" s="7" t="e">
        <f t="shared" ca="1" si="21"/>
        <v>#VALUE!</v>
      </c>
      <c r="AD33" s="1"/>
      <c r="AE33" s="1"/>
    </row>
    <row r="34" spans="1:31" x14ac:dyDescent="0.25">
      <c r="A34" s="3"/>
      <c r="B34" s="25">
        <v>43496</v>
      </c>
      <c r="C34" s="10" t="s">
        <v>606</v>
      </c>
      <c r="D34" s="1">
        <v>683</v>
      </c>
      <c r="E34" s="30">
        <v>1000</v>
      </c>
      <c r="F34" s="1">
        <v>750</v>
      </c>
      <c r="G34" s="1">
        <v>5</v>
      </c>
      <c r="H34" s="1">
        <v>760</v>
      </c>
      <c r="I34" s="1">
        <v>3.4</v>
      </c>
      <c r="J34" s="1">
        <v>27000</v>
      </c>
      <c r="K34" s="1">
        <v>1000</v>
      </c>
      <c r="L34" s="1">
        <v>2.8</v>
      </c>
      <c r="M34" s="1">
        <v>3.9</v>
      </c>
      <c r="N34" s="1">
        <v>1000</v>
      </c>
      <c r="O34" s="9"/>
      <c r="P34" s="7">
        <f t="shared" si="13"/>
        <v>-0.16</v>
      </c>
      <c r="Q34" s="7">
        <f t="shared" ca="1" si="14"/>
        <v>3.6281179138321996E-4</v>
      </c>
      <c r="R34" s="33">
        <f t="shared" si="1"/>
        <v>1600</v>
      </c>
      <c r="S34" s="33">
        <f t="shared" si="2"/>
        <v>-8400</v>
      </c>
      <c r="T34" s="33">
        <f t="shared" si="15"/>
        <v>1600</v>
      </c>
      <c r="U34" s="7">
        <f t="shared" si="4"/>
        <v>0.19047619047619047</v>
      </c>
      <c r="V34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sh.symbol='HAVELLS'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4" s="33" t="e">
        <f t="shared" ca="1" si="16"/>
        <v>#VALUE!</v>
      </c>
      <c r="X34" s="7" t="e">
        <f t="shared" ca="1" si="17"/>
        <v>#VALUE!</v>
      </c>
      <c r="Y34" s="7" t="e">
        <f t="shared" ca="1" si="18"/>
        <v>#VALUE!</v>
      </c>
      <c r="Z34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sh.symbol='HAVELLS'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4" s="33" t="e">
        <f t="shared" ca="1" si="19"/>
        <v>#VALUE!</v>
      </c>
      <c r="AB34" s="7" t="e">
        <f t="shared" ca="1" si="20"/>
        <v>#VALUE!</v>
      </c>
      <c r="AC34" s="7" t="e">
        <f t="shared" ca="1" si="21"/>
        <v>#VALUE!</v>
      </c>
      <c r="AD34" s="1"/>
      <c r="AE34" s="1"/>
    </row>
    <row r="35" spans="1:31" x14ac:dyDescent="0.25">
      <c r="A35" s="3"/>
      <c r="B35" s="25">
        <v>43496</v>
      </c>
      <c r="C35" s="10" t="s">
        <v>606</v>
      </c>
      <c r="D35" s="1">
        <v>683</v>
      </c>
      <c r="E35" s="30">
        <v>1000</v>
      </c>
      <c r="F35" s="1">
        <v>750</v>
      </c>
      <c r="G35" s="1">
        <v>5</v>
      </c>
      <c r="H35" s="1">
        <v>770</v>
      </c>
      <c r="I35" s="1">
        <v>3</v>
      </c>
      <c r="J35" s="1">
        <v>11000</v>
      </c>
      <c r="K35" s="1">
        <v>1000</v>
      </c>
      <c r="L35" s="1">
        <v>1.9</v>
      </c>
      <c r="M35" s="1">
        <v>3.75</v>
      </c>
      <c r="N35" s="1">
        <v>1000</v>
      </c>
      <c r="O35" s="9"/>
      <c r="P35" s="7">
        <f t="shared" si="13"/>
        <v>-0.1</v>
      </c>
      <c r="Q35" s="7">
        <f t="shared" ca="1" si="14"/>
        <v>2.2675736961451248E-4</v>
      </c>
      <c r="R35" s="33">
        <f t="shared" si="1"/>
        <v>2000</v>
      </c>
      <c r="S35" s="33">
        <f t="shared" si="2"/>
        <v>-18000</v>
      </c>
      <c r="T35" s="33">
        <f t="shared" si="15"/>
        <v>2000</v>
      </c>
      <c r="U35" s="7">
        <f t="shared" si="4"/>
        <v>0.1111111111111111</v>
      </c>
      <c r="V35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sh.symbol='HAVELLS'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5" s="33" t="e">
        <f t="shared" ca="1" si="16"/>
        <v>#VALUE!</v>
      </c>
      <c r="X35" s="7" t="e">
        <f t="shared" ca="1" si="17"/>
        <v>#VALUE!</v>
      </c>
      <c r="Y35" s="7" t="e">
        <f t="shared" ca="1" si="18"/>
        <v>#VALUE!</v>
      </c>
      <c r="Z35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sh.symbol='HAVELLS'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5" s="33" t="e">
        <f t="shared" ca="1" si="19"/>
        <v>#VALUE!</v>
      </c>
      <c r="AB35" s="7" t="e">
        <f t="shared" ca="1" si="20"/>
        <v>#VALUE!</v>
      </c>
      <c r="AC35" s="7" t="e">
        <f t="shared" ca="1" si="21"/>
        <v>#VALUE!</v>
      </c>
      <c r="AD35" s="1"/>
      <c r="AE35" s="1"/>
    </row>
    <row r="36" spans="1:31" x14ac:dyDescent="0.25">
      <c r="A36" s="3"/>
      <c r="B36" s="25">
        <v>43496</v>
      </c>
      <c r="C36" s="10" t="s">
        <v>606</v>
      </c>
      <c r="D36" s="1">
        <v>683</v>
      </c>
      <c r="E36" s="30">
        <v>1000</v>
      </c>
      <c r="F36" s="1">
        <v>750</v>
      </c>
      <c r="G36" s="1">
        <v>5</v>
      </c>
      <c r="H36" s="1">
        <v>780</v>
      </c>
      <c r="I36" s="1">
        <v>1.4</v>
      </c>
      <c r="J36" s="1">
        <v>26000</v>
      </c>
      <c r="K36" s="1">
        <v>2000</v>
      </c>
      <c r="L36" s="1">
        <v>0.6</v>
      </c>
      <c r="M36" s="1">
        <v>1.7</v>
      </c>
      <c r="N36" s="1">
        <v>1000</v>
      </c>
      <c r="O36" s="9"/>
      <c r="P36" s="7">
        <f t="shared" si="13"/>
        <v>-0.12000000000000001</v>
      </c>
      <c r="Q36" s="7">
        <f t="shared" ca="1" si="14"/>
        <v>2.7210884353741501E-4</v>
      </c>
      <c r="R36" s="33">
        <f t="shared" si="1"/>
        <v>3600</v>
      </c>
      <c r="S36" s="33">
        <f t="shared" si="2"/>
        <v>-26400</v>
      </c>
      <c r="T36" s="33">
        <f t="shared" si="15"/>
        <v>3600</v>
      </c>
      <c r="U36" s="7">
        <f t="shared" si="4"/>
        <v>0.13636363636363635</v>
      </c>
      <c r="V36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sh.symbol='HAVELLS'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6" s="33" t="e">
        <f t="shared" ca="1" si="16"/>
        <v>#VALUE!</v>
      </c>
      <c r="X36" s="7" t="e">
        <f t="shared" ca="1" si="17"/>
        <v>#VALUE!</v>
      </c>
      <c r="Y36" s="7" t="e">
        <f t="shared" ca="1" si="18"/>
        <v>#VALUE!</v>
      </c>
      <c r="Z36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sh.symbol='HAVELLS'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6" s="33" t="e">
        <f t="shared" ca="1" si="19"/>
        <v>#VALUE!</v>
      </c>
      <c r="AB36" s="7" t="e">
        <f t="shared" ca="1" si="20"/>
        <v>#VALUE!</v>
      </c>
      <c r="AC36" s="7" t="e">
        <f t="shared" ca="1" si="21"/>
        <v>#VALUE!</v>
      </c>
      <c r="AD36" s="1"/>
      <c r="AE36" s="1"/>
    </row>
    <row r="37" spans="1:31" x14ac:dyDescent="0.25">
      <c r="A37" s="3"/>
      <c r="B37" s="25">
        <v>43496</v>
      </c>
      <c r="C37" s="10" t="s">
        <v>612</v>
      </c>
      <c r="D37" s="1">
        <v>936.25</v>
      </c>
      <c r="E37" s="30">
        <v>700</v>
      </c>
      <c r="F37" s="1">
        <v>1030</v>
      </c>
      <c r="G37" s="1">
        <v>7.5</v>
      </c>
      <c r="H37" s="1">
        <v>1040</v>
      </c>
      <c r="I37" s="1">
        <v>4.5</v>
      </c>
      <c r="J37" s="1">
        <v>2800</v>
      </c>
      <c r="K37" s="1">
        <v>1400</v>
      </c>
      <c r="L37" s="1">
        <v>2.5</v>
      </c>
      <c r="M37" s="1">
        <v>5</v>
      </c>
      <c r="N37" s="1">
        <v>1400</v>
      </c>
      <c r="O37" s="9"/>
      <c r="P37" s="7">
        <f t="shared" si="13"/>
        <v>-0.3</v>
      </c>
      <c r="Q37" s="7">
        <f t="shared" ca="1" si="14"/>
        <v>6.8027210884353737E-4</v>
      </c>
      <c r="R37" s="33">
        <f t="shared" si="1"/>
        <v>2100</v>
      </c>
      <c r="S37" s="33">
        <f t="shared" si="2"/>
        <v>-4900</v>
      </c>
      <c r="T37" s="33">
        <f t="shared" si="15"/>
        <v>2100</v>
      </c>
      <c r="U37" s="7">
        <f t="shared" si="4"/>
        <v>0.42857142857142855</v>
      </c>
      <c r="V37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sh.symbol='HCLTECH'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7" s="33" t="e">
        <f t="shared" ca="1" si="16"/>
        <v>#VALUE!</v>
      </c>
      <c r="X37" s="7" t="e">
        <f t="shared" ca="1" si="17"/>
        <v>#VALUE!</v>
      </c>
      <c r="Y37" s="7" t="e">
        <f t="shared" ca="1" si="18"/>
        <v>#VALUE!</v>
      </c>
      <c r="Z37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sh.symbol='HCLTECH'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7" s="33" t="e">
        <f t="shared" ca="1" si="19"/>
        <v>#VALUE!</v>
      </c>
      <c r="AB37" s="7" t="e">
        <f t="shared" ca="1" si="20"/>
        <v>#VALUE!</v>
      </c>
      <c r="AC37" s="7" t="e">
        <f t="shared" ca="1" si="21"/>
        <v>#VALUE!</v>
      </c>
      <c r="AD37" s="1"/>
      <c r="AE37" s="1"/>
    </row>
    <row r="38" spans="1:31" x14ac:dyDescent="0.25">
      <c r="A38" s="3"/>
      <c r="B38" s="25">
        <v>43496</v>
      </c>
      <c r="C38" s="10" t="s">
        <v>612</v>
      </c>
      <c r="D38" s="1">
        <v>936.25</v>
      </c>
      <c r="E38" s="30">
        <v>700</v>
      </c>
      <c r="F38" s="1">
        <v>1030</v>
      </c>
      <c r="G38" s="1">
        <v>7.5</v>
      </c>
      <c r="H38" s="1">
        <v>1050</v>
      </c>
      <c r="I38" s="1">
        <v>4.5</v>
      </c>
      <c r="J38" s="1">
        <v>14000</v>
      </c>
      <c r="K38" s="1">
        <v>2800</v>
      </c>
      <c r="L38" s="1">
        <v>2</v>
      </c>
      <c r="M38" s="1">
        <v>4.3499999999999996</v>
      </c>
      <c r="N38" s="1">
        <v>700</v>
      </c>
      <c r="O38" s="9"/>
      <c r="P38" s="7">
        <f t="shared" si="13"/>
        <v>-0.15</v>
      </c>
      <c r="Q38" s="7">
        <f t="shared" ca="1" si="14"/>
        <v>3.4013605442176868E-4</v>
      </c>
      <c r="R38" s="33">
        <f t="shared" si="1"/>
        <v>2100</v>
      </c>
      <c r="S38" s="33">
        <f t="shared" si="2"/>
        <v>-11900</v>
      </c>
      <c r="T38" s="33">
        <f t="shared" si="15"/>
        <v>2100</v>
      </c>
      <c r="U38" s="7">
        <f t="shared" si="4"/>
        <v>0.17647058823529413</v>
      </c>
      <c r="V38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sh.symbol='HCLTECH'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8" s="33" t="e">
        <f t="shared" ca="1" si="16"/>
        <v>#VALUE!</v>
      </c>
      <c r="X38" s="7" t="e">
        <f t="shared" ca="1" si="17"/>
        <v>#VALUE!</v>
      </c>
      <c r="Y38" s="7" t="e">
        <f t="shared" ca="1" si="18"/>
        <v>#VALUE!</v>
      </c>
      <c r="Z38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sh.symbol='HCLTECH'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8" s="33" t="e">
        <f t="shared" ca="1" si="19"/>
        <v>#VALUE!</v>
      </c>
      <c r="AB38" s="7" t="e">
        <f t="shared" ca="1" si="20"/>
        <v>#VALUE!</v>
      </c>
      <c r="AC38" s="7" t="e">
        <f t="shared" ca="1" si="21"/>
        <v>#VALUE!</v>
      </c>
      <c r="AD38" s="1"/>
      <c r="AE38" s="1"/>
    </row>
    <row r="39" spans="1:31" x14ac:dyDescent="0.25">
      <c r="A39" s="3"/>
      <c r="B39" s="25">
        <v>43496</v>
      </c>
      <c r="C39" s="10" t="s">
        <v>612</v>
      </c>
      <c r="D39" s="1">
        <v>936.25</v>
      </c>
      <c r="E39" s="30">
        <v>700</v>
      </c>
      <c r="F39" s="1">
        <v>1030</v>
      </c>
      <c r="G39" s="1">
        <v>7.5</v>
      </c>
      <c r="H39" s="1">
        <v>1100</v>
      </c>
      <c r="I39" s="1">
        <v>0.05</v>
      </c>
      <c r="J39" s="1">
        <v>56000</v>
      </c>
      <c r="K39" s="1">
        <v>1400</v>
      </c>
      <c r="L39" s="1">
        <v>0.35</v>
      </c>
      <c r="M39" s="1">
        <v>1.85</v>
      </c>
      <c r="N39" s="1">
        <v>700</v>
      </c>
      <c r="O39" s="9"/>
      <c r="P39" s="7">
        <f t="shared" si="13"/>
        <v>-0.10642857142857143</v>
      </c>
      <c r="Q39" s="7">
        <f t="shared" ca="1" si="14"/>
        <v>2.4133462908973113E-4</v>
      </c>
      <c r="R39" s="33">
        <f t="shared" si="1"/>
        <v>5215</v>
      </c>
      <c r="S39" s="33">
        <f t="shared" si="2"/>
        <v>-43785</v>
      </c>
      <c r="T39" s="33">
        <f t="shared" si="15"/>
        <v>5215</v>
      </c>
      <c r="U39" s="7">
        <f t="shared" si="4"/>
        <v>0.11910471622701839</v>
      </c>
      <c r="V39" s="7" t="str">
        <f t="shared" ca="1" si="5"/>
        <v xml:space="preserve"> [SQL: "select min(period_log_returns) from (select sh.date as date,                sum(sh.daily_log_returns) over (partition by sh.symbol order by sh.date rows between -441.0 preceding and current row ) as period_log_returns                 from daily_returns sh where sh.symbol='HCLTECH' and sh.date &gt; now() - interval '12 months'                order by sh.symbol, sh.date desc) as dat"]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384,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9" s="33" t="e">
        <f t="shared" ca="1" si="16"/>
        <v>#VALUE!</v>
      </c>
      <c r="X39" s="7" t="e">
        <f t="shared" ca="1" si="17"/>
        <v>#VALUE!</v>
      </c>
      <c r="Y39" s="7" t="e">
        <f t="shared" ca="1" si="18"/>
        <v>#VALUE!</v>
      </c>
      <c r="Z39" s="7" t="str">
        <f t="shared" ca="1" si="9"/>
        <v xml:space="preserve"> [SQL: "select avg(period_log_returns) from (select sh.date as date,                sum(sh.daily_log_returns) over (partition by sh.symbol order by sh.date rows between -441.0 preceding and current row ) as period_log_returns                 from daily_returns sh where sh.symbol='HCLTECH' and sh.date &gt; now() - interval '12 months'                order by sh.symbol, sh.date desc) as dat where period_log_returns &lt; 0"]
sqlalchemy.exc.DataError: (psycopg2.DataError) frame starting offset must not be negative
    cursor.execute(statement, parameters)
  File "C:\Users\Santosh Bag\Anaconda3\lib\site-packages\sqlalchemy\engine\default.py", line 470, in do_execute
    context)
  File "C:\Users\Santosh Bag\Anaconda3\lib\site-packages\sqlalchemy\engine\base.py", line 1182, in _execute_context
    raise value.with_traceback(tb)
  File "C:\Users\Santosh Bag\Anaconda3\lib\site-packages\sqlalchemy\util\compat.py", line 186, in reraise
    reraise(type(exception), exception, tb=exc_tb, cause=cause)
  File "C:\Users\Santosh Bag\Anaconda3\lib\site-packages\sqlalchemy\util\compat.py", line 203, in raise_from_cause
    exc_info
  File "C:\Users\Santosh Bag\Anaconda3\lib\site-packages\sqlalchemy\engine\base.py", line 1393, in _handle_dbapi_exception
    context)
  File "C:\Users\Santosh Bag\Anaconda3\lib\site-packages\sqlalchemy\engine\base.py", line 1189, in _execute_context
    statement, parameters
  File "C:\Users\Santosh Bag\Anaconda3\lib\site-packages\sqlalchemy\engine\base.py", line 1097, in _execute_text
    return self._execute_text(object, multiparams, params)
  File "C:\Users\Santosh Bag\Anaconda3\lib\site-packages\sqlalchemy\engine\base.py", line 939, in execute
    return connection.execute(statement, *multiparams, **params)
  File "C:\Users\Santosh Bag\Anaconda3\lib\site-packages\sqlalchemy\engine\base.py", line 2055, in execute
    drawdown = engine.execute(sql).fetchall()
  File "F:\Mrig Analytics\Development\mrigAnalytics\mrigutilities.py", line 399,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9" s="33" t="e">
        <f t="shared" ca="1" si="19"/>
        <v>#VALUE!</v>
      </c>
      <c r="AB39" s="7" t="e">
        <f t="shared" ca="1" si="20"/>
        <v>#VALUE!</v>
      </c>
      <c r="AC39" s="7" t="e">
        <f t="shared" ca="1" si="21"/>
        <v>#VALUE!</v>
      </c>
      <c r="AD39" s="1"/>
      <c r="AE39" s="1"/>
    </row>
    <row r="40" spans="1:31" x14ac:dyDescent="0.25">
      <c r="A40" s="3"/>
      <c r="B40" s="25"/>
      <c r="C40" s="10"/>
      <c r="D40" s="1"/>
      <c r="E40" s="30"/>
      <c r="F40" s="1"/>
      <c r="G40" s="1"/>
      <c r="H40" s="1"/>
      <c r="I40" s="1"/>
      <c r="J40" s="1"/>
      <c r="K40" s="1"/>
      <c r="L40" s="1"/>
      <c r="M40" s="1"/>
      <c r="N40" s="1"/>
      <c r="O40" s="9"/>
      <c r="P40" s="7"/>
      <c r="Q40" s="7"/>
      <c r="R40" s="33"/>
      <c r="S40" s="33"/>
      <c r="T40" s="33"/>
      <c r="U40" s="7"/>
      <c r="V40" s="7"/>
      <c r="W40" s="33"/>
      <c r="X40" s="7"/>
      <c r="Y40" s="7"/>
      <c r="Z40" s="7"/>
      <c r="AA40" s="33"/>
      <c r="AB40" s="7"/>
      <c r="AC40" s="7"/>
      <c r="AD40" s="1"/>
      <c r="AE40" s="1"/>
    </row>
    <row r="41" spans="1:31" x14ac:dyDescent="0.25">
      <c r="A41" s="3"/>
      <c r="B41" s="25"/>
      <c r="C41" s="10"/>
      <c r="D41" s="1"/>
      <c r="E41" s="30"/>
      <c r="F41" s="1"/>
      <c r="G41" s="1"/>
      <c r="H41" s="1"/>
      <c r="I41" s="1"/>
      <c r="J41" s="1"/>
      <c r="K41" s="1"/>
      <c r="L41" s="1"/>
      <c r="M41" s="1"/>
      <c r="N41" s="1"/>
      <c r="O41" s="9"/>
      <c r="P41" s="7"/>
      <c r="Q41" s="7"/>
      <c r="R41" s="33"/>
      <c r="S41" s="33"/>
      <c r="T41" s="33"/>
      <c r="U41" s="7"/>
      <c r="V41" s="7"/>
      <c r="W41" s="33"/>
      <c r="X41" s="7"/>
      <c r="Y41" s="7"/>
      <c r="Z41" s="7"/>
      <c r="AA41" s="33"/>
      <c r="AB41" s="7"/>
      <c r="AC41" s="7"/>
      <c r="AD41" s="1"/>
      <c r="AE41" s="1"/>
    </row>
    <row r="42" spans="1:31" x14ac:dyDescent="0.25">
      <c r="A42" s="3"/>
      <c r="B42" s="25"/>
      <c r="C42" s="10"/>
      <c r="D42" s="1"/>
      <c r="E42" s="30"/>
      <c r="F42" s="1"/>
      <c r="G42" s="1"/>
      <c r="H42" s="1"/>
      <c r="I42" s="1"/>
      <c r="J42" s="1"/>
      <c r="K42" s="1"/>
      <c r="L42" s="1"/>
      <c r="M42" s="1"/>
      <c r="N42" s="1"/>
      <c r="O42" s="9"/>
      <c r="P42" s="7"/>
      <c r="Q42" s="7"/>
      <c r="R42" s="33"/>
      <c r="S42" s="33"/>
      <c r="T42" s="33"/>
      <c r="U42" s="7"/>
      <c r="V42" s="7"/>
      <c r="W42" s="33"/>
      <c r="X42" s="7"/>
      <c r="Y42" s="7"/>
      <c r="Z42" s="7"/>
      <c r="AA42" s="33"/>
      <c r="AB42" s="7"/>
      <c r="AC42" s="7"/>
      <c r="AD42" s="1"/>
      <c r="AE42" s="1"/>
    </row>
    <row r="43" spans="1:31" x14ac:dyDescent="0.25">
      <c r="A43" s="3"/>
      <c r="B43" s="25"/>
      <c r="C43" s="10"/>
      <c r="D43" s="1"/>
      <c r="E43" s="30"/>
      <c r="F43" s="1"/>
      <c r="G43" s="1"/>
      <c r="H43" s="1"/>
      <c r="I43" s="1"/>
      <c r="J43" s="1"/>
      <c r="K43" s="1"/>
      <c r="L43" s="1"/>
      <c r="M43" s="1"/>
      <c r="N43" s="1"/>
      <c r="O43" s="9"/>
      <c r="P43" s="7"/>
      <c r="Q43" s="7"/>
      <c r="R43" s="33"/>
      <c r="S43" s="33"/>
      <c r="T43" s="33"/>
      <c r="U43" s="7"/>
      <c r="V43" s="7"/>
      <c r="W43" s="33"/>
      <c r="X43" s="7"/>
      <c r="Y43" s="7"/>
      <c r="Z43" s="7"/>
      <c r="AA43" s="33"/>
      <c r="AB43" s="7"/>
      <c r="AC43" s="7"/>
      <c r="AD43" s="1"/>
      <c r="AE43" s="1"/>
    </row>
    <row r="44" spans="1:31" x14ac:dyDescent="0.25">
      <c r="A44" s="3"/>
      <c r="B44" s="25"/>
      <c r="C44" s="10"/>
      <c r="D44" s="1"/>
      <c r="E44" s="30"/>
      <c r="F44" s="1"/>
      <c r="G44" s="1"/>
      <c r="H44" s="1"/>
      <c r="I44" s="1"/>
      <c r="J44" s="1"/>
      <c r="K44" s="1"/>
      <c r="L44" s="1"/>
      <c r="M44" s="1"/>
      <c r="N44" s="1"/>
      <c r="O44" s="9"/>
      <c r="P44" s="7"/>
      <c r="Q44" s="7"/>
      <c r="R44" s="33"/>
      <c r="S44" s="33"/>
      <c r="T44" s="33"/>
      <c r="U44" s="7"/>
      <c r="V44" s="7"/>
      <c r="W44" s="33"/>
      <c r="X44" s="7"/>
      <c r="Y44" s="7"/>
      <c r="Z44" s="7"/>
      <c r="AA44" s="33"/>
      <c r="AB44" s="7"/>
      <c r="AC44" s="7"/>
      <c r="AD44" s="1"/>
      <c r="AE44" s="1"/>
    </row>
    <row r="45" spans="1:31" x14ac:dyDescent="0.25">
      <c r="A45" s="3"/>
      <c r="B45" s="25"/>
      <c r="C45" s="10"/>
      <c r="D45" s="1"/>
      <c r="E45" s="30"/>
      <c r="F45" s="1"/>
      <c r="G45" s="1"/>
      <c r="H45" s="1"/>
      <c r="I45" s="1"/>
      <c r="J45" s="1"/>
      <c r="K45" s="1"/>
      <c r="L45" s="1"/>
      <c r="M45" s="1"/>
      <c r="N45" s="1"/>
      <c r="O45" s="9"/>
      <c r="P45" s="7"/>
      <c r="Q45" s="7"/>
      <c r="R45" s="33"/>
      <c r="S45" s="33"/>
      <c r="T45" s="33"/>
      <c r="U45" s="7"/>
      <c r="V45" s="7"/>
      <c r="W45" s="33"/>
      <c r="X45" s="7"/>
      <c r="Y45" s="7"/>
      <c r="Z45" s="7"/>
      <c r="AA45" s="33"/>
      <c r="AB45" s="7"/>
      <c r="AC45" s="7"/>
      <c r="AD45" s="1"/>
      <c r="AE45" s="1"/>
    </row>
    <row r="46" spans="1:31" x14ac:dyDescent="0.25">
      <c r="A46" s="3"/>
      <c r="B46" s="25"/>
      <c r="C46" s="10"/>
      <c r="D46" s="1"/>
      <c r="E46" s="30"/>
      <c r="F46" s="1"/>
      <c r="G46" s="1"/>
      <c r="H46" s="1"/>
      <c r="I46" s="1"/>
      <c r="J46" s="1"/>
      <c r="K46" s="1"/>
      <c r="L46" s="1"/>
      <c r="M46" s="1"/>
      <c r="N46" s="1"/>
      <c r="O46" s="9"/>
      <c r="P46" s="7"/>
      <c r="Q46" s="7"/>
      <c r="R46" s="33"/>
      <c r="S46" s="33"/>
      <c r="T46" s="33"/>
      <c r="U46" s="7"/>
      <c r="V46" s="7"/>
      <c r="W46" s="33"/>
      <c r="X46" s="7"/>
      <c r="Y46" s="7"/>
      <c r="Z46" s="7"/>
      <c r="AA46" s="33"/>
      <c r="AB46" s="7"/>
      <c r="AC46" s="7"/>
      <c r="AD46" s="1"/>
      <c r="AE46" s="1"/>
    </row>
    <row r="47" spans="1:31" x14ac:dyDescent="0.25">
      <c r="A47" s="3"/>
      <c r="B47" s="25"/>
      <c r="C47" s="10"/>
      <c r="D47" s="1"/>
      <c r="E47" s="30"/>
      <c r="F47" s="1"/>
      <c r="G47" s="1"/>
      <c r="H47" s="1"/>
      <c r="I47" s="1"/>
      <c r="J47" s="1"/>
      <c r="K47" s="1"/>
      <c r="L47" s="1"/>
      <c r="M47" s="1"/>
      <c r="N47" s="1"/>
      <c r="O47" s="9"/>
      <c r="P47" s="7"/>
      <c r="Q47" s="7"/>
      <c r="R47" s="33"/>
      <c r="S47" s="33"/>
      <c r="T47" s="33"/>
      <c r="U47" s="7"/>
      <c r="V47" s="7"/>
      <c r="W47" s="33"/>
      <c r="X47" s="7"/>
      <c r="Y47" s="7"/>
      <c r="Z47" s="7"/>
      <c r="AA47" s="33"/>
      <c r="AB47" s="7"/>
      <c r="AC47" s="7"/>
      <c r="AD47" s="1"/>
      <c r="AE47" s="1"/>
    </row>
    <row r="48" spans="1:31" x14ac:dyDescent="0.25">
      <c r="A48" s="3"/>
      <c r="B48" s="25"/>
      <c r="C48" s="10"/>
      <c r="D48" s="1"/>
      <c r="E48" s="30"/>
      <c r="F48" s="1"/>
      <c r="G48" s="1"/>
      <c r="H48" s="1"/>
      <c r="I48" s="1"/>
      <c r="J48" s="1"/>
      <c r="K48" s="1"/>
      <c r="L48" s="1"/>
      <c r="M48" s="1"/>
      <c r="N48" s="1"/>
      <c r="O48" s="9"/>
      <c r="P48" s="7"/>
      <c r="Q48" s="7"/>
      <c r="R48" s="33"/>
      <c r="S48" s="33"/>
      <c r="T48" s="33"/>
      <c r="U48" s="7"/>
      <c r="V48" s="7"/>
      <c r="W48" s="33"/>
      <c r="X48" s="7"/>
      <c r="Y48" s="7"/>
      <c r="Z48" s="7"/>
      <c r="AA48" s="33"/>
      <c r="AB48" s="7"/>
      <c r="AC48" s="7"/>
      <c r="AD48" s="1"/>
      <c r="AE48" s="1"/>
    </row>
    <row r="49" spans="1:31" x14ac:dyDescent="0.25">
      <c r="A49" s="3"/>
      <c r="B49" s="25"/>
      <c r="C49" s="10"/>
      <c r="D49" s="1"/>
      <c r="E49" s="30"/>
      <c r="F49" s="1"/>
      <c r="G49" s="1"/>
      <c r="H49" s="1"/>
      <c r="I49" s="1"/>
      <c r="J49" s="1"/>
      <c r="K49" s="1"/>
      <c r="L49" s="1"/>
      <c r="M49" s="1"/>
      <c r="N49" s="1"/>
      <c r="O49" s="9"/>
      <c r="P49" s="7"/>
      <c r="Q49" s="7"/>
      <c r="R49" s="33"/>
      <c r="S49" s="33"/>
      <c r="T49" s="33"/>
      <c r="U49" s="7"/>
      <c r="V49" s="7"/>
      <c r="W49" s="33"/>
      <c r="X49" s="7"/>
      <c r="Y49" s="7"/>
      <c r="Z49" s="7"/>
      <c r="AA49" s="33"/>
      <c r="AB49" s="7"/>
      <c r="AC49" s="7"/>
      <c r="AD49" s="1"/>
      <c r="AE49" s="1"/>
    </row>
    <row r="50" spans="1:31" x14ac:dyDescent="0.25">
      <c r="A50" s="3"/>
      <c r="B50" s="25"/>
      <c r="C50" s="10"/>
      <c r="D50" s="1"/>
      <c r="E50" s="30"/>
      <c r="F50" s="1"/>
      <c r="G50" s="1"/>
      <c r="H50" s="1"/>
      <c r="I50" s="1"/>
      <c r="J50" s="1"/>
      <c r="K50" s="1"/>
      <c r="L50" s="1"/>
      <c r="M50" s="1"/>
      <c r="N50" s="1"/>
      <c r="O50" s="9"/>
      <c r="P50" s="7"/>
      <c r="Q50" s="7"/>
      <c r="R50" s="33"/>
      <c r="S50" s="33"/>
      <c r="T50" s="33"/>
      <c r="U50" s="7"/>
      <c r="V50" s="7"/>
      <c r="W50" s="33"/>
      <c r="X50" s="7"/>
      <c r="Y50" s="7"/>
      <c r="Z50" s="7"/>
      <c r="AA50" s="33"/>
      <c r="AB50" s="7"/>
      <c r="AC50" s="7"/>
      <c r="AD50" s="1"/>
      <c r="AE50" s="1"/>
    </row>
    <row r="51" spans="1:31" x14ac:dyDescent="0.25">
      <c r="A51" s="3"/>
      <c r="B51" s="25"/>
      <c r="C51" s="10"/>
      <c r="D51" s="1"/>
      <c r="E51" s="30"/>
      <c r="F51" s="1"/>
      <c r="G51" s="1"/>
      <c r="H51" s="1"/>
      <c r="I51" s="1"/>
      <c r="J51" s="1"/>
      <c r="K51" s="1"/>
      <c r="L51" s="1"/>
      <c r="M51" s="1"/>
      <c r="N51" s="1"/>
      <c r="O51" s="9"/>
      <c r="P51" s="7"/>
      <c r="Q51" s="7"/>
      <c r="R51" s="33"/>
      <c r="S51" s="33"/>
      <c r="T51" s="33"/>
      <c r="U51" s="7"/>
      <c r="V51" s="7"/>
      <c r="W51" s="33"/>
      <c r="X51" s="7"/>
      <c r="Y51" s="7"/>
      <c r="Z51" s="7"/>
      <c r="AA51" s="33"/>
      <c r="AB51" s="7"/>
      <c r="AC51" s="7"/>
      <c r="AD51" s="1"/>
      <c r="AE51" s="1"/>
    </row>
    <row r="52" spans="1:31" x14ac:dyDescent="0.25">
      <c r="A52" s="3"/>
      <c r="B52" s="25"/>
      <c r="C52" s="10"/>
      <c r="D52" s="1"/>
      <c r="E52" s="30"/>
      <c r="F52" s="1"/>
      <c r="G52" s="1"/>
      <c r="H52" s="1"/>
      <c r="I52" s="1"/>
      <c r="J52" s="1"/>
      <c r="K52" s="1"/>
      <c r="L52" s="1"/>
      <c r="M52" s="1"/>
      <c r="N52" s="1"/>
      <c r="O52" s="9"/>
      <c r="P52" s="7"/>
      <c r="Q52" s="7"/>
      <c r="R52" s="33"/>
      <c r="S52" s="33"/>
      <c r="T52" s="33"/>
      <c r="U52" s="7"/>
      <c r="V52" s="7"/>
      <c r="W52" s="33"/>
      <c r="X52" s="7"/>
      <c r="Y52" s="7"/>
      <c r="Z52" s="7"/>
      <c r="AA52" s="33"/>
      <c r="AB52" s="7"/>
      <c r="AC52" s="7"/>
      <c r="AD52" s="1"/>
      <c r="AE52" s="1"/>
    </row>
    <row r="53" spans="1:31" x14ac:dyDescent="0.25">
      <c r="A53" s="3"/>
      <c r="B53" s="25"/>
      <c r="C53" s="10"/>
      <c r="D53" s="1"/>
      <c r="E53" s="30"/>
      <c r="F53" s="1"/>
      <c r="G53" s="1"/>
      <c r="H53" s="1"/>
      <c r="I53" s="1"/>
      <c r="J53" s="1"/>
      <c r="K53" s="1"/>
      <c r="L53" s="1"/>
      <c r="M53" s="1"/>
      <c r="N53" s="1"/>
      <c r="O53" s="9"/>
      <c r="P53" s="7"/>
      <c r="Q53" s="7"/>
      <c r="R53" s="33"/>
      <c r="S53" s="33"/>
      <c r="T53" s="33"/>
      <c r="U53" s="7"/>
      <c r="V53" s="7"/>
      <c r="W53" s="33"/>
      <c r="X53" s="7"/>
      <c r="Y53" s="7"/>
      <c r="Z53" s="7"/>
      <c r="AA53" s="33"/>
      <c r="AB53" s="7"/>
      <c r="AC53" s="7"/>
      <c r="AD53" s="1"/>
      <c r="AE53" s="1"/>
    </row>
    <row r="54" spans="1:31" x14ac:dyDescent="0.25">
      <c r="A54" s="3"/>
      <c r="B54" s="25"/>
      <c r="C54" s="10"/>
      <c r="D54" s="1"/>
      <c r="E54" s="30"/>
      <c r="F54" s="1"/>
      <c r="G54" s="1"/>
      <c r="H54" s="1"/>
      <c r="I54" s="1"/>
      <c r="J54" s="1"/>
      <c r="K54" s="1"/>
      <c r="L54" s="1"/>
      <c r="M54" s="1"/>
      <c r="N54" s="1"/>
      <c r="O54" s="9"/>
      <c r="P54" s="7"/>
      <c r="Q54" s="7"/>
      <c r="R54" s="33"/>
      <c r="S54" s="33"/>
      <c r="T54" s="33"/>
      <c r="U54" s="7"/>
      <c r="V54" s="7"/>
      <c r="W54" s="33"/>
      <c r="X54" s="7"/>
      <c r="Y54" s="7"/>
      <c r="Z54" s="7"/>
      <c r="AA54" s="33"/>
      <c r="AB54" s="7"/>
      <c r="AC54" s="7"/>
      <c r="AD54" s="1"/>
      <c r="AE54" s="1"/>
    </row>
    <row r="55" spans="1:31" x14ac:dyDescent="0.25">
      <c r="A55" s="3"/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1"/>
      <c r="N55" s="1"/>
      <c r="O55" s="9"/>
      <c r="P55" s="7"/>
      <c r="Q55" s="7"/>
      <c r="R55" s="33"/>
      <c r="S55" s="33"/>
      <c r="T55" s="33"/>
      <c r="U55" s="7"/>
      <c r="V55" s="7"/>
      <c r="W55" s="33"/>
      <c r="X55" s="7"/>
      <c r="Y55" s="7"/>
      <c r="Z55" s="7"/>
      <c r="AA55" s="33"/>
      <c r="AB55" s="7"/>
      <c r="AC55" s="7"/>
      <c r="AD55" s="1"/>
      <c r="AE55" s="1"/>
    </row>
    <row r="56" spans="1:31" x14ac:dyDescent="0.25">
      <c r="A56" s="3"/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1"/>
      <c r="N56" s="1"/>
      <c r="O56" s="9"/>
      <c r="P56" s="7"/>
      <c r="Q56" s="7"/>
      <c r="R56" s="33"/>
      <c r="S56" s="33"/>
      <c r="T56" s="33"/>
      <c r="U56" s="7"/>
      <c r="V56" s="7"/>
      <c r="W56" s="33"/>
      <c r="X56" s="7"/>
      <c r="Y56" s="7"/>
      <c r="Z56" s="7"/>
      <c r="AA56" s="33"/>
      <c r="AB56" s="7"/>
      <c r="AC56" s="7"/>
      <c r="AD56" s="1"/>
      <c r="AE56" s="1"/>
    </row>
    <row r="57" spans="1:31" x14ac:dyDescent="0.25">
      <c r="A57" s="3"/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1"/>
      <c r="N57" s="1"/>
      <c r="O57" s="9"/>
      <c r="P57" s="7"/>
      <c r="Q57" s="7"/>
      <c r="R57" s="33"/>
      <c r="S57" s="33"/>
      <c r="T57" s="33"/>
      <c r="U57" s="7"/>
      <c r="V57" s="7"/>
      <c r="W57" s="33"/>
      <c r="X57" s="7"/>
      <c r="Y57" s="7"/>
      <c r="Z57" s="7"/>
      <c r="AA57" s="33"/>
      <c r="AB57" s="7"/>
      <c r="AC57" s="7"/>
      <c r="AD57" s="1"/>
      <c r="AE57" s="1"/>
    </row>
    <row r="58" spans="1:31" x14ac:dyDescent="0.25">
      <c r="A58" s="3"/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1"/>
      <c r="N58" s="1"/>
      <c r="O58" s="9"/>
      <c r="P58" s="7"/>
      <c r="Q58" s="7"/>
      <c r="R58" s="33"/>
      <c r="S58" s="33"/>
      <c r="T58" s="33"/>
      <c r="U58" s="7"/>
      <c r="V58" s="7"/>
      <c r="W58" s="33"/>
      <c r="X58" s="7"/>
      <c r="Y58" s="7"/>
      <c r="Z58" s="7"/>
      <c r="AA58" s="33"/>
      <c r="AB58" s="7"/>
      <c r="AC58" s="7"/>
      <c r="AD58" s="1"/>
      <c r="AE58" s="1"/>
    </row>
    <row r="59" spans="1:31" x14ac:dyDescent="0.25">
      <c r="A59" s="3"/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1"/>
      <c r="N59" s="1"/>
      <c r="O59" s="9"/>
      <c r="P59" s="7"/>
      <c r="Q59" s="7"/>
      <c r="R59" s="33"/>
      <c r="S59" s="33"/>
      <c r="T59" s="33"/>
      <c r="U59" s="7"/>
      <c r="V59" s="7"/>
      <c r="W59" s="33"/>
      <c r="X59" s="7"/>
      <c r="Y59" s="7"/>
      <c r="Z59" s="7"/>
      <c r="AA59" s="33"/>
      <c r="AB59" s="7"/>
      <c r="AC59" s="7"/>
      <c r="AD59" s="1"/>
      <c r="AE59" s="1"/>
    </row>
    <row r="60" spans="1:31" x14ac:dyDescent="0.25">
      <c r="A60" s="3"/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1"/>
      <c r="N60" s="1"/>
      <c r="O60" s="9"/>
      <c r="P60" s="7"/>
      <c r="Q60" s="7"/>
      <c r="R60" s="33"/>
      <c r="S60" s="33"/>
      <c r="T60" s="33"/>
      <c r="U60" s="7"/>
      <c r="V60" s="7"/>
      <c r="W60" s="33"/>
      <c r="X60" s="7"/>
      <c r="Y60" s="7"/>
      <c r="Z60" s="7"/>
      <c r="AA60" s="33"/>
      <c r="AB60" s="7"/>
      <c r="AC60" s="7"/>
      <c r="AD60" s="1"/>
      <c r="AE60" s="1"/>
    </row>
    <row r="61" spans="1:31" x14ac:dyDescent="0.25">
      <c r="A61" s="3"/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1"/>
      <c r="N61" s="1"/>
      <c r="O61" s="9"/>
      <c r="P61" s="7"/>
      <c r="Q61" s="7"/>
      <c r="R61" s="33"/>
      <c r="S61" s="33"/>
      <c r="T61" s="33"/>
      <c r="U61" s="7"/>
      <c r="V61" s="7"/>
      <c r="W61" s="33"/>
      <c r="X61" s="7"/>
      <c r="Y61" s="7"/>
      <c r="Z61" s="7"/>
      <c r="AA61" s="33"/>
      <c r="AB61" s="7"/>
      <c r="AC61" s="7"/>
      <c r="AD61" s="1"/>
      <c r="AE61" s="1"/>
    </row>
    <row r="62" spans="1:31" x14ac:dyDescent="0.25">
      <c r="A62" s="3"/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1"/>
      <c r="N62" s="1"/>
      <c r="O62" s="9"/>
      <c r="P62" s="7"/>
      <c r="Q62" s="7"/>
      <c r="R62" s="33"/>
      <c r="S62" s="33"/>
      <c r="T62" s="33"/>
      <c r="U62" s="7"/>
      <c r="V62" s="7"/>
      <c r="W62" s="33"/>
      <c r="X62" s="7"/>
      <c r="Y62" s="7"/>
      <c r="Z62" s="7"/>
      <c r="AA62" s="33"/>
      <c r="AB62" s="7"/>
      <c r="AC62" s="7"/>
      <c r="AD62" s="1"/>
      <c r="AE62" s="1"/>
    </row>
    <row r="63" spans="1:31" x14ac:dyDescent="0.25">
      <c r="A63" s="3"/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1"/>
      <c r="N63" s="1"/>
      <c r="O63" s="9"/>
      <c r="P63" s="7"/>
      <c r="Q63" s="7"/>
      <c r="R63" s="33"/>
      <c r="S63" s="33"/>
      <c r="T63" s="33"/>
      <c r="U63" s="7"/>
      <c r="V63" s="7"/>
      <c r="W63" s="33"/>
      <c r="X63" s="7"/>
      <c r="Y63" s="7"/>
      <c r="Z63" s="7"/>
      <c r="AA63" s="33"/>
      <c r="AB63" s="7"/>
      <c r="AC63" s="7"/>
      <c r="AD63" s="1"/>
      <c r="AE63" s="1"/>
    </row>
    <row r="64" spans="1:31" x14ac:dyDescent="0.25">
      <c r="A64" s="3"/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1"/>
      <c r="N64" s="1"/>
      <c r="O64" s="9"/>
      <c r="P64" s="7"/>
      <c r="Q64" s="7"/>
      <c r="R64" s="33"/>
      <c r="S64" s="33"/>
      <c r="T64" s="33"/>
      <c r="U64" s="7"/>
      <c r="V64" s="7"/>
      <c r="W64" s="33"/>
      <c r="X64" s="7"/>
      <c r="Y64" s="7"/>
      <c r="Z64" s="7"/>
      <c r="AA64" s="33"/>
      <c r="AB64" s="7"/>
      <c r="AC64" s="7"/>
      <c r="AD64" s="1"/>
      <c r="AE64" s="1"/>
    </row>
    <row r="65" spans="1:31" x14ac:dyDescent="0.25">
      <c r="A65" s="3"/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1"/>
      <c r="N65" s="1"/>
      <c r="O65" s="9"/>
      <c r="P65" s="7"/>
      <c r="Q65" s="7"/>
      <c r="R65" s="33"/>
      <c r="S65" s="33"/>
      <c r="T65" s="33"/>
      <c r="U65" s="7"/>
      <c r="V65" s="7"/>
      <c r="W65" s="33"/>
      <c r="X65" s="7"/>
      <c r="Y65" s="7"/>
      <c r="Z65" s="7"/>
      <c r="AA65" s="33"/>
      <c r="AB65" s="7"/>
      <c r="AC65" s="7"/>
      <c r="AD65" s="1"/>
      <c r="AE65" s="1"/>
    </row>
    <row r="66" spans="1:31" x14ac:dyDescent="0.25">
      <c r="A66" s="3"/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1"/>
      <c r="N66" s="1"/>
      <c r="O66" s="9"/>
      <c r="P66" s="7"/>
      <c r="Q66" s="7"/>
      <c r="R66" s="33"/>
      <c r="S66" s="33"/>
      <c r="T66" s="33"/>
      <c r="U66" s="7"/>
      <c r="V66" s="7"/>
      <c r="W66" s="33"/>
      <c r="X66" s="7"/>
      <c r="Y66" s="7"/>
      <c r="Z66" s="7"/>
      <c r="AA66" s="33"/>
      <c r="AB66" s="7"/>
      <c r="AC66" s="7"/>
      <c r="AD66" s="1"/>
      <c r="AE66" s="1"/>
    </row>
    <row r="67" spans="1:31" x14ac:dyDescent="0.25">
      <c r="A67" s="3"/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1"/>
      <c r="N67" s="1"/>
      <c r="O67" s="9"/>
      <c r="P67" s="7"/>
      <c r="Q67" s="7"/>
      <c r="R67" s="33"/>
      <c r="S67" s="33"/>
      <c r="T67" s="33"/>
      <c r="U67" s="7"/>
      <c r="V67" s="7"/>
      <c r="W67" s="33"/>
      <c r="X67" s="7"/>
      <c r="Y67" s="7"/>
      <c r="Z67" s="7"/>
      <c r="AA67" s="33"/>
      <c r="AB67" s="7"/>
      <c r="AC67" s="7"/>
      <c r="AD67" s="1"/>
      <c r="AE67" s="1"/>
    </row>
    <row r="68" spans="1:31" x14ac:dyDescent="0.25">
      <c r="A68" s="3"/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1"/>
      <c r="N68" s="1"/>
      <c r="O68" s="9"/>
      <c r="P68" s="7"/>
      <c r="Q68" s="7"/>
      <c r="R68" s="33"/>
      <c r="S68" s="33"/>
      <c r="T68" s="33"/>
      <c r="U68" s="7"/>
      <c r="V68" s="7"/>
      <c r="W68" s="33"/>
      <c r="X68" s="7"/>
      <c r="Y68" s="7"/>
      <c r="Z68" s="7"/>
      <c r="AA68" s="33"/>
      <c r="AB68" s="7"/>
      <c r="AC68" s="7"/>
      <c r="AD68" s="1"/>
      <c r="AE68" s="1"/>
    </row>
    <row r="69" spans="1:31" x14ac:dyDescent="0.25">
      <c r="A69" s="3"/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1"/>
      <c r="N69" s="1"/>
      <c r="O69" s="9"/>
      <c r="P69" s="7"/>
      <c r="Q69" s="7"/>
      <c r="R69" s="33"/>
      <c r="S69" s="33"/>
      <c r="T69" s="33"/>
      <c r="U69" s="7"/>
      <c r="V69" s="7"/>
      <c r="W69" s="33"/>
      <c r="X69" s="7"/>
      <c r="Y69" s="7"/>
      <c r="Z69" s="7"/>
      <c r="AA69" s="33"/>
      <c r="AB69" s="7"/>
      <c r="AC69" s="7"/>
      <c r="AD69" s="1"/>
      <c r="AE69" s="1"/>
    </row>
    <row r="70" spans="1:31" x14ac:dyDescent="0.25">
      <c r="A70" s="3"/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1"/>
      <c r="N70" s="1"/>
      <c r="O70" s="9"/>
      <c r="P70" s="7"/>
      <c r="Q70" s="7"/>
      <c r="R70" s="33"/>
      <c r="S70" s="33"/>
      <c r="T70" s="33"/>
      <c r="U70" s="7"/>
      <c r="V70" s="7"/>
      <c r="W70" s="33"/>
      <c r="X70" s="7"/>
      <c r="Y70" s="7"/>
      <c r="Z70" s="7"/>
      <c r="AA70" s="33"/>
      <c r="AB70" s="7"/>
      <c r="AC70" s="7"/>
      <c r="AD70" s="1"/>
      <c r="AE70" s="1"/>
    </row>
    <row r="71" spans="1:31" x14ac:dyDescent="0.25">
      <c r="A71" s="3"/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1"/>
      <c r="N71" s="1"/>
      <c r="O71" s="7"/>
      <c r="P71" s="7"/>
      <c r="Q71" s="7"/>
      <c r="R71" s="33"/>
      <c r="S71" s="33"/>
      <c r="T71" s="33"/>
      <c r="U71" s="7"/>
      <c r="V71" s="7"/>
      <c r="W71" s="33"/>
      <c r="X71" s="7"/>
      <c r="Y71" s="7"/>
      <c r="Z71" s="7"/>
      <c r="AA71" s="33"/>
      <c r="AB71" s="7"/>
      <c r="AC71" s="7"/>
      <c r="AD71" s="1"/>
      <c r="AE71" s="1"/>
    </row>
    <row r="72" spans="1:31" x14ac:dyDescent="0.25">
      <c r="A72" s="3"/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1"/>
      <c r="N72" s="1"/>
      <c r="O72" s="9"/>
      <c r="P72" s="7"/>
      <c r="Q72" s="7"/>
      <c r="R72" s="33"/>
      <c r="S72" s="33"/>
      <c r="T72" s="33"/>
      <c r="U72" s="7"/>
      <c r="V72" s="7"/>
      <c r="W72" s="33"/>
      <c r="X72" s="7"/>
      <c r="Y72" s="7"/>
      <c r="Z72" s="7"/>
      <c r="AA72" s="33"/>
      <c r="AB72" s="7"/>
      <c r="AC72" s="7"/>
      <c r="AD72" s="1"/>
      <c r="AE72" s="1"/>
    </row>
    <row r="73" spans="1:31" x14ac:dyDescent="0.25">
      <c r="A73" s="3"/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1"/>
      <c r="N73" s="1"/>
      <c r="O73" s="9"/>
      <c r="P73" s="7"/>
      <c r="Q73" s="7"/>
      <c r="R73" s="33"/>
      <c r="S73" s="33"/>
      <c r="T73" s="33"/>
      <c r="U73" s="7"/>
      <c r="V73" s="7"/>
      <c r="W73" s="33"/>
      <c r="X73" s="7"/>
      <c r="Y73" s="7"/>
      <c r="Z73" s="7"/>
      <c r="AA73" s="33"/>
      <c r="AB73" s="7"/>
      <c r="AC73" s="7"/>
      <c r="AD73" s="1"/>
      <c r="AE73" s="1"/>
    </row>
    <row r="74" spans="1:31" x14ac:dyDescent="0.25">
      <c r="A74" s="3"/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1"/>
      <c r="N74" s="1"/>
      <c r="O74" s="9"/>
      <c r="P74" s="7"/>
      <c r="Q74" s="7"/>
      <c r="R74" s="33"/>
      <c r="S74" s="33"/>
      <c r="T74" s="33"/>
      <c r="U74" s="7"/>
      <c r="V74" s="7"/>
      <c r="W74" s="33"/>
      <c r="X74" s="7"/>
      <c r="Y74" s="7"/>
      <c r="Z74" s="7"/>
      <c r="AA74" s="33"/>
      <c r="AB74" s="7"/>
      <c r="AC74" s="7"/>
      <c r="AD74" s="1"/>
      <c r="AE74" s="1"/>
    </row>
    <row r="75" spans="1:31" x14ac:dyDescent="0.25">
      <c r="A75" s="3"/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1"/>
      <c r="N75" s="1"/>
      <c r="O75" s="9"/>
      <c r="P75" s="7"/>
      <c r="Q75" s="7"/>
      <c r="R75" s="33"/>
      <c r="S75" s="33"/>
      <c r="T75" s="33"/>
      <c r="U75" s="7"/>
      <c r="V75" s="7"/>
      <c r="W75" s="33"/>
      <c r="X75" s="7"/>
      <c r="Y75" s="7"/>
      <c r="Z75" s="7"/>
      <c r="AA75" s="33"/>
      <c r="AB75" s="7"/>
      <c r="AC75" s="7"/>
      <c r="AD75" s="1"/>
      <c r="AE75" s="1"/>
    </row>
    <row r="76" spans="1:31" x14ac:dyDescent="0.25">
      <c r="A76" s="3"/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1"/>
      <c r="N76" s="1"/>
      <c r="O76" s="9"/>
      <c r="P76" s="7"/>
      <c r="Q76" s="7"/>
      <c r="R76" s="33"/>
      <c r="S76" s="33"/>
      <c r="T76" s="33"/>
      <c r="U76" s="7"/>
      <c r="V76" s="7"/>
      <c r="W76" s="33"/>
      <c r="X76" s="7"/>
      <c r="Y76" s="7"/>
      <c r="Z76" s="7"/>
      <c r="AA76" s="33"/>
      <c r="AB76" s="7"/>
      <c r="AC76" s="7"/>
      <c r="AD76" s="1"/>
      <c r="AE76" s="1"/>
    </row>
    <row r="77" spans="1:31" x14ac:dyDescent="0.25">
      <c r="A77" s="3"/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1"/>
      <c r="N77" s="1"/>
      <c r="O77" s="9"/>
      <c r="P77" s="7"/>
      <c r="Q77" s="7"/>
      <c r="R77" s="33"/>
      <c r="S77" s="33"/>
      <c r="T77" s="33"/>
      <c r="U77" s="7"/>
      <c r="V77" s="7"/>
      <c r="W77" s="33"/>
      <c r="X77" s="7"/>
      <c r="Y77" s="7"/>
      <c r="Z77" s="7"/>
      <c r="AA77" s="33"/>
      <c r="AB77" s="7"/>
      <c r="AC77" s="7"/>
      <c r="AD77" s="1"/>
      <c r="AE77" s="1"/>
    </row>
    <row r="78" spans="1:31" x14ac:dyDescent="0.25">
      <c r="A78" s="3"/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1"/>
      <c r="N78" s="1"/>
      <c r="O78" s="9"/>
      <c r="P78" s="7"/>
      <c r="Q78" s="7"/>
      <c r="R78" s="33"/>
      <c r="S78" s="33"/>
      <c r="T78" s="33"/>
      <c r="U78" s="7"/>
      <c r="V78" s="7"/>
      <c r="W78" s="33"/>
      <c r="X78" s="7"/>
      <c r="Y78" s="7"/>
      <c r="Z78" s="7"/>
      <c r="AA78" s="33"/>
      <c r="AB78" s="7"/>
      <c r="AC78" s="7"/>
      <c r="AD78" s="1"/>
      <c r="AE78" s="1"/>
    </row>
    <row r="79" spans="1:31" x14ac:dyDescent="0.25">
      <c r="A79" s="3"/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1"/>
      <c r="N79" s="1"/>
      <c r="O79" s="9"/>
      <c r="P79" s="7"/>
      <c r="Q79" s="7"/>
      <c r="R79" s="33"/>
      <c r="S79" s="33"/>
      <c r="T79" s="33"/>
      <c r="U79" s="7"/>
      <c r="V79" s="7"/>
      <c r="W79" s="33"/>
      <c r="X79" s="7"/>
      <c r="Y79" s="7"/>
      <c r="Z79" s="7"/>
      <c r="AA79" s="33"/>
      <c r="AB79" s="7"/>
      <c r="AC79" s="7"/>
      <c r="AD79" s="1"/>
      <c r="AE79" s="1"/>
    </row>
    <row r="80" spans="1:31" x14ac:dyDescent="0.25">
      <c r="A80" s="3"/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1"/>
      <c r="N80" s="1"/>
      <c r="O80" s="9"/>
      <c r="P80" s="7"/>
      <c r="Q80" s="7"/>
      <c r="R80" s="33"/>
      <c r="S80" s="33"/>
      <c r="T80" s="33"/>
      <c r="U80" s="7"/>
      <c r="V80" s="7"/>
      <c r="W80" s="33"/>
      <c r="X80" s="7"/>
      <c r="Y80" s="7"/>
      <c r="Z80" s="7"/>
      <c r="AA80" s="33"/>
      <c r="AB80" s="7"/>
      <c r="AC80" s="7"/>
      <c r="AD80" s="1"/>
      <c r="AE80" s="1"/>
    </row>
    <row r="81" spans="1:31" x14ac:dyDescent="0.25">
      <c r="A81" s="3"/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1"/>
      <c r="N81" s="1"/>
      <c r="O81" s="9"/>
      <c r="P81" s="7"/>
      <c r="Q81" s="7"/>
      <c r="R81" s="33"/>
      <c r="S81" s="33"/>
      <c r="T81" s="33"/>
      <c r="U81" s="7"/>
      <c r="V81" s="7"/>
      <c r="W81" s="33"/>
      <c r="X81" s="7"/>
      <c r="Y81" s="7"/>
      <c r="Z81" s="7"/>
      <c r="AA81" s="33"/>
      <c r="AB81" s="7"/>
      <c r="AC81" s="7"/>
      <c r="AD81" s="1"/>
      <c r="AE81" s="1"/>
    </row>
    <row r="82" spans="1:31" x14ac:dyDescent="0.25">
      <c r="A82" s="3"/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1"/>
      <c r="N82" s="1"/>
      <c r="O82" s="9"/>
      <c r="P82" s="7"/>
      <c r="Q82" s="7"/>
      <c r="R82" s="33"/>
      <c r="S82" s="33"/>
      <c r="T82" s="33"/>
      <c r="U82" s="7"/>
      <c r="V82" s="7"/>
      <c r="W82" s="33"/>
      <c r="X82" s="7"/>
      <c r="Y82" s="7"/>
      <c r="Z82" s="7"/>
      <c r="AA82" s="33"/>
      <c r="AB82" s="7"/>
      <c r="AC82" s="7"/>
      <c r="AD82" s="1"/>
      <c r="AE82" s="1"/>
    </row>
    <row r="83" spans="1:31" x14ac:dyDescent="0.25">
      <c r="A83" s="3"/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1"/>
      <c r="N83" s="1"/>
      <c r="O83" s="9"/>
      <c r="P83" s="7"/>
      <c r="Q83" s="7"/>
      <c r="R83" s="33"/>
      <c r="S83" s="33"/>
      <c r="T83" s="33"/>
      <c r="U83" s="7"/>
      <c r="V83" s="7"/>
      <c r="W83" s="33"/>
      <c r="X83" s="7"/>
      <c r="Y83" s="7"/>
      <c r="Z83" s="7"/>
      <c r="AA83" s="33"/>
      <c r="AB83" s="7"/>
      <c r="AC83" s="7"/>
      <c r="AD83" s="1"/>
      <c r="AE83" s="1"/>
    </row>
    <row r="84" spans="1:31" x14ac:dyDescent="0.25">
      <c r="A84" s="3"/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1"/>
      <c r="N84" s="1"/>
      <c r="O84" s="9"/>
      <c r="P84" s="7"/>
      <c r="Q84" s="7"/>
      <c r="R84" s="33"/>
      <c r="S84" s="33"/>
      <c r="T84" s="33"/>
      <c r="U84" s="7"/>
      <c r="V84" s="7"/>
      <c r="W84" s="33"/>
      <c r="X84" s="7"/>
      <c r="Y84" s="7"/>
      <c r="Z84" s="7"/>
      <c r="AA84" s="33"/>
      <c r="AB84" s="7"/>
      <c r="AC84" s="7"/>
      <c r="AD84" s="1"/>
      <c r="AE84" s="1"/>
    </row>
    <row r="85" spans="1:31" x14ac:dyDescent="0.25">
      <c r="A85" s="3"/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1"/>
      <c r="N85" s="1"/>
      <c r="O85" s="9"/>
      <c r="P85" s="7"/>
      <c r="Q85" s="7"/>
      <c r="R85" s="33"/>
      <c r="S85" s="33"/>
      <c r="T85" s="33"/>
      <c r="U85" s="7"/>
      <c r="V85" s="7"/>
      <c r="W85" s="33"/>
      <c r="X85" s="7"/>
      <c r="Y85" s="7"/>
      <c r="Z85" s="7"/>
      <c r="AA85" s="33"/>
      <c r="AB85" s="7"/>
      <c r="AC85" s="7"/>
      <c r="AD85" s="1"/>
      <c r="AE85" s="1"/>
    </row>
    <row r="86" spans="1:31" x14ac:dyDescent="0.25">
      <c r="A86" s="3"/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1"/>
      <c r="N86" s="1"/>
      <c r="O86" s="9"/>
      <c r="P86" s="7"/>
      <c r="Q86" s="7"/>
      <c r="R86" s="33"/>
      <c r="S86" s="33"/>
      <c r="T86" s="33"/>
      <c r="U86" s="7"/>
      <c r="V86" s="7"/>
      <c r="W86" s="33"/>
      <c r="X86" s="7"/>
      <c r="Y86" s="7"/>
      <c r="Z86" s="7"/>
      <c r="AA86" s="33"/>
      <c r="AB86" s="7"/>
      <c r="AC86" s="7"/>
      <c r="AD86" s="1"/>
      <c r="AE86" s="1"/>
    </row>
    <row r="87" spans="1:31" x14ac:dyDescent="0.25">
      <c r="A87" s="3"/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1"/>
      <c r="N87" s="1"/>
      <c r="O87" s="9"/>
      <c r="P87" s="7"/>
      <c r="Q87" s="7"/>
      <c r="R87" s="33"/>
      <c r="S87" s="33"/>
      <c r="T87" s="33"/>
      <c r="U87" s="7"/>
      <c r="V87" s="7"/>
      <c r="W87" s="33"/>
      <c r="X87" s="7"/>
      <c r="Y87" s="7"/>
      <c r="Z87" s="7"/>
      <c r="AA87" s="33"/>
      <c r="AB87" s="7"/>
      <c r="AC87" s="7"/>
      <c r="AD87" s="1"/>
      <c r="AE87" s="1"/>
    </row>
    <row r="88" spans="1:31" x14ac:dyDescent="0.25">
      <c r="A88" s="3"/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1"/>
      <c r="N88" s="1"/>
      <c r="O88" s="9"/>
      <c r="P88" s="7"/>
      <c r="Q88" s="7"/>
      <c r="R88" s="33"/>
      <c r="S88" s="33"/>
      <c r="T88" s="33"/>
      <c r="U88" s="7"/>
      <c r="V88" s="7"/>
      <c r="W88" s="33"/>
      <c r="X88" s="7"/>
      <c r="Y88" s="7"/>
      <c r="Z88" s="7"/>
      <c r="AA88" s="33"/>
      <c r="AB88" s="7"/>
      <c r="AC88" s="7"/>
      <c r="AD88" s="1"/>
      <c r="AE88" s="1"/>
    </row>
    <row r="89" spans="1:31" x14ac:dyDescent="0.25">
      <c r="A89" s="3"/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1"/>
      <c r="N89" s="1"/>
      <c r="O89" s="9"/>
      <c r="P89" s="7"/>
      <c r="Q89" s="7"/>
      <c r="R89" s="33"/>
      <c r="S89" s="33"/>
      <c r="T89" s="33"/>
      <c r="U89" s="7"/>
      <c r="V89" s="7"/>
      <c r="W89" s="33"/>
      <c r="X89" s="7"/>
      <c r="Y89" s="7"/>
      <c r="Z89" s="7"/>
      <c r="AA89" s="33"/>
      <c r="AB89" s="7"/>
      <c r="AC89" s="7"/>
      <c r="AD89" s="1"/>
      <c r="AE89" s="1"/>
    </row>
    <row r="90" spans="1:31" x14ac:dyDescent="0.25">
      <c r="A90" s="3"/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1"/>
      <c r="N90" s="1"/>
      <c r="O90" s="41"/>
      <c r="P90" s="7"/>
      <c r="Q90" s="7"/>
      <c r="R90" s="33"/>
      <c r="S90" s="33"/>
      <c r="T90" s="33"/>
      <c r="U90" s="7"/>
      <c r="V90" s="7"/>
      <c r="W90" s="33"/>
      <c r="X90" s="7"/>
      <c r="Y90" s="7"/>
      <c r="Z90" s="7"/>
      <c r="AA90" s="33"/>
      <c r="AB90" s="7"/>
      <c r="AC90" s="7"/>
      <c r="AD90" s="1"/>
      <c r="AE90" s="1"/>
    </row>
    <row r="91" spans="1:31" x14ac:dyDescent="0.25">
      <c r="A91" s="3"/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1"/>
      <c r="N91" s="1"/>
      <c r="O91" s="9"/>
      <c r="P91" s="7"/>
      <c r="Q91" s="7"/>
      <c r="R91" s="33"/>
      <c r="S91" s="33"/>
      <c r="T91" s="33"/>
      <c r="U91" s="7"/>
      <c r="V91" s="7"/>
      <c r="W91" s="33"/>
      <c r="X91" s="7"/>
      <c r="Y91" s="7"/>
      <c r="Z91" s="7"/>
      <c r="AA91" s="33"/>
      <c r="AB91" s="7"/>
      <c r="AC91" s="7"/>
      <c r="AD91" s="1"/>
      <c r="AE91" s="1"/>
    </row>
    <row r="92" spans="1:31" x14ac:dyDescent="0.25">
      <c r="A92" s="3"/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1"/>
      <c r="N92" s="1"/>
      <c r="O92" s="9"/>
      <c r="P92" s="7"/>
      <c r="Q92" s="7"/>
      <c r="R92" s="33"/>
      <c r="S92" s="33"/>
      <c r="T92" s="33"/>
      <c r="U92" s="7"/>
      <c r="V92" s="7"/>
      <c r="W92" s="33"/>
      <c r="X92" s="7"/>
      <c r="Y92" s="7"/>
      <c r="Z92" s="7"/>
      <c r="AA92" s="33"/>
      <c r="AB92" s="7"/>
      <c r="AC92" s="7"/>
      <c r="AD92" s="1"/>
      <c r="AE92" s="1"/>
    </row>
    <row r="93" spans="1:31" x14ac:dyDescent="0.25">
      <c r="A93" s="3"/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1"/>
      <c r="N93" s="1"/>
      <c r="O93" s="9"/>
      <c r="P93" s="7"/>
      <c r="Q93" s="7"/>
      <c r="R93" s="33"/>
      <c r="S93" s="33"/>
      <c r="T93" s="33"/>
      <c r="U93" s="7"/>
      <c r="V93" s="7"/>
      <c r="W93" s="33"/>
      <c r="X93" s="7"/>
      <c r="Y93" s="7"/>
      <c r="Z93" s="7"/>
      <c r="AA93" s="33"/>
      <c r="AB93" s="7"/>
      <c r="AC93" s="7"/>
      <c r="AD93" s="1"/>
      <c r="AE93" s="1"/>
    </row>
    <row r="94" spans="1:31" x14ac:dyDescent="0.25">
      <c r="A94" s="3"/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1"/>
      <c r="N94" s="1"/>
      <c r="O94" s="9"/>
      <c r="P94" s="7"/>
      <c r="Q94" s="7"/>
      <c r="R94" s="33"/>
      <c r="S94" s="33"/>
      <c r="T94" s="33"/>
      <c r="U94" s="7"/>
      <c r="V94" s="7"/>
      <c r="W94" s="33"/>
      <c r="X94" s="7"/>
      <c r="Y94" s="7"/>
      <c r="Z94" s="7"/>
      <c r="AA94" s="33"/>
      <c r="AB94" s="7"/>
      <c r="AC94" s="7"/>
      <c r="AD94" s="1"/>
      <c r="AE94" s="1"/>
    </row>
    <row r="95" spans="1:31" x14ac:dyDescent="0.25">
      <c r="A95" s="3"/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1"/>
      <c r="N95" s="1"/>
      <c r="O95" s="9"/>
      <c r="P95" s="7"/>
      <c r="Q95" s="7"/>
      <c r="R95" s="33"/>
      <c r="S95" s="33"/>
      <c r="T95" s="33"/>
      <c r="U95" s="7"/>
      <c r="V95" s="7"/>
      <c r="W95" s="33"/>
      <c r="X95" s="7"/>
      <c r="Y95" s="7"/>
      <c r="Z95" s="7"/>
      <c r="AA95" s="33"/>
      <c r="AB95" s="7"/>
      <c r="AC95" s="7"/>
      <c r="AD95" s="1"/>
      <c r="AE95" s="1"/>
    </row>
    <row r="96" spans="1:31" x14ac:dyDescent="0.25">
      <c r="A96" s="3"/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1"/>
      <c r="N96" s="1"/>
      <c r="O96" s="9"/>
      <c r="P96" s="7"/>
      <c r="Q96" s="7"/>
      <c r="R96" s="33"/>
      <c r="S96" s="33"/>
      <c r="T96" s="33"/>
      <c r="U96" s="7"/>
      <c r="V96" s="7"/>
      <c r="W96" s="33"/>
      <c r="X96" s="7"/>
      <c r="Y96" s="7"/>
      <c r="Z96" s="7"/>
      <c r="AA96" s="33"/>
      <c r="AB96" s="7"/>
      <c r="AC96" s="7"/>
      <c r="AD96" s="1"/>
      <c r="AE96" s="1"/>
    </row>
    <row r="97" spans="1:31" x14ac:dyDescent="0.25">
      <c r="A97" s="3"/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1"/>
      <c r="N97" s="1"/>
      <c r="O97" s="9"/>
      <c r="P97" s="7"/>
      <c r="Q97" s="7"/>
      <c r="R97" s="33"/>
      <c r="S97" s="33"/>
      <c r="T97" s="33"/>
      <c r="U97" s="7"/>
      <c r="V97" s="7"/>
      <c r="W97" s="33"/>
      <c r="X97" s="7"/>
      <c r="Y97" s="7"/>
      <c r="Z97" s="7"/>
      <c r="AA97" s="33"/>
      <c r="AB97" s="7"/>
      <c r="AC97" s="7"/>
      <c r="AD97" s="1"/>
      <c r="AE97" s="1"/>
    </row>
    <row r="98" spans="1:31" x14ac:dyDescent="0.25">
      <c r="A98" s="3"/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1"/>
      <c r="N98" s="1"/>
      <c r="O98" s="9"/>
      <c r="P98" s="7"/>
      <c r="Q98" s="7"/>
      <c r="R98" s="33"/>
      <c r="S98" s="33"/>
      <c r="T98" s="33"/>
      <c r="U98" s="7"/>
      <c r="V98" s="7"/>
      <c r="W98" s="33"/>
      <c r="X98" s="7"/>
      <c r="Y98" s="7"/>
      <c r="Z98" s="7"/>
      <c r="AA98" s="33"/>
      <c r="AB98" s="7"/>
      <c r="AC98" s="7"/>
      <c r="AD98" s="1"/>
      <c r="AE98" s="1"/>
    </row>
    <row r="99" spans="1:31" x14ac:dyDescent="0.25">
      <c r="A99" s="3"/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1"/>
      <c r="N99" s="1"/>
      <c r="O99" s="9"/>
      <c r="P99" s="7"/>
      <c r="Q99" s="7"/>
      <c r="R99" s="33"/>
      <c r="S99" s="33"/>
      <c r="T99" s="33"/>
      <c r="U99" s="7"/>
      <c r="V99" s="7"/>
      <c r="W99" s="33"/>
      <c r="X99" s="7"/>
      <c r="Y99" s="7"/>
      <c r="Z99" s="7"/>
      <c r="AA99" s="33"/>
      <c r="AB99" s="7"/>
      <c r="AC99" s="7"/>
      <c r="AD99" s="1"/>
      <c r="AE99" s="1"/>
    </row>
    <row r="100" spans="1:31" x14ac:dyDescent="0.25">
      <c r="A100" s="3"/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1"/>
      <c r="N100" s="1"/>
      <c r="O100" s="9"/>
      <c r="P100" s="7"/>
      <c r="Q100" s="7"/>
      <c r="R100" s="33"/>
      <c r="S100" s="33"/>
      <c r="T100" s="33"/>
      <c r="U100" s="7"/>
      <c r="V100" s="7"/>
      <c r="W100" s="33"/>
      <c r="X100" s="7"/>
      <c r="Y100" s="7"/>
      <c r="Z100" s="7"/>
      <c r="AA100" s="33"/>
      <c r="AB100" s="7"/>
      <c r="AC100" s="7"/>
      <c r="AD100" s="1"/>
      <c r="AE100" s="1"/>
    </row>
    <row r="101" spans="1:31" x14ac:dyDescent="0.25">
      <c r="A101" s="3"/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1"/>
      <c r="N101" s="1"/>
      <c r="O101" s="9"/>
      <c r="P101" s="7"/>
      <c r="Q101" s="7"/>
      <c r="R101" s="33"/>
      <c r="S101" s="33"/>
      <c r="T101" s="33"/>
      <c r="U101" s="7"/>
      <c r="V101" s="7"/>
      <c r="W101" s="33"/>
      <c r="X101" s="7"/>
      <c r="Y101" s="7"/>
      <c r="Z101" s="7"/>
      <c r="AA101" s="33"/>
      <c r="AB101" s="7"/>
      <c r="AC101" s="7"/>
      <c r="AD101" s="1"/>
      <c r="AE101" s="1"/>
    </row>
    <row r="102" spans="1:31" x14ac:dyDescent="0.25">
      <c r="A102" s="3"/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1"/>
      <c r="N102" s="1"/>
      <c r="O102" s="9"/>
      <c r="P102" s="7"/>
      <c r="Q102" s="7"/>
      <c r="R102" s="33"/>
      <c r="S102" s="33"/>
      <c r="T102" s="33"/>
      <c r="U102" s="7"/>
      <c r="V102" s="7"/>
      <c r="W102" s="33"/>
      <c r="X102" s="7"/>
      <c r="Y102" s="7"/>
      <c r="Z102" s="7"/>
      <c r="AA102" s="33"/>
      <c r="AB102" s="7"/>
      <c r="AC102" s="7"/>
      <c r="AD102" s="1"/>
      <c r="AE102" s="1"/>
    </row>
    <row r="103" spans="1:31" x14ac:dyDescent="0.25">
      <c r="A103" s="3"/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1"/>
      <c r="N103" s="1"/>
      <c r="O103" s="9"/>
      <c r="P103" s="7"/>
      <c r="Q103" s="7"/>
      <c r="R103" s="33"/>
      <c r="S103" s="33"/>
      <c r="T103" s="33"/>
      <c r="U103" s="7"/>
      <c r="V103" s="7"/>
      <c r="W103" s="33"/>
      <c r="X103" s="7"/>
      <c r="Y103" s="7"/>
      <c r="Z103" s="7"/>
      <c r="AA103" s="33"/>
      <c r="AB103" s="7"/>
      <c r="AC103" s="7"/>
      <c r="AD103" s="1"/>
      <c r="AE103" s="1"/>
    </row>
    <row r="104" spans="1:31" x14ac:dyDescent="0.25">
      <c r="A104" s="3"/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1"/>
      <c r="N104" s="1"/>
      <c r="O104" s="9"/>
      <c r="P104" s="7"/>
      <c r="Q104" s="7"/>
      <c r="R104" s="33"/>
      <c r="S104" s="33"/>
      <c r="T104" s="33"/>
      <c r="U104" s="7"/>
      <c r="V104" s="7"/>
      <c r="W104" s="33"/>
      <c r="X104" s="7"/>
      <c r="Y104" s="7"/>
      <c r="Z104" s="7"/>
      <c r="AA104" s="33"/>
      <c r="AB104" s="7"/>
      <c r="AC104" s="7"/>
      <c r="AD104" s="1"/>
      <c r="AE104" s="1"/>
    </row>
    <row r="105" spans="1:31" x14ac:dyDescent="0.25">
      <c r="A105" s="3"/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1"/>
      <c r="N105" s="1"/>
      <c r="O105" s="9"/>
      <c r="P105" s="7"/>
      <c r="Q105" s="7"/>
      <c r="R105" s="33"/>
      <c r="S105" s="33"/>
      <c r="T105" s="33"/>
      <c r="U105" s="7"/>
      <c r="V105" s="7"/>
      <c r="W105" s="33"/>
      <c r="X105" s="7"/>
      <c r="Y105" s="7"/>
      <c r="Z105" s="7"/>
      <c r="AA105" s="33"/>
      <c r="AB105" s="7"/>
      <c r="AC105" s="7"/>
      <c r="AD105" s="1"/>
      <c r="AE105" s="1"/>
    </row>
    <row r="106" spans="1:31" x14ac:dyDescent="0.25">
      <c r="A106" s="3"/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1"/>
      <c r="N106" s="1"/>
      <c r="O106" s="9"/>
      <c r="P106" s="7"/>
      <c r="Q106" s="7"/>
      <c r="R106" s="33"/>
      <c r="S106" s="33"/>
      <c r="T106" s="33"/>
      <c r="U106" s="7"/>
      <c r="V106" s="7"/>
      <c r="W106" s="33"/>
      <c r="X106" s="7"/>
      <c r="Y106" s="7"/>
      <c r="Z106" s="7"/>
      <c r="AA106" s="33"/>
      <c r="AB106" s="7"/>
      <c r="AC106" s="7"/>
      <c r="AD106" s="1"/>
      <c r="AE106" s="1"/>
    </row>
    <row r="107" spans="1:31" x14ac:dyDescent="0.25">
      <c r="A107" s="3"/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1"/>
      <c r="N107" s="1"/>
      <c r="O107" s="9"/>
      <c r="P107" s="7"/>
      <c r="Q107" s="7"/>
      <c r="R107" s="33"/>
      <c r="S107" s="33"/>
      <c r="T107" s="33"/>
      <c r="U107" s="7"/>
      <c r="V107" s="7"/>
      <c r="W107" s="33"/>
      <c r="X107" s="7"/>
      <c r="Y107" s="7"/>
      <c r="Z107" s="7"/>
      <c r="AA107" s="33"/>
      <c r="AB107" s="7"/>
      <c r="AC107" s="7"/>
      <c r="AD107" s="1"/>
      <c r="AE107" s="1"/>
    </row>
    <row r="108" spans="1:31" x14ac:dyDescent="0.25">
      <c r="A108" s="3"/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1"/>
      <c r="N108" s="1"/>
      <c r="O108" s="9"/>
      <c r="P108" s="7"/>
      <c r="Q108" s="7"/>
      <c r="R108" s="33"/>
      <c r="S108" s="33"/>
      <c r="T108" s="33"/>
      <c r="U108" s="7"/>
      <c r="V108" s="7"/>
      <c r="W108" s="33"/>
      <c r="X108" s="7"/>
      <c r="Y108" s="7"/>
      <c r="Z108" s="7"/>
      <c r="AA108" s="33"/>
      <c r="AB108" s="7"/>
      <c r="AC108" s="7"/>
      <c r="AD108" s="1"/>
      <c r="AE108" s="1"/>
    </row>
    <row r="109" spans="1:31" x14ac:dyDescent="0.25">
      <c r="A109" s="3"/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1"/>
      <c r="N109" s="1"/>
      <c r="O109" s="9"/>
      <c r="P109" s="7"/>
      <c r="Q109" s="7"/>
      <c r="R109" s="33"/>
      <c r="S109" s="33"/>
      <c r="T109" s="33"/>
      <c r="U109" s="7"/>
      <c r="V109" s="7"/>
      <c r="W109" s="33"/>
      <c r="X109" s="7"/>
      <c r="Y109" s="7"/>
      <c r="Z109" s="7"/>
      <c r="AA109" s="33"/>
      <c r="AB109" s="7"/>
      <c r="AC109" s="7"/>
      <c r="AD109" s="1"/>
      <c r="AE109" s="1"/>
    </row>
    <row r="110" spans="1:31" x14ac:dyDescent="0.25">
      <c r="A110" s="3"/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1"/>
      <c r="N110" s="1"/>
      <c r="O110" s="9"/>
      <c r="P110" s="7"/>
      <c r="Q110" s="7"/>
      <c r="R110" s="33"/>
      <c r="S110" s="33"/>
      <c r="T110" s="33"/>
      <c r="U110" s="7"/>
      <c r="V110" s="7"/>
      <c r="W110" s="33"/>
      <c r="X110" s="7"/>
      <c r="Y110" s="7"/>
      <c r="Z110" s="7"/>
      <c r="AA110" s="33"/>
      <c r="AB110" s="7"/>
      <c r="AC110" s="7"/>
      <c r="AD110" s="1"/>
      <c r="AE110" s="1"/>
    </row>
    <row r="111" spans="1:31" x14ac:dyDescent="0.25">
      <c r="A111" s="3"/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1"/>
      <c r="N111" s="1"/>
      <c r="O111" s="9"/>
      <c r="P111" s="7"/>
      <c r="Q111" s="7"/>
      <c r="R111" s="33"/>
      <c r="S111" s="33"/>
      <c r="T111" s="33"/>
      <c r="U111" s="7"/>
      <c r="V111" s="7"/>
      <c r="W111" s="33"/>
      <c r="X111" s="7"/>
      <c r="Y111" s="7"/>
      <c r="Z111" s="7"/>
      <c r="AA111" s="33"/>
      <c r="AB111" s="7"/>
      <c r="AC111" s="7"/>
      <c r="AD111" s="1"/>
      <c r="AE111" s="1"/>
    </row>
    <row r="112" spans="1:31" x14ac:dyDescent="0.25">
      <c r="A112" s="3"/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1"/>
      <c r="N112" s="1"/>
      <c r="O112" s="9"/>
      <c r="P112" s="7"/>
      <c r="Q112" s="7"/>
      <c r="R112" s="33"/>
      <c r="S112" s="33"/>
      <c r="T112" s="33"/>
      <c r="U112" s="7"/>
      <c r="V112" s="7"/>
      <c r="W112" s="33"/>
      <c r="X112" s="7"/>
      <c r="Y112" s="7"/>
      <c r="Z112" s="7"/>
      <c r="AA112" s="33"/>
      <c r="AB112" s="7"/>
      <c r="AC112" s="7"/>
      <c r="AD112" s="1"/>
      <c r="AE112" s="1"/>
    </row>
    <row r="113" spans="1:31" x14ac:dyDescent="0.25">
      <c r="A113" s="3"/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1"/>
      <c r="N113" s="1"/>
      <c r="O113" s="9"/>
      <c r="P113" s="7"/>
      <c r="Q113" s="7"/>
      <c r="R113" s="33"/>
      <c r="S113" s="33"/>
      <c r="T113" s="33"/>
      <c r="U113" s="7"/>
      <c r="V113" s="7"/>
      <c r="W113" s="33"/>
      <c r="X113" s="7"/>
      <c r="Y113" s="7"/>
      <c r="Z113" s="7"/>
      <c r="AA113" s="33"/>
      <c r="AB113" s="7"/>
      <c r="AC113" s="7"/>
      <c r="AD113" s="1"/>
      <c r="AE113" s="1"/>
    </row>
    <row r="114" spans="1:31" x14ac:dyDescent="0.25">
      <c r="A114" s="3"/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1"/>
      <c r="N114" s="1"/>
      <c r="O114" s="9"/>
      <c r="P114" s="7"/>
      <c r="Q114" s="7"/>
      <c r="R114" s="33"/>
      <c r="S114" s="33"/>
      <c r="T114" s="33"/>
      <c r="U114" s="7"/>
      <c r="V114" s="7"/>
      <c r="W114" s="33"/>
      <c r="X114" s="7"/>
      <c r="Y114" s="7"/>
      <c r="Z114" s="7"/>
      <c r="AA114" s="33"/>
      <c r="AB114" s="7"/>
      <c r="AC114" s="7"/>
      <c r="AD114" s="1"/>
      <c r="AE114" s="1"/>
    </row>
    <row r="115" spans="1:31" x14ac:dyDescent="0.25">
      <c r="A115" s="3"/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1"/>
      <c r="N115" s="1"/>
      <c r="O115" s="9"/>
      <c r="P115" s="7"/>
      <c r="Q115" s="7"/>
      <c r="R115" s="33"/>
      <c r="S115" s="33"/>
      <c r="T115" s="33"/>
      <c r="U115" s="7"/>
      <c r="V115" s="7"/>
      <c r="W115" s="33"/>
      <c r="X115" s="7"/>
      <c r="Y115" s="7"/>
      <c r="Z115" s="7"/>
      <c r="AA115" s="33"/>
      <c r="AB115" s="7"/>
      <c r="AC115" s="7"/>
      <c r="AD115" s="1"/>
      <c r="AE115" s="1"/>
    </row>
    <row r="116" spans="1:31" x14ac:dyDescent="0.25">
      <c r="A116" s="3"/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1"/>
      <c r="N116" s="1"/>
      <c r="O116" s="9"/>
      <c r="P116" s="7"/>
      <c r="Q116" s="7"/>
      <c r="R116" s="33"/>
      <c r="S116" s="33"/>
      <c r="T116" s="33"/>
      <c r="U116" s="7"/>
      <c r="V116" s="7"/>
      <c r="W116" s="33"/>
      <c r="X116" s="7"/>
      <c r="Y116" s="7"/>
      <c r="Z116" s="7"/>
      <c r="AA116" s="33"/>
      <c r="AB116" s="7"/>
      <c r="AC116" s="7"/>
      <c r="AD116" s="1"/>
      <c r="AE116" s="1"/>
    </row>
    <row r="117" spans="1:31" x14ac:dyDescent="0.25">
      <c r="A117" s="3"/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1"/>
      <c r="N117" s="1"/>
      <c r="O117" s="9"/>
      <c r="P117" s="7"/>
      <c r="Q117" s="7"/>
      <c r="R117" s="33"/>
      <c r="S117" s="33"/>
      <c r="T117" s="33"/>
      <c r="U117" s="7"/>
      <c r="V117" s="7"/>
      <c r="W117" s="33"/>
      <c r="X117" s="7"/>
      <c r="Y117" s="7"/>
      <c r="Z117" s="7"/>
      <c r="AA117" s="33"/>
      <c r="AB117" s="7"/>
      <c r="AC117" s="7"/>
      <c r="AD117" s="1"/>
      <c r="AE117" s="1"/>
    </row>
    <row r="118" spans="1:31" x14ac:dyDescent="0.25">
      <c r="A118" s="3"/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1"/>
      <c r="N118" s="1"/>
      <c r="O118" s="9"/>
      <c r="P118" s="7"/>
      <c r="Q118" s="7"/>
      <c r="R118" s="33"/>
      <c r="S118" s="33"/>
      <c r="T118" s="33"/>
      <c r="U118" s="7"/>
      <c r="V118" s="7"/>
      <c r="W118" s="33"/>
      <c r="X118" s="7"/>
      <c r="Y118" s="7"/>
      <c r="Z118" s="7"/>
      <c r="AA118" s="33"/>
      <c r="AB118" s="7"/>
      <c r="AC118" s="7"/>
      <c r="AD118" s="1"/>
      <c r="AE118" s="1"/>
    </row>
    <row r="119" spans="1:31" x14ac:dyDescent="0.25">
      <c r="A119" s="3"/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1"/>
      <c r="N119" s="1"/>
      <c r="O119" s="9"/>
      <c r="P119" s="7"/>
      <c r="Q119" s="7"/>
      <c r="R119" s="33"/>
      <c r="S119" s="33"/>
      <c r="T119" s="33"/>
      <c r="U119" s="7"/>
      <c r="V119" s="7"/>
      <c r="W119" s="33"/>
      <c r="X119" s="7"/>
      <c r="Y119" s="7"/>
      <c r="Z119" s="7"/>
      <c r="AA119" s="33"/>
      <c r="AB119" s="7"/>
      <c r="AC119" s="7"/>
      <c r="AD119" s="1"/>
      <c r="AE119" s="1"/>
    </row>
    <row r="120" spans="1:31" x14ac:dyDescent="0.25">
      <c r="A120" s="3"/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1"/>
      <c r="N120" s="1"/>
      <c r="O120" s="9"/>
      <c r="P120" s="7"/>
      <c r="Q120" s="7"/>
      <c r="R120" s="33"/>
      <c r="S120" s="33"/>
      <c r="T120" s="33"/>
      <c r="U120" s="7"/>
      <c r="V120" s="7"/>
      <c r="W120" s="33"/>
      <c r="X120" s="7"/>
      <c r="Y120" s="7"/>
      <c r="Z120" s="7"/>
      <c r="AA120" s="33"/>
      <c r="AB120" s="7"/>
      <c r="AC120" s="7"/>
      <c r="AD120" s="1"/>
      <c r="AE120" s="1"/>
    </row>
    <row r="121" spans="1:31" x14ac:dyDescent="0.25">
      <c r="A121" s="3"/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1"/>
      <c r="N121" s="1"/>
      <c r="O121" s="9"/>
      <c r="P121" s="7"/>
      <c r="Q121" s="7"/>
      <c r="R121" s="33"/>
      <c r="S121" s="33"/>
      <c r="T121" s="33"/>
      <c r="U121" s="7"/>
      <c r="V121" s="7"/>
      <c r="W121" s="33"/>
      <c r="X121" s="7"/>
      <c r="Y121" s="7"/>
      <c r="Z121" s="7"/>
      <c r="AA121" s="33"/>
      <c r="AB121" s="7"/>
      <c r="AC121" s="7"/>
      <c r="AD121" s="1"/>
      <c r="AE121" s="1"/>
    </row>
    <row r="122" spans="1:31" x14ac:dyDescent="0.25">
      <c r="A122" s="3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9"/>
      <c r="P122" s="7"/>
      <c r="Q122" s="7"/>
      <c r="R122" s="33"/>
      <c r="S122" s="33"/>
      <c r="T122" s="33"/>
      <c r="U122" s="7"/>
      <c r="V122" s="7"/>
      <c r="W122" s="33"/>
      <c r="X122" s="7"/>
      <c r="Y122" s="7"/>
      <c r="Z122" s="7"/>
      <c r="AA122" s="33"/>
      <c r="AB122" s="7"/>
      <c r="AC122" s="7"/>
      <c r="AD122" s="1"/>
      <c r="AE122" s="1"/>
    </row>
    <row r="123" spans="1:31" x14ac:dyDescent="0.25">
      <c r="A123" s="3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9"/>
      <c r="P123" s="7"/>
      <c r="Q123" s="7"/>
      <c r="R123" s="33"/>
      <c r="S123" s="33"/>
      <c r="T123" s="33"/>
      <c r="U123" s="7"/>
      <c r="V123" s="32"/>
      <c r="W123" s="33"/>
      <c r="X123" s="7"/>
      <c r="Y123" s="7"/>
      <c r="Z123" s="32"/>
      <c r="AA123" s="33"/>
      <c r="AB123" s="7"/>
      <c r="AC123" s="7"/>
      <c r="AD123" s="1"/>
      <c r="AE123" s="1"/>
    </row>
    <row r="124" spans="1:31" x14ac:dyDescent="0.25">
      <c r="A124" s="3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9"/>
      <c r="P124" s="7"/>
      <c r="Q124" s="7"/>
      <c r="R124" s="33"/>
      <c r="S124" s="33"/>
      <c r="T124" s="33"/>
      <c r="U124" s="7"/>
      <c r="V124" s="32"/>
      <c r="W124" s="33"/>
      <c r="X124" s="7"/>
      <c r="Y124" s="7"/>
      <c r="Z124" s="32"/>
      <c r="AA124" s="33"/>
      <c r="AB124" s="7"/>
      <c r="AC124" s="7"/>
      <c r="AD124" s="1"/>
      <c r="AE124" s="1"/>
    </row>
    <row r="125" spans="1:31" x14ac:dyDescent="0.25">
      <c r="A125" s="3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9"/>
      <c r="P125" s="7"/>
      <c r="Q125" s="7"/>
      <c r="R125" s="33"/>
      <c r="S125" s="33"/>
      <c r="T125" s="33"/>
      <c r="U125" s="7"/>
      <c r="V125" s="32"/>
      <c r="W125" s="33"/>
      <c r="X125" s="7"/>
      <c r="Y125" s="7"/>
      <c r="Z125" s="32"/>
      <c r="AA125" s="33"/>
      <c r="AB125" s="7"/>
      <c r="AC125" s="7"/>
      <c r="AD125" s="1"/>
      <c r="AE125" s="1"/>
    </row>
    <row r="126" spans="1:31" x14ac:dyDescent="0.25">
      <c r="A126" s="3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9"/>
      <c r="P126" s="7"/>
      <c r="Q126" s="7"/>
      <c r="R126" s="33"/>
      <c r="S126" s="33"/>
      <c r="T126" s="33"/>
      <c r="U126" s="7"/>
      <c r="V126" s="32"/>
      <c r="W126" s="33"/>
      <c r="X126" s="7"/>
      <c r="Y126" s="7"/>
      <c r="Z126" s="32"/>
      <c r="AA126" s="33"/>
      <c r="AB126" s="7"/>
      <c r="AC126" s="7"/>
      <c r="AD126" s="1"/>
      <c r="AE126" s="1"/>
    </row>
    <row r="127" spans="1:31" x14ac:dyDescent="0.25">
      <c r="A127" s="3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9"/>
      <c r="P127" s="7"/>
      <c r="Q127" s="7"/>
      <c r="R127" s="33"/>
      <c r="S127" s="33"/>
      <c r="T127" s="33"/>
      <c r="U127" s="7"/>
      <c r="V127" s="32"/>
      <c r="W127" s="33"/>
      <c r="X127" s="7"/>
      <c r="Y127" s="7"/>
      <c r="Z127" s="32"/>
      <c r="AA127" s="33"/>
      <c r="AB127" s="7"/>
      <c r="AC127" s="7"/>
      <c r="AD127" s="1"/>
      <c r="AE127" s="1"/>
    </row>
    <row r="128" spans="1:31" x14ac:dyDescent="0.25">
      <c r="A128" s="3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9"/>
      <c r="P128" s="7"/>
      <c r="Q128" s="7"/>
      <c r="R128" s="33"/>
      <c r="S128" s="33"/>
      <c r="T128" s="33"/>
      <c r="U128" s="7"/>
      <c r="V128" s="32"/>
      <c r="W128" s="33"/>
      <c r="X128" s="7"/>
      <c r="Y128" s="7"/>
      <c r="Z128" s="32"/>
      <c r="AA128" s="33"/>
      <c r="AB128" s="7"/>
      <c r="AC128" s="7"/>
      <c r="AD128" s="1"/>
      <c r="AE128" s="1"/>
    </row>
    <row r="129" spans="1:31" x14ac:dyDescent="0.25">
      <c r="A129" s="3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9"/>
      <c r="P129" s="7"/>
      <c r="Q129" s="7"/>
      <c r="R129" s="33"/>
      <c r="S129" s="33"/>
      <c r="T129" s="33"/>
      <c r="U129" s="7"/>
      <c r="V129" s="32"/>
      <c r="W129" s="33"/>
      <c r="X129" s="7"/>
      <c r="Y129" s="7"/>
      <c r="Z129" s="32"/>
      <c r="AA129" s="33"/>
      <c r="AB129" s="7"/>
      <c r="AC129" s="7"/>
      <c r="AD129" s="1"/>
      <c r="AE129" s="1"/>
    </row>
    <row r="130" spans="1:31" x14ac:dyDescent="0.25">
      <c r="A130" s="3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9"/>
      <c r="P130" s="7"/>
      <c r="Q130" s="7"/>
      <c r="R130" s="33"/>
      <c r="S130" s="33"/>
      <c r="T130" s="33"/>
      <c r="U130" s="7"/>
      <c r="V130" s="32"/>
      <c r="W130" s="33"/>
      <c r="X130" s="7"/>
      <c r="Y130" s="7"/>
      <c r="Z130" s="32"/>
      <c r="AA130" s="33"/>
      <c r="AB130" s="7"/>
      <c r="AC130" s="7"/>
      <c r="AD130" s="1"/>
      <c r="AE130" s="1"/>
    </row>
    <row r="131" spans="1:31" x14ac:dyDescent="0.25">
      <c r="A131" s="3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9"/>
      <c r="P131" s="7"/>
      <c r="Q131" s="7"/>
      <c r="R131" s="33"/>
      <c r="S131" s="33"/>
      <c r="T131" s="33"/>
      <c r="U131" s="7"/>
      <c r="V131" s="32"/>
      <c r="W131" s="33"/>
      <c r="X131" s="7"/>
      <c r="Y131" s="7"/>
      <c r="Z131" s="32"/>
      <c r="AA131" s="33"/>
      <c r="AB131" s="7"/>
      <c r="AC131" s="7"/>
      <c r="AD131" s="1"/>
      <c r="AE131" s="1"/>
    </row>
    <row r="132" spans="1:31" x14ac:dyDescent="0.25">
      <c r="A132" s="3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9"/>
      <c r="P132" s="7"/>
      <c r="Q132" s="7"/>
      <c r="R132" s="33"/>
      <c r="S132" s="33"/>
      <c r="T132" s="33"/>
      <c r="U132" s="7"/>
      <c r="V132" s="32"/>
      <c r="W132" s="33"/>
      <c r="X132" s="7"/>
      <c r="Y132" s="7"/>
      <c r="Z132" s="32"/>
      <c r="AA132" s="33"/>
      <c r="AB132" s="7"/>
      <c r="AC132" s="7"/>
      <c r="AD132" s="1"/>
      <c r="AE132" s="1"/>
    </row>
    <row r="133" spans="1:31" x14ac:dyDescent="0.25">
      <c r="A133" s="3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9"/>
      <c r="P133" s="7"/>
      <c r="Q133" s="7"/>
      <c r="R133" s="33"/>
      <c r="S133" s="33"/>
      <c r="T133" s="33"/>
      <c r="U133" s="7"/>
      <c r="V133" s="32"/>
      <c r="W133" s="33"/>
      <c r="X133" s="7"/>
      <c r="Y133" s="7"/>
      <c r="Z133" s="32"/>
      <c r="AA133" s="33"/>
      <c r="AB133" s="7"/>
      <c r="AC133" s="7"/>
      <c r="AD133" s="1"/>
      <c r="AE133" s="1"/>
    </row>
    <row r="134" spans="1:31" x14ac:dyDescent="0.25">
      <c r="A134" s="3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9"/>
      <c r="P134" s="7"/>
      <c r="Q134" s="7"/>
      <c r="R134" s="33"/>
      <c r="S134" s="33"/>
      <c r="T134" s="33"/>
      <c r="U134" s="7"/>
      <c r="V134" s="32"/>
      <c r="W134" s="33"/>
      <c r="X134" s="7"/>
      <c r="Y134" s="7"/>
      <c r="Z134" s="32"/>
      <c r="AA134" s="33"/>
      <c r="AB134" s="7"/>
      <c r="AC134" s="7"/>
      <c r="AD134" s="1"/>
      <c r="AE134" s="1"/>
    </row>
    <row r="135" spans="1:31" x14ac:dyDescent="0.25">
      <c r="A135" s="3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9"/>
      <c r="P135" s="7"/>
      <c r="Q135" s="7"/>
      <c r="R135" s="33"/>
      <c r="S135" s="33"/>
      <c r="T135" s="33"/>
      <c r="U135" s="7"/>
      <c r="V135" s="32"/>
      <c r="W135" s="33"/>
      <c r="X135" s="7"/>
      <c r="Y135" s="7"/>
      <c r="Z135" s="32"/>
      <c r="AA135" s="33"/>
      <c r="AB135" s="7"/>
      <c r="AC135" s="7"/>
      <c r="AD135" s="1"/>
      <c r="AE135" s="1"/>
    </row>
    <row r="136" spans="1:31" x14ac:dyDescent="0.25">
      <c r="A136" s="3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9"/>
      <c r="P136" s="7"/>
      <c r="Q136" s="7"/>
      <c r="R136" s="33"/>
      <c r="S136" s="33"/>
      <c r="T136" s="33"/>
      <c r="U136" s="7"/>
      <c r="V136" s="32"/>
      <c r="W136" s="33"/>
      <c r="X136" s="7"/>
      <c r="Y136" s="7"/>
      <c r="Z136" s="32"/>
      <c r="AA136" s="33"/>
      <c r="AB136" s="7"/>
      <c r="AC136" s="7"/>
      <c r="AD136" s="1"/>
      <c r="AE136" s="1"/>
    </row>
    <row r="137" spans="1:31" x14ac:dyDescent="0.25">
      <c r="A137" s="3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9"/>
      <c r="P137" s="7"/>
      <c r="Q137" s="7"/>
      <c r="R137" s="33"/>
      <c r="S137" s="33"/>
      <c r="T137" s="33"/>
      <c r="U137" s="7"/>
      <c r="V137" s="32"/>
      <c r="W137" s="33"/>
      <c r="X137" s="7"/>
      <c r="Y137" s="7"/>
      <c r="Z137" s="32"/>
      <c r="AA137" s="33"/>
      <c r="AB137" s="7"/>
      <c r="AC137" s="7"/>
      <c r="AD137" s="1"/>
      <c r="AE137" s="1"/>
    </row>
    <row r="138" spans="1:31" x14ac:dyDescent="0.25">
      <c r="A138" s="3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9"/>
      <c r="P138" s="7"/>
      <c r="Q138" s="7"/>
      <c r="R138" s="33"/>
      <c r="S138" s="33"/>
      <c r="T138" s="33"/>
      <c r="U138" s="7"/>
      <c r="V138" s="32"/>
      <c r="W138" s="33"/>
      <c r="X138" s="7"/>
      <c r="Y138" s="7"/>
      <c r="Z138" s="32"/>
      <c r="AA138" s="33"/>
      <c r="AB138" s="7"/>
      <c r="AC138" s="7"/>
      <c r="AD138" s="1"/>
      <c r="AE138" s="1"/>
    </row>
    <row r="139" spans="1:31" x14ac:dyDescent="0.25">
      <c r="A139" s="3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9"/>
      <c r="P139" s="7"/>
      <c r="Q139" s="7"/>
      <c r="R139" s="33"/>
      <c r="S139" s="33"/>
      <c r="T139" s="33"/>
      <c r="U139" s="7"/>
      <c r="V139" s="32"/>
      <c r="W139" s="33"/>
      <c r="X139" s="7"/>
      <c r="Y139" s="7"/>
      <c r="Z139" s="32"/>
      <c r="AA139" s="33"/>
      <c r="AB139" s="7"/>
      <c r="AC139" s="7"/>
      <c r="AD139" s="1"/>
      <c r="AE139" s="1"/>
    </row>
    <row r="140" spans="1:31" x14ac:dyDescent="0.25">
      <c r="A140" s="3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9"/>
      <c r="P140" s="7"/>
      <c r="Q140" s="7"/>
      <c r="R140" s="33"/>
      <c r="S140" s="33"/>
      <c r="T140" s="33"/>
      <c r="U140" s="7"/>
      <c r="V140" s="32"/>
      <c r="W140" s="33"/>
      <c r="X140" s="7"/>
      <c r="Y140" s="7"/>
      <c r="Z140" s="32"/>
      <c r="AA140" s="33"/>
      <c r="AB140" s="7"/>
      <c r="AC140" s="7"/>
      <c r="AD140" s="1"/>
      <c r="AE140" s="1"/>
    </row>
    <row r="141" spans="1:31" x14ac:dyDescent="0.25">
      <c r="A141" s="3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9"/>
      <c r="P141" s="7"/>
      <c r="Q141" s="7"/>
      <c r="R141" s="33"/>
      <c r="S141" s="33"/>
      <c r="T141" s="33"/>
      <c r="U141" s="7"/>
      <c r="V141" s="32"/>
      <c r="W141" s="33"/>
      <c r="X141" s="7"/>
      <c r="Y141" s="7"/>
      <c r="Z141" s="32"/>
      <c r="AA141" s="33"/>
      <c r="AB141" s="7"/>
      <c r="AC141" s="7"/>
      <c r="AD141" s="1"/>
      <c r="AE141" s="1"/>
    </row>
    <row r="142" spans="1:31" x14ac:dyDescent="0.25">
      <c r="A142" s="3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9"/>
      <c r="P142" s="7"/>
      <c r="Q142" s="7"/>
      <c r="R142" s="33"/>
      <c r="S142" s="33"/>
      <c r="T142" s="33"/>
      <c r="U142" s="7"/>
      <c r="V142" s="32"/>
      <c r="W142" s="33"/>
      <c r="X142" s="7"/>
      <c r="Y142" s="7"/>
      <c r="Z142" s="32"/>
      <c r="AA142" s="33"/>
      <c r="AB142" s="7"/>
      <c r="AC142" s="7"/>
      <c r="AD142" s="1"/>
      <c r="AE142" s="1"/>
    </row>
    <row r="143" spans="1:31" x14ac:dyDescent="0.25">
      <c r="A143" s="3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9"/>
      <c r="P143" s="7"/>
      <c r="Q143" s="7"/>
      <c r="R143" s="33"/>
      <c r="S143" s="33"/>
      <c r="T143" s="33"/>
      <c r="U143" s="7"/>
      <c r="V143" s="32"/>
      <c r="W143" s="33"/>
      <c r="X143" s="7"/>
      <c r="Y143" s="7"/>
      <c r="Z143" s="32"/>
      <c r="AA143" s="33"/>
      <c r="AB143" s="7"/>
      <c r="AC143" s="7"/>
      <c r="AD143" s="1"/>
      <c r="AE143" s="1"/>
    </row>
    <row r="144" spans="1:31" x14ac:dyDescent="0.25">
      <c r="A144" s="3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9"/>
      <c r="P144" s="7"/>
      <c r="Q144" s="7"/>
      <c r="R144" s="33"/>
      <c r="S144" s="33"/>
      <c r="T144" s="33"/>
      <c r="U144" s="7"/>
      <c r="V144" s="32"/>
      <c r="W144" s="33"/>
      <c r="X144" s="7"/>
      <c r="Y144" s="7"/>
      <c r="Z144" s="32"/>
      <c r="AA144" s="33"/>
      <c r="AB144" s="7"/>
      <c r="AC144" s="7"/>
      <c r="AD144" s="1"/>
      <c r="AE144" s="1"/>
    </row>
    <row r="145" spans="1:31" x14ac:dyDescent="0.25">
      <c r="A145" s="3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9"/>
      <c r="P145" s="7"/>
      <c r="Q145" s="7"/>
      <c r="R145" s="33"/>
      <c r="S145" s="33"/>
      <c r="T145" s="33"/>
      <c r="U145" s="7"/>
      <c r="V145" s="32"/>
      <c r="W145" s="33"/>
      <c r="X145" s="7"/>
      <c r="Y145" s="7"/>
      <c r="Z145" s="32"/>
      <c r="AA145" s="33"/>
      <c r="AB145" s="7"/>
      <c r="AC145" s="7"/>
      <c r="AD145" s="1"/>
      <c r="AE145" s="1"/>
    </row>
    <row r="146" spans="1:31" x14ac:dyDescent="0.25">
      <c r="A146" s="3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9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x14ac:dyDescent="0.25">
      <c r="A147" s="3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9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x14ac:dyDescent="0.25">
      <c r="A148" s="3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9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x14ac:dyDescent="0.25">
      <c r="A149" s="3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9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x14ac:dyDescent="0.25">
      <c r="A150" s="3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9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x14ac:dyDescent="0.25">
      <c r="A151" s="3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9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x14ac:dyDescent="0.25">
      <c r="A152" s="3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x14ac:dyDescent="0.25">
      <c r="A153" s="3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x14ac:dyDescent="0.25">
      <c r="A154" s="3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x14ac:dyDescent="0.25">
      <c r="A155" s="3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x14ac:dyDescent="0.25">
      <c r="A156" s="3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x14ac:dyDescent="0.25">
      <c r="A157" s="3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 x14ac:dyDescent="0.25">
      <c r="A158" s="3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x14ac:dyDescent="0.25">
      <c r="A159" s="3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x14ac:dyDescent="0.25">
      <c r="A160" s="3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x14ac:dyDescent="0.25">
      <c r="A161" s="3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x14ac:dyDescent="0.25">
      <c r="A162" s="3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x14ac:dyDescent="0.25">
      <c r="A163" s="3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x14ac:dyDescent="0.25">
      <c r="A164" s="3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x14ac:dyDescent="0.25">
      <c r="A165" s="3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x14ac:dyDescent="0.25">
      <c r="A166" s="3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x14ac:dyDescent="0.25">
      <c r="A167" s="3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x14ac:dyDescent="0.25">
      <c r="A168" s="3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x14ac:dyDescent="0.25">
      <c r="A169" s="3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x14ac:dyDescent="0.25">
      <c r="A170" s="3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x14ac:dyDescent="0.25">
      <c r="A171" s="3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9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x14ac:dyDescent="0.25">
      <c r="A172" s="3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9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x14ac:dyDescent="0.25">
      <c r="A173" s="3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9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x14ac:dyDescent="0.25">
      <c r="A174" s="3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9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x14ac:dyDescent="0.25">
      <c r="A175" s="3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9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x14ac:dyDescent="0.25">
      <c r="A176" s="3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9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x14ac:dyDescent="0.25">
      <c r="A177" s="3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9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25">
      <c r="A178" s="3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9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25">
      <c r="A179" s="3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9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25">
      <c r="A180" s="3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9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5">
      <c r="A181" s="3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9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25">
      <c r="A182" s="3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9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x14ac:dyDescent="0.25">
      <c r="A183" s="3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9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x14ac:dyDescent="0.25">
      <c r="A184" s="3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9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x14ac:dyDescent="0.25">
      <c r="A185" s="3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9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x14ac:dyDescent="0.25">
      <c r="A186" s="3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9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x14ac:dyDescent="0.25">
      <c r="A187" s="3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9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x14ac:dyDescent="0.25">
      <c r="A188" s="3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9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x14ac:dyDescent="0.25">
      <c r="A189" s="3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9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x14ac:dyDescent="0.25">
      <c r="A190" s="3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9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x14ac:dyDescent="0.25">
      <c r="A191" s="3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9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x14ac:dyDescent="0.25">
      <c r="A192" s="3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9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25">
      <c r="A193" s="3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9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5">
      <c r="A194" s="3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9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5">
      <c r="A195" s="3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9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x14ac:dyDescent="0.25">
      <c r="A196" s="3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9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x14ac:dyDescent="0.25">
      <c r="A197" s="3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9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5">
      <c r="A198" s="3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9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5">
      <c r="A199" s="3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9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5">
      <c r="A200" s="3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9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5">
      <c r="B201" s="39"/>
    </row>
    <row r="202" spans="1:31" x14ac:dyDescent="0.25">
      <c r="B202" s="39"/>
    </row>
    <row r="203" spans="1:31" x14ac:dyDescent="0.25">
      <c r="B203" s="39"/>
    </row>
    <row r="204" spans="1:31" x14ac:dyDescent="0.25">
      <c r="B204" s="39"/>
    </row>
    <row r="205" spans="1:31" x14ac:dyDescent="0.25">
      <c r="B205" s="39"/>
    </row>
    <row r="206" spans="1:31" x14ac:dyDescent="0.25">
      <c r="B206" s="39"/>
    </row>
    <row r="207" spans="1:31" x14ac:dyDescent="0.25">
      <c r="B207" s="39"/>
    </row>
    <row r="208" spans="1:31" x14ac:dyDescent="0.25">
      <c r="B208" s="39"/>
    </row>
    <row r="209" spans="2:2" x14ac:dyDescent="0.25">
      <c r="B209" s="39"/>
    </row>
    <row r="210" spans="2:2" x14ac:dyDescent="0.25">
      <c r="B210" s="39"/>
    </row>
    <row r="211" spans="2:2" x14ac:dyDescent="0.25">
      <c r="B211" s="39"/>
    </row>
    <row r="212" spans="2:2" x14ac:dyDescent="0.25">
      <c r="B212" s="39"/>
    </row>
    <row r="213" spans="2:2" x14ac:dyDescent="0.25">
      <c r="B213" s="39"/>
    </row>
    <row r="214" spans="2:2" x14ac:dyDescent="0.25">
      <c r="B214" s="39"/>
    </row>
    <row r="215" spans="2:2" x14ac:dyDescent="0.25">
      <c r="B215" s="39"/>
    </row>
    <row r="216" spans="2:2" x14ac:dyDescent="0.25">
      <c r="B216" s="39"/>
    </row>
    <row r="217" spans="2:2" x14ac:dyDescent="0.25">
      <c r="B217" s="39"/>
    </row>
    <row r="218" spans="2:2" x14ac:dyDescent="0.25">
      <c r="B218" s="39"/>
    </row>
    <row r="219" spans="2:2" x14ac:dyDescent="0.25">
      <c r="B219" s="39"/>
    </row>
    <row r="220" spans="2:2" x14ac:dyDescent="0.25">
      <c r="B220" s="39"/>
    </row>
    <row r="221" spans="2:2" x14ac:dyDescent="0.25">
      <c r="B221" s="39"/>
    </row>
    <row r="222" spans="2:2" x14ac:dyDescent="0.25">
      <c r="B222" s="39"/>
    </row>
    <row r="223" spans="2:2" x14ac:dyDescent="0.25">
      <c r="B223" s="39"/>
    </row>
    <row r="224" spans="2:2" x14ac:dyDescent="0.25">
      <c r="B224" s="39"/>
    </row>
    <row r="225" spans="2:2" x14ac:dyDescent="0.25">
      <c r="B225" s="39"/>
    </row>
    <row r="226" spans="2:2" x14ac:dyDescent="0.25">
      <c r="B226" s="39"/>
    </row>
    <row r="227" spans="2:2" x14ac:dyDescent="0.25">
      <c r="B227" s="39"/>
    </row>
    <row r="228" spans="2:2" x14ac:dyDescent="0.25">
      <c r="B228" s="39"/>
    </row>
    <row r="229" spans="2:2" x14ac:dyDescent="0.25">
      <c r="B229" s="39"/>
    </row>
    <row r="230" spans="2:2" x14ac:dyDescent="0.25">
      <c r="B230" s="39"/>
    </row>
    <row r="231" spans="2:2" x14ac:dyDescent="0.25">
      <c r="B231" s="39"/>
    </row>
    <row r="232" spans="2:2" x14ac:dyDescent="0.25">
      <c r="B232" s="39"/>
    </row>
    <row r="233" spans="2:2" x14ac:dyDescent="0.25">
      <c r="B233" s="39"/>
    </row>
    <row r="234" spans="2:2" x14ac:dyDescent="0.25">
      <c r="B234" s="39"/>
    </row>
    <row r="235" spans="2:2" x14ac:dyDescent="0.25">
      <c r="B235" s="39"/>
    </row>
    <row r="236" spans="2:2" x14ac:dyDescent="0.25">
      <c r="B236" s="39"/>
    </row>
    <row r="237" spans="2:2" x14ac:dyDescent="0.25">
      <c r="B237" s="39"/>
    </row>
    <row r="238" spans="2:2" x14ac:dyDescent="0.25">
      <c r="B238" s="39"/>
    </row>
    <row r="239" spans="2:2" x14ac:dyDescent="0.25">
      <c r="B239" s="39"/>
    </row>
    <row r="240" spans="2:2" x14ac:dyDescent="0.25">
      <c r="B240" s="39"/>
    </row>
    <row r="241" spans="2:2" x14ac:dyDescent="0.25">
      <c r="B241" s="39"/>
    </row>
    <row r="242" spans="2:2" x14ac:dyDescent="0.25">
      <c r="B242" s="39"/>
    </row>
    <row r="243" spans="2:2" x14ac:dyDescent="0.25">
      <c r="B243" s="39"/>
    </row>
    <row r="244" spans="2:2" x14ac:dyDescent="0.25">
      <c r="B244" s="39"/>
    </row>
    <row r="245" spans="2:2" x14ac:dyDescent="0.25">
      <c r="B245" s="39"/>
    </row>
    <row r="246" spans="2:2" x14ac:dyDescent="0.25">
      <c r="B246" s="39"/>
    </row>
    <row r="247" spans="2:2" x14ac:dyDescent="0.25">
      <c r="B247" s="39"/>
    </row>
    <row r="248" spans="2:2" x14ac:dyDescent="0.25">
      <c r="B248" s="39"/>
    </row>
    <row r="249" spans="2:2" x14ac:dyDescent="0.25">
      <c r="B249" s="39"/>
    </row>
    <row r="250" spans="2:2" x14ac:dyDescent="0.25">
      <c r="B250" s="39"/>
    </row>
    <row r="251" spans="2:2" x14ac:dyDescent="0.25">
      <c r="B251" s="39"/>
    </row>
    <row r="252" spans="2:2" x14ac:dyDescent="0.25">
      <c r="B252" s="39"/>
    </row>
    <row r="253" spans="2:2" x14ac:dyDescent="0.25">
      <c r="B253" s="39"/>
    </row>
    <row r="254" spans="2:2" x14ac:dyDescent="0.25">
      <c r="B254" s="39"/>
    </row>
    <row r="255" spans="2:2" x14ac:dyDescent="0.25">
      <c r="B255" s="39"/>
    </row>
    <row r="256" spans="2:2" x14ac:dyDescent="0.25">
      <c r="B256" s="39"/>
    </row>
    <row r="257" spans="2:2" x14ac:dyDescent="0.25">
      <c r="B257" s="39"/>
    </row>
    <row r="258" spans="2:2" x14ac:dyDescent="0.25">
      <c r="B258" s="39"/>
    </row>
    <row r="259" spans="2:2" x14ac:dyDescent="0.25">
      <c r="B259" s="39"/>
    </row>
    <row r="260" spans="2:2" x14ac:dyDescent="0.25">
      <c r="B260" s="39"/>
    </row>
    <row r="261" spans="2:2" x14ac:dyDescent="0.25">
      <c r="B261" s="39"/>
    </row>
    <row r="262" spans="2:2" x14ac:dyDescent="0.25">
      <c r="B262" s="39"/>
    </row>
    <row r="263" spans="2:2" x14ac:dyDescent="0.25">
      <c r="B263" s="39"/>
    </row>
    <row r="264" spans="2:2" x14ac:dyDescent="0.25">
      <c r="B264" s="39"/>
    </row>
    <row r="265" spans="2:2" x14ac:dyDescent="0.25">
      <c r="B265" s="39"/>
    </row>
    <row r="266" spans="2:2" x14ac:dyDescent="0.25">
      <c r="B266" s="39"/>
    </row>
    <row r="267" spans="2:2" x14ac:dyDescent="0.25">
      <c r="B267" s="39"/>
    </row>
    <row r="268" spans="2:2" x14ac:dyDescent="0.25">
      <c r="B268" s="39"/>
    </row>
    <row r="269" spans="2:2" x14ac:dyDescent="0.25">
      <c r="B269" s="39"/>
    </row>
    <row r="270" spans="2:2" x14ac:dyDescent="0.25">
      <c r="B270" s="39"/>
    </row>
    <row r="271" spans="2:2" x14ac:dyDescent="0.25">
      <c r="B271" s="39"/>
    </row>
    <row r="272" spans="2:2" x14ac:dyDescent="0.25">
      <c r="B272" s="39"/>
    </row>
    <row r="273" spans="2:2" x14ac:dyDescent="0.25">
      <c r="B273" s="39"/>
    </row>
    <row r="274" spans="2:2" x14ac:dyDescent="0.25">
      <c r="B274" s="39"/>
    </row>
    <row r="275" spans="2:2" x14ac:dyDescent="0.25">
      <c r="B275" s="39"/>
    </row>
    <row r="276" spans="2:2" x14ac:dyDescent="0.25">
      <c r="B276" s="39"/>
    </row>
    <row r="277" spans="2:2" x14ac:dyDescent="0.25">
      <c r="B277" s="39"/>
    </row>
    <row r="278" spans="2:2" x14ac:dyDescent="0.25">
      <c r="B278" s="39"/>
    </row>
    <row r="279" spans="2:2" x14ac:dyDescent="0.25">
      <c r="B279" s="39"/>
    </row>
    <row r="280" spans="2:2" x14ac:dyDescent="0.25">
      <c r="B280" s="39"/>
    </row>
    <row r="281" spans="2:2" x14ac:dyDescent="0.25">
      <c r="B281" s="39"/>
    </row>
    <row r="282" spans="2:2" x14ac:dyDescent="0.25">
      <c r="B282" s="39"/>
    </row>
    <row r="283" spans="2:2" x14ac:dyDescent="0.25">
      <c r="B283" s="39"/>
    </row>
    <row r="284" spans="2:2" x14ac:dyDescent="0.25">
      <c r="B284" s="39"/>
    </row>
    <row r="285" spans="2:2" x14ac:dyDescent="0.25">
      <c r="B285" s="39"/>
    </row>
    <row r="286" spans="2:2" x14ac:dyDescent="0.25">
      <c r="B286" s="39"/>
    </row>
    <row r="287" spans="2:2" x14ac:dyDescent="0.25">
      <c r="B287" s="39"/>
    </row>
    <row r="288" spans="2:2" x14ac:dyDescent="0.25">
      <c r="B288" s="39"/>
    </row>
    <row r="289" spans="2:2" x14ac:dyDescent="0.25">
      <c r="B289" s="39"/>
    </row>
    <row r="290" spans="2:2" x14ac:dyDescent="0.25">
      <c r="B290" s="39"/>
    </row>
    <row r="291" spans="2:2" x14ac:dyDescent="0.25">
      <c r="B291" s="39"/>
    </row>
    <row r="292" spans="2:2" x14ac:dyDescent="0.25">
      <c r="B292" s="39"/>
    </row>
    <row r="293" spans="2:2" x14ac:dyDescent="0.25">
      <c r="B293" s="39"/>
    </row>
    <row r="294" spans="2:2" x14ac:dyDescent="0.25">
      <c r="B294" s="39"/>
    </row>
    <row r="295" spans="2:2" x14ac:dyDescent="0.25">
      <c r="B295" s="39"/>
    </row>
    <row r="296" spans="2:2" x14ac:dyDescent="0.25">
      <c r="B296" s="39"/>
    </row>
    <row r="297" spans="2:2" x14ac:dyDescent="0.25">
      <c r="B297" s="39"/>
    </row>
    <row r="298" spans="2:2" x14ac:dyDescent="0.25">
      <c r="B298" s="39"/>
    </row>
    <row r="299" spans="2:2" x14ac:dyDescent="0.25">
      <c r="B299" s="39"/>
    </row>
    <row r="300" spans="2:2" x14ac:dyDescent="0.25">
      <c r="B300" s="39"/>
    </row>
    <row r="301" spans="2:2" x14ac:dyDescent="0.25">
      <c r="B301" s="39"/>
    </row>
    <row r="302" spans="2:2" x14ac:dyDescent="0.25">
      <c r="B302" s="39"/>
    </row>
    <row r="303" spans="2:2" x14ac:dyDescent="0.25">
      <c r="B303" s="39"/>
    </row>
    <row r="304" spans="2:2" x14ac:dyDescent="0.25">
      <c r="B304" s="39"/>
    </row>
    <row r="305" spans="2:2" x14ac:dyDescent="0.25">
      <c r="B305" s="39"/>
    </row>
    <row r="306" spans="2:2" x14ac:dyDescent="0.25">
      <c r="B306" s="39"/>
    </row>
    <row r="307" spans="2:2" x14ac:dyDescent="0.25">
      <c r="B307" s="39"/>
    </row>
    <row r="308" spans="2:2" x14ac:dyDescent="0.25">
      <c r="B308" s="39"/>
    </row>
    <row r="309" spans="2:2" x14ac:dyDescent="0.25">
      <c r="B309" s="39"/>
    </row>
    <row r="310" spans="2:2" x14ac:dyDescent="0.25">
      <c r="B310" s="39"/>
    </row>
    <row r="311" spans="2:2" x14ac:dyDescent="0.25">
      <c r="B311" s="39"/>
    </row>
    <row r="312" spans="2:2" x14ac:dyDescent="0.25">
      <c r="B312" s="39"/>
    </row>
    <row r="313" spans="2:2" x14ac:dyDescent="0.25">
      <c r="B313" s="39"/>
    </row>
    <row r="314" spans="2:2" x14ac:dyDescent="0.25">
      <c r="B314" s="39"/>
    </row>
    <row r="315" spans="2:2" x14ac:dyDescent="0.25">
      <c r="B315" s="39"/>
    </row>
    <row r="316" spans="2:2" x14ac:dyDescent="0.25">
      <c r="B316" s="39"/>
    </row>
    <row r="317" spans="2:2" x14ac:dyDescent="0.25">
      <c r="B317" s="39"/>
    </row>
    <row r="318" spans="2:2" x14ac:dyDescent="0.25">
      <c r="B318" s="39"/>
    </row>
    <row r="319" spans="2:2" x14ac:dyDescent="0.25">
      <c r="B319" s="39"/>
    </row>
    <row r="320" spans="2:2" x14ac:dyDescent="0.25">
      <c r="B320" s="39"/>
    </row>
    <row r="321" spans="2:2" x14ac:dyDescent="0.25">
      <c r="B321" s="39"/>
    </row>
    <row r="322" spans="2:2" x14ac:dyDescent="0.25">
      <c r="B322" s="39"/>
    </row>
    <row r="323" spans="2:2" x14ac:dyDescent="0.25">
      <c r="B323" s="39"/>
    </row>
    <row r="324" spans="2:2" x14ac:dyDescent="0.25">
      <c r="B324" s="39"/>
    </row>
    <row r="325" spans="2:2" x14ac:dyDescent="0.25">
      <c r="B325" s="39"/>
    </row>
    <row r="326" spans="2:2" x14ac:dyDescent="0.25">
      <c r="B326" s="39"/>
    </row>
    <row r="327" spans="2:2" x14ac:dyDescent="0.25">
      <c r="B327" s="39"/>
    </row>
    <row r="328" spans="2:2" x14ac:dyDescent="0.25">
      <c r="B328" s="39"/>
    </row>
    <row r="329" spans="2:2" x14ac:dyDescent="0.25">
      <c r="B329" s="39"/>
    </row>
    <row r="330" spans="2:2" x14ac:dyDescent="0.25">
      <c r="B330" s="39"/>
    </row>
    <row r="331" spans="2:2" x14ac:dyDescent="0.25">
      <c r="B331" s="39"/>
    </row>
    <row r="332" spans="2:2" x14ac:dyDescent="0.25">
      <c r="B332" s="39"/>
    </row>
    <row r="333" spans="2:2" x14ac:dyDescent="0.25">
      <c r="B333" s="39"/>
    </row>
    <row r="334" spans="2:2" x14ac:dyDescent="0.25">
      <c r="B334" s="39"/>
    </row>
    <row r="335" spans="2:2" x14ac:dyDescent="0.25">
      <c r="B335" s="39"/>
    </row>
    <row r="336" spans="2:2" x14ac:dyDescent="0.25">
      <c r="B336" s="39"/>
    </row>
    <row r="337" spans="2:2" x14ac:dyDescent="0.25">
      <c r="B337" s="39"/>
    </row>
    <row r="338" spans="2:2" x14ac:dyDescent="0.25">
      <c r="B338" s="39"/>
    </row>
    <row r="339" spans="2:2" x14ac:dyDescent="0.25">
      <c r="B339" s="39"/>
    </row>
    <row r="340" spans="2:2" x14ac:dyDescent="0.25">
      <c r="B340" s="39"/>
    </row>
    <row r="341" spans="2:2" x14ac:dyDescent="0.25">
      <c r="B341" s="39"/>
    </row>
    <row r="342" spans="2:2" x14ac:dyDescent="0.25">
      <c r="B342" s="39"/>
    </row>
    <row r="343" spans="2:2" x14ac:dyDescent="0.25">
      <c r="B343" s="39"/>
    </row>
    <row r="344" spans="2:2" x14ac:dyDescent="0.25">
      <c r="B344" s="39"/>
    </row>
    <row r="345" spans="2:2" x14ac:dyDescent="0.25">
      <c r="B345" s="39"/>
    </row>
    <row r="346" spans="2:2" x14ac:dyDescent="0.25">
      <c r="B346" s="39"/>
    </row>
    <row r="347" spans="2:2" x14ac:dyDescent="0.25">
      <c r="B347" s="39"/>
    </row>
    <row r="348" spans="2:2" x14ac:dyDescent="0.25">
      <c r="B348" s="39"/>
    </row>
    <row r="349" spans="2:2" x14ac:dyDescent="0.25">
      <c r="B349" s="39"/>
    </row>
    <row r="350" spans="2:2" x14ac:dyDescent="0.25">
      <c r="B350" s="39"/>
    </row>
    <row r="351" spans="2:2" x14ac:dyDescent="0.25">
      <c r="B351" s="39"/>
    </row>
    <row r="352" spans="2:2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195">
    <sortState ref="B4:AC195">
      <sortCondition descending="1" ref="U3:U195"/>
    </sortState>
  </autoFilter>
  <mergeCells count="4">
    <mergeCell ref="B1:C2"/>
    <mergeCell ref="T2:U2"/>
    <mergeCell ref="V2:Y2"/>
    <mergeCell ref="Z2:AC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earcall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B1777"/>
  <sheetViews>
    <sheetView topLeftCell="A1756" workbookViewId="0">
      <selection activeCell="B2" sqref="B2"/>
    </sheetView>
  </sheetViews>
  <sheetFormatPr defaultRowHeight="15" x14ac:dyDescent="0.25"/>
  <sheetData>
    <row r="2" spans="2:2" x14ac:dyDescent="0.25">
      <c r="B2" t="s">
        <v>24</v>
      </c>
    </row>
    <row r="3" spans="2:2" x14ac:dyDescent="0.25">
      <c r="B3" t="str">
        <f>mrigxl_stocklist()</f>
        <v>REPRO</v>
      </c>
    </row>
    <row r="4" spans="2:2" x14ac:dyDescent="0.25">
      <c r="B4" t="s">
        <v>1726</v>
      </c>
    </row>
    <row r="5" spans="2:2" x14ac:dyDescent="0.25">
      <c r="B5" t="s">
        <v>933</v>
      </c>
    </row>
    <row r="6" spans="2:2" x14ac:dyDescent="0.25">
      <c r="B6" t="s">
        <v>1475</v>
      </c>
    </row>
    <row r="7" spans="2:2" x14ac:dyDescent="0.25">
      <c r="B7" t="s">
        <v>1353</v>
      </c>
    </row>
    <row r="8" spans="2:2" x14ac:dyDescent="0.25">
      <c r="B8" t="s">
        <v>547</v>
      </c>
    </row>
    <row r="9" spans="2:2" x14ac:dyDescent="0.25">
      <c r="B9" t="s">
        <v>16</v>
      </c>
    </row>
    <row r="10" spans="2:2" x14ac:dyDescent="0.25">
      <c r="B10" t="s">
        <v>486</v>
      </c>
    </row>
    <row r="11" spans="2:2" x14ac:dyDescent="0.25">
      <c r="B11" t="s">
        <v>1213</v>
      </c>
    </row>
    <row r="12" spans="2:2" x14ac:dyDescent="0.25">
      <c r="B12" t="s">
        <v>929</v>
      </c>
    </row>
    <row r="13" spans="2:2" x14ac:dyDescent="0.25">
      <c r="B13" t="s">
        <v>92</v>
      </c>
    </row>
    <row r="14" spans="2:2" x14ac:dyDescent="0.25">
      <c r="B14" t="s">
        <v>166</v>
      </c>
    </row>
    <row r="15" spans="2:2" x14ac:dyDescent="0.25">
      <c r="B15" t="s">
        <v>1505</v>
      </c>
    </row>
    <row r="16" spans="2:2" x14ac:dyDescent="0.25">
      <c r="B16" t="s">
        <v>270</v>
      </c>
    </row>
    <row r="17" spans="2:2" x14ac:dyDescent="0.25">
      <c r="B17" t="s">
        <v>718</v>
      </c>
    </row>
    <row r="18" spans="2:2" x14ac:dyDescent="0.25">
      <c r="B18" t="s">
        <v>118</v>
      </c>
    </row>
    <row r="19" spans="2:2" x14ac:dyDescent="0.25">
      <c r="B19" t="s">
        <v>1425</v>
      </c>
    </row>
    <row r="20" spans="2:2" x14ac:dyDescent="0.25">
      <c r="B20" t="s">
        <v>1021</v>
      </c>
    </row>
    <row r="21" spans="2:2" x14ac:dyDescent="0.25">
      <c r="B21" t="s">
        <v>947</v>
      </c>
    </row>
    <row r="22" spans="2:2" x14ac:dyDescent="0.25">
      <c r="B22" t="s">
        <v>711</v>
      </c>
    </row>
    <row r="23" spans="2:2" x14ac:dyDescent="0.25">
      <c r="B23" t="s">
        <v>1564</v>
      </c>
    </row>
    <row r="24" spans="2:2" x14ac:dyDescent="0.25">
      <c r="B24" t="s">
        <v>1283</v>
      </c>
    </row>
    <row r="25" spans="2:2" x14ac:dyDescent="0.25">
      <c r="B25" t="s">
        <v>984</v>
      </c>
    </row>
    <row r="26" spans="2:2" x14ac:dyDescent="0.25">
      <c r="B26" t="s">
        <v>1248</v>
      </c>
    </row>
    <row r="27" spans="2:2" x14ac:dyDescent="0.25">
      <c r="B27" t="s">
        <v>918</v>
      </c>
    </row>
    <row r="28" spans="2:2" x14ac:dyDescent="0.25">
      <c r="B28" t="s">
        <v>1097</v>
      </c>
    </row>
    <row r="29" spans="2:2" x14ac:dyDescent="0.25">
      <c r="B29" t="s">
        <v>965</v>
      </c>
    </row>
    <row r="30" spans="2:2" x14ac:dyDescent="0.25">
      <c r="B30" t="s">
        <v>1638</v>
      </c>
    </row>
    <row r="31" spans="2:2" x14ac:dyDescent="0.25">
      <c r="B31" t="s">
        <v>1166</v>
      </c>
    </row>
    <row r="32" spans="2:2" x14ac:dyDescent="0.25">
      <c r="B32" t="s">
        <v>640</v>
      </c>
    </row>
    <row r="33" spans="2:2" x14ac:dyDescent="0.25">
      <c r="B33" t="s">
        <v>1456</v>
      </c>
    </row>
    <row r="34" spans="2:2" x14ac:dyDescent="0.25">
      <c r="B34" t="s">
        <v>837</v>
      </c>
    </row>
    <row r="35" spans="2:2" x14ac:dyDescent="0.25">
      <c r="B35" t="s">
        <v>1540</v>
      </c>
    </row>
    <row r="36" spans="2:2" x14ac:dyDescent="0.25">
      <c r="B36" t="s">
        <v>977</v>
      </c>
    </row>
    <row r="37" spans="2:2" x14ac:dyDescent="0.25">
      <c r="B37" t="s">
        <v>859</v>
      </c>
    </row>
    <row r="38" spans="2:2" x14ac:dyDescent="0.25">
      <c r="B38" t="s">
        <v>846</v>
      </c>
    </row>
    <row r="39" spans="2:2" x14ac:dyDescent="0.25">
      <c r="B39" t="s">
        <v>537</v>
      </c>
    </row>
    <row r="40" spans="2:2" x14ac:dyDescent="0.25">
      <c r="B40" t="s">
        <v>1709</v>
      </c>
    </row>
    <row r="41" spans="2:2" x14ac:dyDescent="0.25">
      <c r="B41" t="s">
        <v>188</v>
      </c>
    </row>
    <row r="42" spans="2:2" x14ac:dyDescent="0.25">
      <c r="B42" t="s">
        <v>329</v>
      </c>
    </row>
    <row r="43" spans="2:2" x14ac:dyDescent="0.25">
      <c r="B43" t="s">
        <v>1332</v>
      </c>
    </row>
    <row r="44" spans="2:2" x14ac:dyDescent="0.25">
      <c r="B44" t="s">
        <v>1020</v>
      </c>
    </row>
    <row r="45" spans="2:2" x14ac:dyDescent="0.25">
      <c r="B45" t="s">
        <v>1517</v>
      </c>
    </row>
    <row r="46" spans="2:2" x14ac:dyDescent="0.25">
      <c r="B46" t="s">
        <v>1080</v>
      </c>
    </row>
    <row r="47" spans="2:2" x14ac:dyDescent="0.25">
      <c r="B47" t="s">
        <v>681</v>
      </c>
    </row>
    <row r="48" spans="2:2" x14ac:dyDescent="0.25">
      <c r="B48" t="s">
        <v>124</v>
      </c>
    </row>
    <row r="49" spans="2:2" x14ac:dyDescent="0.25">
      <c r="B49" t="s">
        <v>484</v>
      </c>
    </row>
    <row r="50" spans="2:2" x14ac:dyDescent="0.25">
      <c r="B50" t="s">
        <v>127</v>
      </c>
    </row>
    <row r="51" spans="2:2" x14ac:dyDescent="0.25">
      <c r="B51" t="s">
        <v>426</v>
      </c>
    </row>
    <row r="52" spans="2:2" x14ac:dyDescent="0.25">
      <c r="B52" t="s">
        <v>1389</v>
      </c>
    </row>
    <row r="53" spans="2:2" x14ac:dyDescent="0.25">
      <c r="B53" t="s">
        <v>1394</v>
      </c>
    </row>
    <row r="54" spans="2:2" x14ac:dyDescent="0.25">
      <c r="B54" t="s">
        <v>9</v>
      </c>
    </row>
    <row r="55" spans="2:2" x14ac:dyDescent="0.25">
      <c r="B55" t="s">
        <v>1507</v>
      </c>
    </row>
    <row r="56" spans="2:2" x14ac:dyDescent="0.25">
      <c r="B56" t="s">
        <v>1372</v>
      </c>
    </row>
    <row r="57" spans="2:2" x14ac:dyDescent="0.25">
      <c r="B57" t="s">
        <v>526</v>
      </c>
    </row>
    <row r="58" spans="2:2" x14ac:dyDescent="0.25">
      <c r="B58" t="s">
        <v>1008</v>
      </c>
    </row>
    <row r="59" spans="2:2" x14ac:dyDescent="0.25">
      <c r="B59" t="s">
        <v>1644</v>
      </c>
    </row>
    <row r="60" spans="2:2" x14ac:dyDescent="0.25">
      <c r="B60" t="s">
        <v>106</v>
      </c>
    </row>
    <row r="61" spans="2:2" x14ac:dyDescent="0.25">
      <c r="B61" t="s">
        <v>1117</v>
      </c>
    </row>
    <row r="62" spans="2:2" x14ac:dyDescent="0.25">
      <c r="B62" t="s">
        <v>52</v>
      </c>
    </row>
    <row r="63" spans="2:2" x14ac:dyDescent="0.25">
      <c r="B63" t="s">
        <v>879</v>
      </c>
    </row>
    <row r="64" spans="2:2" x14ac:dyDescent="0.25">
      <c r="B64" t="s">
        <v>1110</v>
      </c>
    </row>
    <row r="65" spans="2:2" x14ac:dyDescent="0.25">
      <c r="B65" t="s">
        <v>606</v>
      </c>
    </row>
    <row r="66" spans="2:2" x14ac:dyDescent="0.25">
      <c r="B66" t="s">
        <v>1684</v>
      </c>
    </row>
    <row r="67" spans="2:2" x14ac:dyDescent="0.25">
      <c r="B67" t="s">
        <v>1571</v>
      </c>
    </row>
    <row r="68" spans="2:2" x14ac:dyDescent="0.25">
      <c r="B68" t="s">
        <v>265</v>
      </c>
    </row>
    <row r="69" spans="2:2" x14ac:dyDescent="0.25">
      <c r="B69" t="s">
        <v>1740</v>
      </c>
    </row>
    <row r="70" spans="2:2" x14ac:dyDescent="0.25">
      <c r="B70" t="s">
        <v>1344</v>
      </c>
    </row>
    <row r="71" spans="2:2" x14ac:dyDescent="0.25">
      <c r="B71" t="s">
        <v>42</v>
      </c>
    </row>
    <row r="72" spans="2:2" x14ac:dyDescent="0.25">
      <c r="B72" t="s">
        <v>737</v>
      </c>
    </row>
    <row r="73" spans="2:2" x14ac:dyDescent="0.25">
      <c r="B73" t="s">
        <v>1260</v>
      </c>
    </row>
    <row r="74" spans="2:2" x14ac:dyDescent="0.25">
      <c r="B74" t="s">
        <v>492</v>
      </c>
    </row>
    <row r="75" spans="2:2" x14ac:dyDescent="0.25">
      <c r="B75" t="s">
        <v>1082</v>
      </c>
    </row>
    <row r="76" spans="2:2" x14ac:dyDescent="0.25">
      <c r="B76" t="s">
        <v>1502</v>
      </c>
    </row>
    <row r="77" spans="2:2" x14ac:dyDescent="0.25">
      <c r="B77" t="s">
        <v>132</v>
      </c>
    </row>
    <row r="78" spans="2:2" x14ac:dyDescent="0.25">
      <c r="B78" t="s">
        <v>1364</v>
      </c>
    </row>
    <row r="79" spans="2:2" x14ac:dyDescent="0.25">
      <c r="B79" t="s">
        <v>1208</v>
      </c>
    </row>
    <row r="80" spans="2:2" x14ac:dyDescent="0.25">
      <c r="B80" t="s">
        <v>829</v>
      </c>
    </row>
    <row r="81" spans="2:2" x14ac:dyDescent="0.25">
      <c r="B81" t="s">
        <v>875</v>
      </c>
    </row>
    <row r="82" spans="2:2" x14ac:dyDescent="0.25">
      <c r="B82" t="s">
        <v>819</v>
      </c>
    </row>
    <row r="83" spans="2:2" x14ac:dyDescent="0.25">
      <c r="B83" t="s">
        <v>798</v>
      </c>
    </row>
    <row r="84" spans="2:2" x14ac:dyDescent="0.25">
      <c r="B84" t="s">
        <v>456</v>
      </c>
    </row>
    <row r="85" spans="2:2" x14ac:dyDescent="0.25">
      <c r="B85" t="s">
        <v>348</v>
      </c>
    </row>
    <row r="86" spans="2:2" x14ac:dyDescent="0.25">
      <c r="B86" t="s">
        <v>1751</v>
      </c>
    </row>
    <row r="87" spans="2:2" x14ac:dyDescent="0.25">
      <c r="B87" t="s">
        <v>594</v>
      </c>
    </row>
    <row r="88" spans="2:2" x14ac:dyDescent="0.25">
      <c r="B88" t="s">
        <v>1640</v>
      </c>
    </row>
    <row r="89" spans="2:2" x14ac:dyDescent="0.25">
      <c r="B89" t="s">
        <v>781</v>
      </c>
    </row>
    <row r="90" spans="2:2" x14ac:dyDescent="0.25">
      <c r="B90" t="s">
        <v>545</v>
      </c>
    </row>
    <row r="91" spans="2:2" x14ac:dyDescent="0.25">
      <c r="B91" t="s">
        <v>200</v>
      </c>
    </row>
    <row r="92" spans="2:2" x14ac:dyDescent="0.25">
      <c r="B92" t="s">
        <v>1417</v>
      </c>
    </row>
    <row r="93" spans="2:2" x14ac:dyDescent="0.25">
      <c r="B93" t="s">
        <v>451</v>
      </c>
    </row>
    <row r="94" spans="2:2" x14ac:dyDescent="0.25">
      <c r="B94" t="s">
        <v>1419</v>
      </c>
    </row>
    <row r="95" spans="2:2" x14ac:dyDescent="0.25">
      <c r="B95" t="s">
        <v>687</v>
      </c>
    </row>
    <row r="96" spans="2:2" x14ac:dyDescent="0.25">
      <c r="B96" t="s">
        <v>546</v>
      </c>
    </row>
    <row r="97" spans="2:2" x14ac:dyDescent="0.25">
      <c r="B97" t="s">
        <v>1487</v>
      </c>
    </row>
    <row r="98" spans="2:2" x14ac:dyDescent="0.25">
      <c r="B98" t="s">
        <v>243</v>
      </c>
    </row>
    <row r="99" spans="2:2" x14ac:dyDescent="0.25">
      <c r="B99" t="s">
        <v>1319</v>
      </c>
    </row>
    <row r="100" spans="2:2" x14ac:dyDescent="0.25">
      <c r="B100" t="s">
        <v>1386</v>
      </c>
    </row>
    <row r="101" spans="2:2" x14ac:dyDescent="0.25">
      <c r="B101" t="s">
        <v>363</v>
      </c>
    </row>
    <row r="102" spans="2:2" x14ac:dyDescent="0.25">
      <c r="B102" t="s">
        <v>1566</v>
      </c>
    </row>
    <row r="103" spans="2:2" x14ac:dyDescent="0.25">
      <c r="B103" t="s">
        <v>1708</v>
      </c>
    </row>
    <row r="104" spans="2:2" x14ac:dyDescent="0.25">
      <c r="B104" t="s">
        <v>1613</v>
      </c>
    </row>
    <row r="105" spans="2:2" x14ac:dyDescent="0.25">
      <c r="B105" t="s">
        <v>948</v>
      </c>
    </row>
    <row r="106" spans="2:2" x14ac:dyDescent="0.25">
      <c r="B106" t="s">
        <v>1662</v>
      </c>
    </row>
    <row r="107" spans="2:2" x14ac:dyDescent="0.25">
      <c r="B107" t="s">
        <v>1271</v>
      </c>
    </row>
    <row r="108" spans="2:2" x14ac:dyDescent="0.25">
      <c r="B108" t="s">
        <v>1187</v>
      </c>
    </row>
    <row r="109" spans="2:2" x14ac:dyDescent="0.25">
      <c r="B109" t="s">
        <v>294</v>
      </c>
    </row>
    <row r="110" spans="2:2" x14ac:dyDescent="0.25">
      <c r="B110" t="s">
        <v>949</v>
      </c>
    </row>
    <row r="111" spans="2:2" x14ac:dyDescent="0.25">
      <c r="B111" t="s">
        <v>424</v>
      </c>
    </row>
    <row r="112" spans="2:2" x14ac:dyDescent="0.25">
      <c r="B112" t="s">
        <v>119</v>
      </c>
    </row>
    <row r="113" spans="2:2" x14ac:dyDescent="0.25">
      <c r="B113" t="s">
        <v>1600</v>
      </c>
    </row>
    <row r="114" spans="2:2" x14ac:dyDescent="0.25">
      <c r="B114" t="s">
        <v>1270</v>
      </c>
    </row>
    <row r="115" spans="2:2" x14ac:dyDescent="0.25">
      <c r="B115" t="s">
        <v>442</v>
      </c>
    </row>
    <row r="116" spans="2:2" x14ac:dyDescent="0.25">
      <c r="B116" t="s">
        <v>816</v>
      </c>
    </row>
    <row r="117" spans="2:2" x14ac:dyDescent="0.25">
      <c r="B117" t="s">
        <v>1481</v>
      </c>
    </row>
    <row r="118" spans="2:2" x14ac:dyDescent="0.25">
      <c r="B118" t="s">
        <v>436</v>
      </c>
    </row>
    <row r="119" spans="2:2" x14ac:dyDescent="0.25">
      <c r="B119" t="s">
        <v>825</v>
      </c>
    </row>
    <row r="120" spans="2:2" x14ac:dyDescent="0.25">
      <c r="B120" t="s">
        <v>599</v>
      </c>
    </row>
    <row r="121" spans="2:2" x14ac:dyDescent="0.25">
      <c r="B121" t="s">
        <v>914</v>
      </c>
    </row>
    <row r="122" spans="2:2" x14ac:dyDescent="0.25">
      <c r="B122" t="s">
        <v>783</v>
      </c>
    </row>
    <row r="123" spans="2:2" x14ac:dyDescent="0.25">
      <c r="B123" t="s">
        <v>443</v>
      </c>
    </row>
    <row r="124" spans="2:2" x14ac:dyDescent="0.25">
      <c r="B124" t="s">
        <v>1609</v>
      </c>
    </row>
    <row r="125" spans="2:2" x14ac:dyDescent="0.25">
      <c r="B125" t="s">
        <v>495</v>
      </c>
    </row>
    <row r="126" spans="2:2" x14ac:dyDescent="0.25">
      <c r="B126" t="s">
        <v>518</v>
      </c>
    </row>
    <row r="127" spans="2:2" x14ac:dyDescent="0.25">
      <c r="B127" t="s">
        <v>516</v>
      </c>
    </row>
    <row r="128" spans="2:2" x14ac:dyDescent="0.25">
      <c r="B128" t="s">
        <v>260</v>
      </c>
    </row>
    <row r="129" spans="2:2" x14ac:dyDescent="0.25">
      <c r="B129" t="s">
        <v>1678</v>
      </c>
    </row>
    <row r="130" spans="2:2" x14ac:dyDescent="0.25">
      <c r="B130" t="s">
        <v>1668</v>
      </c>
    </row>
    <row r="131" spans="2:2" x14ac:dyDescent="0.25">
      <c r="B131" t="s">
        <v>854</v>
      </c>
    </row>
    <row r="132" spans="2:2" x14ac:dyDescent="0.25">
      <c r="B132" t="s">
        <v>695</v>
      </c>
    </row>
    <row r="133" spans="2:2" x14ac:dyDescent="0.25">
      <c r="B133" t="s">
        <v>834</v>
      </c>
    </row>
    <row r="134" spans="2:2" x14ac:dyDescent="0.25">
      <c r="B134" t="s">
        <v>1087</v>
      </c>
    </row>
    <row r="135" spans="2:2" x14ac:dyDescent="0.25">
      <c r="B135" t="s">
        <v>1293</v>
      </c>
    </row>
    <row r="136" spans="2:2" x14ac:dyDescent="0.25">
      <c r="B136" t="s">
        <v>957</v>
      </c>
    </row>
    <row r="137" spans="2:2" x14ac:dyDescent="0.25">
      <c r="B137" t="s">
        <v>1689</v>
      </c>
    </row>
    <row r="138" spans="2:2" x14ac:dyDescent="0.25">
      <c r="B138" t="s">
        <v>760</v>
      </c>
    </row>
    <row r="139" spans="2:2" x14ac:dyDescent="0.25">
      <c r="B139" t="s">
        <v>445</v>
      </c>
    </row>
    <row r="140" spans="2:2" x14ac:dyDescent="0.25">
      <c r="B140" t="s">
        <v>1480</v>
      </c>
    </row>
    <row r="141" spans="2:2" x14ac:dyDescent="0.25">
      <c r="B141" t="s">
        <v>255</v>
      </c>
    </row>
    <row r="142" spans="2:2" x14ac:dyDescent="0.25">
      <c r="B142" t="s">
        <v>1661</v>
      </c>
    </row>
    <row r="143" spans="2:2" x14ac:dyDescent="0.25">
      <c r="B143" t="s">
        <v>1762</v>
      </c>
    </row>
    <row r="144" spans="2:2" x14ac:dyDescent="0.25">
      <c r="B144" t="s">
        <v>1012</v>
      </c>
    </row>
    <row r="145" spans="2:2" x14ac:dyDescent="0.25">
      <c r="B145" t="s">
        <v>1371</v>
      </c>
    </row>
    <row r="146" spans="2:2" x14ac:dyDescent="0.25">
      <c r="B146" t="s">
        <v>1461</v>
      </c>
    </row>
    <row r="147" spans="2:2" x14ac:dyDescent="0.25">
      <c r="B147" t="s">
        <v>47</v>
      </c>
    </row>
    <row r="148" spans="2:2" x14ac:dyDescent="0.25">
      <c r="B148" t="s">
        <v>1174</v>
      </c>
    </row>
    <row r="149" spans="2:2" x14ac:dyDescent="0.25">
      <c r="B149" t="s">
        <v>602</v>
      </c>
    </row>
    <row r="150" spans="2:2" x14ac:dyDescent="0.25">
      <c r="B150" t="s">
        <v>349</v>
      </c>
    </row>
    <row r="151" spans="2:2" x14ac:dyDescent="0.25">
      <c r="B151" t="s">
        <v>812</v>
      </c>
    </row>
    <row r="152" spans="2:2" x14ac:dyDescent="0.25">
      <c r="B152" t="s">
        <v>826</v>
      </c>
    </row>
    <row r="153" spans="2:2" x14ac:dyDescent="0.25">
      <c r="B153" t="s">
        <v>784</v>
      </c>
    </row>
    <row r="154" spans="2:2" x14ac:dyDescent="0.25">
      <c r="B154" t="s">
        <v>1686</v>
      </c>
    </row>
    <row r="155" spans="2:2" x14ac:dyDescent="0.25">
      <c r="B155" t="s">
        <v>653</v>
      </c>
    </row>
    <row r="156" spans="2:2" x14ac:dyDescent="0.25">
      <c r="B156" t="s">
        <v>396</v>
      </c>
    </row>
    <row r="157" spans="2:2" x14ac:dyDescent="0.25">
      <c r="B157" t="s">
        <v>1311</v>
      </c>
    </row>
    <row r="158" spans="2:2" x14ac:dyDescent="0.25">
      <c r="B158" t="s">
        <v>707</v>
      </c>
    </row>
    <row r="159" spans="2:2" x14ac:dyDescent="0.25">
      <c r="B159" t="s">
        <v>351</v>
      </c>
    </row>
    <row r="160" spans="2:2" x14ac:dyDescent="0.25">
      <c r="B160" t="s">
        <v>828</v>
      </c>
    </row>
    <row r="161" spans="2:2" x14ac:dyDescent="0.25">
      <c r="B161" t="s">
        <v>1226</v>
      </c>
    </row>
    <row r="162" spans="2:2" x14ac:dyDescent="0.25">
      <c r="B162" t="s">
        <v>1525</v>
      </c>
    </row>
    <row r="163" spans="2:2" x14ac:dyDescent="0.25">
      <c r="B163" t="s">
        <v>999</v>
      </c>
    </row>
    <row r="164" spans="2:2" x14ac:dyDescent="0.25">
      <c r="B164" t="s">
        <v>578</v>
      </c>
    </row>
    <row r="165" spans="2:2" x14ac:dyDescent="0.25">
      <c r="B165" t="s">
        <v>866</v>
      </c>
    </row>
    <row r="166" spans="2:2" x14ac:dyDescent="0.25">
      <c r="B166" t="s">
        <v>1246</v>
      </c>
    </row>
    <row r="167" spans="2:2" x14ac:dyDescent="0.25">
      <c r="B167" t="s">
        <v>257</v>
      </c>
    </row>
    <row r="168" spans="2:2" x14ac:dyDescent="0.25">
      <c r="B168" t="s">
        <v>1410</v>
      </c>
    </row>
    <row r="169" spans="2:2" x14ac:dyDescent="0.25">
      <c r="B169" t="s">
        <v>446</v>
      </c>
    </row>
    <row r="170" spans="2:2" x14ac:dyDescent="0.25">
      <c r="B170" t="s">
        <v>1042</v>
      </c>
    </row>
    <row r="171" spans="2:2" x14ac:dyDescent="0.25">
      <c r="B171" t="s">
        <v>700</v>
      </c>
    </row>
    <row r="172" spans="2:2" x14ac:dyDescent="0.25">
      <c r="B172" t="s">
        <v>968</v>
      </c>
    </row>
    <row r="173" spans="2:2" x14ac:dyDescent="0.25">
      <c r="B173" t="s">
        <v>1393</v>
      </c>
    </row>
    <row r="174" spans="2:2" x14ac:dyDescent="0.25">
      <c r="B174" t="s">
        <v>1070</v>
      </c>
    </row>
    <row r="175" spans="2:2" x14ac:dyDescent="0.25">
      <c r="B175" t="s">
        <v>1030</v>
      </c>
    </row>
    <row r="176" spans="2:2" x14ac:dyDescent="0.25">
      <c r="B176" t="s">
        <v>1356</v>
      </c>
    </row>
    <row r="177" spans="2:2" x14ac:dyDescent="0.25">
      <c r="B177" t="s">
        <v>1560</v>
      </c>
    </row>
    <row r="178" spans="2:2" x14ac:dyDescent="0.25">
      <c r="B178" t="s">
        <v>742</v>
      </c>
    </row>
    <row r="179" spans="2:2" x14ac:dyDescent="0.25">
      <c r="B179" t="s">
        <v>6</v>
      </c>
    </row>
    <row r="180" spans="2:2" x14ac:dyDescent="0.25">
      <c r="B180" t="s">
        <v>901</v>
      </c>
    </row>
    <row r="181" spans="2:2" x14ac:dyDescent="0.25">
      <c r="B181" t="s">
        <v>1264</v>
      </c>
    </row>
    <row r="182" spans="2:2" x14ac:dyDescent="0.25">
      <c r="B182" t="s">
        <v>331</v>
      </c>
    </row>
    <row r="183" spans="2:2" x14ac:dyDescent="0.25">
      <c r="B183" t="s">
        <v>560</v>
      </c>
    </row>
    <row r="184" spans="2:2" x14ac:dyDescent="0.25">
      <c r="B184" t="s">
        <v>1707</v>
      </c>
    </row>
    <row r="185" spans="2:2" x14ac:dyDescent="0.25">
      <c r="B185" t="s">
        <v>556</v>
      </c>
    </row>
    <row r="186" spans="2:2" x14ac:dyDescent="0.25">
      <c r="B186" t="s">
        <v>425</v>
      </c>
    </row>
    <row r="187" spans="2:2" x14ac:dyDescent="0.25">
      <c r="B187" t="s">
        <v>1757</v>
      </c>
    </row>
    <row r="188" spans="2:2" x14ac:dyDescent="0.25">
      <c r="B188" t="s">
        <v>570</v>
      </c>
    </row>
    <row r="189" spans="2:2" x14ac:dyDescent="0.25">
      <c r="B189" t="s">
        <v>1139</v>
      </c>
    </row>
    <row r="190" spans="2:2" x14ac:dyDescent="0.25">
      <c r="B190" t="s">
        <v>1313</v>
      </c>
    </row>
    <row r="191" spans="2:2" x14ac:dyDescent="0.25">
      <c r="B191" t="s">
        <v>277</v>
      </c>
    </row>
    <row r="192" spans="2:2" x14ac:dyDescent="0.25">
      <c r="B192" t="s">
        <v>193</v>
      </c>
    </row>
    <row r="193" spans="2:2" x14ac:dyDescent="0.25">
      <c r="B193" t="s">
        <v>1581</v>
      </c>
    </row>
    <row r="194" spans="2:2" x14ac:dyDescent="0.25">
      <c r="B194" t="s">
        <v>231</v>
      </c>
    </row>
    <row r="195" spans="2:2" x14ac:dyDescent="0.25">
      <c r="B195" t="s">
        <v>315</v>
      </c>
    </row>
    <row r="196" spans="2:2" x14ac:dyDescent="0.25">
      <c r="B196" t="s">
        <v>755</v>
      </c>
    </row>
    <row r="197" spans="2:2" x14ac:dyDescent="0.25">
      <c r="B197" t="s">
        <v>1230</v>
      </c>
    </row>
    <row r="198" spans="2:2" x14ac:dyDescent="0.25">
      <c r="B198" t="s">
        <v>1666</v>
      </c>
    </row>
    <row r="199" spans="2:2" x14ac:dyDescent="0.25">
      <c r="B199" t="s">
        <v>1655</v>
      </c>
    </row>
    <row r="200" spans="2:2" x14ac:dyDescent="0.25">
      <c r="B200" t="s">
        <v>1363</v>
      </c>
    </row>
    <row r="201" spans="2:2" x14ac:dyDescent="0.25">
      <c r="B201" t="s">
        <v>440</v>
      </c>
    </row>
    <row r="202" spans="2:2" x14ac:dyDescent="0.25">
      <c r="B202" t="s">
        <v>932</v>
      </c>
    </row>
    <row r="203" spans="2:2" x14ac:dyDescent="0.25">
      <c r="B203" t="s">
        <v>1589</v>
      </c>
    </row>
    <row r="204" spans="2:2" x14ac:dyDescent="0.25">
      <c r="B204" t="s">
        <v>295</v>
      </c>
    </row>
    <row r="205" spans="2:2" x14ac:dyDescent="0.25">
      <c r="B205" t="s">
        <v>751</v>
      </c>
    </row>
    <row r="206" spans="2:2" x14ac:dyDescent="0.25">
      <c r="B206" t="s">
        <v>25</v>
      </c>
    </row>
    <row r="207" spans="2:2" x14ac:dyDescent="0.25">
      <c r="B207" t="s">
        <v>780</v>
      </c>
    </row>
    <row r="208" spans="2:2" x14ac:dyDescent="0.25">
      <c r="B208" t="s">
        <v>1741</v>
      </c>
    </row>
    <row r="209" spans="2:2" x14ac:dyDescent="0.25">
      <c r="B209" t="s">
        <v>1079</v>
      </c>
    </row>
    <row r="210" spans="2:2" x14ac:dyDescent="0.25">
      <c r="B210" t="s">
        <v>236</v>
      </c>
    </row>
    <row r="211" spans="2:2" x14ac:dyDescent="0.25">
      <c r="B211" t="s">
        <v>1052</v>
      </c>
    </row>
    <row r="212" spans="2:2" x14ac:dyDescent="0.25">
      <c r="B212" t="s">
        <v>13</v>
      </c>
    </row>
    <row r="213" spans="2:2" x14ac:dyDescent="0.25">
      <c r="B213" t="s">
        <v>985</v>
      </c>
    </row>
    <row r="214" spans="2:2" x14ac:dyDescent="0.25">
      <c r="B214" t="s">
        <v>1214</v>
      </c>
    </row>
    <row r="215" spans="2:2" x14ac:dyDescent="0.25">
      <c r="B215" t="s">
        <v>684</v>
      </c>
    </row>
    <row r="216" spans="2:2" x14ac:dyDescent="0.25">
      <c r="B216" t="s">
        <v>1149</v>
      </c>
    </row>
    <row r="217" spans="2:2" x14ac:dyDescent="0.25">
      <c r="B217" t="s">
        <v>1433</v>
      </c>
    </row>
    <row r="218" spans="2:2" x14ac:dyDescent="0.25">
      <c r="B218" t="s">
        <v>63</v>
      </c>
    </row>
    <row r="219" spans="2:2" x14ac:dyDescent="0.25">
      <c r="B219" t="s">
        <v>629</v>
      </c>
    </row>
    <row r="220" spans="2:2" x14ac:dyDescent="0.25">
      <c r="B220" t="s">
        <v>1373</v>
      </c>
    </row>
    <row r="221" spans="2:2" x14ac:dyDescent="0.25">
      <c r="B221" t="s">
        <v>1645</v>
      </c>
    </row>
    <row r="222" spans="2:2" x14ac:dyDescent="0.25">
      <c r="B222" t="s">
        <v>1250</v>
      </c>
    </row>
    <row r="223" spans="2:2" x14ac:dyDescent="0.25">
      <c r="B223" t="s">
        <v>672</v>
      </c>
    </row>
    <row r="224" spans="2:2" x14ac:dyDescent="0.25">
      <c r="B224" t="s">
        <v>1142</v>
      </c>
    </row>
    <row r="225" spans="2:2" x14ac:dyDescent="0.25">
      <c r="B225" t="s">
        <v>1167</v>
      </c>
    </row>
    <row r="226" spans="2:2" x14ac:dyDescent="0.25">
      <c r="B226" t="s">
        <v>114</v>
      </c>
    </row>
    <row r="227" spans="2:2" x14ac:dyDescent="0.25">
      <c r="B227" t="s">
        <v>138</v>
      </c>
    </row>
    <row r="228" spans="2:2" x14ac:dyDescent="0.25">
      <c r="B228" t="s">
        <v>1501</v>
      </c>
    </row>
    <row r="229" spans="2:2" x14ac:dyDescent="0.25">
      <c r="B229" t="s">
        <v>414</v>
      </c>
    </row>
    <row r="230" spans="2:2" x14ac:dyDescent="0.25">
      <c r="B230" t="s">
        <v>773</v>
      </c>
    </row>
    <row r="231" spans="2:2" x14ac:dyDescent="0.25">
      <c r="B231" t="s">
        <v>1025</v>
      </c>
    </row>
    <row r="232" spans="2:2" x14ac:dyDescent="0.25">
      <c r="B232" t="s">
        <v>1407</v>
      </c>
    </row>
    <row r="233" spans="2:2" x14ac:dyDescent="0.25">
      <c r="B233" t="s">
        <v>317</v>
      </c>
    </row>
    <row r="234" spans="2:2" x14ac:dyDescent="0.25">
      <c r="B234" t="s">
        <v>1535</v>
      </c>
    </row>
    <row r="235" spans="2:2" x14ac:dyDescent="0.25">
      <c r="B235" t="s">
        <v>1218</v>
      </c>
    </row>
    <row r="236" spans="2:2" x14ac:dyDescent="0.25">
      <c r="B236" t="s">
        <v>122</v>
      </c>
    </row>
    <row r="237" spans="2:2" x14ac:dyDescent="0.25">
      <c r="B237" t="s">
        <v>614</v>
      </c>
    </row>
    <row r="238" spans="2:2" x14ac:dyDescent="0.25">
      <c r="B238" t="s">
        <v>915</v>
      </c>
    </row>
    <row r="239" spans="2:2" x14ac:dyDescent="0.25">
      <c r="B239" t="s">
        <v>263</v>
      </c>
    </row>
    <row r="240" spans="2:2" x14ac:dyDescent="0.25">
      <c r="B240" t="s">
        <v>179</v>
      </c>
    </row>
    <row r="241" spans="2:2" x14ac:dyDescent="0.25">
      <c r="B241" t="s">
        <v>865</v>
      </c>
    </row>
    <row r="242" spans="2:2" x14ac:dyDescent="0.25">
      <c r="B242" t="s">
        <v>21</v>
      </c>
    </row>
    <row r="243" spans="2:2" x14ac:dyDescent="0.25">
      <c r="B243" t="s">
        <v>297</v>
      </c>
    </row>
    <row r="244" spans="2:2" x14ac:dyDescent="0.25">
      <c r="B244" t="s">
        <v>1580</v>
      </c>
    </row>
    <row r="245" spans="2:2" x14ac:dyDescent="0.25">
      <c r="B245" t="s">
        <v>1280</v>
      </c>
    </row>
    <row r="246" spans="2:2" x14ac:dyDescent="0.25">
      <c r="B246" t="s">
        <v>748</v>
      </c>
    </row>
    <row r="247" spans="2:2" x14ac:dyDescent="0.25">
      <c r="B247" t="s">
        <v>324</v>
      </c>
    </row>
    <row r="248" spans="2:2" x14ac:dyDescent="0.25">
      <c r="B248" t="s">
        <v>557</v>
      </c>
    </row>
    <row r="249" spans="2:2" x14ac:dyDescent="0.25">
      <c r="B249" t="s">
        <v>868</v>
      </c>
    </row>
    <row r="250" spans="2:2" x14ac:dyDescent="0.25">
      <c r="B250" t="s">
        <v>739</v>
      </c>
    </row>
    <row r="251" spans="2:2" x14ac:dyDescent="0.25">
      <c r="B251" t="s">
        <v>705</v>
      </c>
    </row>
    <row r="252" spans="2:2" x14ac:dyDescent="0.25">
      <c r="B252" t="s">
        <v>937</v>
      </c>
    </row>
    <row r="253" spans="2:2" x14ac:dyDescent="0.25">
      <c r="B253" t="s">
        <v>715</v>
      </c>
    </row>
    <row r="254" spans="2:2" x14ac:dyDescent="0.25">
      <c r="B254" t="s">
        <v>851</v>
      </c>
    </row>
    <row r="255" spans="2:2" x14ac:dyDescent="0.25">
      <c r="B255" t="s">
        <v>111</v>
      </c>
    </row>
    <row r="256" spans="2:2" x14ac:dyDescent="0.25">
      <c r="B256" t="s">
        <v>975</v>
      </c>
    </row>
    <row r="257" spans="2:2" x14ac:dyDescent="0.25">
      <c r="B257" t="s">
        <v>709</v>
      </c>
    </row>
    <row r="258" spans="2:2" x14ac:dyDescent="0.25">
      <c r="B258" t="s">
        <v>286</v>
      </c>
    </row>
    <row r="259" spans="2:2" x14ac:dyDescent="0.25">
      <c r="B259" t="s">
        <v>994</v>
      </c>
    </row>
    <row r="260" spans="2:2" x14ac:dyDescent="0.25">
      <c r="B260" t="s">
        <v>1465</v>
      </c>
    </row>
    <row r="261" spans="2:2" x14ac:dyDescent="0.25">
      <c r="B261" t="s">
        <v>412</v>
      </c>
    </row>
    <row r="262" spans="2:2" x14ac:dyDescent="0.25">
      <c r="B262" t="s">
        <v>923</v>
      </c>
    </row>
    <row r="263" spans="2:2" x14ac:dyDescent="0.25">
      <c r="B263" t="s">
        <v>1316</v>
      </c>
    </row>
    <row r="264" spans="2:2" x14ac:dyDescent="0.25">
      <c r="B264" t="s">
        <v>1539</v>
      </c>
    </row>
    <row r="265" spans="2:2" x14ac:dyDescent="0.25">
      <c r="B265" t="s">
        <v>284</v>
      </c>
    </row>
    <row r="266" spans="2:2" x14ac:dyDescent="0.25">
      <c r="B266" t="s">
        <v>1759</v>
      </c>
    </row>
    <row r="267" spans="2:2" x14ac:dyDescent="0.25">
      <c r="B267" t="s">
        <v>766</v>
      </c>
    </row>
    <row r="268" spans="2:2" x14ac:dyDescent="0.25">
      <c r="B268" t="s">
        <v>500</v>
      </c>
    </row>
    <row r="269" spans="2:2" x14ac:dyDescent="0.25">
      <c r="B269" t="s">
        <v>135</v>
      </c>
    </row>
    <row r="270" spans="2:2" x14ac:dyDescent="0.25">
      <c r="B270" t="s">
        <v>1324</v>
      </c>
    </row>
    <row r="271" spans="2:2" x14ac:dyDescent="0.25">
      <c r="B271" t="s">
        <v>1387</v>
      </c>
    </row>
    <row r="272" spans="2:2" x14ac:dyDescent="0.25">
      <c r="B272" t="s">
        <v>1071</v>
      </c>
    </row>
    <row r="273" spans="2:2" x14ac:dyDescent="0.25">
      <c r="B273" t="s">
        <v>1203</v>
      </c>
    </row>
    <row r="274" spans="2:2" x14ac:dyDescent="0.25">
      <c r="B274" t="s">
        <v>1083</v>
      </c>
    </row>
    <row r="275" spans="2:2" x14ac:dyDescent="0.25">
      <c r="B275" t="s">
        <v>995</v>
      </c>
    </row>
    <row r="276" spans="2:2" x14ac:dyDescent="0.25">
      <c r="B276" t="s">
        <v>950</v>
      </c>
    </row>
    <row r="277" spans="2:2" x14ac:dyDescent="0.25">
      <c r="B277" t="s">
        <v>217</v>
      </c>
    </row>
    <row r="278" spans="2:2" x14ac:dyDescent="0.25">
      <c r="B278" t="s">
        <v>186</v>
      </c>
    </row>
    <row r="279" spans="2:2" x14ac:dyDescent="0.25">
      <c r="B279" t="s">
        <v>1033</v>
      </c>
    </row>
    <row r="280" spans="2:2" x14ac:dyDescent="0.25">
      <c r="B280" t="s">
        <v>1269</v>
      </c>
    </row>
    <row r="281" spans="2:2" x14ac:dyDescent="0.25">
      <c r="B281" t="s">
        <v>1050</v>
      </c>
    </row>
    <row r="282" spans="2:2" x14ac:dyDescent="0.25">
      <c r="B282" t="s">
        <v>587</v>
      </c>
    </row>
    <row r="283" spans="2:2" x14ac:dyDescent="0.25">
      <c r="B283" t="s">
        <v>1641</v>
      </c>
    </row>
    <row r="284" spans="2:2" x14ac:dyDescent="0.25">
      <c r="B284" t="s">
        <v>1251</v>
      </c>
    </row>
    <row r="285" spans="2:2" x14ac:dyDescent="0.25">
      <c r="B285" t="s">
        <v>1569</v>
      </c>
    </row>
    <row r="286" spans="2:2" x14ac:dyDescent="0.25">
      <c r="B286" t="s">
        <v>889</v>
      </c>
    </row>
    <row r="287" spans="2:2" x14ac:dyDescent="0.25">
      <c r="B287" t="s">
        <v>1705</v>
      </c>
    </row>
    <row r="288" spans="2:2" x14ac:dyDescent="0.25">
      <c r="B288" t="s">
        <v>335</v>
      </c>
    </row>
    <row r="289" spans="2:2" x14ac:dyDescent="0.25">
      <c r="B289" t="s">
        <v>1747</v>
      </c>
    </row>
    <row r="290" spans="2:2" x14ac:dyDescent="0.25">
      <c r="B290" t="s">
        <v>615</v>
      </c>
    </row>
    <row r="291" spans="2:2" x14ac:dyDescent="0.25">
      <c r="B291" t="s">
        <v>1598</v>
      </c>
    </row>
    <row r="292" spans="2:2" x14ac:dyDescent="0.25">
      <c r="B292" t="s">
        <v>1039</v>
      </c>
    </row>
    <row r="293" spans="2:2" x14ac:dyDescent="0.25">
      <c r="B293" t="s">
        <v>1244</v>
      </c>
    </row>
    <row r="294" spans="2:2" x14ac:dyDescent="0.25">
      <c r="B294" t="s">
        <v>467</v>
      </c>
    </row>
    <row r="295" spans="2:2" x14ac:dyDescent="0.25">
      <c r="B295" t="s">
        <v>886</v>
      </c>
    </row>
    <row r="296" spans="2:2" x14ac:dyDescent="0.25">
      <c r="B296" t="s">
        <v>1190</v>
      </c>
    </row>
    <row r="297" spans="2:2" x14ac:dyDescent="0.25">
      <c r="B297" t="s">
        <v>1743</v>
      </c>
    </row>
    <row r="298" spans="2:2" x14ac:dyDescent="0.25">
      <c r="B298" t="s">
        <v>1449</v>
      </c>
    </row>
    <row r="299" spans="2:2" x14ac:dyDescent="0.25">
      <c r="B299" t="s">
        <v>65</v>
      </c>
    </row>
    <row r="300" spans="2:2" x14ac:dyDescent="0.25">
      <c r="B300" t="s">
        <v>1037</v>
      </c>
    </row>
    <row r="301" spans="2:2" x14ac:dyDescent="0.25">
      <c r="B301" t="s">
        <v>694</v>
      </c>
    </row>
    <row r="302" spans="2:2" x14ac:dyDescent="0.25">
      <c r="B302" t="s">
        <v>206</v>
      </c>
    </row>
    <row r="303" spans="2:2" x14ac:dyDescent="0.25">
      <c r="B303" t="s">
        <v>771</v>
      </c>
    </row>
    <row r="304" spans="2:2" x14ac:dyDescent="0.25">
      <c r="B304" t="s">
        <v>1603</v>
      </c>
    </row>
    <row r="305" spans="2:2" x14ac:dyDescent="0.25">
      <c r="B305" t="s">
        <v>1577</v>
      </c>
    </row>
    <row r="306" spans="2:2" x14ac:dyDescent="0.25">
      <c r="B306" t="s">
        <v>307</v>
      </c>
    </row>
    <row r="307" spans="2:2" x14ac:dyDescent="0.25">
      <c r="B307" t="s">
        <v>685</v>
      </c>
    </row>
    <row r="308" spans="2:2" x14ac:dyDescent="0.25">
      <c r="B308" t="s">
        <v>1355</v>
      </c>
    </row>
    <row r="309" spans="2:2" x14ac:dyDescent="0.25">
      <c r="B309" t="s">
        <v>1326</v>
      </c>
    </row>
    <row r="310" spans="2:2" x14ac:dyDescent="0.25">
      <c r="B310" t="s">
        <v>1626</v>
      </c>
    </row>
    <row r="311" spans="2:2" x14ac:dyDescent="0.25">
      <c r="B311" t="s">
        <v>1063</v>
      </c>
    </row>
    <row r="312" spans="2:2" x14ac:dyDescent="0.25">
      <c r="B312" t="s">
        <v>1128</v>
      </c>
    </row>
    <row r="313" spans="2:2" x14ac:dyDescent="0.25">
      <c r="B313" t="s">
        <v>1111</v>
      </c>
    </row>
    <row r="314" spans="2:2" x14ac:dyDescent="0.25">
      <c r="B314" t="s">
        <v>130</v>
      </c>
    </row>
    <row r="315" spans="2:2" x14ac:dyDescent="0.25">
      <c r="B315" t="s">
        <v>91</v>
      </c>
    </row>
    <row r="316" spans="2:2" x14ac:dyDescent="0.25">
      <c r="B316" t="s">
        <v>74</v>
      </c>
    </row>
    <row r="317" spans="2:2" x14ac:dyDescent="0.25">
      <c r="B317" t="s">
        <v>1665</v>
      </c>
    </row>
    <row r="318" spans="2:2" x14ac:dyDescent="0.25">
      <c r="B318" t="s">
        <v>1736</v>
      </c>
    </row>
    <row r="319" spans="2:2" x14ac:dyDescent="0.25">
      <c r="B319" t="s">
        <v>867</v>
      </c>
    </row>
    <row r="320" spans="2:2" x14ac:dyDescent="0.25">
      <c r="B320" t="s">
        <v>1893</v>
      </c>
    </row>
    <row r="321" spans="2:2" x14ac:dyDescent="0.25">
      <c r="B321" t="s">
        <v>225</v>
      </c>
    </row>
    <row r="322" spans="2:2" x14ac:dyDescent="0.25">
      <c r="B322" t="s">
        <v>1275</v>
      </c>
    </row>
    <row r="323" spans="2:2" x14ac:dyDescent="0.25">
      <c r="B323" t="s">
        <v>380</v>
      </c>
    </row>
    <row r="324" spans="2:2" x14ac:dyDescent="0.25">
      <c r="B324" t="s">
        <v>620</v>
      </c>
    </row>
    <row r="325" spans="2:2" x14ac:dyDescent="0.25">
      <c r="B325" t="s">
        <v>1196</v>
      </c>
    </row>
    <row r="326" spans="2:2" x14ac:dyDescent="0.25">
      <c r="B326" t="s">
        <v>1341</v>
      </c>
    </row>
    <row r="327" spans="2:2" x14ac:dyDescent="0.25">
      <c r="B327" t="s">
        <v>981</v>
      </c>
    </row>
    <row r="328" spans="2:2" x14ac:dyDescent="0.25">
      <c r="B328" t="s">
        <v>942</v>
      </c>
    </row>
    <row r="329" spans="2:2" x14ac:dyDescent="0.25">
      <c r="B329" t="s">
        <v>841</v>
      </c>
    </row>
    <row r="330" spans="2:2" x14ac:dyDescent="0.25">
      <c r="B330" t="s">
        <v>1464</v>
      </c>
    </row>
    <row r="331" spans="2:2" x14ac:dyDescent="0.25">
      <c r="B331" t="s">
        <v>795</v>
      </c>
    </row>
    <row r="332" spans="2:2" x14ac:dyDescent="0.25">
      <c r="B332" t="s">
        <v>1162</v>
      </c>
    </row>
    <row r="333" spans="2:2" x14ac:dyDescent="0.25">
      <c r="B333" t="s">
        <v>262</v>
      </c>
    </row>
    <row r="334" spans="2:2" x14ac:dyDescent="0.25">
      <c r="B334" t="s">
        <v>510</v>
      </c>
    </row>
    <row r="335" spans="2:2" x14ac:dyDescent="0.25">
      <c r="B335" t="s">
        <v>743</v>
      </c>
    </row>
    <row r="336" spans="2:2" x14ac:dyDescent="0.25">
      <c r="B336" t="s">
        <v>1350</v>
      </c>
    </row>
    <row r="337" spans="2:2" x14ac:dyDescent="0.25">
      <c r="B337" t="s">
        <v>397</v>
      </c>
    </row>
    <row r="338" spans="2:2" x14ac:dyDescent="0.25">
      <c r="B338" t="s">
        <v>1614</v>
      </c>
    </row>
    <row r="339" spans="2:2" x14ac:dyDescent="0.25">
      <c r="B339" t="s">
        <v>1605</v>
      </c>
    </row>
    <row r="340" spans="2:2" x14ac:dyDescent="0.25">
      <c r="B340" t="s">
        <v>1219</v>
      </c>
    </row>
    <row r="341" spans="2:2" x14ac:dyDescent="0.25">
      <c r="B341" t="s">
        <v>971</v>
      </c>
    </row>
    <row r="342" spans="2:2" x14ac:dyDescent="0.25">
      <c r="B342" t="s">
        <v>562</v>
      </c>
    </row>
    <row r="343" spans="2:2" x14ac:dyDescent="0.25">
      <c r="B343" t="s">
        <v>1519</v>
      </c>
    </row>
    <row r="344" spans="2:2" x14ac:dyDescent="0.25">
      <c r="B344" t="s">
        <v>422</v>
      </c>
    </row>
    <row r="345" spans="2:2" x14ac:dyDescent="0.25">
      <c r="B345" t="s">
        <v>237</v>
      </c>
    </row>
    <row r="346" spans="2:2" x14ac:dyDescent="0.25">
      <c r="B346" t="s">
        <v>1498</v>
      </c>
    </row>
    <row r="347" spans="2:2" x14ac:dyDescent="0.25">
      <c r="B347" t="s">
        <v>759</v>
      </c>
    </row>
    <row r="348" spans="2:2" x14ac:dyDescent="0.25">
      <c r="B348" t="s">
        <v>717</v>
      </c>
    </row>
    <row r="349" spans="2:2" x14ac:dyDescent="0.25">
      <c r="B349" t="s">
        <v>316</v>
      </c>
    </row>
    <row r="350" spans="2:2" x14ac:dyDescent="0.25">
      <c r="B350" t="s">
        <v>1562</v>
      </c>
    </row>
    <row r="351" spans="2:2" x14ac:dyDescent="0.25">
      <c r="B351" t="s">
        <v>142</v>
      </c>
    </row>
    <row r="352" spans="2:2" x14ac:dyDescent="0.25">
      <c r="B352" t="s">
        <v>1286</v>
      </c>
    </row>
    <row r="353" spans="2:2" x14ac:dyDescent="0.25">
      <c r="B353" t="s">
        <v>680</v>
      </c>
    </row>
    <row r="354" spans="2:2" x14ac:dyDescent="0.25">
      <c r="B354" t="s">
        <v>12</v>
      </c>
    </row>
    <row r="355" spans="2:2" x14ac:dyDescent="0.25">
      <c r="B355" t="s">
        <v>1549</v>
      </c>
    </row>
    <row r="356" spans="2:2" x14ac:dyDescent="0.25">
      <c r="B356" t="s">
        <v>256</v>
      </c>
    </row>
    <row r="357" spans="2:2" x14ac:dyDescent="0.25">
      <c r="B357" t="s">
        <v>385</v>
      </c>
    </row>
    <row r="358" spans="2:2" x14ac:dyDescent="0.25">
      <c r="B358" t="s">
        <v>224</v>
      </c>
    </row>
    <row r="359" spans="2:2" x14ac:dyDescent="0.25">
      <c r="B359" t="s">
        <v>326</v>
      </c>
    </row>
    <row r="360" spans="2:2" x14ac:dyDescent="0.25">
      <c r="B360" t="s">
        <v>1727</v>
      </c>
    </row>
    <row r="361" spans="2:2" x14ac:dyDescent="0.25">
      <c r="B361" t="s">
        <v>1236</v>
      </c>
    </row>
    <row r="362" spans="2:2" x14ac:dyDescent="0.25">
      <c r="B362" t="s">
        <v>1627</v>
      </c>
    </row>
    <row r="363" spans="2:2" x14ac:dyDescent="0.25">
      <c r="B363" t="s">
        <v>34</v>
      </c>
    </row>
    <row r="364" spans="2:2" x14ac:dyDescent="0.25">
      <c r="B364" t="s">
        <v>61</v>
      </c>
    </row>
    <row r="365" spans="2:2" x14ac:dyDescent="0.25">
      <c r="B365" t="s">
        <v>112</v>
      </c>
    </row>
    <row r="366" spans="2:2" x14ac:dyDescent="0.25">
      <c r="B366" t="s">
        <v>1717</v>
      </c>
    </row>
    <row r="367" spans="2:2" x14ac:dyDescent="0.25">
      <c r="B367" t="s">
        <v>1170</v>
      </c>
    </row>
    <row r="368" spans="2:2" x14ac:dyDescent="0.25">
      <c r="B368" t="s">
        <v>797</v>
      </c>
    </row>
    <row r="369" spans="2:2" x14ac:dyDescent="0.25">
      <c r="B369" t="s">
        <v>736</v>
      </c>
    </row>
    <row r="370" spans="2:2" x14ac:dyDescent="0.25">
      <c r="B370" t="s">
        <v>176</v>
      </c>
    </row>
    <row r="371" spans="2:2" x14ac:dyDescent="0.25">
      <c r="B371" t="s">
        <v>1422</v>
      </c>
    </row>
    <row r="372" spans="2:2" x14ac:dyDescent="0.25">
      <c r="B372" t="s">
        <v>952</v>
      </c>
    </row>
    <row r="373" spans="2:2" x14ac:dyDescent="0.25">
      <c r="B373" t="s">
        <v>1585</v>
      </c>
    </row>
    <row r="374" spans="2:2" x14ac:dyDescent="0.25">
      <c r="B374" t="s">
        <v>55</v>
      </c>
    </row>
    <row r="375" spans="2:2" x14ac:dyDescent="0.25">
      <c r="B375" t="s">
        <v>676</v>
      </c>
    </row>
    <row r="376" spans="2:2" x14ac:dyDescent="0.25">
      <c r="B376" t="s">
        <v>664</v>
      </c>
    </row>
    <row r="377" spans="2:2" x14ac:dyDescent="0.25">
      <c r="B377" t="s">
        <v>525</v>
      </c>
    </row>
    <row r="378" spans="2:2" x14ac:dyDescent="0.25">
      <c r="B378" t="s">
        <v>1252</v>
      </c>
    </row>
    <row r="379" spans="2:2" x14ac:dyDescent="0.25">
      <c r="B379" t="s">
        <v>996</v>
      </c>
    </row>
    <row r="380" spans="2:2" x14ac:dyDescent="0.25">
      <c r="B380" t="s">
        <v>1178</v>
      </c>
    </row>
    <row r="381" spans="2:2" x14ac:dyDescent="0.25">
      <c r="B381" t="s">
        <v>1652</v>
      </c>
    </row>
    <row r="382" spans="2:2" x14ac:dyDescent="0.25">
      <c r="B382" t="s">
        <v>110</v>
      </c>
    </row>
    <row r="383" spans="2:2" x14ac:dyDescent="0.25">
      <c r="B383" t="s">
        <v>1405</v>
      </c>
    </row>
    <row r="384" spans="2:2" x14ac:dyDescent="0.25">
      <c r="B384" t="s">
        <v>1093</v>
      </c>
    </row>
    <row r="385" spans="2:2" x14ac:dyDescent="0.25">
      <c r="B385" t="s">
        <v>714</v>
      </c>
    </row>
    <row r="386" spans="2:2" x14ac:dyDescent="0.25">
      <c r="B386" t="s">
        <v>590</v>
      </c>
    </row>
    <row r="387" spans="2:2" x14ac:dyDescent="0.25">
      <c r="B387" t="s">
        <v>133</v>
      </c>
    </row>
    <row r="388" spans="2:2" x14ac:dyDescent="0.25">
      <c r="B388" t="s">
        <v>170</v>
      </c>
    </row>
    <row r="389" spans="2:2" x14ac:dyDescent="0.25">
      <c r="B389" t="s">
        <v>668</v>
      </c>
    </row>
    <row r="390" spans="2:2" x14ac:dyDescent="0.25">
      <c r="B390" t="s">
        <v>1114</v>
      </c>
    </row>
    <row r="391" spans="2:2" x14ac:dyDescent="0.25">
      <c r="B391" t="s">
        <v>1078</v>
      </c>
    </row>
    <row r="392" spans="2:2" x14ac:dyDescent="0.25">
      <c r="B392" t="s">
        <v>1055</v>
      </c>
    </row>
    <row r="393" spans="2:2" x14ac:dyDescent="0.25">
      <c r="B393" t="s">
        <v>8</v>
      </c>
    </row>
    <row r="394" spans="2:2" x14ac:dyDescent="0.25">
      <c r="B394" t="s">
        <v>702</v>
      </c>
    </row>
    <row r="395" spans="2:2" x14ac:dyDescent="0.25">
      <c r="B395" t="s">
        <v>521</v>
      </c>
    </row>
    <row r="396" spans="2:2" x14ac:dyDescent="0.25">
      <c r="B396" t="s">
        <v>899</v>
      </c>
    </row>
    <row r="397" spans="2:2" x14ac:dyDescent="0.25">
      <c r="B397" t="s">
        <v>1520</v>
      </c>
    </row>
    <row r="398" spans="2:2" x14ac:dyDescent="0.25">
      <c r="B398" t="s">
        <v>1154</v>
      </c>
    </row>
    <row r="399" spans="2:2" x14ac:dyDescent="0.25">
      <c r="B399" t="s">
        <v>120</v>
      </c>
    </row>
    <row r="400" spans="2:2" x14ac:dyDescent="0.25">
      <c r="B400" t="s">
        <v>1442</v>
      </c>
    </row>
    <row r="401" spans="2:2" x14ac:dyDescent="0.25">
      <c r="B401" t="s">
        <v>1436</v>
      </c>
    </row>
    <row r="402" spans="2:2" x14ac:dyDescent="0.25">
      <c r="B402" t="s">
        <v>1494</v>
      </c>
    </row>
    <row r="403" spans="2:2" x14ac:dyDescent="0.25">
      <c r="B403" t="s">
        <v>1415</v>
      </c>
    </row>
    <row r="404" spans="2:2" x14ac:dyDescent="0.25">
      <c r="B404" t="s">
        <v>1148</v>
      </c>
    </row>
    <row r="405" spans="2:2" x14ac:dyDescent="0.25">
      <c r="B405" t="s">
        <v>1068</v>
      </c>
    </row>
    <row r="406" spans="2:2" x14ac:dyDescent="0.25">
      <c r="B406" t="s">
        <v>531</v>
      </c>
    </row>
    <row r="407" spans="2:2" x14ac:dyDescent="0.25">
      <c r="B407" t="s">
        <v>1458</v>
      </c>
    </row>
    <row r="408" spans="2:2" x14ac:dyDescent="0.25">
      <c r="B408" t="s">
        <v>528</v>
      </c>
    </row>
    <row r="409" spans="2:2" x14ac:dyDescent="0.25">
      <c r="B409" t="s">
        <v>56</v>
      </c>
    </row>
    <row r="410" spans="2:2" x14ac:dyDescent="0.25">
      <c r="B410" t="s">
        <v>153</v>
      </c>
    </row>
    <row r="411" spans="2:2" x14ac:dyDescent="0.25">
      <c r="B411" t="s">
        <v>619</v>
      </c>
    </row>
    <row r="412" spans="2:2" x14ac:dyDescent="0.25">
      <c r="B412" t="s">
        <v>340</v>
      </c>
    </row>
    <row r="413" spans="2:2" x14ac:dyDescent="0.25">
      <c r="B413" t="s">
        <v>1522</v>
      </c>
    </row>
    <row r="414" spans="2:2" x14ac:dyDescent="0.25">
      <c r="B414" t="s">
        <v>648</v>
      </c>
    </row>
    <row r="415" spans="2:2" x14ac:dyDescent="0.25">
      <c r="B415" t="s">
        <v>1</v>
      </c>
    </row>
    <row r="416" spans="2:2" x14ac:dyDescent="0.25">
      <c r="B416" t="s">
        <v>930</v>
      </c>
    </row>
    <row r="417" spans="2:2" x14ac:dyDescent="0.25">
      <c r="B417" t="s">
        <v>1732</v>
      </c>
    </row>
    <row r="418" spans="2:2" x14ac:dyDescent="0.25">
      <c r="B418" t="s">
        <v>1748</v>
      </c>
    </row>
    <row r="419" spans="2:2" x14ac:dyDescent="0.25">
      <c r="B419" t="s">
        <v>1772</v>
      </c>
    </row>
    <row r="420" spans="2:2" x14ac:dyDescent="0.25">
      <c r="B420" t="s">
        <v>729</v>
      </c>
    </row>
    <row r="421" spans="2:2" x14ac:dyDescent="0.25">
      <c r="B421" t="s">
        <v>990</v>
      </c>
    </row>
    <row r="422" spans="2:2" x14ac:dyDescent="0.25">
      <c r="B422" t="s">
        <v>520</v>
      </c>
    </row>
    <row r="423" spans="2:2" x14ac:dyDescent="0.25">
      <c r="B423" t="s">
        <v>1157</v>
      </c>
    </row>
    <row r="424" spans="2:2" x14ac:dyDescent="0.25">
      <c r="B424" t="s">
        <v>1559</v>
      </c>
    </row>
    <row r="425" spans="2:2" x14ac:dyDescent="0.25">
      <c r="B425" t="s">
        <v>550</v>
      </c>
    </row>
    <row r="426" spans="2:2" x14ac:dyDescent="0.25">
      <c r="B426" t="s">
        <v>190</v>
      </c>
    </row>
    <row r="427" spans="2:2" x14ac:dyDescent="0.25">
      <c r="B427" t="s">
        <v>1424</v>
      </c>
    </row>
    <row r="428" spans="2:2" x14ac:dyDescent="0.25">
      <c r="B428" t="s">
        <v>341</v>
      </c>
    </row>
    <row r="429" spans="2:2" x14ac:dyDescent="0.25">
      <c r="B429" t="s">
        <v>1472</v>
      </c>
    </row>
    <row r="430" spans="2:2" x14ac:dyDescent="0.25">
      <c r="B430" t="s">
        <v>199</v>
      </c>
    </row>
    <row r="431" spans="2:2" x14ac:dyDescent="0.25">
      <c r="B431" t="s">
        <v>365</v>
      </c>
    </row>
    <row r="432" spans="2:2" x14ac:dyDescent="0.25">
      <c r="B432" t="s">
        <v>1660</v>
      </c>
    </row>
    <row r="433" spans="2:2" x14ac:dyDescent="0.25">
      <c r="B433" t="s">
        <v>1003</v>
      </c>
    </row>
    <row r="434" spans="2:2" x14ac:dyDescent="0.25">
      <c r="B434" t="s">
        <v>390</v>
      </c>
    </row>
    <row r="435" spans="2:2" x14ac:dyDescent="0.25">
      <c r="B435" t="s">
        <v>1567</v>
      </c>
    </row>
    <row r="436" spans="2:2" x14ac:dyDescent="0.25">
      <c r="B436" t="s">
        <v>1682</v>
      </c>
    </row>
    <row r="437" spans="2:2" x14ac:dyDescent="0.25">
      <c r="B437" t="s">
        <v>951</v>
      </c>
    </row>
    <row r="438" spans="2:2" x14ac:dyDescent="0.25">
      <c r="B438" t="s">
        <v>1435</v>
      </c>
    </row>
    <row r="439" spans="2:2" x14ac:dyDescent="0.25">
      <c r="B439" t="s">
        <v>191</v>
      </c>
    </row>
    <row r="440" spans="2:2" x14ac:dyDescent="0.25">
      <c r="B440" t="s">
        <v>1683</v>
      </c>
    </row>
    <row r="441" spans="2:2" x14ac:dyDescent="0.25">
      <c r="B441" t="s">
        <v>788</v>
      </c>
    </row>
    <row r="442" spans="2:2" x14ac:dyDescent="0.25">
      <c r="B442" t="s">
        <v>699</v>
      </c>
    </row>
    <row r="443" spans="2:2" x14ac:dyDescent="0.25">
      <c r="B443" t="s">
        <v>22</v>
      </c>
    </row>
    <row r="444" spans="2:2" x14ac:dyDescent="0.25">
      <c r="B444" t="s">
        <v>1484</v>
      </c>
    </row>
    <row r="445" spans="2:2" x14ac:dyDescent="0.25">
      <c r="B445" t="s">
        <v>1427</v>
      </c>
    </row>
    <row r="446" spans="2:2" x14ac:dyDescent="0.25">
      <c r="B446" t="s">
        <v>1558</v>
      </c>
    </row>
    <row r="447" spans="2:2" x14ac:dyDescent="0.25">
      <c r="B447" t="s">
        <v>1713</v>
      </c>
    </row>
    <row r="448" spans="2:2" x14ac:dyDescent="0.25">
      <c r="B448" t="s">
        <v>596</v>
      </c>
    </row>
    <row r="449" spans="2:2" x14ac:dyDescent="0.25">
      <c r="B449" t="s">
        <v>213</v>
      </c>
    </row>
    <row r="450" spans="2:2" x14ac:dyDescent="0.25">
      <c r="B450" t="s">
        <v>1578</v>
      </c>
    </row>
    <row r="451" spans="2:2" x14ac:dyDescent="0.25">
      <c r="B451" t="s">
        <v>108</v>
      </c>
    </row>
    <row r="452" spans="2:2" x14ac:dyDescent="0.25">
      <c r="B452" t="s">
        <v>678</v>
      </c>
    </row>
    <row r="453" spans="2:2" x14ac:dyDescent="0.25">
      <c r="B453" t="s">
        <v>579</v>
      </c>
    </row>
    <row r="454" spans="2:2" x14ac:dyDescent="0.25">
      <c r="B454" t="s">
        <v>661</v>
      </c>
    </row>
    <row r="455" spans="2:2" x14ac:dyDescent="0.25">
      <c r="B455" t="s">
        <v>1423</v>
      </c>
    </row>
    <row r="456" spans="2:2" x14ac:dyDescent="0.25">
      <c r="B456" t="s">
        <v>1084</v>
      </c>
    </row>
    <row r="457" spans="2:2" x14ac:dyDescent="0.25">
      <c r="B457" t="s">
        <v>969</v>
      </c>
    </row>
    <row r="458" spans="2:2" x14ac:dyDescent="0.25">
      <c r="B458" t="s">
        <v>682</v>
      </c>
    </row>
    <row r="459" spans="2:2" x14ac:dyDescent="0.25">
      <c r="B459" t="s">
        <v>1366</v>
      </c>
    </row>
    <row r="460" spans="2:2" x14ac:dyDescent="0.25">
      <c r="B460" t="s">
        <v>1553</v>
      </c>
    </row>
    <row r="461" spans="2:2" x14ac:dyDescent="0.25">
      <c r="B461" t="s">
        <v>1085</v>
      </c>
    </row>
    <row r="462" spans="2:2" x14ac:dyDescent="0.25">
      <c r="B462" t="s">
        <v>410</v>
      </c>
    </row>
    <row r="463" spans="2:2" x14ac:dyDescent="0.25">
      <c r="B463" t="s">
        <v>1742</v>
      </c>
    </row>
    <row r="464" spans="2:2" x14ac:dyDescent="0.25">
      <c r="B464" t="s">
        <v>1029</v>
      </c>
    </row>
    <row r="465" spans="2:2" x14ac:dyDescent="0.25">
      <c r="B465" t="s">
        <v>155</v>
      </c>
    </row>
    <row r="466" spans="2:2" x14ac:dyDescent="0.25">
      <c r="B466" t="s">
        <v>894</v>
      </c>
    </row>
    <row r="467" spans="2:2" x14ac:dyDescent="0.25">
      <c r="B467" t="s">
        <v>69</v>
      </c>
    </row>
    <row r="468" spans="2:2" x14ac:dyDescent="0.25">
      <c r="B468" t="s">
        <v>1531</v>
      </c>
    </row>
    <row r="469" spans="2:2" x14ac:dyDescent="0.25">
      <c r="B469" t="s">
        <v>1654</v>
      </c>
    </row>
    <row r="470" spans="2:2" x14ac:dyDescent="0.25">
      <c r="B470" t="s">
        <v>404</v>
      </c>
    </row>
    <row r="471" spans="2:2" x14ac:dyDescent="0.25">
      <c r="B471" t="s">
        <v>332</v>
      </c>
    </row>
    <row r="472" spans="2:2" x14ac:dyDescent="0.25">
      <c r="B472" t="s">
        <v>1216</v>
      </c>
    </row>
    <row r="473" spans="2:2" x14ac:dyDescent="0.25">
      <c r="B473" t="s">
        <v>954</v>
      </c>
    </row>
    <row r="474" spans="2:2" x14ac:dyDescent="0.25">
      <c r="B474" t="s">
        <v>876</v>
      </c>
    </row>
    <row r="475" spans="2:2" x14ac:dyDescent="0.25">
      <c r="B475" t="s">
        <v>963</v>
      </c>
    </row>
    <row r="476" spans="2:2" x14ac:dyDescent="0.25">
      <c r="B476" t="s">
        <v>189</v>
      </c>
    </row>
    <row r="477" spans="2:2" x14ac:dyDescent="0.25">
      <c r="B477" t="s">
        <v>76</v>
      </c>
    </row>
    <row r="478" spans="2:2" x14ac:dyDescent="0.25">
      <c r="B478" t="s">
        <v>1369</v>
      </c>
    </row>
    <row r="479" spans="2:2" x14ac:dyDescent="0.25">
      <c r="B479" t="s">
        <v>1211</v>
      </c>
    </row>
    <row r="480" spans="2:2" x14ac:dyDescent="0.25">
      <c r="B480" t="s">
        <v>831</v>
      </c>
    </row>
    <row r="481" spans="2:2" x14ac:dyDescent="0.25">
      <c r="B481" t="s">
        <v>77</v>
      </c>
    </row>
    <row r="482" spans="2:2" x14ac:dyDescent="0.25">
      <c r="B482" t="s">
        <v>772</v>
      </c>
    </row>
    <row r="483" spans="2:2" x14ac:dyDescent="0.25">
      <c r="B483" t="s">
        <v>1234</v>
      </c>
    </row>
    <row r="484" spans="2:2" x14ac:dyDescent="0.25">
      <c r="B484" t="s">
        <v>1123</v>
      </c>
    </row>
    <row r="485" spans="2:2" x14ac:dyDescent="0.25">
      <c r="B485" t="s">
        <v>636</v>
      </c>
    </row>
    <row r="486" spans="2:2" x14ac:dyDescent="0.25">
      <c r="B486" t="s">
        <v>553</v>
      </c>
    </row>
    <row r="487" spans="2:2" x14ac:dyDescent="0.25">
      <c r="B487" t="s">
        <v>1304</v>
      </c>
    </row>
    <row r="488" spans="2:2" x14ac:dyDescent="0.25">
      <c r="B488" t="s">
        <v>938</v>
      </c>
    </row>
    <row r="489" spans="2:2" x14ac:dyDescent="0.25">
      <c r="B489" t="s">
        <v>373</v>
      </c>
    </row>
    <row r="490" spans="2:2" x14ac:dyDescent="0.25">
      <c r="B490" t="s">
        <v>654</v>
      </c>
    </row>
    <row r="491" spans="2:2" x14ac:dyDescent="0.25">
      <c r="B491" t="s">
        <v>774</v>
      </c>
    </row>
    <row r="492" spans="2:2" x14ac:dyDescent="0.25">
      <c r="B492" t="s">
        <v>910</v>
      </c>
    </row>
    <row r="493" spans="2:2" x14ac:dyDescent="0.25">
      <c r="B493" t="s">
        <v>290</v>
      </c>
    </row>
    <row r="494" spans="2:2" x14ac:dyDescent="0.25">
      <c r="B494" t="s">
        <v>288</v>
      </c>
    </row>
    <row r="495" spans="2:2" x14ac:dyDescent="0.25">
      <c r="B495" t="s">
        <v>1152</v>
      </c>
    </row>
    <row r="496" spans="2:2" x14ac:dyDescent="0.25">
      <c r="B496" t="s">
        <v>741</v>
      </c>
    </row>
    <row r="497" spans="2:2" x14ac:dyDescent="0.25">
      <c r="B497" t="s">
        <v>310</v>
      </c>
    </row>
    <row r="498" spans="2:2" x14ac:dyDescent="0.25">
      <c r="B498" t="s">
        <v>1546</v>
      </c>
    </row>
    <row r="499" spans="2:2" x14ac:dyDescent="0.25">
      <c r="B499" t="s">
        <v>273</v>
      </c>
    </row>
    <row r="500" spans="2:2" x14ac:dyDescent="0.25">
      <c r="B500" t="s">
        <v>907</v>
      </c>
    </row>
    <row r="501" spans="2:2" x14ac:dyDescent="0.25">
      <c r="B501" t="s">
        <v>1107</v>
      </c>
    </row>
    <row r="502" spans="2:2" x14ac:dyDescent="0.25">
      <c r="B502" t="s">
        <v>601</v>
      </c>
    </row>
    <row r="503" spans="2:2" x14ac:dyDescent="0.25">
      <c r="B503" t="s">
        <v>185</v>
      </c>
    </row>
    <row r="504" spans="2:2" x14ac:dyDescent="0.25">
      <c r="B504" t="s">
        <v>68</v>
      </c>
    </row>
    <row r="505" spans="2:2" x14ac:dyDescent="0.25">
      <c r="B505" t="s">
        <v>1159</v>
      </c>
    </row>
    <row r="506" spans="2:2" x14ac:dyDescent="0.25">
      <c r="B506" t="s">
        <v>1538</v>
      </c>
    </row>
    <row r="507" spans="2:2" x14ac:dyDescent="0.25">
      <c r="B507" t="s">
        <v>460</v>
      </c>
    </row>
    <row r="508" spans="2:2" x14ac:dyDescent="0.25">
      <c r="B508" t="s">
        <v>1177</v>
      </c>
    </row>
    <row r="509" spans="2:2" x14ac:dyDescent="0.25">
      <c r="B509" t="s">
        <v>1343</v>
      </c>
    </row>
    <row r="510" spans="2:2" x14ac:dyDescent="0.25">
      <c r="B510" t="s">
        <v>126</v>
      </c>
    </row>
    <row r="511" spans="2:2" x14ac:dyDescent="0.25">
      <c r="B511" t="s">
        <v>72</v>
      </c>
    </row>
    <row r="512" spans="2:2" x14ac:dyDescent="0.25">
      <c r="B512" t="s">
        <v>1602</v>
      </c>
    </row>
    <row r="513" spans="2:2" x14ac:dyDescent="0.25">
      <c r="B513" t="s">
        <v>909</v>
      </c>
    </row>
    <row r="514" spans="2:2" x14ac:dyDescent="0.25">
      <c r="B514" t="s">
        <v>544</v>
      </c>
    </row>
    <row r="515" spans="2:2" x14ac:dyDescent="0.25">
      <c r="B515" t="s">
        <v>1125</v>
      </c>
    </row>
    <row r="516" spans="2:2" x14ac:dyDescent="0.25">
      <c r="B516" t="s">
        <v>765</v>
      </c>
    </row>
    <row r="517" spans="2:2" x14ac:dyDescent="0.25">
      <c r="B517" t="s">
        <v>1054</v>
      </c>
    </row>
    <row r="518" spans="2:2" x14ac:dyDescent="0.25">
      <c r="B518" t="s">
        <v>824</v>
      </c>
    </row>
    <row r="519" spans="2:2" x14ac:dyDescent="0.25">
      <c r="B519" t="s">
        <v>491</v>
      </c>
    </row>
    <row r="520" spans="2:2" x14ac:dyDescent="0.25">
      <c r="B520" t="s">
        <v>1760</v>
      </c>
    </row>
    <row r="521" spans="2:2" x14ac:dyDescent="0.25">
      <c r="B521" t="s">
        <v>1392</v>
      </c>
    </row>
    <row r="522" spans="2:2" x14ac:dyDescent="0.25">
      <c r="B522" t="s">
        <v>551</v>
      </c>
    </row>
    <row r="523" spans="2:2" x14ac:dyDescent="0.25">
      <c r="B523" t="s">
        <v>693</v>
      </c>
    </row>
    <row r="524" spans="2:2" x14ac:dyDescent="0.25">
      <c r="B524" t="s">
        <v>573</v>
      </c>
    </row>
    <row r="525" spans="2:2" x14ac:dyDescent="0.25">
      <c r="B525" t="s">
        <v>319</v>
      </c>
    </row>
    <row r="526" spans="2:2" x14ac:dyDescent="0.25">
      <c r="B526" t="s">
        <v>416</v>
      </c>
    </row>
    <row r="527" spans="2:2" x14ac:dyDescent="0.25">
      <c r="B527" t="s">
        <v>1523</v>
      </c>
    </row>
    <row r="528" spans="2:2" x14ac:dyDescent="0.25">
      <c r="B528" t="s">
        <v>343</v>
      </c>
    </row>
    <row r="529" spans="2:2" x14ac:dyDescent="0.25">
      <c r="B529" t="s">
        <v>1115</v>
      </c>
    </row>
    <row r="530" spans="2:2" x14ac:dyDescent="0.25">
      <c r="B530" t="s">
        <v>548</v>
      </c>
    </row>
    <row r="531" spans="2:2" x14ac:dyDescent="0.25">
      <c r="B531" t="s">
        <v>419</v>
      </c>
    </row>
    <row r="532" spans="2:2" x14ac:dyDescent="0.25">
      <c r="B532" t="s">
        <v>1267</v>
      </c>
    </row>
    <row r="533" spans="2:2" x14ac:dyDescent="0.25">
      <c r="B533" t="s">
        <v>646</v>
      </c>
    </row>
    <row r="534" spans="2:2" x14ac:dyDescent="0.25">
      <c r="B534" t="s">
        <v>143</v>
      </c>
    </row>
    <row r="535" spans="2:2" x14ac:dyDescent="0.25">
      <c r="B535" t="s">
        <v>1007</v>
      </c>
    </row>
    <row r="536" spans="2:2" x14ac:dyDescent="0.25">
      <c r="B536" t="s">
        <v>71</v>
      </c>
    </row>
    <row r="537" spans="2:2" x14ac:dyDescent="0.25">
      <c r="B537" t="s">
        <v>1243</v>
      </c>
    </row>
    <row r="538" spans="2:2" x14ac:dyDescent="0.25">
      <c r="B538" t="s">
        <v>1380</v>
      </c>
    </row>
    <row r="539" spans="2:2" x14ac:dyDescent="0.25">
      <c r="B539" t="s">
        <v>1227</v>
      </c>
    </row>
    <row r="540" spans="2:2" x14ac:dyDescent="0.25">
      <c r="B540" t="s">
        <v>515</v>
      </c>
    </row>
    <row r="541" spans="2:2" x14ac:dyDescent="0.25">
      <c r="B541" t="s">
        <v>943</v>
      </c>
    </row>
    <row r="542" spans="2:2" x14ac:dyDescent="0.25">
      <c r="B542" t="s">
        <v>958</v>
      </c>
    </row>
    <row r="543" spans="2:2" x14ac:dyDescent="0.25">
      <c r="B543" t="s">
        <v>1479</v>
      </c>
    </row>
    <row r="544" spans="2:2" x14ac:dyDescent="0.25">
      <c r="B544" t="s">
        <v>1075</v>
      </c>
    </row>
    <row r="545" spans="2:2" x14ac:dyDescent="0.25">
      <c r="B545" t="s">
        <v>1258</v>
      </c>
    </row>
    <row r="546" spans="2:2" x14ac:dyDescent="0.25">
      <c r="B546" t="s">
        <v>735</v>
      </c>
    </row>
    <row r="547" spans="2:2" x14ac:dyDescent="0.25">
      <c r="B547" t="s">
        <v>98</v>
      </c>
    </row>
    <row r="548" spans="2:2" x14ac:dyDescent="0.25">
      <c r="B548" t="s">
        <v>1750</v>
      </c>
    </row>
    <row r="549" spans="2:2" x14ac:dyDescent="0.25">
      <c r="B549" t="s">
        <v>1653</v>
      </c>
    </row>
    <row r="550" spans="2:2" x14ac:dyDescent="0.25">
      <c r="B550" t="s">
        <v>137</v>
      </c>
    </row>
    <row r="551" spans="2:2" x14ac:dyDescent="0.25">
      <c r="B551" t="s">
        <v>1680</v>
      </c>
    </row>
    <row r="552" spans="2:2" x14ac:dyDescent="0.25">
      <c r="B552" t="s">
        <v>1352</v>
      </c>
    </row>
    <row r="553" spans="2:2" x14ac:dyDescent="0.25">
      <c r="B553" t="s">
        <v>884</v>
      </c>
    </row>
    <row r="554" spans="2:2" x14ac:dyDescent="0.25">
      <c r="B554" t="s">
        <v>27</v>
      </c>
    </row>
    <row r="555" spans="2:2" x14ac:dyDescent="0.25">
      <c r="B555" t="s">
        <v>298</v>
      </c>
    </row>
    <row r="556" spans="2:2" x14ac:dyDescent="0.25">
      <c r="B556" t="s">
        <v>314</v>
      </c>
    </row>
    <row r="557" spans="2:2" x14ac:dyDescent="0.25">
      <c r="B557" t="s">
        <v>97</v>
      </c>
    </row>
    <row r="558" spans="2:2" x14ac:dyDescent="0.25">
      <c r="B558" t="s">
        <v>1284</v>
      </c>
    </row>
    <row r="559" spans="2:2" x14ac:dyDescent="0.25">
      <c r="B559" t="s">
        <v>864</v>
      </c>
    </row>
    <row r="560" spans="2:2" x14ac:dyDescent="0.25">
      <c r="B560" t="s">
        <v>716</v>
      </c>
    </row>
    <row r="561" spans="2:2" x14ac:dyDescent="0.25">
      <c r="B561" t="s">
        <v>1734</v>
      </c>
    </row>
    <row r="562" spans="2:2" x14ac:dyDescent="0.25">
      <c r="B562" t="s">
        <v>649</v>
      </c>
    </row>
    <row r="563" spans="2:2" x14ac:dyDescent="0.25">
      <c r="B563" t="s">
        <v>617</v>
      </c>
    </row>
    <row r="564" spans="2:2" x14ac:dyDescent="0.25">
      <c r="B564" t="s">
        <v>1588</v>
      </c>
    </row>
    <row r="565" spans="2:2" x14ac:dyDescent="0.25">
      <c r="B565" t="s">
        <v>1685</v>
      </c>
    </row>
    <row r="566" spans="2:2" x14ac:dyDescent="0.25">
      <c r="B566" t="s">
        <v>94</v>
      </c>
    </row>
    <row r="567" spans="2:2" x14ac:dyDescent="0.25">
      <c r="B567" t="s">
        <v>244</v>
      </c>
    </row>
    <row r="568" spans="2:2" x14ac:dyDescent="0.25">
      <c r="B568" t="s">
        <v>321</v>
      </c>
    </row>
    <row r="569" spans="2:2" x14ac:dyDescent="0.25">
      <c r="B569" t="s">
        <v>1006</v>
      </c>
    </row>
    <row r="570" spans="2:2" x14ac:dyDescent="0.25">
      <c r="B570" t="s">
        <v>935</v>
      </c>
    </row>
    <row r="571" spans="2:2" x14ac:dyDescent="0.25">
      <c r="B571" t="s">
        <v>333</v>
      </c>
    </row>
    <row r="572" spans="2:2" x14ac:dyDescent="0.25">
      <c r="B572" t="s">
        <v>670</v>
      </c>
    </row>
    <row r="573" spans="2:2" x14ac:dyDescent="0.25">
      <c r="B573" t="s">
        <v>639</v>
      </c>
    </row>
    <row r="574" spans="2:2" x14ac:dyDescent="0.25">
      <c r="B574" t="s">
        <v>641</v>
      </c>
    </row>
    <row r="575" spans="2:2" x14ac:dyDescent="0.25">
      <c r="B575" t="s">
        <v>1572</v>
      </c>
    </row>
    <row r="576" spans="2:2" x14ac:dyDescent="0.25">
      <c r="B576" t="s">
        <v>1016</v>
      </c>
    </row>
    <row r="577" spans="2:2" x14ac:dyDescent="0.25">
      <c r="B577" t="s">
        <v>802</v>
      </c>
    </row>
    <row r="578" spans="2:2" x14ac:dyDescent="0.25">
      <c r="B578" t="s">
        <v>1476</v>
      </c>
    </row>
    <row r="579" spans="2:2" x14ac:dyDescent="0.25">
      <c r="B579" t="s">
        <v>1688</v>
      </c>
    </row>
    <row r="580" spans="2:2" x14ac:dyDescent="0.25">
      <c r="B580" t="s">
        <v>906</v>
      </c>
    </row>
    <row r="581" spans="2:2" x14ac:dyDescent="0.25">
      <c r="B581" t="s">
        <v>571</v>
      </c>
    </row>
    <row r="582" spans="2:2" x14ac:dyDescent="0.25">
      <c r="B582" t="s">
        <v>146</v>
      </c>
    </row>
    <row r="583" spans="2:2" x14ac:dyDescent="0.25">
      <c r="B583" t="s">
        <v>499</v>
      </c>
    </row>
    <row r="584" spans="2:2" x14ac:dyDescent="0.25">
      <c r="B584" t="s">
        <v>1529</v>
      </c>
    </row>
    <row r="585" spans="2:2" x14ac:dyDescent="0.25">
      <c r="B585" t="s">
        <v>608</v>
      </c>
    </row>
    <row r="586" spans="2:2" x14ac:dyDescent="0.25">
      <c r="B586" t="s">
        <v>1314</v>
      </c>
    </row>
    <row r="587" spans="2:2" x14ac:dyDescent="0.25">
      <c r="B587" t="s">
        <v>1024</v>
      </c>
    </row>
    <row r="588" spans="2:2" x14ac:dyDescent="0.25">
      <c r="B588" t="s">
        <v>955</v>
      </c>
    </row>
    <row r="589" spans="2:2" x14ac:dyDescent="0.25">
      <c r="B589" t="s">
        <v>568</v>
      </c>
    </row>
    <row r="590" spans="2:2" x14ac:dyDescent="0.25">
      <c r="B590" t="s">
        <v>1489</v>
      </c>
    </row>
    <row r="591" spans="2:2" x14ac:dyDescent="0.25">
      <c r="B591" t="s">
        <v>95</v>
      </c>
    </row>
    <row r="592" spans="2:2" x14ac:dyDescent="0.25">
      <c r="B592" t="s">
        <v>210</v>
      </c>
    </row>
    <row r="593" spans="2:2" x14ac:dyDescent="0.25">
      <c r="B593" t="s">
        <v>1551</v>
      </c>
    </row>
    <row r="594" spans="2:2" x14ac:dyDescent="0.25">
      <c r="B594" t="s">
        <v>1131</v>
      </c>
    </row>
    <row r="595" spans="2:2" x14ac:dyDescent="0.25">
      <c r="B595" t="s">
        <v>233</v>
      </c>
    </row>
    <row r="596" spans="2:2" x14ac:dyDescent="0.25">
      <c r="B596" t="s">
        <v>1163</v>
      </c>
    </row>
    <row r="597" spans="2:2" x14ac:dyDescent="0.25">
      <c r="B597" t="s">
        <v>979</v>
      </c>
    </row>
    <row r="598" spans="2:2" x14ac:dyDescent="0.25">
      <c r="B598" t="s">
        <v>1232</v>
      </c>
    </row>
    <row r="599" spans="2:2" x14ac:dyDescent="0.25">
      <c r="B599" t="s">
        <v>730</v>
      </c>
    </row>
    <row r="600" spans="2:2" x14ac:dyDescent="0.25">
      <c r="B600" t="s">
        <v>392</v>
      </c>
    </row>
    <row r="601" spans="2:2" x14ac:dyDescent="0.25">
      <c r="B601" t="s">
        <v>972</v>
      </c>
    </row>
    <row r="602" spans="2:2" x14ac:dyDescent="0.25">
      <c r="B602" t="s">
        <v>529</v>
      </c>
    </row>
    <row r="603" spans="2:2" x14ac:dyDescent="0.25">
      <c r="B603" t="s">
        <v>336</v>
      </c>
    </row>
    <row r="604" spans="2:2" x14ac:dyDescent="0.25">
      <c r="B604" t="s">
        <v>727</v>
      </c>
    </row>
    <row r="605" spans="2:2" x14ac:dyDescent="0.25">
      <c r="B605" t="s">
        <v>1001</v>
      </c>
    </row>
    <row r="606" spans="2:2" x14ac:dyDescent="0.25">
      <c r="B606" t="s">
        <v>40</v>
      </c>
    </row>
    <row r="607" spans="2:2" x14ac:dyDescent="0.25">
      <c r="B607" t="s">
        <v>1377</v>
      </c>
    </row>
    <row r="608" spans="2:2" x14ac:dyDescent="0.25">
      <c r="B608" t="s">
        <v>706</v>
      </c>
    </row>
    <row r="609" spans="2:2" x14ac:dyDescent="0.25">
      <c r="B609" t="s">
        <v>1095</v>
      </c>
    </row>
    <row r="610" spans="2:2" x14ac:dyDescent="0.25">
      <c r="B610" t="s">
        <v>254</v>
      </c>
    </row>
    <row r="611" spans="2:2" x14ac:dyDescent="0.25">
      <c r="B611" t="s">
        <v>1542</v>
      </c>
    </row>
    <row r="612" spans="2:2" x14ac:dyDescent="0.25">
      <c r="B612" t="s">
        <v>282</v>
      </c>
    </row>
    <row r="613" spans="2:2" x14ac:dyDescent="0.25">
      <c r="B613" t="s">
        <v>1374</v>
      </c>
    </row>
    <row r="614" spans="2:2" x14ac:dyDescent="0.25">
      <c r="B614" t="s">
        <v>1426</v>
      </c>
    </row>
    <row r="615" spans="2:2" x14ac:dyDescent="0.25">
      <c r="B615" t="s">
        <v>1069</v>
      </c>
    </row>
    <row r="616" spans="2:2" x14ac:dyDescent="0.25">
      <c r="B616" t="s">
        <v>408</v>
      </c>
    </row>
    <row r="617" spans="2:2" x14ac:dyDescent="0.25">
      <c r="B617" t="s">
        <v>1126</v>
      </c>
    </row>
    <row r="618" spans="2:2" x14ac:dyDescent="0.25">
      <c r="B618" t="s">
        <v>934</v>
      </c>
    </row>
    <row r="619" spans="2:2" x14ac:dyDescent="0.25">
      <c r="B619" t="s">
        <v>1337</v>
      </c>
    </row>
    <row r="620" spans="2:2" x14ac:dyDescent="0.25">
      <c r="B620" t="s">
        <v>1493</v>
      </c>
    </row>
    <row r="621" spans="2:2" x14ac:dyDescent="0.25">
      <c r="B621" t="s">
        <v>1486</v>
      </c>
    </row>
    <row r="622" spans="2:2" x14ac:dyDescent="0.25">
      <c r="B622" t="s">
        <v>1504</v>
      </c>
    </row>
    <row r="623" spans="2:2" x14ac:dyDescent="0.25">
      <c r="B623" t="s">
        <v>1173</v>
      </c>
    </row>
    <row r="624" spans="2:2" x14ac:dyDescent="0.25">
      <c r="B624" t="s">
        <v>192</v>
      </c>
    </row>
    <row r="625" spans="2:2" x14ac:dyDescent="0.25">
      <c r="B625" t="s">
        <v>360</v>
      </c>
    </row>
    <row r="626" spans="2:2" x14ac:dyDescent="0.25">
      <c r="B626" t="s">
        <v>671</v>
      </c>
    </row>
    <row r="627" spans="2:2" x14ac:dyDescent="0.25">
      <c r="B627" t="s">
        <v>1646</v>
      </c>
    </row>
    <row r="628" spans="2:2" x14ac:dyDescent="0.25">
      <c r="B628" t="s">
        <v>992</v>
      </c>
    </row>
    <row r="629" spans="2:2" x14ac:dyDescent="0.25">
      <c r="B629" t="s">
        <v>1158</v>
      </c>
    </row>
    <row r="630" spans="2:2" x14ac:dyDescent="0.25">
      <c r="B630" t="s">
        <v>1144</v>
      </c>
    </row>
    <row r="631" spans="2:2" x14ac:dyDescent="0.25">
      <c r="B631" t="s">
        <v>144</v>
      </c>
    </row>
    <row r="632" spans="2:2" x14ac:dyDescent="0.25">
      <c r="B632" t="s">
        <v>229</v>
      </c>
    </row>
    <row r="633" spans="2:2" x14ac:dyDescent="0.25">
      <c r="B633" t="s">
        <v>626</v>
      </c>
    </row>
    <row r="634" spans="2:2" x14ac:dyDescent="0.25">
      <c r="B634" t="s">
        <v>1771</v>
      </c>
    </row>
    <row r="635" spans="2:2" x14ac:dyDescent="0.25">
      <c r="B635" t="s">
        <v>1229</v>
      </c>
    </row>
    <row r="636" spans="2:2" x14ac:dyDescent="0.25">
      <c r="B636" t="s">
        <v>1467</v>
      </c>
    </row>
    <row r="637" spans="2:2" x14ac:dyDescent="0.25">
      <c r="B637" t="s">
        <v>1619</v>
      </c>
    </row>
    <row r="638" spans="2:2" x14ac:dyDescent="0.25">
      <c r="B638" t="s">
        <v>401</v>
      </c>
    </row>
    <row r="639" spans="2:2" x14ac:dyDescent="0.25">
      <c r="B639" t="s">
        <v>472</v>
      </c>
    </row>
    <row r="640" spans="2:2" x14ac:dyDescent="0.25">
      <c r="B640" t="s">
        <v>1151</v>
      </c>
    </row>
    <row r="641" spans="2:2" x14ac:dyDescent="0.25">
      <c r="B641" t="s">
        <v>1409</v>
      </c>
    </row>
    <row r="642" spans="2:2" x14ac:dyDescent="0.25">
      <c r="B642" t="s">
        <v>692</v>
      </c>
    </row>
    <row r="643" spans="2:2" x14ac:dyDescent="0.25">
      <c r="B643" t="s">
        <v>1047</v>
      </c>
    </row>
    <row r="644" spans="2:2" x14ac:dyDescent="0.25">
      <c r="B644" t="s">
        <v>1327</v>
      </c>
    </row>
    <row r="645" spans="2:2" x14ac:dyDescent="0.25">
      <c r="B645" t="s">
        <v>582</v>
      </c>
    </row>
    <row r="646" spans="2:2" x14ac:dyDescent="0.25">
      <c r="B646" t="s">
        <v>58</v>
      </c>
    </row>
    <row r="647" spans="2:2" x14ac:dyDescent="0.25">
      <c r="B647" t="s">
        <v>177</v>
      </c>
    </row>
    <row r="648" spans="2:2" x14ac:dyDescent="0.25">
      <c r="B648" t="s">
        <v>1354</v>
      </c>
    </row>
    <row r="649" spans="2:2" x14ac:dyDescent="0.25">
      <c r="B649" t="s">
        <v>66</v>
      </c>
    </row>
    <row r="650" spans="2:2" x14ac:dyDescent="0.25">
      <c r="B650" t="s">
        <v>1165</v>
      </c>
    </row>
    <row r="651" spans="2:2" x14ac:dyDescent="0.25">
      <c r="B651" t="s">
        <v>1447</v>
      </c>
    </row>
    <row r="652" spans="2:2" x14ac:dyDescent="0.25">
      <c r="B652" t="s">
        <v>593</v>
      </c>
    </row>
    <row r="653" spans="2:2" x14ac:dyDescent="0.25">
      <c r="B653" t="s">
        <v>911</v>
      </c>
    </row>
    <row r="654" spans="2:2" x14ac:dyDescent="0.25">
      <c r="B654" t="s">
        <v>721</v>
      </c>
    </row>
    <row r="655" spans="2:2" x14ac:dyDescent="0.25">
      <c r="B655" t="s">
        <v>890</v>
      </c>
    </row>
    <row r="656" spans="2:2" x14ac:dyDescent="0.25">
      <c r="B656" t="s">
        <v>1639</v>
      </c>
    </row>
    <row r="657" spans="2:2" x14ac:dyDescent="0.25">
      <c r="B657" t="s">
        <v>1300</v>
      </c>
    </row>
    <row r="658" spans="2:2" x14ac:dyDescent="0.25">
      <c r="B658" t="s">
        <v>744</v>
      </c>
    </row>
    <row r="659" spans="2:2" x14ac:dyDescent="0.25">
      <c r="B659" t="s">
        <v>402</v>
      </c>
    </row>
    <row r="660" spans="2:2" x14ac:dyDescent="0.25">
      <c r="B660" t="s">
        <v>323</v>
      </c>
    </row>
    <row r="661" spans="2:2" x14ac:dyDescent="0.25">
      <c r="B661" t="s">
        <v>584</v>
      </c>
    </row>
    <row r="662" spans="2:2" x14ac:dyDescent="0.25">
      <c r="B662" t="s">
        <v>375</v>
      </c>
    </row>
    <row r="663" spans="2:2" x14ac:dyDescent="0.25">
      <c r="B663" t="s">
        <v>1728</v>
      </c>
    </row>
    <row r="664" spans="2:2" x14ac:dyDescent="0.25">
      <c r="B664" t="s">
        <v>1744</v>
      </c>
    </row>
    <row r="665" spans="2:2" x14ac:dyDescent="0.25">
      <c r="B665" t="s">
        <v>33</v>
      </c>
    </row>
    <row r="666" spans="2:2" x14ac:dyDescent="0.25">
      <c r="B666" t="s">
        <v>659</v>
      </c>
    </row>
    <row r="667" spans="2:2" x14ac:dyDescent="0.25">
      <c r="B667" t="s">
        <v>398</v>
      </c>
    </row>
    <row r="668" spans="2:2" x14ac:dyDescent="0.25">
      <c r="B668" t="s">
        <v>325</v>
      </c>
    </row>
    <row r="669" spans="2:2" x14ac:dyDescent="0.25">
      <c r="B669" t="s">
        <v>1022</v>
      </c>
    </row>
    <row r="670" spans="2:2" x14ac:dyDescent="0.25">
      <c r="B670" t="s">
        <v>1516</v>
      </c>
    </row>
    <row r="671" spans="2:2" x14ac:dyDescent="0.25">
      <c r="B671" t="s">
        <v>796</v>
      </c>
    </row>
    <row r="672" spans="2:2" x14ac:dyDescent="0.25">
      <c r="B672" t="s">
        <v>1552</v>
      </c>
    </row>
    <row r="673" spans="2:2" x14ac:dyDescent="0.25">
      <c r="B673" t="s">
        <v>1431</v>
      </c>
    </row>
    <row r="674" spans="2:2" x14ac:dyDescent="0.25">
      <c r="B674" t="s">
        <v>1583</v>
      </c>
    </row>
    <row r="675" spans="2:2" x14ac:dyDescent="0.25">
      <c r="B675" t="s">
        <v>1633</v>
      </c>
    </row>
    <row r="676" spans="2:2" x14ac:dyDescent="0.25">
      <c r="B676" t="s">
        <v>1325</v>
      </c>
    </row>
    <row r="677" spans="2:2" x14ac:dyDescent="0.25">
      <c r="B677" t="s">
        <v>32</v>
      </c>
    </row>
    <row r="678" spans="2:2" x14ac:dyDescent="0.25">
      <c r="B678" t="s">
        <v>448</v>
      </c>
    </row>
    <row r="679" spans="2:2" x14ac:dyDescent="0.25">
      <c r="B679" t="s">
        <v>580</v>
      </c>
    </row>
    <row r="680" spans="2:2" x14ac:dyDescent="0.25">
      <c r="B680" t="s">
        <v>552</v>
      </c>
    </row>
    <row r="681" spans="2:2" x14ac:dyDescent="0.25">
      <c r="B681" t="s">
        <v>1299</v>
      </c>
    </row>
    <row r="682" spans="2:2" x14ac:dyDescent="0.25">
      <c r="B682" t="s">
        <v>240</v>
      </c>
    </row>
    <row r="683" spans="2:2" x14ac:dyDescent="0.25">
      <c r="B683" t="s">
        <v>997</v>
      </c>
    </row>
    <row r="684" spans="2:2" x14ac:dyDescent="0.25">
      <c r="B684" t="s">
        <v>776</v>
      </c>
    </row>
    <row r="685" spans="2:2" x14ac:dyDescent="0.25">
      <c r="B685" t="s">
        <v>214</v>
      </c>
    </row>
    <row r="686" spans="2:2" x14ac:dyDescent="0.25">
      <c r="B686" t="s">
        <v>542</v>
      </c>
    </row>
    <row r="687" spans="2:2" x14ac:dyDescent="0.25">
      <c r="B687" t="s">
        <v>863</v>
      </c>
    </row>
    <row r="688" spans="2:2" x14ac:dyDescent="0.25">
      <c r="B688" t="s">
        <v>475</v>
      </c>
    </row>
    <row r="689" spans="2:2" x14ac:dyDescent="0.25">
      <c r="B689" t="s">
        <v>1019</v>
      </c>
    </row>
    <row r="690" spans="2:2" x14ac:dyDescent="0.25">
      <c r="B690" t="s">
        <v>1508</v>
      </c>
    </row>
    <row r="691" spans="2:2" x14ac:dyDescent="0.25">
      <c r="B691" t="s">
        <v>1036</v>
      </c>
    </row>
    <row r="692" spans="2:2" x14ac:dyDescent="0.25">
      <c r="B692" t="s">
        <v>908</v>
      </c>
    </row>
    <row r="693" spans="2:2" x14ac:dyDescent="0.25">
      <c r="B693" t="s">
        <v>1385</v>
      </c>
    </row>
    <row r="694" spans="2:2" x14ac:dyDescent="0.25">
      <c r="B694" t="s">
        <v>1268</v>
      </c>
    </row>
    <row r="695" spans="2:2" x14ac:dyDescent="0.25">
      <c r="B695" t="s">
        <v>393</v>
      </c>
    </row>
    <row r="696" spans="2:2" x14ac:dyDescent="0.25">
      <c r="B696" t="s">
        <v>605</v>
      </c>
    </row>
    <row r="697" spans="2:2" x14ac:dyDescent="0.25">
      <c r="B697" t="s">
        <v>403</v>
      </c>
    </row>
    <row r="698" spans="2:2" x14ac:dyDescent="0.25">
      <c r="B698" t="s">
        <v>888</v>
      </c>
    </row>
    <row r="699" spans="2:2" x14ac:dyDescent="0.25">
      <c r="B699" t="s">
        <v>647</v>
      </c>
    </row>
    <row r="700" spans="2:2" x14ac:dyDescent="0.25">
      <c r="B700" t="s">
        <v>1649</v>
      </c>
    </row>
    <row r="701" spans="2:2" x14ac:dyDescent="0.25">
      <c r="B701" t="s">
        <v>917</v>
      </c>
    </row>
    <row r="702" spans="2:2" x14ac:dyDescent="0.25">
      <c r="B702" t="s">
        <v>768</v>
      </c>
    </row>
    <row r="703" spans="2:2" x14ac:dyDescent="0.25">
      <c r="B703" t="s">
        <v>1430</v>
      </c>
    </row>
    <row r="704" spans="2:2" x14ac:dyDescent="0.25">
      <c r="B704" t="s">
        <v>1676</v>
      </c>
    </row>
    <row r="705" spans="2:2" x14ac:dyDescent="0.25">
      <c r="B705" t="s">
        <v>169</v>
      </c>
    </row>
    <row r="706" spans="2:2" x14ac:dyDescent="0.25">
      <c r="B706" t="s">
        <v>454</v>
      </c>
    </row>
    <row r="707" spans="2:2" x14ac:dyDescent="0.25">
      <c r="B707" t="s">
        <v>1420</v>
      </c>
    </row>
    <row r="708" spans="2:2" x14ac:dyDescent="0.25">
      <c r="B708" t="s">
        <v>585</v>
      </c>
    </row>
    <row r="709" spans="2:2" x14ac:dyDescent="0.25">
      <c r="B709" t="s">
        <v>509</v>
      </c>
    </row>
    <row r="710" spans="2:2" x14ac:dyDescent="0.25">
      <c r="B710" t="s">
        <v>344</v>
      </c>
    </row>
    <row r="711" spans="2:2" x14ac:dyDescent="0.25">
      <c r="B711" t="s">
        <v>183</v>
      </c>
    </row>
    <row r="712" spans="2:2" x14ac:dyDescent="0.25">
      <c r="B712" t="s">
        <v>522</v>
      </c>
    </row>
    <row r="713" spans="2:2" x14ac:dyDescent="0.25">
      <c r="B713" t="s">
        <v>689</v>
      </c>
    </row>
    <row r="714" spans="2:2" x14ac:dyDescent="0.25">
      <c r="B714" t="s">
        <v>770</v>
      </c>
    </row>
    <row r="715" spans="2:2" x14ac:dyDescent="0.25">
      <c r="B715" t="s">
        <v>931</v>
      </c>
    </row>
    <row r="716" spans="2:2" x14ac:dyDescent="0.25">
      <c r="B716" t="s">
        <v>891</v>
      </c>
    </row>
    <row r="717" spans="2:2" x14ac:dyDescent="0.25">
      <c r="B717" t="s">
        <v>498</v>
      </c>
    </row>
    <row r="718" spans="2:2" x14ac:dyDescent="0.25">
      <c r="B718" t="s">
        <v>978</v>
      </c>
    </row>
    <row r="719" spans="2:2" x14ac:dyDescent="0.25">
      <c r="B719" t="s">
        <v>818</v>
      </c>
    </row>
    <row r="720" spans="2:2" x14ac:dyDescent="0.25">
      <c r="B720" t="s">
        <v>241</v>
      </c>
    </row>
    <row r="721" spans="2:2" x14ac:dyDescent="0.25">
      <c r="B721" t="s">
        <v>1375</v>
      </c>
    </row>
    <row r="722" spans="2:2" x14ac:dyDescent="0.25">
      <c r="B722" t="s">
        <v>204</v>
      </c>
    </row>
    <row r="723" spans="2:2" x14ac:dyDescent="0.25">
      <c r="B723" t="s">
        <v>1541</v>
      </c>
    </row>
    <row r="724" spans="2:2" x14ac:dyDescent="0.25">
      <c r="B724" t="s">
        <v>1045</v>
      </c>
    </row>
    <row r="725" spans="2:2" x14ac:dyDescent="0.25">
      <c r="B725" t="s">
        <v>1647</v>
      </c>
    </row>
    <row r="726" spans="2:2" x14ac:dyDescent="0.25">
      <c r="B726" t="s">
        <v>1298</v>
      </c>
    </row>
    <row r="727" spans="2:2" x14ac:dyDescent="0.25">
      <c r="B727" t="s">
        <v>624</v>
      </c>
    </row>
    <row r="728" spans="2:2" x14ac:dyDescent="0.25">
      <c r="B728" t="s">
        <v>860</v>
      </c>
    </row>
    <row r="729" spans="2:2" x14ac:dyDescent="0.25">
      <c r="B729" t="s">
        <v>372</v>
      </c>
    </row>
    <row r="730" spans="2:2" x14ac:dyDescent="0.25">
      <c r="B730" t="s">
        <v>505</v>
      </c>
    </row>
    <row r="731" spans="2:2" x14ac:dyDescent="0.25">
      <c r="B731" t="s">
        <v>1147</v>
      </c>
    </row>
    <row r="732" spans="2:2" x14ac:dyDescent="0.25">
      <c r="B732" t="s">
        <v>701</v>
      </c>
    </row>
    <row r="733" spans="2:2" x14ac:dyDescent="0.25">
      <c r="B733" t="s">
        <v>811</v>
      </c>
    </row>
    <row r="734" spans="2:2" x14ac:dyDescent="0.25">
      <c r="B734" t="s">
        <v>57</v>
      </c>
    </row>
    <row r="735" spans="2:2" x14ac:dyDescent="0.25">
      <c r="B735" t="s">
        <v>371</v>
      </c>
    </row>
    <row r="736" spans="2:2" x14ac:dyDescent="0.25">
      <c r="B736" t="s">
        <v>1137</v>
      </c>
    </row>
    <row r="737" spans="2:2" x14ac:dyDescent="0.25">
      <c r="B737" t="s">
        <v>1607</v>
      </c>
    </row>
    <row r="738" spans="2:2" x14ac:dyDescent="0.25">
      <c r="B738" t="s">
        <v>512</v>
      </c>
    </row>
    <row r="739" spans="2:2" x14ac:dyDescent="0.25">
      <c r="B739" t="s">
        <v>669</v>
      </c>
    </row>
    <row r="740" spans="2:2" x14ac:dyDescent="0.25">
      <c r="B740" t="s">
        <v>1241</v>
      </c>
    </row>
    <row r="741" spans="2:2" x14ac:dyDescent="0.25">
      <c r="B741" t="s">
        <v>452</v>
      </c>
    </row>
    <row r="742" spans="2:2" x14ac:dyDescent="0.25">
      <c r="B742" t="s">
        <v>1066</v>
      </c>
    </row>
    <row r="743" spans="2:2" x14ac:dyDescent="0.25">
      <c r="B743" t="s">
        <v>361</v>
      </c>
    </row>
    <row r="744" spans="2:2" x14ac:dyDescent="0.25">
      <c r="B744" t="s">
        <v>1101</v>
      </c>
    </row>
    <row r="745" spans="2:2" x14ac:dyDescent="0.25">
      <c r="B745" t="s">
        <v>856</v>
      </c>
    </row>
    <row r="746" spans="2:2" x14ac:dyDescent="0.25">
      <c r="B746" t="s">
        <v>1752</v>
      </c>
    </row>
    <row r="747" spans="2:2" x14ac:dyDescent="0.25">
      <c r="B747" t="s">
        <v>561</v>
      </c>
    </row>
    <row r="748" spans="2:2" x14ac:dyDescent="0.25">
      <c r="B748" t="s">
        <v>369</v>
      </c>
    </row>
    <row r="749" spans="2:2" x14ac:dyDescent="0.25">
      <c r="B749" t="s">
        <v>1249</v>
      </c>
    </row>
    <row r="750" spans="2:2" x14ac:dyDescent="0.25">
      <c r="B750" t="s">
        <v>541</v>
      </c>
    </row>
    <row r="751" spans="2:2" x14ac:dyDescent="0.25">
      <c r="B751" t="s">
        <v>194</v>
      </c>
    </row>
    <row r="752" spans="2:2" x14ac:dyDescent="0.25">
      <c r="B752" t="s">
        <v>405</v>
      </c>
    </row>
    <row r="753" spans="2:2" x14ac:dyDescent="0.25">
      <c r="B753" t="s">
        <v>1345</v>
      </c>
    </row>
    <row r="754" spans="2:2" x14ac:dyDescent="0.25">
      <c r="B754" t="s">
        <v>591</v>
      </c>
    </row>
    <row r="755" spans="2:2" x14ac:dyDescent="0.25">
      <c r="B755" t="s">
        <v>447</v>
      </c>
    </row>
    <row r="756" spans="2:2" x14ac:dyDescent="0.25">
      <c r="B756" t="s">
        <v>308</v>
      </c>
    </row>
    <row r="757" spans="2:2" x14ac:dyDescent="0.25">
      <c r="B757" t="s">
        <v>1629</v>
      </c>
    </row>
    <row r="758" spans="2:2" x14ac:dyDescent="0.25">
      <c r="B758" t="s">
        <v>650</v>
      </c>
    </row>
    <row r="759" spans="2:2" x14ac:dyDescent="0.25">
      <c r="B759" t="s">
        <v>1758</v>
      </c>
    </row>
    <row r="760" spans="2:2" x14ac:dyDescent="0.25">
      <c r="B760" t="s">
        <v>539</v>
      </c>
    </row>
    <row r="761" spans="2:2" x14ac:dyDescent="0.25">
      <c r="B761" t="s">
        <v>1718</v>
      </c>
    </row>
    <row r="762" spans="2:2" x14ac:dyDescent="0.25">
      <c r="B762" t="s">
        <v>758</v>
      </c>
    </row>
    <row r="763" spans="2:2" x14ac:dyDescent="0.25">
      <c r="B763" t="s">
        <v>70</v>
      </c>
    </row>
    <row r="764" spans="2:2" x14ac:dyDescent="0.25">
      <c r="B764" t="s">
        <v>1697</v>
      </c>
    </row>
    <row r="765" spans="2:2" x14ac:dyDescent="0.25">
      <c r="B765" t="s">
        <v>1255</v>
      </c>
    </row>
    <row r="766" spans="2:2" x14ac:dyDescent="0.25">
      <c r="B766" t="s">
        <v>598</v>
      </c>
    </row>
    <row r="767" spans="2:2" x14ac:dyDescent="0.25">
      <c r="B767" t="s">
        <v>1231</v>
      </c>
    </row>
    <row r="768" spans="2:2" x14ac:dyDescent="0.25">
      <c r="B768" t="s">
        <v>104</v>
      </c>
    </row>
    <row r="769" spans="2:2" x14ac:dyDescent="0.25">
      <c r="B769" t="s">
        <v>96</v>
      </c>
    </row>
    <row r="770" spans="2:2" x14ac:dyDescent="0.25">
      <c r="B770" t="s">
        <v>100</v>
      </c>
    </row>
    <row r="771" spans="2:2" x14ac:dyDescent="0.25">
      <c r="B771" t="s">
        <v>1031</v>
      </c>
    </row>
    <row r="772" spans="2:2" x14ac:dyDescent="0.25">
      <c r="B772" t="s">
        <v>318</v>
      </c>
    </row>
    <row r="773" spans="2:2" x14ac:dyDescent="0.25">
      <c r="B773" t="s">
        <v>1444</v>
      </c>
    </row>
    <row r="774" spans="2:2" x14ac:dyDescent="0.25">
      <c r="B774" t="s">
        <v>1335</v>
      </c>
    </row>
    <row r="775" spans="2:2" x14ac:dyDescent="0.25">
      <c r="B775" t="s">
        <v>154</v>
      </c>
    </row>
    <row r="776" spans="2:2" x14ac:dyDescent="0.25">
      <c r="B776" t="s">
        <v>1548</v>
      </c>
    </row>
    <row r="777" spans="2:2" x14ac:dyDescent="0.25">
      <c r="B777" t="s">
        <v>1081</v>
      </c>
    </row>
    <row r="778" spans="2:2" x14ac:dyDescent="0.25">
      <c r="B778" t="s">
        <v>480</v>
      </c>
    </row>
    <row r="779" spans="2:2" x14ac:dyDescent="0.25">
      <c r="B779" t="s">
        <v>301</v>
      </c>
    </row>
    <row r="780" spans="2:2" x14ac:dyDescent="0.25">
      <c r="B780" t="s">
        <v>538</v>
      </c>
    </row>
    <row r="781" spans="2:2" x14ac:dyDescent="0.25">
      <c r="B781" t="s">
        <v>1175</v>
      </c>
    </row>
    <row r="782" spans="2:2" x14ac:dyDescent="0.25">
      <c r="B782" t="s">
        <v>1171</v>
      </c>
    </row>
    <row r="783" spans="2:2" x14ac:dyDescent="0.25">
      <c r="B783" t="s">
        <v>588</v>
      </c>
    </row>
    <row r="784" spans="2:2" x14ac:dyDescent="0.25">
      <c r="B784" t="s">
        <v>258</v>
      </c>
    </row>
    <row r="785" spans="2:2" x14ac:dyDescent="0.25">
      <c r="B785" t="s">
        <v>912</v>
      </c>
    </row>
    <row r="786" spans="2:2" x14ac:dyDescent="0.25">
      <c r="B786" t="s">
        <v>1745</v>
      </c>
    </row>
    <row r="787" spans="2:2" x14ac:dyDescent="0.25">
      <c r="B787" t="s">
        <v>1590</v>
      </c>
    </row>
    <row r="788" spans="2:2" x14ac:dyDescent="0.25">
      <c r="B788" t="s">
        <v>764</v>
      </c>
    </row>
    <row r="789" spans="2:2" x14ac:dyDescent="0.25">
      <c r="B789" t="s">
        <v>1017</v>
      </c>
    </row>
    <row r="790" spans="2:2" x14ac:dyDescent="0.25">
      <c r="B790" t="s">
        <v>1108</v>
      </c>
    </row>
    <row r="791" spans="2:2" x14ac:dyDescent="0.25">
      <c r="B791" t="s">
        <v>998</v>
      </c>
    </row>
    <row r="792" spans="2:2" x14ac:dyDescent="0.25">
      <c r="B792" t="s">
        <v>433</v>
      </c>
    </row>
    <row r="793" spans="2:2" x14ac:dyDescent="0.25">
      <c r="B793" t="s">
        <v>627</v>
      </c>
    </row>
    <row r="794" spans="2:2" x14ac:dyDescent="0.25">
      <c r="B794" t="s">
        <v>1530</v>
      </c>
    </row>
    <row r="795" spans="2:2" x14ac:dyDescent="0.25">
      <c r="B795" t="s">
        <v>1077</v>
      </c>
    </row>
    <row r="796" spans="2:2" x14ac:dyDescent="0.25">
      <c r="B796" t="s">
        <v>1245</v>
      </c>
    </row>
    <row r="797" spans="2:2" x14ac:dyDescent="0.25">
      <c r="B797" t="s">
        <v>469</v>
      </c>
    </row>
    <row r="798" spans="2:2" x14ac:dyDescent="0.25">
      <c r="B798" t="s">
        <v>898</v>
      </c>
    </row>
    <row r="799" spans="2:2" x14ac:dyDescent="0.25">
      <c r="B799" t="s">
        <v>1100</v>
      </c>
    </row>
    <row r="800" spans="2:2" x14ac:dyDescent="0.25">
      <c r="B800" t="s">
        <v>1396</v>
      </c>
    </row>
    <row r="801" spans="2:2" x14ac:dyDescent="0.25">
      <c r="B801" t="s">
        <v>1225</v>
      </c>
    </row>
    <row r="802" spans="2:2" x14ac:dyDescent="0.25">
      <c r="B802" t="s">
        <v>973</v>
      </c>
    </row>
    <row r="803" spans="2:2" x14ac:dyDescent="0.25">
      <c r="B803" t="s">
        <v>305</v>
      </c>
    </row>
    <row r="804" spans="2:2" x14ac:dyDescent="0.25">
      <c r="B804" t="s">
        <v>633</v>
      </c>
    </row>
    <row r="805" spans="2:2" x14ac:dyDescent="0.25">
      <c r="B805" t="s">
        <v>356</v>
      </c>
    </row>
    <row r="806" spans="2:2" x14ac:dyDescent="0.25">
      <c r="B806" t="s">
        <v>1281</v>
      </c>
    </row>
    <row r="807" spans="2:2" x14ac:dyDescent="0.25">
      <c r="B807" t="s">
        <v>43</v>
      </c>
    </row>
    <row r="808" spans="2:2" x14ac:dyDescent="0.25">
      <c r="B808" t="s">
        <v>1706</v>
      </c>
    </row>
    <row r="809" spans="2:2" x14ac:dyDescent="0.25">
      <c r="B809" t="s">
        <v>165</v>
      </c>
    </row>
    <row r="810" spans="2:2" x14ac:dyDescent="0.25">
      <c r="B810" t="s">
        <v>488</v>
      </c>
    </row>
    <row r="811" spans="2:2" x14ac:dyDescent="0.25">
      <c r="B811" t="s">
        <v>496</v>
      </c>
    </row>
    <row r="812" spans="2:2" x14ac:dyDescent="0.25">
      <c r="B812" t="s">
        <v>466</v>
      </c>
    </row>
    <row r="813" spans="2:2" x14ac:dyDescent="0.25">
      <c r="B813" t="s">
        <v>1712</v>
      </c>
    </row>
    <row r="814" spans="2:2" x14ac:dyDescent="0.25">
      <c r="B814" t="s">
        <v>1172</v>
      </c>
    </row>
    <row r="815" spans="2:2" x14ac:dyDescent="0.25">
      <c r="B815" t="s">
        <v>849</v>
      </c>
    </row>
    <row r="816" spans="2:2" x14ac:dyDescent="0.25">
      <c r="B816" t="s">
        <v>808</v>
      </c>
    </row>
    <row r="817" spans="2:2" x14ac:dyDescent="0.25">
      <c r="B817" t="s">
        <v>123</v>
      </c>
    </row>
    <row r="818" spans="2:2" x14ac:dyDescent="0.25">
      <c r="B818" t="s">
        <v>1769</v>
      </c>
    </row>
    <row r="819" spans="2:2" x14ac:dyDescent="0.25">
      <c r="B819" t="s">
        <v>1492</v>
      </c>
    </row>
    <row r="820" spans="2:2" x14ac:dyDescent="0.25">
      <c r="B820" t="s">
        <v>1223</v>
      </c>
    </row>
    <row r="821" spans="2:2" x14ac:dyDescent="0.25">
      <c r="B821" t="s">
        <v>904</v>
      </c>
    </row>
    <row r="822" spans="2:2" x14ac:dyDescent="0.25">
      <c r="B822" t="s">
        <v>881</v>
      </c>
    </row>
    <row r="823" spans="2:2" x14ac:dyDescent="0.25">
      <c r="B823" t="s">
        <v>117</v>
      </c>
    </row>
    <row r="824" spans="2:2" x14ac:dyDescent="0.25">
      <c r="B824" t="s">
        <v>1133</v>
      </c>
    </row>
    <row r="825" spans="2:2" x14ac:dyDescent="0.25">
      <c r="B825" t="s">
        <v>567</v>
      </c>
    </row>
    <row r="826" spans="2:2" x14ac:dyDescent="0.25">
      <c r="B826" t="s">
        <v>201</v>
      </c>
    </row>
    <row r="827" spans="2:2" x14ac:dyDescent="0.25">
      <c r="B827" t="s">
        <v>417</v>
      </c>
    </row>
    <row r="828" spans="2:2" x14ac:dyDescent="0.25">
      <c r="B828" t="s">
        <v>752</v>
      </c>
    </row>
    <row r="829" spans="2:2" x14ac:dyDescent="0.25">
      <c r="B829" t="s">
        <v>850</v>
      </c>
    </row>
    <row r="830" spans="2:2" x14ac:dyDescent="0.25">
      <c r="B830" t="s">
        <v>631</v>
      </c>
    </row>
    <row r="831" spans="2:2" x14ac:dyDescent="0.25">
      <c r="B831" t="s">
        <v>1290</v>
      </c>
    </row>
    <row r="832" spans="2:2" x14ac:dyDescent="0.25">
      <c r="B832" t="s">
        <v>1195</v>
      </c>
    </row>
    <row r="833" spans="2:2" x14ac:dyDescent="0.25">
      <c r="B833" t="s">
        <v>1199</v>
      </c>
    </row>
    <row r="834" spans="2:2" x14ac:dyDescent="0.25">
      <c r="B834" t="s">
        <v>1700</v>
      </c>
    </row>
    <row r="835" spans="2:2" x14ac:dyDescent="0.25">
      <c r="B835" t="s">
        <v>234</v>
      </c>
    </row>
    <row r="836" spans="2:2" x14ac:dyDescent="0.25">
      <c r="B836" t="s">
        <v>418</v>
      </c>
    </row>
    <row r="837" spans="2:2" x14ac:dyDescent="0.25">
      <c r="B837" t="s">
        <v>980</v>
      </c>
    </row>
    <row r="838" spans="2:2" x14ac:dyDescent="0.25">
      <c r="B838" t="s">
        <v>1210</v>
      </c>
    </row>
    <row r="839" spans="2:2" x14ac:dyDescent="0.25">
      <c r="B839" t="s">
        <v>235</v>
      </c>
    </row>
    <row r="840" spans="2:2" x14ac:dyDescent="0.25">
      <c r="B840" t="s">
        <v>1421</v>
      </c>
    </row>
    <row r="841" spans="2:2" x14ac:dyDescent="0.25">
      <c r="B841" t="s">
        <v>400</v>
      </c>
    </row>
    <row r="842" spans="2:2" x14ac:dyDescent="0.25">
      <c r="B842" t="s">
        <v>853</v>
      </c>
    </row>
    <row r="843" spans="2:2" x14ac:dyDescent="0.25">
      <c r="B843" t="s">
        <v>559</v>
      </c>
    </row>
    <row r="844" spans="2:2" x14ac:dyDescent="0.25">
      <c r="B844" t="s">
        <v>197</v>
      </c>
    </row>
    <row r="845" spans="2:2" x14ac:dyDescent="0.25">
      <c r="B845" t="s">
        <v>1491</v>
      </c>
    </row>
    <row r="846" spans="2:2" x14ac:dyDescent="0.25">
      <c r="B846" t="s">
        <v>1518</v>
      </c>
    </row>
    <row r="847" spans="2:2" x14ac:dyDescent="0.25">
      <c r="B847" t="s">
        <v>334</v>
      </c>
    </row>
    <row r="848" spans="2:2" x14ac:dyDescent="0.25">
      <c r="B848" t="s">
        <v>757</v>
      </c>
    </row>
    <row r="849" spans="2:2" x14ac:dyDescent="0.25">
      <c r="B849" t="s">
        <v>675</v>
      </c>
    </row>
    <row r="850" spans="2:2" x14ac:dyDescent="0.25">
      <c r="B850" t="s">
        <v>1408</v>
      </c>
    </row>
    <row r="851" spans="2:2" x14ac:dyDescent="0.25">
      <c r="B851" t="s">
        <v>645</v>
      </c>
    </row>
    <row r="852" spans="2:2" x14ac:dyDescent="0.25">
      <c r="B852" t="s">
        <v>339</v>
      </c>
    </row>
    <row r="853" spans="2:2" x14ac:dyDescent="0.25">
      <c r="B853" t="s">
        <v>604</v>
      </c>
    </row>
    <row r="854" spans="2:2" x14ac:dyDescent="0.25">
      <c r="B854" t="s">
        <v>833</v>
      </c>
    </row>
    <row r="855" spans="2:2" x14ac:dyDescent="0.25">
      <c r="B855" t="s">
        <v>1043</v>
      </c>
    </row>
    <row r="856" spans="2:2" x14ac:dyDescent="0.25">
      <c r="B856" t="s">
        <v>84</v>
      </c>
    </row>
    <row r="857" spans="2:2" x14ac:dyDescent="0.25">
      <c r="B857" t="s">
        <v>1040</v>
      </c>
    </row>
    <row r="858" spans="2:2" x14ac:dyDescent="0.25">
      <c r="B858" t="s">
        <v>207</v>
      </c>
    </row>
    <row r="859" spans="2:2" x14ac:dyDescent="0.25">
      <c r="B859" t="s">
        <v>667</v>
      </c>
    </row>
    <row r="860" spans="2:2" x14ac:dyDescent="0.25">
      <c r="B860" t="s">
        <v>1737</v>
      </c>
    </row>
    <row r="861" spans="2:2" x14ac:dyDescent="0.25">
      <c r="B861" t="s">
        <v>1124</v>
      </c>
    </row>
    <row r="862" spans="2:2" x14ac:dyDescent="0.25">
      <c r="B862" t="s">
        <v>49</v>
      </c>
    </row>
    <row r="863" spans="2:2" x14ac:dyDescent="0.25">
      <c r="B863" t="s">
        <v>268</v>
      </c>
    </row>
    <row r="864" spans="2:2" x14ac:dyDescent="0.25">
      <c r="B864" t="s">
        <v>1334</v>
      </c>
    </row>
    <row r="865" spans="2:2" x14ac:dyDescent="0.25">
      <c r="B865" t="s">
        <v>1399</v>
      </c>
    </row>
    <row r="866" spans="2:2" x14ac:dyDescent="0.25">
      <c r="B866" t="s">
        <v>1296</v>
      </c>
    </row>
    <row r="867" spans="2:2" x14ac:dyDescent="0.25">
      <c r="B867" t="s">
        <v>1273</v>
      </c>
    </row>
    <row r="868" spans="2:2" x14ac:dyDescent="0.25">
      <c r="B868" t="s">
        <v>611</v>
      </c>
    </row>
    <row r="869" spans="2:2" x14ac:dyDescent="0.25">
      <c r="B869" t="s">
        <v>1291</v>
      </c>
    </row>
    <row r="870" spans="2:2" x14ac:dyDescent="0.25">
      <c r="B870" t="s">
        <v>800</v>
      </c>
    </row>
    <row r="871" spans="2:2" x14ac:dyDescent="0.25">
      <c r="B871" t="s">
        <v>477</v>
      </c>
    </row>
    <row r="872" spans="2:2" x14ac:dyDescent="0.25">
      <c r="B872" t="s">
        <v>1667</v>
      </c>
    </row>
    <row r="873" spans="2:2" x14ac:dyDescent="0.25">
      <c r="B873" t="s">
        <v>1058</v>
      </c>
    </row>
    <row r="874" spans="2:2" x14ac:dyDescent="0.25">
      <c r="B874" t="s">
        <v>527</v>
      </c>
    </row>
    <row r="875" spans="2:2" x14ac:dyDescent="0.25">
      <c r="B875" t="s">
        <v>589</v>
      </c>
    </row>
    <row r="876" spans="2:2" x14ac:dyDescent="0.25">
      <c r="B876" t="s">
        <v>807</v>
      </c>
    </row>
    <row r="877" spans="2:2" x14ac:dyDescent="0.25">
      <c r="B877" t="s">
        <v>1478</v>
      </c>
    </row>
    <row r="878" spans="2:2" x14ac:dyDescent="0.25">
      <c r="B878" t="s">
        <v>87</v>
      </c>
    </row>
    <row r="879" spans="2:2" x14ac:dyDescent="0.25">
      <c r="B879" t="s">
        <v>1630</v>
      </c>
    </row>
    <row r="880" spans="2:2" x14ac:dyDescent="0.25">
      <c r="B880" t="s">
        <v>474</v>
      </c>
    </row>
    <row r="881" spans="2:2" x14ac:dyDescent="0.25">
      <c r="B881" t="s">
        <v>1594</v>
      </c>
    </row>
    <row r="882" spans="2:2" x14ac:dyDescent="0.25">
      <c r="B882" t="s">
        <v>1032</v>
      </c>
    </row>
    <row r="883" spans="2:2" x14ac:dyDescent="0.25">
      <c r="B883" t="s">
        <v>953</v>
      </c>
    </row>
    <row r="884" spans="2:2" x14ac:dyDescent="0.25">
      <c r="B884" t="s">
        <v>652</v>
      </c>
    </row>
    <row r="885" spans="2:2" x14ac:dyDescent="0.25">
      <c r="B885" t="s">
        <v>844</v>
      </c>
    </row>
    <row r="886" spans="2:2" x14ac:dyDescent="0.25">
      <c r="B886" t="s">
        <v>490</v>
      </c>
    </row>
    <row r="887" spans="2:2" x14ac:dyDescent="0.25">
      <c r="B887" t="s">
        <v>1184</v>
      </c>
    </row>
    <row r="888" spans="2:2" x14ac:dyDescent="0.25">
      <c r="B888" t="s">
        <v>845</v>
      </c>
    </row>
    <row r="889" spans="2:2" x14ac:dyDescent="0.25">
      <c r="B889" t="s">
        <v>289</v>
      </c>
    </row>
    <row r="890" spans="2:2" x14ac:dyDescent="0.25">
      <c r="B890" t="s">
        <v>239</v>
      </c>
    </row>
    <row r="891" spans="2:2" x14ac:dyDescent="0.25">
      <c r="B891" t="s">
        <v>481</v>
      </c>
    </row>
    <row r="892" spans="2:2" x14ac:dyDescent="0.25">
      <c r="B892" t="s">
        <v>302</v>
      </c>
    </row>
    <row r="893" spans="2:2" x14ac:dyDescent="0.25">
      <c r="B893" t="s">
        <v>1221</v>
      </c>
    </row>
    <row r="894" spans="2:2" x14ac:dyDescent="0.25">
      <c r="B894" t="s">
        <v>982</v>
      </c>
    </row>
    <row r="895" spans="2:2" x14ac:dyDescent="0.25">
      <c r="B895" t="s">
        <v>1681</v>
      </c>
    </row>
    <row r="896" spans="2:2" x14ac:dyDescent="0.25">
      <c r="B896" t="s">
        <v>1086</v>
      </c>
    </row>
    <row r="897" spans="2:2" x14ac:dyDescent="0.25">
      <c r="B897" t="s">
        <v>731</v>
      </c>
    </row>
    <row r="898" spans="2:2" x14ac:dyDescent="0.25">
      <c r="B898" t="s">
        <v>1561</v>
      </c>
    </row>
    <row r="899" spans="2:2" x14ac:dyDescent="0.25">
      <c r="B899" t="s">
        <v>945</v>
      </c>
    </row>
    <row r="900" spans="2:2" x14ac:dyDescent="0.25">
      <c r="B900" t="s">
        <v>848</v>
      </c>
    </row>
    <row r="901" spans="2:2" x14ac:dyDescent="0.25">
      <c r="B901" t="s">
        <v>196</v>
      </c>
    </row>
    <row r="902" spans="2:2" x14ac:dyDescent="0.25">
      <c r="B902" t="s">
        <v>1339</v>
      </c>
    </row>
    <row r="903" spans="2:2" x14ac:dyDescent="0.25">
      <c r="B903" t="s">
        <v>1059</v>
      </c>
    </row>
    <row r="904" spans="2:2" x14ac:dyDescent="0.25">
      <c r="B904" t="s">
        <v>1018</v>
      </c>
    </row>
    <row r="905" spans="2:2" x14ac:dyDescent="0.25">
      <c r="B905" t="s">
        <v>775</v>
      </c>
    </row>
    <row r="906" spans="2:2" x14ac:dyDescent="0.25">
      <c r="B906" t="s">
        <v>642</v>
      </c>
    </row>
    <row r="907" spans="2:2" x14ac:dyDescent="0.25">
      <c r="B907" t="s">
        <v>219</v>
      </c>
    </row>
    <row r="908" spans="2:2" x14ac:dyDescent="0.25">
      <c r="B908" t="s">
        <v>1028</v>
      </c>
    </row>
    <row r="909" spans="2:2" x14ac:dyDescent="0.25">
      <c r="B909" t="s">
        <v>1336</v>
      </c>
    </row>
    <row r="910" spans="2:2" x14ac:dyDescent="0.25">
      <c r="B910" t="s">
        <v>1146</v>
      </c>
    </row>
    <row r="911" spans="2:2" x14ac:dyDescent="0.25">
      <c r="B911" t="s">
        <v>470</v>
      </c>
    </row>
    <row r="912" spans="2:2" x14ac:dyDescent="0.25">
      <c r="B912" t="s">
        <v>1397</v>
      </c>
    </row>
    <row r="913" spans="2:2" x14ac:dyDescent="0.25">
      <c r="B913" t="s">
        <v>1625</v>
      </c>
    </row>
    <row r="914" spans="2:2" x14ac:dyDescent="0.25">
      <c r="B914" t="s">
        <v>1200</v>
      </c>
    </row>
    <row r="915" spans="2:2" x14ac:dyDescent="0.25">
      <c r="B915" t="s">
        <v>1204</v>
      </c>
    </row>
    <row r="916" spans="2:2" x14ac:dyDescent="0.25">
      <c r="B916" t="s">
        <v>1675</v>
      </c>
    </row>
    <row r="917" spans="2:2" x14ac:dyDescent="0.25">
      <c r="B917" t="s">
        <v>1459</v>
      </c>
    </row>
    <row r="918" spans="2:2" x14ac:dyDescent="0.25">
      <c r="B918" t="s">
        <v>1657</v>
      </c>
    </row>
    <row r="919" spans="2:2" x14ac:dyDescent="0.25">
      <c r="B919" t="s">
        <v>767</v>
      </c>
    </row>
    <row r="920" spans="2:2" x14ac:dyDescent="0.25">
      <c r="B920" t="s">
        <v>697</v>
      </c>
    </row>
    <row r="921" spans="2:2" x14ac:dyDescent="0.25">
      <c r="B921" t="s">
        <v>220</v>
      </c>
    </row>
    <row r="922" spans="2:2" x14ac:dyDescent="0.25">
      <c r="B922" t="s">
        <v>1766</v>
      </c>
    </row>
    <row r="923" spans="2:2" x14ac:dyDescent="0.25">
      <c r="B923" t="s">
        <v>1473</v>
      </c>
    </row>
    <row r="924" spans="2:2" x14ac:dyDescent="0.25">
      <c r="B924" t="s">
        <v>1347</v>
      </c>
    </row>
    <row r="925" spans="2:2" x14ac:dyDescent="0.25">
      <c r="B925" t="s">
        <v>29</v>
      </c>
    </row>
    <row r="926" spans="2:2" x14ac:dyDescent="0.25">
      <c r="B926" t="s">
        <v>1239</v>
      </c>
    </row>
    <row r="927" spans="2:2" x14ac:dyDescent="0.25">
      <c r="B927" t="s">
        <v>1403</v>
      </c>
    </row>
    <row r="928" spans="2:2" x14ac:dyDescent="0.25">
      <c r="B928" t="s">
        <v>10</v>
      </c>
    </row>
    <row r="929" spans="2:2" x14ac:dyDescent="0.25">
      <c r="B929" t="s">
        <v>367</v>
      </c>
    </row>
    <row r="930" spans="2:2" x14ac:dyDescent="0.25">
      <c r="B930" t="s">
        <v>1287</v>
      </c>
    </row>
    <row r="931" spans="2:2" x14ac:dyDescent="0.25">
      <c r="B931" t="s">
        <v>504</v>
      </c>
    </row>
    <row r="932" spans="2:2" x14ac:dyDescent="0.25">
      <c r="B932" t="s">
        <v>285</v>
      </c>
    </row>
    <row r="933" spans="2:2" x14ac:dyDescent="0.25">
      <c r="B933" t="s">
        <v>1279</v>
      </c>
    </row>
    <row r="934" spans="2:2" x14ac:dyDescent="0.25">
      <c r="B934" t="s">
        <v>1000</v>
      </c>
    </row>
    <row r="935" spans="2:2" x14ac:dyDescent="0.25">
      <c r="B935" t="s">
        <v>882</v>
      </c>
    </row>
    <row r="936" spans="2:2" x14ac:dyDescent="0.25">
      <c r="B936" t="s">
        <v>1466</v>
      </c>
    </row>
    <row r="937" spans="2:2" x14ac:dyDescent="0.25">
      <c r="B937" t="s">
        <v>622</v>
      </c>
    </row>
    <row r="938" spans="2:2" x14ac:dyDescent="0.25">
      <c r="B938" t="s">
        <v>1637</v>
      </c>
    </row>
    <row r="939" spans="2:2" x14ac:dyDescent="0.25">
      <c r="B939" t="s">
        <v>1242</v>
      </c>
    </row>
    <row r="940" spans="2:2" x14ac:dyDescent="0.25">
      <c r="B940" t="s">
        <v>149</v>
      </c>
    </row>
    <row r="941" spans="2:2" x14ac:dyDescent="0.25">
      <c r="B941" t="s">
        <v>1259</v>
      </c>
    </row>
    <row r="942" spans="2:2" x14ac:dyDescent="0.25">
      <c r="B942" t="s">
        <v>1711</v>
      </c>
    </row>
    <row r="943" spans="2:2" x14ac:dyDescent="0.25">
      <c r="B943" t="s">
        <v>1099</v>
      </c>
    </row>
    <row r="944" spans="2:2" x14ac:dyDescent="0.25">
      <c r="B944" t="s">
        <v>740</v>
      </c>
    </row>
    <row r="945" spans="2:2" x14ac:dyDescent="0.25">
      <c r="B945" t="s">
        <v>78</v>
      </c>
    </row>
    <row r="946" spans="2:2" x14ac:dyDescent="0.25">
      <c r="B946" t="s">
        <v>925</v>
      </c>
    </row>
    <row r="947" spans="2:2" x14ac:dyDescent="0.25">
      <c r="B947" t="s">
        <v>1672</v>
      </c>
    </row>
    <row r="948" spans="2:2" x14ac:dyDescent="0.25">
      <c r="B948" t="s">
        <v>101</v>
      </c>
    </row>
    <row r="949" spans="2:2" x14ac:dyDescent="0.25">
      <c r="B949" t="s">
        <v>253</v>
      </c>
    </row>
    <row r="950" spans="2:2" x14ac:dyDescent="0.25">
      <c r="B950" t="s">
        <v>941</v>
      </c>
    </row>
    <row r="951" spans="2:2" x14ac:dyDescent="0.25">
      <c r="B951" t="s">
        <v>1733</v>
      </c>
    </row>
    <row r="952" spans="2:2" x14ac:dyDescent="0.25">
      <c r="B952" t="s">
        <v>1482</v>
      </c>
    </row>
    <row r="953" spans="2:2" x14ac:dyDescent="0.25">
      <c r="B953" t="s">
        <v>887</v>
      </c>
    </row>
    <row r="954" spans="2:2" x14ac:dyDescent="0.25">
      <c r="B954" t="s">
        <v>1289</v>
      </c>
    </row>
    <row r="955" spans="2:2" x14ac:dyDescent="0.25">
      <c r="B955" t="s">
        <v>1445</v>
      </c>
    </row>
    <row r="956" spans="2:2" x14ac:dyDescent="0.25">
      <c r="B956" t="s">
        <v>1160</v>
      </c>
    </row>
    <row r="957" spans="2:2" x14ac:dyDescent="0.25">
      <c r="B957" t="s">
        <v>976</v>
      </c>
    </row>
    <row r="958" spans="2:2" x14ac:dyDescent="0.25">
      <c r="B958" t="s">
        <v>226</v>
      </c>
    </row>
    <row r="959" spans="2:2" x14ac:dyDescent="0.25">
      <c r="B959" t="s">
        <v>793</v>
      </c>
    </row>
    <row r="960" spans="2:2" x14ac:dyDescent="0.25">
      <c r="B960" t="s">
        <v>1632</v>
      </c>
    </row>
    <row r="961" spans="2:2" x14ac:dyDescent="0.25">
      <c r="B961" t="s">
        <v>1674</v>
      </c>
    </row>
    <row r="962" spans="2:2" x14ac:dyDescent="0.25">
      <c r="B962" t="s">
        <v>38</v>
      </c>
    </row>
    <row r="963" spans="2:2" x14ac:dyDescent="0.25">
      <c r="B963" t="s">
        <v>0</v>
      </c>
    </row>
    <row r="964" spans="2:2" x14ac:dyDescent="0.25">
      <c r="B964" t="s">
        <v>264</v>
      </c>
    </row>
    <row r="965" spans="2:2" x14ac:dyDescent="0.25">
      <c r="B965" t="s">
        <v>378</v>
      </c>
    </row>
    <row r="966" spans="2:2" x14ac:dyDescent="0.25">
      <c r="B966" t="s">
        <v>1563</v>
      </c>
    </row>
    <row r="967" spans="2:2" x14ac:dyDescent="0.25">
      <c r="B967" t="s">
        <v>961</v>
      </c>
    </row>
    <row r="968" spans="2:2" x14ac:dyDescent="0.25">
      <c r="B968" t="s">
        <v>322</v>
      </c>
    </row>
    <row r="969" spans="2:2" x14ac:dyDescent="0.25">
      <c r="B969" t="s">
        <v>637</v>
      </c>
    </row>
    <row r="970" spans="2:2" x14ac:dyDescent="0.25">
      <c r="B970" t="s">
        <v>44</v>
      </c>
    </row>
    <row r="971" spans="2:2" x14ac:dyDescent="0.25">
      <c r="B971" t="s">
        <v>46</v>
      </c>
    </row>
    <row r="972" spans="2:2" x14ac:dyDescent="0.25">
      <c r="B972" t="s">
        <v>1215</v>
      </c>
    </row>
    <row r="973" spans="2:2" x14ac:dyDescent="0.25">
      <c r="B973" t="s">
        <v>1698</v>
      </c>
    </row>
    <row r="974" spans="2:2" x14ac:dyDescent="0.25">
      <c r="B974" t="s">
        <v>1623</v>
      </c>
    </row>
    <row r="975" spans="2:2" x14ac:dyDescent="0.25">
      <c r="B975" t="s">
        <v>212</v>
      </c>
    </row>
    <row r="976" spans="2:2" x14ac:dyDescent="0.25">
      <c r="B976" t="s">
        <v>107</v>
      </c>
    </row>
    <row r="977" spans="2:2" x14ac:dyDescent="0.25">
      <c r="B977" t="s">
        <v>610</v>
      </c>
    </row>
    <row r="978" spans="2:2" x14ac:dyDescent="0.25">
      <c r="B978" t="s">
        <v>1358</v>
      </c>
    </row>
    <row r="979" spans="2:2" x14ac:dyDescent="0.25">
      <c r="B979" t="s">
        <v>572</v>
      </c>
    </row>
    <row r="980" spans="2:2" x14ac:dyDescent="0.25">
      <c r="B980" t="s">
        <v>432</v>
      </c>
    </row>
    <row r="981" spans="2:2" x14ac:dyDescent="0.25">
      <c r="B981" t="s">
        <v>395</v>
      </c>
    </row>
    <row r="982" spans="2:2" x14ac:dyDescent="0.25">
      <c r="B982" t="s">
        <v>575</v>
      </c>
    </row>
    <row r="983" spans="2:2" x14ac:dyDescent="0.25">
      <c r="B983" t="s">
        <v>1074</v>
      </c>
    </row>
    <row r="984" spans="2:2" x14ac:dyDescent="0.25">
      <c r="B984" t="s">
        <v>421</v>
      </c>
    </row>
    <row r="985" spans="2:2" x14ac:dyDescent="0.25">
      <c r="B985" t="s">
        <v>1145</v>
      </c>
    </row>
    <row r="986" spans="2:2" x14ac:dyDescent="0.25">
      <c r="B986" t="s">
        <v>1543</v>
      </c>
    </row>
    <row r="987" spans="2:2" x14ac:dyDescent="0.25">
      <c r="B987" t="s">
        <v>869</v>
      </c>
    </row>
    <row r="988" spans="2:2" x14ac:dyDescent="0.25">
      <c r="B988" t="s">
        <v>1342</v>
      </c>
    </row>
    <row r="989" spans="2:2" x14ac:dyDescent="0.25">
      <c r="B989" t="s">
        <v>1309</v>
      </c>
    </row>
    <row r="990" spans="2:2" x14ac:dyDescent="0.25">
      <c r="B990" t="s">
        <v>769</v>
      </c>
    </row>
    <row r="991" spans="2:2" x14ac:dyDescent="0.25">
      <c r="B991" t="s">
        <v>471</v>
      </c>
    </row>
    <row r="992" spans="2:2" x14ac:dyDescent="0.25">
      <c r="B992" t="s">
        <v>450</v>
      </c>
    </row>
    <row r="993" spans="2:2" x14ac:dyDescent="0.25">
      <c r="B993" t="s">
        <v>62</v>
      </c>
    </row>
    <row r="994" spans="2:2" x14ac:dyDescent="0.25">
      <c r="B994" t="s">
        <v>1038</v>
      </c>
    </row>
    <row r="995" spans="2:2" x14ac:dyDescent="0.25">
      <c r="B995" t="s">
        <v>1272</v>
      </c>
    </row>
    <row r="996" spans="2:2" x14ac:dyDescent="0.25">
      <c r="B996" t="s">
        <v>1669</v>
      </c>
    </row>
    <row r="997" spans="2:2" x14ac:dyDescent="0.25">
      <c r="B997" t="s">
        <v>600</v>
      </c>
    </row>
    <row r="998" spans="2:2" x14ac:dyDescent="0.25">
      <c r="B998" t="s">
        <v>346</v>
      </c>
    </row>
    <row r="999" spans="2:2" x14ac:dyDescent="0.25">
      <c r="B999" t="s">
        <v>873</v>
      </c>
    </row>
    <row r="1000" spans="2:2" x14ac:dyDescent="0.25">
      <c r="B1000" t="s">
        <v>1064</v>
      </c>
    </row>
    <row r="1001" spans="2:2" x14ac:dyDescent="0.25">
      <c r="B1001" t="s">
        <v>1011</v>
      </c>
    </row>
    <row r="1002" spans="2:2" x14ac:dyDescent="0.25">
      <c r="B1002" t="s">
        <v>514</v>
      </c>
    </row>
    <row r="1003" spans="2:2" x14ac:dyDescent="0.25">
      <c r="B1003" t="s">
        <v>1076</v>
      </c>
    </row>
    <row r="1004" spans="2:2" x14ac:dyDescent="0.25">
      <c r="B1004" t="s">
        <v>733</v>
      </c>
    </row>
    <row r="1005" spans="2:2" x14ac:dyDescent="0.25">
      <c r="B1005" t="s">
        <v>1217</v>
      </c>
    </row>
    <row r="1006" spans="2:2" x14ac:dyDescent="0.25">
      <c r="B1006" t="s">
        <v>266</v>
      </c>
    </row>
    <row r="1007" spans="2:2" x14ac:dyDescent="0.25">
      <c r="B1007" t="s">
        <v>806</v>
      </c>
    </row>
    <row r="1008" spans="2:2" x14ac:dyDescent="0.25">
      <c r="B1008" t="s">
        <v>847</v>
      </c>
    </row>
    <row r="1009" spans="2:2" x14ac:dyDescent="0.25">
      <c r="B1009" t="s">
        <v>116</v>
      </c>
    </row>
    <row r="1010" spans="2:2" x14ac:dyDescent="0.25">
      <c r="B1010" t="s">
        <v>1161</v>
      </c>
    </row>
    <row r="1011" spans="2:2" x14ac:dyDescent="0.25">
      <c r="B1011" t="s">
        <v>827</v>
      </c>
    </row>
    <row r="1012" spans="2:2" x14ac:dyDescent="0.25">
      <c r="B1012" t="s">
        <v>81</v>
      </c>
    </row>
    <row r="1013" spans="2:2" x14ac:dyDescent="0.25">
      <c r="B1013" t="s">
        <v>275</v>
      </c>
    </row>
    <row r="1014" spans="2:2" x14ac:dyDescent="0.25">
      <c r="B1014" t="s">
        <v>1119</v>
      </c>
    </row>
    <row r="1015" spans="2:2" x14ac:dyDescent="0.25">
      <c r="B1015" t="s">
        <v>1634</v>
      </c>
    </row>
    <row r="1016" spans="2:2" x14ac:dyDescent="0.25">
      <c r="B1016" t="s">
        <v>960</v>
      </c>
    </row>
    <row r="1017" spans="2:2" x14ac:dyDescent="0.25">
      <c r="B1017" t="s">
        <v>1730</v>
      </c>
    </row>
    <row r="1018" spans="2:2" x14ac:dyDescent="0.25">
      <c r="B1018" t="s">
        <v>820</v>
      </c>
    </row>
    <row r="1019" spans="2:2" x14ac:dyDescent="0.25">
      <c r="B1019" t="s">
        <v>141</v>
      </c>
    </row>
    <row r="1020" spans="2:2" x14ac:dyDescent="0.25">
      <c r="B1020" t="s">
        <v>1212</v>
      </c>
    </row>
    <row r="1021" spans="2:2" x14ac:dyDescent="0.25">
      <c r="B1021" t="s">
        <v>1441</v>
      </c>
    </row>
    <row r="1022" spans="2:2" x14ac:dyDescent="0.25">
      <c r="B1022" t="s">
        <v>1391</v>
      </c>
    </row>
    <row r="1023" spans="2:2" x14ac:dyDescent="0.25">
      <c r="B1023" t="s">
        <v>1317</v>
      </c>
    </row>
    <row r="1024" spans="2:2" x14ac:dyDescent="0.25">
      <c r="B1024" t="s">
        <v>1265</v>
      </c>
    </row>
    <row r="1025" spans="2:2" x14ac:dyDescent="0.25">
      <c r="B1025" t="s">
        <v>1181</v>
      </c>
    </row>
    <row r="1026" spans="2:2" x14ac:dyDescent="0.25">
      <c r="B1026" t="s">
        <v>956</v>
      </c>
    </row>
    <row r="1027" spans="2:2" x14ac:dyDescent="0.25">
      <c r="B1027" t="s">
        <v>458</v>
      </c>
    </row>
    <row r="1028" spans="2:2" x14ac:dyDescent="0.25">
      <c r="B1028" t="s">
        <v>1141</v>
      </c>
    </row>
    <row r="1029" spans="2:2" x14ac:dyDescent="0.25">
      <c r="B1029" t="s">
        <v>377</v>
      </c>
    </row>
    <row r="1030" spans="2:2" x14ac:dyDescent="0.25">
      <c r="B1030" t="s">
        <v>1513</v>
      </c>
    </row>
    <row r="1031" spans="2:2" x14ac:dyDescent="0.25">
      <c r="B1031" t="s">
        <v>1254</v>
      </c>
    </row>
    <row r="1032" spans="2:2" x14ac:dyDescent="0.25">
      <c r="B1032" t="s">
        <v>756</v>
      </c>
    </row>
    <row r="1033" spans="2:2" x14ac:dyDescent="0.25">
      <c r="B1033" t="s">
        <v>658</v>
      </c>
    </row>
    <row r="1034" spans="2:2" x14ac:dyDescent="0.25">
      <c r="B1034" t="s">
        <v>1120</v>
      </c>
    </row>
    <row r="1035" spans="2:2" x14ac:dyDescent="0.25">
      <c r="B1035" t="s">
        <v>1462</v>
      </c>
    </row>
    <row r="1036" spans="2:2" x14ac:dyDescent="0.25">
      <c r="B1036" t="s">
        <v>1061</v>
      </c>
    </row>
    <row r="1037" spans="2:2" x14ac:dyDescent="0.25">
      <c r="B1037" t="s">
        <v>1301</v>
      </c>
    </row>
    <row r="1038" spans="2:2" x14ac:dyDescent="0.25">
      <c r="B1038" t="s">
        <v>1773</v>
      </c>
    </row>
    <row r="1039" spans="2:2" x14ac:dyDescent="0.25">
      <c r="B1039" t="s">
        <v>1526</v>
      </c>
    </row>
    <row r="1040" spans="2:2" x14ac:dyDescent="0.25">
      <c r="B1040" t="s">
        <v>483</v>
      </c>
    </row>
    <row r="1041" spans="2:2" x14ac:dyDescent="0.25">
      <c r="B1041" t="s">
        <v>163</v>
      </c>
    </row>
    <row r="1042" spans="2:2" x14ac:dyDescent="0.25">
      <c r="B1042" t="s">
        <v>299</v>
      </c>
    </row>
    <row r="1043" spans="2:2" x14ac:dyDescent="0.25">
      <c r="B1043" t="s">
        <v>1109</v>
      </c>
    </row>
    <row r="1044" spans="2:2" x14ac:dyDescent="0.25">
      <c r="B1044" t="s">
        <v>1402</v>
      </c>
    </row>
    <row r="1045" spans="2:2" x14ac:dyDescent="0.25">
      <c r="B1045" t="s">
        <v>1628</v>
      </c>
    </row>
    <row r="1046" spans="2:2" x14ac:dyDescent="0.25">
      <c r="B1046" t="s">
        <v>1579</v>
      </c>
    </row>
    <row r="1047" spans="2:2" x14ac:dyDescent="0.25">
      <c r="B1047" t="s">
        <v>791</v>
      </c>
    </row>
    <row r="1048" spans="2:2" x14ac:dyDescent="0.25">
      <c r="B1048" t="s">
        <v>1346</v>
      </c>
    </row>
    <row r="1049" spans="2:2" x14ac:dyDescent="0.25">
      <c r="B1049" t="s">
        <v>14</v>
      </c>
    </row>
    <row r="1050" spans="2:2" x14ac:dyDescent="0.25">
      <c r="B1050" t="s">
        <v>463</v>
      </c>
    </row>
    <row r="1051" spans="2:2" x14ac:dyDescent="0.25">
      <c r="B1051" t="s">
        <v>1261</v>
      </c>
    </row>
    <row r="1052" spans="2:2" x14ac:dyDescent="0.25">
      <c r="B1052" t="s">
        <v>1593</v>
      </c>
    </row>
    <row r="1053" spans="2:2" x14ac:dyDescent="0.25">
      <c r="B1053" t="s">
        <v>750</v>
      </c>
    </row>
    <row r="1054" spans="2:2" x14ac:dyDescent="0.25">
      <c r="B1054" t="s">
        <v>1182</v>
      </c>
    </row>
    <row r="1055" spans="2:2" x14ac:dyDescent="0.25">
      <c r="B1055" t="s">
        <v>634</v>
      </c>
    </row>
    <row r="1056" spans="2:2" x14ac:dyDescent="0.25">
      <c r="B1056" t="s">
        <v>1060</v>
      </c>
    </row>
    <row r="1057" spans="2:2" x14ac:dyDescent="0.25">
      <c r="B1057" t="s">
        <v>635</v>
      </c>
    </row>
    <row r="1058" spans="2:2" x14ac:dyDescent="0.25">
      <c r="B1058" t="s">
        <v>232</v>
      </c>
    </row>
    <row r="1059" spans="2:2" x14ac:dyDescent="0.25">
      <c r="B1059" t="s">
        <v>1088</v>
      </c>
    </row>
    <row r="1060" spans="2:2" x14ac:dyDescent="0.25">
      <c r="B1060" t="s">
        <v>1446</v>
      </c>
    </row>
    <row r="1061" spans="2:2" x14ac:dyDescent="0.25">
      <c r="B1061" t="s">
        <v>1455</v>
      </c>
    </row>
    <row r="1062" spans="2:2" x14ac:dyDescent="0.25">
      <c r="B1062" t="s">
        <v>916</v>
      </c>
    </row>
    <row r="1063" spans="2:2" x14ac:dyDescent="0.25">
      <c r="B1063" t="s">
        <v>502</v>
      </c>
    </row>
    <row r="1064" spans="2:2" x14ac:dyDescent="0.25">
      <c r="B1064" t="s">
        <v>222</v>
      </c>
    </row>
    <row r="1065" spans="2:2" x14ac:dyDescent="0.25">
      <c r="B1065" t="s">
        <v>267</v>
      </c>
    </row>
    <row r="1066" spans="2:2" x14ac:dyDescent="0.25">
      <c r="B1066" t="s">
        <v>725</v>
      </c>
    </row>
    <row r="1067" spans="2:2" x14ac:dyDescent="0.25">
      <c r="B1067" t="s">
        <v>1065</v>
      </c>
    </row>
    <row r="1068" spans="2:2" x14ac:dyDescent="0.25">
      <c r="B1068" t="s">
        <v>801</v>
      </c>
    </row>
    <row r="1069" spans="2:2" x14ac:dyDescent="0.25">
      <c r="B1069" t="s">
        <v>1155</v>
      </c>
    </row>
    <row r="1070" spans="2:2" x14ac:dyDescent="0.25">
      <c r="B1070" t="s">
        <v>1365</v>
      </c>
    </row>
    <row r="1071" spans="2:2" x14ac:dyDescent="0.25">
      <c r="B1071" t="s">
        <v>330</v>
      </c>
    </row>
    <row r="1072" spans="2:2" x14ac:dyDescent="0.25">
      <c r="B1072" t="s">
        <v>1724</v>
      </c>
    </row>
    <row r="1073" spans="2:2" x14ac:dyDescent="0.25">
      <c r="B1073" t="s">
        <v>993</v>
      </c>
    </row>
    <row r="1074" spans="2:2" x14ac:dyDescent="0.25">
      <c r="B1074" t="s">
        <v>1277</v>
      </c>
    </row>
    <row r="1075" spans="2:2" x14ac:dyDescent="0.25">
      <c r="B1075" t="s">
        <v>215</v>
      </c>
    </row>
    <row r="1076" spans="2:2" x14ac:dyDescent="0.25">
      <c r="B1076" t="s">
        <v>792</v>
      </c>
    </row>
    <row r="1077" spans="2:2" x14ac:dyDescent="0.25">
      <c r="B1077" t="s">
        <v>145</v>
      </c>
    </row>
    <row r="1078" spans="2:2" x14ac:dyDescent="0.25">
      <c r="B1078" t="s">
        <v>1443</v>
      </c>
    </row>
    <row r="1079" spans="2:2" x14ac:dyDescent="0.25">
      <c r="B1079" t="s">
        <v>1297</v>
      </c>
    </row>
    <row r="1080" spans="2:2" x14ac:dyDescent="0.25">
      <c r="B1080" t="s">
        <v>513</v>
      </c>
    </row>
    <row r="1081" spans="2:2" x14ac:dyDescent="0.25">
      <c r="B1081" t="s">
        <v>785</v>
      </c>
    </row>
    <row r="1082" spans="2:2" x14ac:dyDescent="0.25">
      <c r="B1082" t="s">
        <v>303</v>
      </c>
    </row>
    <row r="1083" spans="2:2" x14ac:dyDescent="0.25">
      <c r="B1083" t="s">
        <v>350</v>
      </c>
    </row>
    <row r="1084" spans="2:2" x14ac:dyDescent="0.25">
      <c r="B1084" t="s">
        <v>227</v>
      </c>
    </row>
    <row r="1085" spans="2:2" x14ac:dyDescent="0.25">
      <c r="B1085" t="s">
        <v>1351</v>
      </c>
    </row>
    <row r="1086" spans="2:2" x14ac:dyDescent="0.25">
      <c r="B1086" t="s">
        <v>1521</v>
      </c>
    </row>
    <row r="1087" spans="2:2" x14ac:dyDescent="0.25">
      <c r="B1087" t="s">
        <v>1439</v>
      </c>
    </row>
    <row r="1088" spans="2:2" x14ac:dyDescent="0.25">
      <c r="B1088" t="s">
        <v>157</v>
      </c>
    </row>
    <row r="1089" spans="2:2" x14ac:dyDescent="0.25">
      <c r="B1089" t="s">
        <v>805</v>
      </c>
    </row>
    <row r="1090" spans="2:2" x14ac:dyDescent="0.25">
      <c r="B1090" t="s">
        <v>842</v>
      </c>
    </row>
    <row r="1091" spans="2:2" x14ac:dyDescent="0.25">
      <c r="B1091" t="s">
        <v>320</v>
      </c>
    </row>
    <row r="1092" spans="2:2" x14ac:dyDescent="0.25">
      <c r="B1092" t="s">
        <v>612</v>
      </c>
    </row>
    <row r="1093" spans="2:2" x14ac:dyDescent="0.25">
      <c r="B1093" t="s">
        <v>1767</v>
      </c>
    </row>
    <row r="1094" spans="2:2" x14ac:dyDescent="0.25">
      <c r="B1094" t="s">
        <v>809</v>
      </c>
    </row>
    <row r="1095" spans="2:2" x14ac:dyDescent="0.25">
      <c r="B1095" t="s">
        <v>409</v>
      </c>
    </row>
    <row r="1096" spans="2:2" x14ac:dyDescent="0.25">
      <c r="B1096" t="s">
        <v>1570</v>
      </c>
    </row>
    <row r="1097" spans="2:2" x14ac:dyDescent="0.25">
      <c r="B1097" t="s">
        <v>940</v>
      </c>
    </row>
    <row r="1098" spans="2:2" x14ac:dyDescent="0.25">
      <c r="B1098" t="s">
        <v>304</v>
      </c>
    </row>
    <row r="1099" spans="2:2" x14ac:dyDescent="0.25">
      <c r="B1099" t="s">
        <v>150</v>
      </c>
    </row>
    <row r="1100" spans="2:2" x14ac:dyDescent="0.25">
      <c r="B1100" t="s">
        <v>991</v>
      </c>
    </row>
    <row r="1101" spans="2:2" x14ac:dyDescent="0.25">
      <c r="B1101" t="s">
        <v>439</v>
      </c>
    </row>
    <row r="1102" spans="2:2" x14ac:dyDescent="0.25">
      <c r="B1102" t="s">
        <v>306</v>
      </c>
    </row>
    <row r="1103" spans="2:2" x14ac:dyDescent="0.25">
      <c r="B1103" t="s">
        <v>382</v>
      </c>
    </row>
    <row r="1104" spans="2:2" x14ac:dyDescent="0.25">
      <c r="B1104" t="s">
        <v>205</v>
      </c>
    </row>
    <row r="1105" spans="2:2" x14ac:dyDescent="0.25">
      <c r="B1105" t="s">
        <v>1749</v>
      </c>
    </row>
    <row r="1106" spans="2:2" x14ac:dyDescent="0.25">
      <c r="B1106" t="s">
        <v>519</v>
      </c>
    </row>
    <row r="1107" spans="2:2" x14ac:dyDescent="0.25">
      <c r="B1107" t="s">
        <v>1582</v>
      </c>
    </row>
    <row r="1108" spans="2:2" x14ac:dyDescent="0.25">
      <c r="B1108" t="s">
        <v>1587</v>
      </c>
    </row>
    <row r="1109" spans="2:2" x14ac:dyDescent="0.25">
      <c r="B1109" t="s">
        <v>643</v>
      </c>
    </row>
    <row r="1110" spans="2:2" x14ac:dyDescent="0.25">
      <c r="B1110" t="s">
        <v>1704</v>
      </c>
    </row>
    <row r="1111" spans="2:2" x14ac:dyDescent="0.25">
      <c r="B1111" t="s">
        <v>1454</v>
      </c>
    </row>
    <row r="1112" spans="2:2" x14ac:dyDescent="0.25">
      <c r="B1112" t="s">
        <v>1485</v>
      </c>
    </row>
    <row r="1113" spans="2:2" x14ac:dyDescent="0.25">
      <c r="B1113" t="s">
        <v>1315</v>
      </c>
    </row>
    <row r="1114" spans="2:2" x14ac:dyDescent="0.25">
      <c r="B1114" t="s">
        <v>384</v>
      </c>
    </row>
    <row r="1115" spans="2:2" x14ac:dyDescent="0.25">
      <c r="B1115" t="s">
        <v>464</v>
      </c>
    </row>
    <row r="1116" spans="2:2" x14ac:dyDescent="0.25">
      <c r="B1116" t="s">
        <v>872</v>
      </c>
    </row>
    <row r="1117" spans="2:2" x14ac:dyDescent="0.25">
      <c r="B1117" t="s">
        <v>171</v>
      </c>
    </row>
    <row r="1118" spans="2:2" x14ac:dyDescent="0.25">
      <c r="B1118" t="s">
        <v>381</v>
      </c>
    </row>
    <row r="1119" spans="2:2" x14ac:dyDescent="0.25">
      <c r="B1119" t="s">
        <v>1575</v>
      </c>
    </row>
    <row r="1120" spans="2:2" x14ac:dyDescent="0.25">
      <c r="B1120" t="s">
        <v>1057</v>
      </c>
    </row>
    <row r="1121" spans="2:2" x14ac:dyDescent="0.25">
      <c r="B1121" t="s">
        <v>1615</v>
      </c>
    </row>
    <row r="1122" spans="2:2" x14ac:dyDescent="0.25">
      <c r="B1122" t="s">
        <v>1092</v>
      </c>
    </row>
    <row r="1123" spans="2:2" x14ac:dyDescent="0.25">
      <c r="B1123" t="s">
        <v>532</v>
      </c>
    </row>
    <row r="1124" spans="2:2" x14ac:dyDescent="0.25">
      <c r="B1124" t="s">
        <v>131</v>
      </c>
    </row>
    <row r="1125" spans="2:2" x14ac:dyDescent="0.25">
      <c r="B1125" t="s">
        <v>1376</v>
      </c>
    </row>
    <row r="1126" spans="2:2" x14ac:dyDescent="0.25">
      <c r="B1126" t="s">
        <v>1278</v>
      </c>
    </row>
    <row r="1127" spans="2:2" x14ac:dyDescent="0.25">
      <c r="B1127" t="s">
        <v>1514</v>
      </c>
    </row>
    <row r="1128" spans="2:2" x14ac:dyDescent="0.25">
      <c r="B1128" t="s">
        <v>1333</v>
      </c>
    </row>
    <row r="1129" spans="2:2" x14ac:dyDescent="0.25">
      <c r="B1129" t="s">
        <v>406</v>
      </c>
    </row>
    <row r="1130" spans="2:2" x14ac:dyDescent="0.25">
      <c r="B1130" t="s">
        <v>746</v>
      </c>
    </row>
    <row r="1131" spans="2:2" x14ac:dyDescent="0.25">
      <c r="B1131" t="s">
        <v>900</v>
      </c>
    </row>
    <row r="1132" spans="2:2" x14ac:dyDescent="0.25">
      <c r="B1132" t="s">
        <v>779</v>
      </c>
    </row>
    <row r="1133" spans="2:2" x14ac:dyDescent="0.25">
      <c r="B1133" t="s">
        <v>1437</v>
      </c>
    </row>
    <row r="1134" spans="2:2" x14ac:dyDescent="0.25">
      <c r="B1134" t="s">
        <v>720</v>
      </c>
    </row>
    <row r="1135" spans="2:2" x14ac:dyDescent="0.25">
      <c r="B1135" t="s">
        <v>391</v>
      </c>
    </row>
    <row r="1136" spans="2:2" x14ac:dyDescent="0.25">
      <c r="B1136" t="s">
        <v>897</v>
      </c>
    </row>
    <row r="1137" spans="2:2" x14ac:dyDescent="0.25">
      <c r="B1137" t="s">
        <v>1285</v>
      </c>
    </row>
    <row r="1138" spans="2:2" x14ac:dyDescent="0.25">
      <c r="B1138" t="s">
        <v>354</v>
      </c>
    </row>
    <row r="1139" spans="2:2" x14ac:dyDescent="0.25">
      <c r="B1139" t="s">
        <v>936</v>
      </c>
    </row>
    <row r="1140" spans="2:2" x14ac:dyDescent="0.25">
      <c r="B1140" t="s">
        <v>125</v>
      </c>
    </row>
    <row r="1141" spans="2:2" x14ac:dyDescent="0.25">
      <c r="B1141" t="s">
        <v>986</v>
      </c>
    </row>
    <row r="1142" spans="2:2" x14ac:dyDescent="0.25">
      <c r="B1142" t="s">
        <v>583</v>
      </c>
    </row>
    <row r="1143" spans="2:2" x14ac:dyDescent="0.25">
      <c r="B1143" t="s">
        <v>1765</v>
      </c>
    </row>
    <row r="1144" spans="2:2" x14ac:dyDescent="0.25">
      <c r="B1144" t="s">
        <v>1438</v>
      </c>
    </row>
    <row r="1145" spans="2:2" x14ac:dyDescent="0.25">
      <c r="B1145" t="s">
        <v>749</v>
      </c>
    </row>
    <row r="1146" spans="2:2" x14ac:dyDescent="0.25">
      <c r="B1146" t="s">
        <v>160</v>
      </c>
    </row>
    <row r="1147" spans="2:2" x14ac:dyDescent="0.25">
      <c r="B1147" t="s">
        <v>437</v>
      </c>
    </row>
    <row r="1148" spans="2:2" x14ac:dyDescent="0.25">
      <c r="B1148" t="s">
        <v>211</v>
      </c>
    </row>
    <row r="1149" spans="2:2" x14ac:dyDescent="0.25">
      <c r="B1149" t="s">
        <v>26</v>
      </c>
    </row>
    <row r="1150" spans="2:2" x14ac:dyDescent="0.25">
      <c r="B1150" t="s">
        <v>517</v>
      </c>
    </row>
    <row r="1151" spans="2:2" x14ac:dyDescent="0.25">
      <c r="B1151" t="s">
        <v>1658</v>
      </c>
    </row>
    <row r="1152" spans="2:2" x14ac:dyDescent="0.25">
      <c r="B1152" t="s">
        <v>666</v>
      </c>
    </row>
    <row r="1153" spans="2:2" x14ac:dyDescent="0.25">
      <c r="B1153" t="s">
        <v>80</v>
      </c>
    </row>
    <row r="1154" spans="2:2" x14ac:dyDescent="0.25">
      <c r="B1154" t="s">
        <v>1515</v>
      </c>
    </row>
    <row r="1155" spans="2:2" x14ac:dyDescent="0.25">
      <c r="B1155" t="s">
        <v>129</v>
      </c>
    </row>
    <row r="1156" spans="2:2" x14ac:dyDescent="0.25">
      <c r="B1156" t="s">
        <v>1450</v>
      </c>
    </row>
    <row r="1157" spans="2:2" x14ac:dyDescent="0.25">
      <c r="B1157" t="s">
        <v>1620</v>
      </c>
    </row>
    <row r="1158" spans="2:2" x14ac:dyDescent="0.25">
      <c r="B1158" t="s">
        <v>1090</v>
      </c>
    </row>
    <row r="1159" spans="2:2" x14ac:dyDescent="0.25">
      <c r="B1159" t="s">
        <v>618</v>
      </c>
    </row>
    <row r="1160" spans="2:2" x14ac:dyDescent="0.25">
      <c r="B1160" t="s">
        <v>59</v>
      </c>
    </row>
    <row r="1161" spans="2:2" x14ac:dyDescent="0.25">
      <c r="B1161" t="s">
        <v>175</v>
      </c>
    </row>
    <row r="1162" spans="2:2" x14ac:dyDescent="0.25">
      <c r="B1162" t="s">
        <v>1746</v>
      </c>
    </row>
    <row r="1163" spans="2:2" x14ac:dyDescent="0.25">
      <c r="B1163" t="s">
        <v>1185</v>
      </c>
    </row>
    <row r="1164" spans="2:2" x14ac:dyDescent="0.25">
      <c r="B1164" t="s">
        <v>922</v>
      </c>
    </row>
    <row r="1165" spans="2:2" x14ac:dyDescent="0.25">
      <c r="B1165" t="s">
        <v>814</v>
      </c>
    </row>
    <row r="1166" spans="2:2" x14ac:dyDescent="0.25">
      <c r="B1166" t="s">
        <v>161</v>
      </c>
    </row>
    <row r="1167" spans="2:2" x14ac:dyDescent="0.25">
      <c r="B1167" t="s">
        <v>1220</v>
      </c>
    </row>
    <row r="1168" spans="2:2" x14ac:dyDescent="0.25">
      <c r="B1168" t="s">
        <v>1702</v>
      </c>
    </row>
    <row r="1169" spans="2:2" x14ac:dyDescent="0.25">
      <c r="B1169" t="s">
        <v>852</v>
      </c>
    </row>
    <row r="1170" spans="2:2" x14ac:dyDescent="0.25">
      <c r="B1170" t="s">
        <v>413</v>
      </c>
    </row>
    <row r="1171" spans="2:2" x14ac:dyDescent="0.25">
      <c r="B1171" t="s">
        <v>152</v>
      </c>
    </row>
    <row r="1172" spans="2:2" x14ac:dyDescent="0.25">
      <c r="B1172" t="s">
        <v>1592</v>
      </c>
    </row>
    <row r="1173" spans="2:2" x14ac:dyDescent="0.25">
      <c r="B1173" t="s">
        <v>1183</v>
      </c>
    </row>
    <row r="1174" spans="2:2" x14ac:dyDescent="0.25">
      <c r="B1174" t="s">
        <v>374</v>
      </c>
    </row>
    <row r="1175" spans="2:2" x14ac:dyDescent="0.25">
      <c r="B1175" t="s">
        <v>1274</v>
      </c>
    </row>
    <row r="1176" spans="2:2" x14ac:dyDescent="0.25">
      <c r="B1176" t="s">
        <v>722</v>
      </c>
    </row>
    <row r="1177" spans="2:2" x14ac:dyDescent="0.25">
      <c r="B1177" t="s">
        <v>184</v>
      </c>
    </row>
    <row r="1178" spans="2:2" x14ac:dyDescent="0.25">
      <c r="B1178" t="s">
        <v>843</v>
      </c>
    </row>
    <row r="1179" spans="2:2" x14ac:dyDescent="0.25">
      <c r="B1179" t="s">
        <v>1094</v>
      </c>
    </row>
    <row r="1180" spans="2:2" x14ac:dyDescent="0.25">
      <c r="B1180" t="s">
        <v>728</v>
      </c>
    </row>
    <row r="1181" spans="2:2" x14ac:dyDescent="0.25">
      <c r="B1181" t="s">
        <v>1361</v>
      </c>
    </row>
    <row r="1182" spans="2:2" x14ac:dyDescent="0.25">
      <c r="B1182" t="s">
        <v>1416</v>
      </c>
    </row>
    <row r="1183" spans="2:2" x14ac:dyDescent="0.25">
      <c r="B1183" t="s">
        <v>1308</v>
      </c>
    </row>
    <row r="1184" spans="2:2" x14ac:dyDescent="0.25">
      <c r="B1184" t="s">
        <v>223</v>
      </c>
    </row>
    <row r="1185" spans="2:2" x14ac:dyDescent="0.25">
      <c r="B1185" t="s">
        <v>1440</v>
      </c>
    </row>
    <row r="1186" spans="2:2" x14ac:dyDescent="0.25">
      <c r="B1186" t="s">
        <v>1318</v>
      </c>
    </row>
    <row r="1187" spans="2:2" x14ac:dyDescent="0.25">
      <c r="B1187" t="s">
        <v>313</v>
      </c>
    </row>
    <row r="1188" spans="2:2" x14ac:dyDescent="0.25">
      <c r="B1188" t="s">
        <v>630</v>
      </c>
    </row>
    <row r="1189" spans="2:2" x14ac:dyDescent="0.25">
      <c r="B1189" t="s">
        <v>1693</v>
      </c>
    </row>
    <row r="1190" spans="2:2" x14ac:dyDescent="0.25">
      <c r="B1190" t="s">
        <v>358</v>
      </c>
    </row>
    <row r="1191" spans="2:2" x14ac:dyDescent="0.25">
      <c r="B1191" t="s">
        <v>337</v>
      </c>
    </row>
    <row r="1192" spans="2:2" x14ac:dyDescent="0.25">
      <c r="B1192" t="s">
        <v>1201</v>
      </c>
    </row>
    <row r="1193" spans="2:2" x14ac:dyDescent="0.25">
      <c r="B1193" t="s">
        <v>1096</v>
      </c>
    </row>
    <row r="1194" spans="2:2" x14ac:dyDescent="0.25">
      <c r="B1194" t="s">
        <v>198</v>
      </c>
    </row>
    <row r="1195" spans="2:2" x14ac:dyDescent="0.25">
      <c r="B1195" t="s">
        <v>1303</v>
      </c>
    </row>
    <row r="1196" spans="2:2" x14ac:dyDescent="0.25">
      <c r="B1196" t="s">
        <v>928</v>
      </c>
    </row>
    <row r="1197" spans="2:2" x14ac:dyDescent="0.25">
      <c r="B1197" t="s">
        <v>989</v>
      </c>
    </row>
    <row r="1198" spans="2:2" x14ac:dyDescent="0.25">
      <c r="B1198" t="s">
        <v>1156</v>
      </c>
    </row>
    <row r="1199" spans="2:2" x14ac:dyDescent="0.25">
      <c r="B1199" t="s">
        <v>1511</v>
      </c>
    </row>
    <row r="1200" spans="2:2" x14ac:dyDescent="0.25">
      <c r="B1200" t="s">
        <v>1411</v>
      </c>
    </row>
    <row r="1201" spans="2:2" x14ac:dyDescent="0.25">
      <c r="B1201" t="s">
        <v>252</v>
      </c>
    </row>
    <row r="1202" spans="2:2" x14ac:dyDescent="0.25">
      <c r="B1202" t="s">
        <v>1618</v>
      </c>
    </row>
    <row r="1203" spans="2:2" x14ac:dyDescent="0.25">
      <c r="B1203" t="s">
        <v>1320</v>
      </c>
    </row>
    <row r="1204" spans="2:2" x14ac:dyDescent="0.25">
      <c r="B1204" t="s">
        <v>810</v>
      </c>
    </row>
    <row r="1205" spans="2:2" x14ac:dyDescent="0.25">
      <c r="B1205" t="s">
        <v>1463</v>
      </c>
    </row>
    <row r="1206" spans="2:2" x14ac:dyDescent="0.25">
      <c r="B1206" t="s">
        <v>174</v>
      </c>
    </row>
    <row r="1207" spans="2:2" x14ac:dyDescent="0.25">
      <c r="B1207" t="s">
        <v>536</v>
      </c>
    </row>
    <row r="1208" spans="2:2" x14ac:dyDescent="0.25">
      <c r="B1208" t="s">
        <v>595</v>
      </c>
    </row>
    <row r="1209" spans="2:2" x14ac:dyDescent="0.25">
      <c r="B1209" t="s">
        <v>1106</v>
      </c>
    </row>
    <row r="1210" spans="2:2" x14ac:dyDescent="0.25">
      <c r="B1210" t="s">
        <v>1550</v>
      </c>
    </row>
    <row r="1211" spans="2:2" x14ac:dyDescent="0.25">
      <c r="B1211" t="s">
        <v>1306</v>
      </c>
    </row>
    <row r="1212" spans="2:2" x14ac:dyDescent="0.25">
      <c r="B1212" t="s">
        <v>37</v>
      </c>
    </row>
    <row r="1213" spans="2:2" x14ac:dyDescent="0.25">
      <c r="B1213" t="s">
        <v>1168</v>
      </c>
    </row>
    <row r="1214" spans="2:2" x14ac:dyDescent="0.25">
      <c r="B1214" t="s">
        <v>501</v>
      </c>
    </row>
    <row r="1215" spans="2:2" x14ac:dyDescent="0.25">
      <c r="B1215" t="s">
        <v>708</v>
      </c>
    </row>
    <row r="1216" spans="2:2" x14ac:dyDescent="0.25">
      <c r="B1216" t="s">
        <v>399</v>
      </c>
    </row>
    <row r="1217" spans="2:2" x14ac:dyDescent="0.25">
      <c r="B1217" t="s">
        <v>1340</v>
      </c>
    </row>
    <row r="1218" spans="2:2" x14ac:dyDescent="0.25">
      <c r="B1218" t="s">
        <v>3</v>
      </c>
    </row>
    <row r="1219" spans="2:2" x14ac:dyDescent="0.25">
      <c r="B1219" t="s">
        <v>105</v>
      </c>
    </row>
    <row r="1220" spans="2:2" x14ac:dyDescent="0.25">
      <c r="B1220" t="s">
        <v>103</v>
      </c>
    </row>
    <row r="1221" spans="2:2" x14ac:dyDescent="0.25">
      <c r="B1221" t="s">
        <v>576</v>
      </c>
    </row>
    <row r="1222" spans="2:2" x14ac:dyDescent="0.25">
      <c r="B1222" t="s">
        <v>1499</v>
      </c>
    </row>
    <row r="1223" spans="2:2" x14ac:dyDescent="0.25">
      <c r="B1223" t="s">
        <v>1608</v>
      </c>
    </row>
    <row r="1224" spans="2:2" x14ac:dyDescent="0.25">
      <c r="B1224" t="s">
        <v>1295</v>
      </c>
    </row>
    <row r="1225" spans="2:2" x14ac:dyDescent="0.25">
      <c r="B1225" t="s">
        <v>17</v>
      </c>
    </row>
    <row r="1226" spans="2:2" x14ac:dyDescent="0.25">
      <c r="B1226" t="s">
        <v>1457</v>
      </c>
    </row>
    <row r="1227" spans="2:2" x14ac:dyDescent="0.25">
      <c r="B1227" t="s">
        <v>1663</v>
      </c>
    </row>
    <row r="1228" spans="2:2" x14ac:dyDescent="0.25">
      <c r="B1228" t="s">
        <v>1470</v>
      </c>
    </row>
    <row r="1229" spans="2:2" x14ac:dyDescent="0.25">
      <c r="B1229" t="s">
        <v>674</v>
      </c>
    </row>
    <row r="1230" spans="2:2" x14ac:dyDescent="0.25">
      <c r="B1230" t="s">
        <v>563</v>
      </c>
    </row>
    <row r="1231" spans="2:2" x14ac:dyDescent="0.25">
      <c r="B1231" t="s">
        <v>1677</v>
      </c>
    </row>
    <row r="1232" spans="2:2" x14ac:dyDescent="0.25">
      <c r="B1232" t="s">
        <v>1599</v>
      </c>
    </row>
    <row r="1233" spans="2:2" x14ac:dyDescent="0.25">
      <c r="B1233" t="s">
        <v>1164</v>
      </c>
    </row>
    <row r="1234" spans="2:2" x14ac:dyDescent="0.25">
      <c r="B1234" t="s">
        <v>782</v>
      </c>
    </row>
    <row r="1235" spans="2:2" x14ac:dyDescent="0.25">
      <c r="B1235" t="s">
        <v>39</v>
      </c>
    </row>
    <row r="1236" spans="2:2" x14ac:dyDescent="0.25">
      <c r="B1236" t="s">
        <v>489</v>
      </c>
    </row>
    <row r="1237" spans="2:2" x14ac:dyDescent="0.25">
      <c r="B1237" t="s">
        <v>90</v>
      </c>
    </row>
    <row r="1238" spans="2:2" x14ac:dyDescent="0.25">
      <c r="B1238" t="s">
        <v>487</v>
      </c>
    </row>
    <row r="1239" spans="2:2" x14ac:dyDescent="0.25">
      <c r="B1239" t="s">
        <v>1169</v>
      </c>
    </row>
    <row r="1240" spans="2:2" x14ac:dyDescent="0.25">
      <c r="B1240" t="s">
        <v>1104</v>
      </c>
    </row>
    <row r="1241" spans="2:2" x14ac:dyDescent="0.25">
      <c r="B1241" t="s">
        <v>434</v>
      </c>
    </row>
    <row r="1242" spans="2:2" x14ac:dyDescent="0.25">
      <c r="B1242" t="s">
        <v>28</v>
      </c>
    </row>
    <row r="1243" spans="2:2" x14ac:dyDescent="0.25">
      <c r="B1243" t="s">
        <v>1046</v>
      </c>
    </row>
    <row r="1244" spans="2:2" x14ac:dyDescent="0.25">
      <c r="B1244" t="s">
        <v>745</v>
      </c>
    </row>
    <row r="1245" spans="2:2" x14ac:dyDescent="0.25">
      <c r="B1245" t="s">
        <v>1262</v>
      </c>
    </row>
    <row r="1246" spans="2:2" x14ac:dyDescent="0.25">
      <c r="B1246" t="s">
        <v>1188</v>
      </c>
    </row>
    <row r="1247" spans="2:2" x14ac:dyDescent="0.25">
      <c r="B1247" t="s">
        <v>1574</v>
      </c>
    </row>
    <row r="1248" spans="2:2" x14ac:dyDescent="0.25">
      <c r="B1248" t="s">
        <v>147</v>
      </c>
    </row>
    <row r="1249" spans="2:2" x14ac:dyDescent="0.25">
      <c r="B1249" t="s">
        <v>1237</v>
      </c>
    </row>
    <row r="1250" spans="2:2" x14ac:dyDescent="0.25">
      <c r="B1250" t="s">
        <v>1452</v>
      </c>
    </row>
    <row r="1251" spans="2:2" x14ac:dyDescent="0.25">
      <c r="B1251" t="s">
        <v>274</v>
      </c>
    </row>
    <row r="1252" spans="2:2" x14ac:dyDescent="0.25">
      <c r="B1252" t="s">
        <v>713</v>
      </c>
    </row>
    <row r="1253" spans="2:2" x14ac:dyDescent="0.25">
      <c r="B1253" t="s">
        <v>787</v>
      </c>
    </row>
    <row r="1254" spans="2:2" x14ac:dyDescent="0.25">
      <c r="B1254" t="s">
        <v>1687</v>
      </c>
    </row>
    <row r="1255" spans="2:2" x14ac:dyDescent="0.25">
      <c r="B1255" t="s">
        <v>1266</v>
      </c>
    </row>
    <row r="1256" spans="2:2" x14ac:dyDescent="0.25">
      <c r="B1256" t="s">
        <v>1228</v>
      </c>
    </row>
    <row r="1257" spans="2:2" x14ac:dyDescent="0.25">
      <c r="B1257" t="s">
        <v>15</v>
      </c>
    </row>
    <row r="1258" spans="2:2" x14ac:dyDescent="0.25">
      <c r="B1258" t="s">
        <v>1348</v>
      </c>
    </row>
    <row r="1259" spans="2:2" x14ac:dyDescent="0.25">
      <c r="B1259" t="s">
        <v>1338</v>
      </c>
    </row>
    <row r="1260" spans="2:2" x14ac:dyDescent="0.25">
      <c r="B1260" t="s">
        <v>82</v>
      </c>
    </row>
    <row r="1261" spans="2:2" x14ac:dyDescent="0.25">
      <c r="B1261" t="s">
        <v>902</v>
      </c>
    </row>
    <row r="1262" spans="2:2" x14ac:dyDescent="0.25">
      <c r="B1262" t="s">
        <v>1121</v>
      </c>
    </row>
    <row r="1263" spans="2:2" x14ac:dyDescent="0.25">
      <c r="B1263" t="s">
        <v>1288</v>
      </c>
    </row>
    <row r="1264" spans="2:2" x14ac:dyDescent="0.25">
      <c r="B1264" t="s">
        <v>494</v>
      </c>
    </row>
    <row r="1265" spans="2:2" x14ac:dyDescent="0.25">
      <c r="B1265" t="s">
        <v>1591</v>
      </c>
    </row>
    <row r="1266" spans="2:2" x14ac:dyDescent="0.25">
      <c r="B1266" t="s">
        <v>747</v>
      </c>
    </row>
    <row r="1267" spans="2:2" x14ac:dyDescent="0.25">
      <c r="B1267" t="s">
        <v>974</v>
      </c>
    </row>
    <row r="1268" spans="2:2" x14ac:dyDescent="0.25">
      <c r="B1268" t="s">
        <v>885</v>
      </c>
    </row>
    <row r="1269" spans="2:2" x14ac:dyDescent="0.25">
      <c r="B1269" t="s">
        <v>1015</v>
      </c>
    </row>
    <row r="1270" spans="2:2" x14ac:dyDescent="0.25">
      <c r="B1270" t="s">
        <v>1238</v>
      </c>
    </row>
    <row r="1271" spans="2:2" x14ac:dyDescent="0.25">
      <c r="B1271" t="s">
        <v>291</v>
      </c>
    </row>
    <row r="1272" spans="2:2" x14ac:dyDescent="0.25">
      <c r="B1272" t="s">
        <v>1622</v>
      </c>
    </row>
    <row r="1273" spans="2:2" x14ac:dyDescent="0.25">
      <c r="B1273" t="s">
        <v>1129</v>
      </c>
    </row>
    <row r="1274" spans="2:2" x14ac:dyDescent="0.25">
      <c r="B1274" t="s">
        <v>468</v>
      </c>
    </row>
    <row r="1275" spans="2:2" x14ac:dyDescent="0.25">
      <c r="B1275" t="s">
        <v>817</v>
      </c>
    </row>
    <row r="1276" spans="2:2" x14ac:dyDescent="0.25">
      <c r="B1276" t="s">
        <v>7</v>
      </c>
    </row>
    <row r="1277" spans="2:2" x14ac:dyDescent="0.25">
      <c r="B1277" t="s">
        <v>1179</v>
      </c>
    </row>
    <row r="1278" spans="2:2" x14ac:dyDescent="0.25">
      <c r="B1278" t="s">
        <v>511</v>
      </c>
    </row>
    <row r="1279" spans="2:2" x14ac:dyDescent="0.25">
      <c r="B1279" t="s">
        <v>603</v>
      </c>
    </row>
    <row r="1280" spans="2:2" x14ac:dyDescent="0.25">
      <c r="B1280" t="s">
        <v>926</v>
      </c>
    </row>
    <row r="1281" spans="2:2" x14ac:dyDescent="0.25">
      <c r="B1281" t="s">
        <v>168</v>
      </c>
    </row>
    <row r="1282" spans="2:2" x14ac:dyDescent="0.25">
      <c r="B1282" t="s">
        <v>357</v>
      </c>
    </row>
    <row r="1283" spans="2:2" x14ac:dyDescent="0.25">
      <c r="B1283" t="s">
        <v>1612</v>
      </c>
    </row>
    <row r="1284" spans="2:2" x14ac:dyDescent="0.25">
      <c r="B1284" t="s">
        <v>242</v>
      </c>
    </row>
    <row r="1285" spans="2:2" x14ac:dyDescent="0.25">
      <c r="B1285" t="s">
        <v>389</v>
      </c>
    </row>
    <row r="1286" spans="2:2" x14ac:dyDescent="0.25">
      <c r="B1286" t="s">
        <v>644</v>
      </c>
    </row>
    <row r="1287" spans="2:2" x14ac:dyDescent="0.25">
      <c r="B1287" t="s">
        <v>586</v>
      </c>
    </row>
    <row r="1288" spans="2:2" x14ac:dyDescent="0.25">
      <c r="B1288" t="s">
        <v>1557</v>
      </c>
    </row>
    <row r="1289" spans="2:2" x14ac:dyDescent="0.25">
      <c r="B1289" t="s">
        <v>293</v>
      </c>
    </row>
    <row r="1290" spans="2:2" x14ac:dyDescent="0.25">
      <c r="B1290" t="s">
        <v>1756</v>
      </c>
    </row>
    <row r="1291" spans="2:2" x14ac:dyDescent="0.25">
      <c r="B1291" t="s">
        <v>1474</v>
      </c>
    </row>
    <row r="1292" spans="2:2" x14ac:dyDescent="0.25">
      <c r="B1292" t="s">
        <v>686</v>
      </c>
    </row>
    <row r="1293" spans="2:2" x14ac:dyDescent="0.25">
      <c r="B1293" t="s">
        <v>23</v>
      </c>
    </row>
    <row r="1294" spans="2:2" x14ac:dyDescent="0.25">
      <c r="B1294" t="s">
        <v>987</v>
      </c>
    </row>
    <row r="1295" spans="2:2" x14ac:dyDescent="0.25">
      <c r="B1295" t="s">
        <v>1302</v>
      </c>
    </row>
    <row r="1296" spans="2:2" x14ac:dyDescent="0.25">
      <c r="B1296" t="s">
        <v>1224</v>
      </c>
    </row>
    <row r="1297" spans="2:2" x14ac:dyDescent="0.25">
      <c r="B1297" t="s">
        <v>1604</v>
      </c>
    </row>
    <row r="1298" spans="2:2" x14ac:dyDescent="0.25">
      <c r="B1298" t="s">
        <v>710</v>
      </c>
    </row>
    <row r="1299" spans="2:2" x14ac:dyDescent="0.25">
      <c r="B1299" t="s">
        <v>407</v>
      </c>
    </row>
    <row r="1300" spans="2:2" x14ac:dyDescent="0.25">
      <c r="B1300" t="s">
        <v>51</v>
      </c>
    </row>
    <row r="1301" spans="2:2" x14ac:dyDescent="0.25">
      <c r="B1301" t="s">
        <v>362</v>
      </c>
    </row>
    <row r="1302" spans="2:2" x14ac:dyDescent="0.25">
      <c r="B1302" t="s">
        <v>1696</v>
      </c>
    </row>
    <row r="1303" spans="2:2" x14ac:dyDescent="0.25">
      <c r="B1303" t="s">
        <v>507</v>
      </c>
    </row>
    <row r="1304" spans="2:2" x14ac:dyDescent="0.25">
      <c r="B1304" t="s">
        <v>1536</v>
      </c>
    </row>
    <row r="1305" spans="2:2" x14ac:dyDescent="0.25">
      <c r="B1305" t="s">
        <v>35</v>
      </c>
    </row>
    <row r="1306" spans="2:2" x14ac:dyDescent="0.25">
      <c r="B1306" t="s">
        <v>370</v>
      </c>
    </row>
    <row r="1307" spans="2:2" x14ac:dyDescent="0.25">
      <c r="B1307" t="s">
        <v>1189</v>
      </c>
    </row>
    <row r="1308" spans="2:2" x14ac:dyDescent="0.25">
      <c r="B1308" t="s">
        <v>815</v>
      </c>
    </row>
    <row r="1309" spans="2:2" x14ac:dyDescent="0.25">
      <c r="B1309" t="s">
        <v>549</v>
      </c>
    </row>
    <row r="1310" spans="2:2" x14ac:dyDescent="0.25">
      <c r="B1310" t="s">
        <v>182</v>
      </c>
    </row>
    <row r="1311" spans="2:2" x14ac:dyDescent="0.25">
      <c r="B1311" t="s">
        <v>428</v>
      </c>
    </row>
    <row r="1312" spans="2:2" x14ac:dyDescent="0.25">
      <c r="B1312" t="s">
        <v>1206</v>
      </c>
    </row>
    <row r="1313" spans="2:2" x14ac:dyDescent="0.25">
      <c r="B1313" t="s">
        <v>690</v>
      </c>
    </row>
    <row r="1314" spans="2:2" x14ac:dyDescent="0.25">
      <c r="B1314" t="s">
        <v>278</v>
      </c>
    </row>
    <row r="1315" spans="2:2" x14ac:dyDescent="0.25">
      <c r="B1315" t="s">
        <v>970</v>
      </c>
    </row>
    <row r="1316" spans="2:2" x14ac:dyDescent="0.25">
      <c r="B1316" t="s">
        <v>554</v>
      </c>
    </row>
    <row r="1317" spans="2:2" x14ac:dyDescent="0.25">
      <c r="B1317" t="s">
        <v>347</v>
      </c>
    </row>
    <row r="1318" spans="2:2" x14ac:dyDescent="0.25">
      <c r="B1318" t="s">
        <v>983</v>
      </c>
    </row>
    <row r="1319" spans="2:2" x14ac:dyDescent="0.25">
      <c r="B1319" t="s">
        <v>435</v>
      </c>
    </row>
    <row r="1320" spans="2:2" x14ac:dyDescent="0.25">
      <c r="B1320" t="s">
        <v>359</v>
      </c>
    </row>
    <row r="1321" spans="2:2" x14ac:dyDescent="0.25">
      <c r="B1321" t="s">
        <v>1573</v>
      </c>
    </row>
    <row r="1322" spans="2:2" x14ac:dyDescent="0.25">
      <c r="B1322" t="s">
        <v>379</v>
      </c>
    </row>
    <row r="1323" spans="2:2" x14ac:dyDescent="0.25">
      <c r="B1323" t="s">
        <v>861</v>
      </c>
    </row>
    <row r="1324" spans="2:2" x14ac:dyDescent="0.25">
      <c r="B1324" t="s">
        <v>1321</v>
      </c>
    </row>
    <row r="1325" spans="2:2" x14ac:dyDescent="0.25">
      <c r="B1325" t="s">
        <v>228</v>
      </c>
    </row>
    <row r="1326" spans="2:2" x14ac:dyDescent="0.25">
      <c r="B1326" t="s">
        <v>1673</v>
      </c>
    </row>
    <row r="1327" spans="2:2" x14ac:dyDescent="0.25">
      <c r="B1327" t="s">
        <v>1388</v>
      </c>
    </row>
    <row r="1328" spans="2:2" x14ac:dyDescent="0.25">
      <c r="B1328" t="s">
        <v>1330</v>
      </c>
    </row>
    <row r="1329" spans="2:2" x14ac:dyDescent="0.25">
      <c r="B1329" t="s">
        <v>1715</v>
      </c>
    </row>
    <row r="1330" spans="2:2" x14ac:dyDescent="0.25">
      <c r="B1330" t="s">
        <v>874</v>
      </c>
    </row>
    <row r="1331" spans="2:2" x14ac:dyDescent="0.25">
      <c r="B1331" t="s">
        <v>1412</v>
      </c>
    </row>
    <row r="1332" spans="2:2" x14ac:dyDescent="0.25">
      <c r="B1332" t="s">
        <v>89</v>
      </c>
    </row>
    <row r="1333" spans="2:2" x14ac:dyDescent="0.25">
      <c r="B1333" t="s">
        <v>581</v>
      </c>
    </row>
    <row r="1334" spans="2:2" x14ac:dyDescent="0.25">
      <c r="B1334" t="s">
        <v>799</v>
      </c>
    </row>
    <row r="1335" spans="2:2" x14ac:dyDescent="0.25">
      <c r="B1335" t="s">
        <v>167</v>
      </c>
    </row>
    <row r="1336" spans="2:2" x14ac:dyDescent="0.25">
      <c r="B1336" t="s">
        <v>1002</v>
      </c>
    </row>
    <row r="1337" spans="2:2" x14ac:dyDescent="0.25">
      <c r="B1337" t="s">
        <v>5</v>
      </c>
    </row>
    <row r="1338" spans="2:2" x14ac:dyDescent="0.25">
      <c r="B1338" t="s">
        <v>249</v>
      </c>
    </row>
    <row r="1339" spans="2:2" x14ac:dyDescent="0.25">
      <c r="B1339" t="s">
        <v>1586</v>
      </c>
    </row>
    <row r="1340" spans="2:2" x14ac:dyDescent="0.25">
      <c r="B1340" t="s">
        <v>1631</v>
      </c>
    </row>
    <row r="1341" spans="2:2" x14ac:dyDescent="0.25">
      <c r="B1341" t="s">
        <v>1105</v>
      </c>
    </row>
    <row r="1342" spans="2:2" x14ac:dyDescent="0.25">
      <c r="B1342" t="s">
        <v>1233</v>
      </c>
    </row>
    <row r="1343" spans="2:2" x14ac:dyDescent="0.25">
      <c r="B1343" t="s">
        <v>1004</v>
      </c>
    </row>
    <row r="1344" spans="2:2" x14ac:dyDescent="0.25">
      <c r="B1344" t="s">
        <v>279</v>
      </c>
    </row>
    <row r="1345" spans="2:2" x14ac:dyDescent="0.25">
      <c r="B1345" t="s">
        <v>1679</v>
      </c>
    </row>
    <row r="1346" spans="2:2" x14ac:dyDescent="0.25">
      <c r="B1346" t="s">
        <v>835</v>
      </c>
    </row>
    <row r="1347" spans="2:2" x14ac:dyDescent="0.25">
      <c r="B1347" t="s">
        <v>1471</v>
      </c>
    </row>
    <row r="1348" spans="2:2" x14ac:dyDescent="0.25">
      <c r="B1348" t="s">
        <v>93</v>
      </c>
    </row>
    <row r="1349" spans="2:2" x14ac:dyDescent="0.25">
      <c r="B1349" t="s">
        <v>574</v>
      </c>
    </row>
    <row r="1350" spans="2:2" x14ac:dyDescent="0.25">
      <c r="B1350" t="s">
        <v>73</v>
      </c>
    </row>
    <row r="1351" spans="2:2" x14ac:dyDescent="0.25">
      <c r="B1351" t="s">
        <v>1545</v>
      </c>
    </row>
    <row r="1352" spans="2:2" x14ac:dyDescent="0.25">
      <c r="B1352" t="s">
        <v>533</v>
      </c>
    </row>
    <row r="1353" spans="2:2" x14ac:dyDescent="0.25">
      <c r="B1353" t="s">
        <v>1735</v>
      </c>
    </row>
    <row r="1354" spans="2:2" x14ac:dyDescent="0.25">
      <c r="B1354" t="s">
        <v>1122</v>
      </c>
    </row>
    <row r="1355" spans="2:2" x14ac:dyDescent="0.25">
      <c r="B1355" t="s">
        <v>271</v>
      </c>
    </row>
    <row r="1356" spans="2:2" x14ac:dyDescent="0.25">
      <c r="B1356" t="s">
        <v>1524</v>
      </c>
    </row>
    <row r="1357" spans="2:2" x14ac:dyDescent="0.25">
      <c r="B1357" t="s">
        <v>1434</v>
      </c>
    </row>
    <row r="1358" spans="2:2" x14ac:dyDescent="0.25">
      <c r="B1358" t="s">
        <v>924</v>
      </c>
    </row>
    <row r="1359" spans="2:2" x14ac:dyDescent="0.25">
      <c r="B1359" t="s">
        <v>479</v>
      </c>
    </row>
    <row r="1360" spans="2:2" x14ac:dyDescent="0.25">
      <c r="B1360" t="s">
        <v>656</v>
      </c>
    </row>
    <row r="1361" spans="2:2" x14ac:dyDescent="0.25">
      <c r="B1361" t="s">
        <v>1197</v>
      </c>
    </row>
    <row r="1362" spans="2:2" x14ac:dyDescent="0.25">
      <c r="B1362" t="s">
        <v>1500</v>
      </c>
    </row>
    <row r="1363" spans="2:2" x14ac:dyDescent="0.25">
      <c r="B1363" t="s">
        <v>48</v>
      </c>
    </row>
    <row r="1364" spans="2:2" x14ac:dyDescent="0.25">
      <c r="B1364" t="s">
        <v>1395</v>
      </c>
    </row>
    <row r="1365" spans="2:2" x14ac:dyDescent="0.25">
      <c r="B1365" t="s">
        <v>1256</v>
      </c>
    </row>
    <row r="1366" spans="2:2" x14ac:dyDescent="0.25">
      <c r="B1366" t="s">
        <v>1527</v>
      </c>
    </row>
    <row r="1367" spans="2:2" x14ac:dyDescent="0.25">
      <c r="B1367" t="s">
        <v>180</v>
      </c>
    </row>
    <row r="1368" spans="2:2" x14ac:dyDescent="0.25">
      <c r="B1368" t="s">
        <v>1180</v>
      </c>
    </row>
    <row r="1369" spans="2:2" x14ac:dyDescent="0.25">
      <c r="B1369" t="s">
        <v>1328</v>
      </c>
    </row>
    <row r="1370" spans="2:2" x14ac:dyDescent="0.25">
      <c r="B1370" t="s">
        <v>880</v>
      </c>
    </row>
    <row r="1371" spans="2:2" x14ac:dyDescent="0.25">
      <c r="B1371" t="s">
        <v>762</v>
      </c>
    </row>
    <row r="1372" spans="2:2" x14ac:dyDescent="0.25">
      <c r="B1372" t="s">
        <v>726</v>
      </c>
    </row>
    <row r="1373" spans="2:2" x14ac:dyDescent="0.25">
      <c r="B1373" t="s">
        <v>368</v>
      </c>
    </row>
    <row r="1374" spans="2:2" x14ac:dyDescent="0.25">
      <c r="B1374" t="s">
        <v>719</v>
      </c>
    </row>
    <row r="1375" spans="2:2" x14ac:dyDescent="0.25">
      <c r="B1375" t="s">
        <v>1027</v>
      </c>
    </row>
    <row r="1376" spans="2:2" x14ac:dyDescent="0.25">
      <c r="B1376" t="s">
        <v>162</v>
      </c>
    </row>
    <row r="1377" spans="2:2" x14ac:dyDescent="0.25">
      <c r="B1377" t="s">
        <v>109</v>
      </c>
    </row>
    <row r="1378" spans="2:2" x14ac:dyDescent="0.25">
      <c r="B1378" t="s">
        <v>251</v>
      </c>
    </row>
    <row r="1379" spans="2:2" x14ac:dyDescent="0.25">
      <c r="B1379" t="s">
        <v>1312</v>
      </c>
    </row>
    <row r="1380" spans="2:2" x14ac:dyDescent="0.25">
      <c r="B1380" t="s">
        <v>1635</v>
      </c>
    </row>
    <row r="1381" spans="2:2" x14ac:dyDescent="0.25">
      <c r="B1381" t="s">
        <v>946</v>
      </c>
    </row>
    <row r="1382" spans="2:2" x14ac:dyDescent="0.25">
      <c r="B1382" t="s">
        <v>832</v>
      </c>
    </row>
    <row r="1383" spans="2:2" x14ac:dyDescent="0.25">
      <c r="B1383" t="s">
        <v>1692</v>
      </c>
    </row>
    <row r="1384" spans="2:2" x14ac:dyDescent="0.25">
      <c r="B1384" t="s">
        <v>786</v>
      </c>
    </row>
    <row r="1385" spans="2:2" x14ac:dyDescent="0.25">
      <c r="B1385" t="s">
        <v>1761</v>
      </c>
    </row>
    <row r="1386" spans="2:2" x14ac:dyDescent="0.25">
      <c r="B1386" t="s">
        <v>919</v>
      </c>
    </row>
    <row r="1387" spans="2:2" x14ac:dyDescent="0.25">
      <c r="B1387" t="s">
        <v>1257</v>
      </c>
    </row>
    <row r="1388" spans="2:2" x14ac:dyDescent="0.25">
      <c r="B1388" t="s">
        <v>662</v>
      </c>
    </row>
    <row r="1389" spans="2:2" x14ac:dyDescent="0.25">
      <c r="B1389" t="s">
        <v>53</v>
      </c>
    </row>
    <row r="1390" spans="2:2" x14ac:dyDescent="0.25">
      <c r="B1390" t="s">
        <v>1193</v>
      </c>
    </row>
    <row r="1391" spans="2:2" x14ac:dyDescent="0.25">
      <c r="B1391" t="s">
        <v>1624</v>
      </c>
    </row>
    <row r="1392" spans="2:2" x14ac:dyDescent="0.25">
      <c r="B1392" t="s">
        <v>1276</v>
      </c>
    </row>
    <row r="1393" spans="2:2" x14ac:dyDescent="0.25">
      <c r="B1393" t="s">
        <v>1305</v>
      </c>
    </row>
    <row r="1394" spans="2:2" x14ac:dyDescent="0.25">
      <c r="B1394" t="s">
        <v>679</v>
      </c>
    </row>
    <row r="1395" spans="2:2" x14ac:dyDescent="0.25">
      <c r="B1395" t="s">
        <v>616</v>
      </c>
    </row>
    <row r="1396" spans="2:2" x14ac:dyDescent="0.25">
      <c r="B1396" t="s">
        <v>540</v>
      </c>
    </row>
    <row r="1397" spans="2:2" x14ac:dyDescent="0.25">
      <c r="B1397" t="s">
        <v>839</v>
      </c>
    </row>
    <row r="1398" spans="2:2" x14ac:dyDescent="0.25">
      <c r="B1398" t="s">
        <v>592</v>
      </c>
    </row>
    <row r="1399" spans="2:2" x14ac:dyDescent="0.25">
      <c r="B1399" t="s">
        <v>159</v>
      </c>
    </row>
    <row r="1400" spans="2:2" x14ac:dyDescent="0.25">
      <c r="B1400" t="s">
        <v>1359</v>
      </c>
    </row>
    <row r="1401" spans="2:2" x14ac:dyDescent="0.25">
      <c r="B1401" t="s">
        <v>1010</v>
      </c>
    </row>
    <row r="1402" spans="2:2" x14ac:dyDescent="0.25">
      <c r="B1402" t="s">
        <v>136</v>
      </c>
    </row>
    <row r="1403" spans="2:2" x14ac:dyDescent="0.25">
      <c r="B1403" t="s">
        <v>1005</v>
      </c>
    </row>
    <row r="1404" spans="2:2" x14ac:dyDescent="0.25">
      <c r="B1404" t="s">
        <v>20</v>
      </c>
    </row>
    <row r="1405" spans="2:2" x14ac:dyDescent="0.25">
      <c r="B1405" t="s">
        <v>1610</v>
      </c>
    </row>
    <row r="1406" spans="2:2" x14ac:dyDescent="0.25">
      <c r="B1406" t="s">
        <v>1418</v>
      </c>
    </row>
    <row r="1407" spans="2:2" x14ac:dyDescent="0.25">
      <c r="B1407" t="s">
        <v>283</v>
      </c>
    </row>
    <row r="1408" spans="2:2" x14ac:dyDescent="0.25">
      <c r="B1408" t="s">
        <v>959</v>
      </c>
    </row>
    <row r="1409" spans="2:2" x14ac:dyDescent="0.25">
      <c r="B1409" t="s">
        <v>1140</v>
      </c>
    </row>
    <row r="1410" spans="2:2" x14ac:dyDescent="0.25">
      <c r="B1410" t="s">
        <v>1468</v>
      </c>
    </row>
    <row r="1411" spans="2:2" x14ac:dyDescent="0.25">
      <c r="B1411" t="s">
        <v>1023</v>
      </c>
    </row>
    <row r="1412" spans="2:2" x14ac:dyDescent="0.25">
      <c r="B1412" t="s">
        <v>1554</v>
      </c>
    </row>
    <row r="1413" spans="2:2" x14ac:dyDescent="0.25">
      <c r="B1413" t="s">
        <v>870</v>
      </c>
    </row>
    <row r="1414" spans="2:2" x14ac:dyDescent="0.25">
      <c r="B1414" t="s">
        <v>836</v>
      </c>
    </row>
    <row r="1415" spans="2:2" x14ac:dyDescent="0.25">
      <c r="B1415" t="s">
        <v>535</v>
      </c>
    </row>
    <row r="1416" spans="2:2" x14ac:dyDescent="0.25">
      <c r="B1416" t="s">
        <v>1643</v>
      </c>
    </row>
    <row r="1417" spans="2:2" x14ac:dyDescent="0.25">
      <c r="B1417" t="s">
        <v>173</v>
      </c>
    </row>
    <row r="1418" spans="2:2" x14ac:dyDescent="0.25">
      <c r="B1418" t="s">
        <v>309</v>
      </c>
    </row>
    <row r="1419" spans="2:2" x14ac:dyDescent="0.25">
      <c r="B1419" t="s">
        <v>1719</v>
      </c>
    </row>
    <row r="1420" spans="2:2" x14ac:dyDescent="0.25">
      <c r="B1420" t="s">
        <v>1460</v>
      </c>
    </row>
    <row r="1421" spans="2:2" x14ac:dyDescent="0.25">
      <c r="B1421" t="s">
        <v>1414</v>
      </c>
    </row>
    <row r="1422" spans="2:2" x14ac:dyDescent="0.25">
      <c r="B1422" t="s">
        <v>1606</v>
      </c>
    </row>
    <row r="1423" spans="2:2" x14ac:dyDescent="0.25">
      <c r="B1423" t="s">
        <v>83</v>
      </c>
    </row>
    <row r="1424" spans="2:2" x14ac:dyDescent="0.25">
      <c r="B1424" t="s">
        <v>1764</v>
      </c>
    </row>
    <row r="1425" spans="2:2" x14ac:dyDescent="0.25">
      <c r="B1425" t="s">
        <v>1642</v>
      </c>
    </row>
    <row r="1426" spans="2:2" x14ac:dyDescent="0.25">
      <c r="B1426" t="s">
        <v>1390</v>
      </c>
    </row>
    <row r="1427" spans="2:2" x14ac:dyDescent="0.25">
      <c r="B1427" t="s">
        <v>1051</v>
      </c>
    </row>
    <row r="1428" spans="2:2" x14ac:dyDescent="0.25">
      <c r="B1428" t="s">
        <v>387</v>
      </c>
    </row>
    <row r="1429" spans="2:2" x14ac:dyDescent="0.25">
      <c r="B1429" t="s">
        <v>1222</v>
      </c>
    </row>
    <row r="1430" spans="2:2" x14ac:dyDescent="0.25">
      <c r="B1430" t="s">
        <v>857</v>
      </c>
    </row>
    <row r="1431" spans="2:2" x14ac:dyDescent="0.25">
      <c r="B1431" t="s">
        <v>1659</v>
      </c>
    </row>
    <row r="1432" spans="2:2" x14ac:dyDescent="0.25">
      <c r="B1432" t="s">
        <v>420</v>
      </c>
    </row>
    <row r="1433" spans="2:2" x14ac:dyDescent="0.25">
      <c r="B1433" t="s">
        <v>651</v>
      </c>
    </row>
    <row r="1434" spans="2:2" x14ac:dyDescent="0.25">
      <c r="B1434" t="s">
        <v>1310</v>
      </c>
    </row>
    <row r="1435" spans="2:2" x14ac:dyDescent="0.25">
      <c r="B1435" t="s">
        <v>75</v>
      </c>
    </row>
    <row r="1436" spans="2:2" x14ac:dyDescent="0.25">
      <c r="B1436" t="s">
        <v>1547</v>
      </c>
    </row>
    <row r="1437" spans="2:2" x14ac:dyDescent="0.25">
      <c r="B1437" t="s">
        <v>1721</v>
      </c>
    </row>
    <row r="1438" spans="2:2" x14ac:dyDescent="0.25">
      <c r="B1438" t="s">
        <v>209</v>
      </c>
    </row>
    <row r="1439" spans="2:2" x14ac:dyDescent="0.25">
      <c r="B1439" t="s">
        <v>1367</v>
      </c>
    </row>
    <row r="1440" spans="2:2" x14ac:dyDescent="0.25">
      <c r="B1440" t="s">
        <v>858</v>
      </c>
    </row>
    <row r="1441" spans="2:2" x14ac:dyDescent="0.25">
      <c r="B1441" t="s">
        <v>638</v>
      </c>
    </row>
    <row r="1442" spans="2:2" x14ac:dyDescent="0.25">
      <c r="B1442" t="s">
        <v>259</v>
      </c>
    </row>
    <row r="1443" spans="2:2" x14ac:dyDescent="0.25">
      <c r="B1443" t="s">
        <v>1136</v>
      </c>
    </row>
    <row r="1444" spans="2:2" x14ac:dyDescent="0.25">
      <c r="B1444" t="s">
        <v>287</v>
      </c>
    </row>
    <row r="1445" spans="2:2" x14ac:dyDescent="0.25">
      <c r="B1445" t="s">
        <v>794</v>
      </c>
    </row>
    <row r="1446" spans="2:2" x14ac:dyDescent="0.25">
      <c r="B1446" t="s">
        <v>1323</v>
      </c>
    </row>
    <row r="1447" spans="2:2" x14ac:dyDescent="0.25">
      <c r="B1447" t="s">
        <v>11</v>
      </c>
    </row>
    <row r="1448" spans="2:2" x14ac:dyDescent="0.25">
      <c r="B1448" t="s">
        <v>1621</v>
      </c>
    </row>
    <row r="1449" spans="2:2" x14ac:dyDescent="0.25">
      <c r="B1449" t="s">
        <v>1584</v>
      </c>
    </row>
    <row r="1450" spans="2:2" x14ac:dyDescent="0.25">
      <c r="B1450" t="s">
        <v>1198</v>
      </c>
    </row>
    <row r="1451" spans="2:2" x14ac:dyDescent="0.25">
      <c r="B1451" t="s">
        <v>18</v>
      </c>
    </row>
    <row r="1452" spans="2:2" x14ac:dyDescent="0.25">
      <c r="B1452" t="s">
        <v>883</v>
      </c>
    </row>
    <row r="1453" spans="2:2" x14ac:dyDescent="0.25">
      <c r="B1453" t="s">
        <v>415</v>
      </c>
    </row>
    <row r="1454" spans="2:2" x14ac:dyDescent="0.25">
      <c r="B1454" t="s">
        <v>1729</v>
      </c>
    </row>
    <row r="1455" spans="2:2" x14ac:dyDescent="0.25">
      <c r="B1455" t="s">
        <v>99</v>
      </c>
    </row>
    <row r="1456" spans="2:2" x14ac:dyDescent="0.25">
      <c r="B1456" t="s">
        <v>703</v>
      </c>
    </row>
    <row r="1457" spans="2:2" x14ac:dyDescent="0.25">
      <c r="B1457" t="s">
        <v>1329</v>
      </c>
    </row>
    <row r="1458" spans="2:2" x14ac:dyDescent="0.25">
      <c r="B1458" t="s">
        <v>665</v>
      </c>
    </row>
    <row r="1459" spans="2:2" x14ac:dyDescent="0.25">
      <c r="B1459" t="s">
        <v>1690</v>
      </c>
    </row>
    <row r="1460" spans="2:2" x14ac:dyDescent="0.25">
      <c r="B1460" t="s">
        <v>462</v>
      </c>
    </row>
    <row r="1461" spans="2:2" x14ac:dyDescent="0.25">
      <c r="B1461" t="s">
        <v>1617</v>
      </c>
    </row>
    <row r="1462" spans="2:2" x14ac:dyDescent="0.25">
      <c r="B1462" t="s">
        <v>1495</v>
      </c>
    </row>
    <row r="1463" spans="2:2" x14ac:dyDescent="0.25">
      <c r="B1463" t="s">
        <v>383</v>
      </c>
    </row>
    <row r="1464" spans="2:2" x14ac:dyDescent="0.25">
      <c r="B1464" t="s">
        <v>895</v>
      </c>
    </row>
    <row r="1465" spans="2:2" x14ac:dyDescent="0.25">
      <c r="B1465" t="s">
        <v>1049</v>
      </c>
    </row>
    <row r="1466" spans="2:2" x14ac:dyDescent="0.25">
      <c r="B1466" t="s">
        <v>115</v>
      </c>
    </row>
    <row r="1467" spans="2:2" x14ac:dyDescent="0.25">
      <c r="B1467" t="s">
        <v>1014</v>
      </c>
    </row>
    <row r="1468" spans="2:2" x14ac:dyDescent="0.25">
      <c r="B1468" t="s">
        <v>388</v>
      </c>
    </row>
    <row r="1469" spans="2:2" x14ac:dyDescent="0.25">
      <c r="B1469" t="s">
        <v>457</v>
      </c>
    </row>
    <row r="1470" spans="2:2" x14ac:dyDescent="0.25">
      <c r="B1470" t="s">
        <v>822</v>
      </c>
    </row>
    <row r="1471" spans="2:2" x14ac:dyDescent="0.25">
      <c r="B1471" t="s">
        <v>1134</v>
      </c>
    </row>
    <row r="1472" spans="2:2" x14ac:dyDescent="0.25">
      <c r="B1472" t="s">
        <v>1153</v>
      </c>
    </row>
    <row r="1473" spans="2:2" x14ac:dyDescent="0.25">
      <c r="B1473" t="s">
        <v>655</v>
      </c>
    </row>
    <row r="1474" spans="2:2" x14ac:dyDescent="0.25">
      <c r="B1474" t="s">
        <v>566</v>
      </c>
    </row>
    <row r="1475" spans="2:2" x14ac:dyDescent="0.25">
      <c r="B1475" t="s">
        <v>1113</v>
      </c>
    </row>
    <row r="1476" spans="2:2" x14ac:dyDescent="0.25">
      <c r="B1476" t="s">
        <v>245</v>
      </c>
    </row>
    <row r="1477" spans="2:2" x14ac:dyDescent="0.25">
      <c r="B1477" t="s">
        <v>967</v>
      </c>
    </row>
    <row r="1478" spans="2:2" x14ac:dyDescent="0.25">
      <c r="B1478" t="s">
        <v>1664</v>
      </c>
    </row>
    <row r="1479" spans="2:2" x14ac:dyDescent="0.25">
      <c r="B1479" t="s">
        <v>1235</v>
      </c>
    </row>
    <row r="1480" spans="2:2" x14ac:dyDescent="0.25">
      <c r="B1480" t="s">
        <v>1694</v>
      </c>
    </row>
    <row r="1481" spans="2:2" x14ac:dyDescent="0.25">
      <c r="B1481" t="s">
        <v>1191</v>
      </c>
    </row>
    <row r="1482" spans="2:2" x14ac:dyDescent="0.25">
      <c r="B1482" t="s">
        <v>534</v>
      </c>
    </row>
    <row r="1483" spans="2:2" x14ac:dyDescent="0.25">
      <c r="B1483" t="s">
        <v>1034</v>
      </c>
    </row>
    <row r="1484" spans="2:2" x14ac:dyDescent="0.25">
      <c r="B1484" t="s">
        <v>86</v>
      </c>
    </row>
    <row r="1485" spans="2:2" x14ac:dyDescent="0.25">
      <c r="B1485" t="s">
        <v>1754</v>
      </c>
    </row>
    <row r="1486" spans="2:2" x14ac:dyDescent="0.25">
      <c r="B1486" t="s">
        <v>1714</v>
      </c>
    </row>
    <row r="1487" spans="2:2" x14ac:dyDescent="0.25">
      <c r="B1487" t="s">
        <v>1763</v>
      </c>
    </row>
    <row r="1488" spans="2:2" x14ac:dyDescent="0.25">
      <c r="B1488" t="s">
        <v>913</v>
      </c>
    </row>
    <row r="1489" spans="2:2" x14ac:dyDescent="0.25">
      <c r="B1489" t="s">
        <v>723</v>
      </c>
    </row>
    <row r="1490" spans="2:2" x14ac:dyDescent="0.25">
      <c r="B1490" t="s">
        <v>1207</v>
      </c>
    </row>
    <row r="1491" spans="2:2" x14ac:dyDescent="0.25">
      <c r="B1491" t="s">
        <v>1379</v>
      </c>
    </row>
    <row r="1492" spans="2:2" x14ac:dyDescent="0.25">
      <c r="B1492" t="s">
        <v>558</v>
      </c>
    </row>
    <row r="1493" spans="2:2" x14ac:dyDescent="0.25">
      <c r="B1493" t="s">
        <v>248</v>
      </c>
    </row>
    <row r="1494" spans="2:2" x14ac:dyDescent="0.25">
      <c r="B1494" t="s">
        <v>230</v>
      </c>
    </row>
    <row r="1495" spans="2:2" x14ac:dyDescent="0.25">
      <c r="B1495" t="s">
        <v>1555</v>
      </c>
    </row>
    <row r="1496" spans="2:2" x14ac:dyDescent="0.25">
      <c r="B1496" t="s">
        <v>1098</v>
      </c>
    </row>
    <row r="1497" spans="2:2" x14ac:dyDescent="0.25">
      <c r="B1497" t="s">
        <v>1013</v>
      </c>
    </row>
    <row r="1498" spans="2:2" x14ac:dyDescent="0.25">
      <c r="B1498" t="s">
        <v>394</v>
      </c>
    </row>
    <row r="1499" spans="2:2" x14ac:dyDescent="0.25">
      <c r="B1499" t="s">
        <v>1576</v>
      </c>
    </row>
    <row r="1500" spans="2:2" x14ac:dyDescent="0.25">
      <c r="B1500" t="s">
        <v>218</v>
      </c>
    </row>
    <row r="1501" spans="2:2" x14ac:dyDescent="0.25">
      <c r="B1501" t="s">
        <v>1596</v>
      </c>
    </row>
    <row r="1502" spans="2:2" x14ac:dyDescent="0.25">
      <c r="B1502" t="s">
        <v>102</v>
      </c>
    </row>
    <row r="1503" spans="2:2" x14ac:dyDescent="0.25">
      <c r="B1503" t="s">
        <v>202</v>
      </c>
    </row>
    <row r="1504" spans="2:2" x14ac:dyDescent="0.25">
      <c r="B1504" t="s">
        <v>761</v>
      </c>
    </row>
    <row r="1505" spans="2:2" x14ac:dyDescent="0.25">
      <c r="B1505" t="s">
        <v>1544</v>
      </c>
    </row>
    <row r="1506" spans="2:2" x14ac:dyDescent="0.25">
      <c r="B1506" t="s">
        <v>1357</v>
      </c>
    </row>
    <row r="1507" spans="2:2" x14ac:dyDescent="0.25">
      <c r="B1507" t="s">
        <v>45</v>
      </c>
    </row>
    <row r="1508" spans="2:2" x14ac:dyDescent="0.25">
      <c r="B1508" t="s">
        <v>139</v>
      </c>
    </row>
    <row r="1509" spans="2:2" x14ac:dyDescent="0.25">
      <c r="B1509" t="s">
        <v>1282</v>
      </c>
    </row>
    <row r="1510" spans="2:2" x14ac:dyDescent="0.25">
      <c r="B1510" t="s">
        <v>1176</v>
      </c>
    </row>
    <row r="1511" spans="2:2" x14ac:dyDescent="0.25">
      <c r="B1511" t="s">
        <v>1496</v>
      </c>
    </row>
    <row r="1512" spans="2:2" x14ac:dyDescent="0.25">
      <c r="B1512" t="s">
        <v>1382</v>
      </c>
    </row>
    <row r="1513" spans="2:2" x14ac:dyDescent="0.25">
      <c r="B1513" t="s">
        <v>386</v>
      </c>
    </row>
    <row r="1514" spans="2:2" x14ac:dyDescent="0.25">
      <c r="B1514" t="s">
        <v>1091</v>
      </c>
    </row>
    <row r="1515" spans="2:2" x14ac:dyDescent="0.25">
      <c r="B1515" t="s">
        <v>896</v>
      </c>
    </row>
    <row r="1516" spans="2:2" x14ac:dyDescent="0.25">
      <c r="B1516" t="s">
        <v>1240</v>
      </c>
    </row>
    <row r="1517" spans="2:2" x14ac:dyDescent="0.25">
      <c r="B1517" t="s">
        <v>250</v>
      </c>
    </row>
    <row r="1518" spans="2:2" x14ac:dyDescent="0.25">
      <c r="B1518" t="s">
        <v>903</v>
      </c>
    </row>
    <row r="1519" spans="2:2" x14ac:dyDescent="0.25">
      <c r="B1519" t="s">
        <v>1116</v>
      </c>
    </row>
    <row r="1520" spans="2:2" x14ac:dyDescent="0.25">
      <c r="B1520" t="s">
        <v>172</v>
      </c>
    </row>
    <row r="1521" spans="2:2" x14ac:dyDescent="0.25">
      <c r="B1521" t="s">
        <v>1404</v>
      </c>
    </row>
    <row r="1522" spans="2:2" x14ac:dyDescent="0.25">
      <c r="B1522" t="s">
        <v>1026</v>
      </c>
    </row>
    <row r="1523" spans="2:2" x14ac:dyDescent="0.25">
      <c r="B1523" t="s">
        <v>565</v>
      </c>
    </row>
    <row r="1524" spans="2:2" x14ac:dyDescent="0.25">
      <c r="B1524" t="s">
        <v>1205</v>
      </c>
    </row>
    <row r="1525" spans="2:2" x14ac:dyDescent="0.25">
      <c r="B1525" t="s">
        <v>1067</v>
      </c>
    </row>
    <row r="1526" spans="2:2" x14ac:dyDescent="0.25">
      <c r="B1526" t="s">
        <v>892</v>
      </c>
    </row>
    <row r="1527" spans="2:2" x14ac:dyDescent="0.25">
      <c r="B1527" t="s">
        <v>1073</v>
      </c>
    </row>
    <row r="1528" spans="2:2" x14ac:dyDescent="0.25">
      <c r="B1528" t="s">
        <v>1616</v>
      </c>
    </row>
    <row r="1529" spans="2:2" x14ac:dyDescent="0.25">
      <c r="B1529" t="s">
        <v>927</v>
      </c>
    </row>
    <row r="1530" spans="2:2" x14ac:dyDescent="0.25">
      <c r="B1530" t="s">
        <v>628</v>
      </c>
    </row>
    <row r="1531" spans="2:2" x14ac:dyDescent="0.25">
      <c r="B1531" t="s">
        <v>1534</v>
      </c>
    </row>
    <row r="1532" spans="2:2" x14ac:dyDescent="0.25">
      <c r="B1532" t="s">
        <v>1360</v>
      </c>
    </row>
    <row r="1533" spans="2:2" x14ac:dyDescent="0.25">
      <c r="B1533" t="s">
        <v>311</v>
      </c>
    </row>
    <row r="1534" spans="2:2" x14ac:dyDescent="0.25">
      <c r="B1534" t="s">
        <v>506</v>
      </c>
    </row>
    <row r="1535" spans="2:2" x14ac:dyDescent="0.25">
      <c r="B1535" t="s">
        <v>431</v>
      </c>
    </row>
    <row r="1536" spans="2:2" x14ac:dyDescent="0.25">
      <c r="B1536" t="s">
        <v>1738</v>
      </c>
    </row>
    <row r="1537" spans="2:2" x14ac:dyDescent="0.25">
      <c r="B1537" t="s">
        <v>877</v>
      </c>
    </row>
    <row r="1538" spans="2:2" x14ac:dyDescent="0.25">
      <c r="B1538" t="s">
        <v>625</v>
      </c>
    </row>
    <row r="1539" spans="2:2" x14ac:dyDescent="0.25">
      <c r="B1539" t="s">
        <v>459</v>
      </c>
    </row>
    <row r="1540" spans="2:2" x14ac:dyDescent="0.25">
      <c r="B1540" t="s">
        <v>485</v>
      </c>
    </row>
    <row r="1541" spans="2:2" x14ac:dyDescent="0.25">
      <c r="B1541" t="s">
        <v>353</v>
      </c>
    </row>
    <row r="1542" spans="2:2" x14ac:dyDescent="0.25">
      <c r="B1542" t="s">
        <v>473</v>
      </c>
    </row>
    <row r="1543" spans="2:2" x14ac:dyDescent="0.25">
      <c r="B1543" t="s">
        <v>1695</v>
      </c>
    </row>
    <row r="1544" spans="2:2" x14ac:dyDescent="0.25">
      <c r="B1544" t="s">
        <v>67</v>
      </c>
    </row>
    <row r="1545" spans="2:2" x14ac:dyDescent="0.25">
      <c r="B1545" t="s">
        <v>280</v>
      </c>
    </row>
    <row r="1546" spans="2:2" x14ac:dyDescent="0.25">
      <c r="B1546" t="s">
        <v>1118</v>
      </c>
    </row>
    <row r="1547" spans="2:2" x14ac:dyDescent="0.25">
      <c r="B1547" t="s">
        <v>508</v>
      </c>
    </row>
    <row r="1548" spans="2:2" x14ac:dyDescent="0.25">
      <c r="B1548" t="s">
        <v>813</v>
      </c>
    </row>
    <row r="1549" spans="2:2" x14ac:dyDescent="0.25">
      <c r="B1549" t="s">
        <v>1670</v>
      </c>
    </row>
    <row r="1550" spans="2:2" x14ac:dyDescent="0.25">
      <c r="B1550" t="s">
        <v>1483</v>
      </c>
    </row>
    <row r="1551" spans="2:2" x14ac:dyDescent="0.25">
      <c r="B1551" t="s">
        <v>683</v>
      </c>
    </row>
    <row r="1552" spans="2:2" x14ac:dyDescent="0.25">
      <c r="B1552" t="s">
        <v>543</v>
      </c>
    </row>
    <row r="1553" spans="2:2" x14ac:dyDescent="0.25">
      <c r="B1553" t="s">
        <v>1595</v>
      </c>
    </row>
    <row r="1554" spans="2:2" x14ac:dyDescent="0.25">
      <c r="B1554" t="s">
        <v>1322</v>
      </c>
    </row>
    <row r="1555" spans="2:2" x14ac:dyDescent="0.25">
      <c r="B1555" t="s">
        <v>195</v>
      </c>
    </row>
    <row r="1556" spans="2:2" x14ac:dyDescent="0.25">
      <c r="B1556" t="s">
        <v>140</v>
      </c>
    </row>
    <row r="1557" spans="2:2" x14ac:dyDescent="0.25">
      <c r="B1557" t="s">
        <v>1130</v>
      </c>
    </row>
    <row r="1558" spans="2:2" x14ac:dyDescent="0.25">
      <c r="B1558" t="s">
        <v>328</v>
      </c>
    </row>
    <row r="1559" spans="2:2" x14ac:dyDescent="0.25">
      <c r="B1559" t="s">
        <v>497</v>
      </c>
    </row>
    <row r="1560" spans="2:2" x14ac:dyDescent="0.25">
      <c r="B1560" t="s">
        <v>427</v>
      </c>
    </row>
    <row r="1561" spans="2:2" x14ac:dyDescent="0.25">
      <c r="B1561" t="s">
        <v>1294</v>
      </c>
    </row>
    <row r="1562" spans="2:2" x14ac:dyDescent="0.25">
      <c r="B1562" t="s">
        <v>1556</v>
      </c>
    </row>
    <row r="1563" spans="2:2" x14ac:dyDescent="0.25">
      <c r="B1563" t="s">
        <v>216</v>
      </c>
    </row>
    <row r="1564" spans="2:2" x14ac:dyDescent="0.25">
      <c r="B1564" t="s">
        <v>247</v>
      </c>
    </row>
    <row r="1565" spans="2:2" x14ac:dyDescent="0.25">
      <c r="B1565" t="s">
        <v>597</v>
      </c>
    </row>
    <row r="1566" spans="2:2" x14ac:dyDescent="0.25">
      <c r="B1566" t="s">
        <v>54</v>
      </c>
    </row>
    <row r="1567" spans="2:2" x14ac:dyDescent="0.25">
      <c r="B1567" t="s">
        <v>555</v>
      </c>
    </row>
    <row r="1568" spans="2:2" x14ac:dyDescent="0.25">
      <c r="B1568" t="s">
        <v>1691</v>
      </c>
    </row>
    <row r="1569" spans="2:2" x14ac:dyDescent="0.25">
      <c r="B1569" t="s">
        <v>1701</v>
      </c>
    </row>
    <row r="1570" spans="2:2" x14ac:dyDescent="0.25">
      <c r="B1570" t="s">
        <v>734</v>
      </c>
    </row>
    <row r="1571" spans="2:2" x14ac:dyDescent="0.25">
      <c r="B1571" t="s">
        <v>673</v>
      </c>
    </row>
    <row r="1572" spans="2:2" x14ac:dyDescent="0.25">
      <c r="B1572" t="s">
        <v>1378</v>
      </c>
    </row>
    <row r="1573" spans="2:2" x14ac:dyDescent="0.25">
      <c r="B1573" t="s">
        <v>1056</v>
      </c>
    </row>
    <row r="1574" spans="2:2" x14ac:dyDescent="0.25">
      <c r="B1574" t="s">
        <v>804</v>
      </c>
    </row>
    <row r="1575" spans="2:2" x14ac:dyDescent="0.25">
      <c r="B1575" t="s">
        <v>962</v>
      </c>
    </row>
    <row r="1576" spans="2:2" x14ac:dyDescent="0.25">
      <c r="B1576" t="s">
        <v>1671</v>
      </c>
    </row>
    <row r="1577" spans="2:2" x14ac:dyDescent="0.25">
      <c r="B1577" t="s">
        <v>158</v>
      </c>
    </row>
    <row r="1578" spans="2:2" x14ac:dyDescent="0.25">
      <c r="B1578" t="s">
        <v>438</v>
      </c>
    </row>
    <row r="1579" spans="2:2" x14ac:dyDescent="0.25">
      <c r="B1579" t="s">
        <v>1370</v>
      </c>
    </row>
    <row r="1580" spans="2:2" x14ac:dyDescent="0.25">
      <c r="B1580" t="s">
        <v>1723</v>
      </c>
    </row>
    <row r="1581" spans="2:2" x14ac:dyDescent="0.25">
      <c r="B1581" t="s">
        <v>327</v>
      </c>
    </row>
    <row r="1582" spans="2:2" x14ac:dyDescent="0.25">
      <c r="B1582" t="s">
        <v>1089</v>
      </c>
    </row>
    <row r="1583" spans="2:2" x14ac:dyDescent="0.25">
      <c r="B1583" t="s">
        <v>724</v>
      </c>
    </row>
    <row r="1584" spans="2:2" x14ac:dyDescent="0.25">
      <c r="B1584" t="s">
        <v>1044</v>
      </c>
    </row>
    <row r="1585" spans="2:2" x14ac:dyDescent="0.25">
      <c r="B1585" t="s">
        <v>1710</v>
      </c>
    </row>
    <row r="1586" spans="2:2" x14ac:dyDescent="0.25">
      <c r="B1586" t="s">
        <v>789</v>
      </c>
    </row>
    <row r="1587" spans="2:2" x14ac:dyDescent="0.25">
      <c r="B1587" t="s">
        <v>276</v>
      </c>
    </row>
    <row r="1588" spans="2:2" x14ac:dyDescent="0.25">
      <c r="B1588" t="s">
        <v>1597</v>
      </c>
    </row>
    <row r="1589" spans="2:2" x14ac:dyDescent="0.25">
      <c r="B1589" t="s">
        <v>613</v>
      </c>
    </row>
    <row r="1590" spans="2:2" x14ac:dyDescent="0.25">
      <c r="B1590" t="s">
        <v>632</v>
      </c>
    </row>
    <row r="1591" spans="2:2" x14ac:dyDescent="0.25">
      <c r="B1591" t="s">
        <v>121</v>
      </c>
    </row>
    <row r="1592" spans="2:2" x14ac:dyDescent="0.25">
      <c r="B1592" t="s">
        <v>964</v>
      </c>
    </row>
    <row r="1593" spans="2:2" x14ac:dyDescent="0.25">
      <c r="B1593" t="s">
        <v>478</v>
      </c>
    </row>
    <row r="1594" spans="2:2" x14ac:dyDescent="0.25">
      <c r="B1594" t="s">
        <v>134</v>
      </c>
    </row>
    <row r="1595" spans="2:2" x14ac:dyDescent="0.25">
      <c r="B1595" t="s">
        <v>677</v>
      </c>
    </row>
    <row r="1596" spans="2:2" x14ac:dyDescent="0.25">
      <c r="B1596" t="s">
        <v>878</v>
      </c>
    </row>
    <row r="1597" spans="2:2" x14ac:dyDescent="0.25">
      <c r="B1597" t="s">
        <v>1656</v>
      </c>
    </row>
    <row r="1598" spans="2:2" x14ac:dyDescent="0.25">
      <c r="B1598" t="s">
        <v>1349</v>
      </c>
    </row>
    <row r="1599" spans="2:2" x14ac:dyDescent="0.25">
      <c r="B1599" t="s">
        <v>503</v>
      </c>
    </row>
    <row r="1600" spans="2:2" x14ac:dyDescent="0.25">
      <c r="B1600" t="s">
        <v>704</v>
      </c>
    </row>
    <row r="1601" spans="2:2" x14ac:dyDescent="0.25">
      <c r="B1601" t="s">
        <v>790</v>
      </c>
    </row>
    <row r="1602" spans="2:2" x14ac:dyDescent="0.25">
      <c r="B1602" t="s">
        <v>823</v>
      </c>
    </row>
    <row r="1603" spans="2:2" x14ac:dyDescent="0.25">
      <c r="B1603" t="s">
        <v>246</v>
      </c>
    </row>
    <row r="1604" spans="2:2" x14ac:dyDescent="0.25">
      <c r="B1604" t="s">
        <v>1150</v>
      </c>
    </row>
    <row r="1605" spans="2:2" x14ac:dyDescent="0.25">
      <c r="B1605" t="s">
        <v>345</v>
      </c>
    </row>
    <row r="1606" spans="2:2" x14ac:dyDescent="0.25">
      <c r="B1606" t="s">
        <v>944</v>
      </c>
    </row>
    <row r="1607" spans="2:2" x14ac:dyDescent="0.25">
      <c r="B1607" t="s">
        <v>85</v>
      </c>
    </row>
    <row r="1608" spans="2:2" x14ac:dyDescent="0.25">
      <c r="B1608" t="s">
        <v>1509</v>
      </c>
    </row>
    <row r="1609" spans="2:2" x14ac:dyDescent="0.25">
      <c r="B1609" t="s">
        <v>1143</v>
      </c>
    </row>
    <row r="1610" spans="2:2" x14ac:dyDescent="0.25">
      <c r="B1610" t="s">
        <v>1722</v>
      </c>
    </row>
    <row r="1611" spans="2:2" x14ac:dyDescent="0.25">
      <c r="B1611" t="s">
        <v>31</v>
      </c>
    </row>
    <row r="1612" spans="2:2" x14ac:dyDescent="0.25">
      <c r="B1612" t="s">
        <v>355</v>
      </c>
    </row>
    <row r="1613" spans="2:2" x14ac:dyDescent="0.25">
      <c r="B1613" t="s">
        <v>128</v>
      </c>
    </row>
    <row r="1614" spans="2:2" x14ac:dyDescent="0.25">
      <c r="B1614" t="s">
        <v>1041</v>
      </c>
    </row>
    <row r="1615" spans="2:2" x14ac:dyDescent="0.25">
      <c r="B1615" t="s">
        <v>181</v>
      </c>
    </row>
    <row r="1616" spans="2:2" x14ac:dyDescent="0.25">
      <c r="B1616" t="s">
        <v>208</v>
      </c>
    </row>
    <row r="1617" spans="2:2" x14ac:dyDescent="0.25">
      <c r="B1617" t="s">
        <v>1448</v>
      </c>
    </row>
    <row r="1618" spans="2:2" x14ac:dyDescent="0.25">
      <c r="B1618" t="s">
        <v>577</v>
      </c>
    </row>
    <row r="1619" spans="2:2" x14ac:dyDescent="0.25">
      <c r="B1619" t="s">
        <v>465</v>
      </c>
    </row>
    <row r="1620" spans="2:2" x14ac:dyDescent="0.25">
      <c r="B1620" t="s">
        <v>1731</v>
      </c>
    </row>
    <row r="1621" spans="2:2" x14ac:dyDescent="0.25">
      <c r="B1621" t="s">
        <v>803</v>
      </c>
    </row>
    <row r="1622" spans="2:2" x14ac:dyDescent="0.25">
      <c r="B1622" t="s">
        <v>36</v>
      </c>
    </row>
    <row r="1623" spans="2:2" x14ac:dyDescent="0.25">
      <c r="B1623" t="s">
        <v>1510</v>
      </c>
    </row>
    <row r="1624" spans="2:2" x14ac:dyDescent="0.25">
      <c r="B1624" t="s">
        <v>455</v>
      </c>
    </row>
    <row r="1625" spans="2:2" x14ac:dyDescent="0.25">
      <c r="B1625" t="s">
        <v>1202</v>
      </c>
    </row>
    <row r="1626" spans="2:2" x14ac:dyDescent="0.25">
      <c r="B1626" t="s">
        <v>569</v>
      </c>
    </row>
    <row r="1627" spans="2:2" x14ac:dyDescent="0.25">
      <c r="B1627" t="s">
        <v>423</v>
      </c>
    </row>
    <row r="1628" spans="2:2" x14ac:dyDescent="0.25">
      <c r="B1628" t="s">
        <v>696</v>
      </c>
    </row>
    <row r="1629" spans="2:2" x14ac:dyDescent="0.25">
      <c r="B1629" t="s">
        <v>524</v>
      </c>
    </row>
    <row r="1630" spans="2:2" x14ac:dyDescent="0.25">
      <c r="B1630" t="s">
        <v>530</v>
      </c>
    </row>
    <row r="1631" spans="2:2" x14ac:dyDescent="0.25">
      <c r="B1631" t="s">
        <v>1753</v>
      </c>
    </row>
    <row r="1632" spans="2:2" x14ac:dyDescent="0.25">
      <c r="B1632" t="s">
        <v>921</v>
      </c>
    </row>
    <row r="1633" spans="2:2" x14ac:dyDescent="0.25">
      <c r="B1633" t="s">
        <v>1383</v>
      </c>
    </row>
    <row r="1634" spans="2:2" x14ac:dyDescent="0.25">
      <c r="B1634" t="s">
        <v>657</v>
      </c>
    </row>
    <row r="1635" spans="2:2" x14ac:dyDescent="0.25">
      <c r="B1635" t="s">
        <v>607</v>
      </c>
    </row>
    <row r="1636" spans="2:2" x14ac:dyDescent="0.25">
      <c r="B1636" t="s">
        <v>312</v>
      </c>
    </row>
    <row r="1637" spans="2:2" x14ac:dyDescent="0.25">
      <c r="B1637" t="s">
        <v>609</v>
      </c>
    </row>
    <row r="1638" spans="2:2" x14ac:dyDescent="0.25">
      <c r="B1638" t="s">
        <v>1453</v>
      </c>
    </row>
    <row r="1639" spans="2:2" x14ac:dyDescent="0.25">
      <c r="B1639" t="s">
        <v>60</v>
      </c>
    </row>
    <row r="1640" spans="2:2" x14ac:dyDescent="0.25">
      <c r="B1640" t="s">
        <v>523</v>
      </c>
    </row>
    <row r="1641" spans="2:2" x14ac:dyDescent="0.25">
      <c r="B1641" t="s">
        <v>754</v>
      </c>
    </row>
    <row r="1642" spans="2:2" x14ac:dyDescent="0.25">
      <c r="B1642" t="s">
        <v>1209</v>
      </c>
    </row>
    <row r="1643" spans="2:2" x14ac:dyDescent="0.25">
      <c r="B1643" t="s">
        <v>1533</v>
      </c>
    </row>
    <row r="1644" spans="2:2" x14ac:dyDescent="0.25">
      <c r="B1644" t="s">
        <v>905</v>
      </c>
    </row>
    <row r="1645" spans="2:2" x14ac:dyDescent="0.25">
      <c r="B1645" t="s">
        <v>1650</v>
      </c>
    </row>
    <row r="1646" spans="2:2" x14ac:dyDescent="0.25">
      <c r="B1646" t="s">
        <v>660</v>
      </c>
    </row>
    <row r="1647" spans="2:2" x14ac:dyDescent="0.25">
      <c r="B1647" t="s">
        <v>663</v>
      </c>
    </row>
    <row r="1648" spans="2:2" x14ac:dyDescent="0.25">
      <c r="B1648" t="s">
        <v>1488</v>
      </c>
    </row>
    <row r="1649" spans="2:2" x14ac:dyDescent="0.25">
      <c r="B1649" t="s">
        <v>1477</v>
      </c>
    </row>
    <row r="1650" spans="2:2" x14ac:dyDescent="0.25">
      <c r="B1650" t="s">
        <v>221</v>
      </c>
    </row>
    <row r="1651" spans="2:2" x14ac:dyDescent="0.25">
      <c r="B1651" t="s">
        <v>300</v>
      </c>
    </row>
    <row r="1652" spans="2:2" x14ac:dyDescent="0.25">
      <c r="B1652" t="s">
        <v>148</v>
      </c>
    </row>
    <row r="1653" spans="2:2" x14ac:dyDescent="0.25">
      <c r="B1653" t="s">
        <v>41</v>
      </c>
    </row>
    <row r="1654" spans="2:2" x14ac:dyDescent="0.25">
      <c r="B1654" t="s">
        <v>1127</v>
      </c>
    </row>
    <row r="1655" spans="2:2" x14ac:dyDescent="0.25">
      <c r="B1655" t="s">
        <v>4</v>
      </c>
    </row>
    <row r="1656" spans="2:2" x14ac:dyDescent="0.25">
      <c r="B1656" t="s">
        <v>1497</v>
      </c>
    </row>
    <row r="1657" spans="2:2" x14ac:dyDescent="0.25">
      <c r="B1657" t="s">
        <v>691</v>
      </c>
    </row>
    <row r="1658" spans="2:2" x14ac:dyDescent="0.25">
      <c r="B1658" t="s">
        <v>50</v>
      </c>
    </row>
    <row r="1659" spans="2:2" x14ac:dyDescent="0.25">
      <c r="B1659" t="s">
        <v>269</v>
      </c>
    </row>
    <row r="1660" spans="2:2" x14ac:dyDescent="0.25">
      <c r="B1660" t="s">
        <v>1648</v>
      </c>
    </row>
    <row r="1661" spans="2:2" x14ac:dyDescent="0.25">
      <c r="B1661" t="s">
        <v>1102</v>
      </c>
    </row>
    <row r="1662" spans="2:2" x14ac:dyDescent="0.25">
      <c r="B1662" t="s">
        <v>203</v>
      </c>
    </row>
    <row r="1663" spans="2:2" x14ac:dyDescent="0.25">
      <c r="B1663" t="s">
        <v>939</v>
      </c>
    </row>
    <row r="1664" spans="2:2" x14ac:dyDescent="0.25">
      <c r="B1664" t="s">
        <v>19</v>
      </c>
    </row>
    <row r="1665" spans="2:2" x14ac:dyDescent="0.25">
      <c r="B1665" t="s">
        <v>893</v>
      </c>
    </row>
    <row r="1666" spans="2:2" x14ac:dyDescent="0.25">
      <c r="B1666" t="s">
        <v>482</v>
      </c>
    </row>
    <row r="1667" spans="2:2" x14ac:dyDescent="0.25">
      <c r="B1667" t="s">
        <v>296</v>
      </c>
    </row>
    <row r="1668" spans="2:2" x14ac:dyDescent="0.25">
      <c r="B1668" t="s">
        <v>1400</v>
      </c>
    </row>
    <row r="1669" spans="2:2" x14ac:dyDescent="0.25">
      <c r="B1669" t="s">
        <v>1368</v>
      </c>
    </row>
    <row r="1670" spans="2:2" x14ac:dyDescent="0.25">
      <c r="B1670" t="s">
        <v>1247</v>
      </c>
    </row>
    <row r="1671" spans="2:2" x14ac:dyDescent="0.25">
      <c r="B1671" t="s">
        <v>1512</v>
      </c>
    </row>
    <row r="1672" spans="2:2" x14ac:dyDescent="0.25">
      <c r="B1672" t="s">
        <v>1651</v>
      </c>
    </row>
    <row r="1673" spans="2:2" x14ac:dyDescent="0.25">
      <c r="B1673" t="s">
        <v>1384</v>
      </c>
    </row>
    <row r="1674" spans="2:2" x14ac:dyDescent="0.25">
      <c r="B1674" t="s">
        <v>261</v>
      </c>
    </row>
    <row r="1675" spans="2:2" x14ac:dyDescent="0.25">
      <c r="B1675" t="s">
        <v>88</v>
      </c>
    </row>
    <row r="1676" spans="2:2" x14ac:dyDescent="0.25">
      <c r="B1676" t="s">
        <v>862</v>
      </c>
    </row>
    <row r="1677" spans="2:2" x14ac:dyDescent="0.25">
      <c r="B1677" t="s">
        <v>1716</v>
      </c>
    </row>
    <row r="1678" spans="2:2" x14ac:dyDescent="0.25">
      <c r="B1678" t="s">
        <v>1263</v>
      </c>
    </row>
    <row r="1679" spans="2:2" x14ac:dyDescent="0.25">
      <c r="B1679" t="s">
        <v>1490</v>
      </c>
    </row>
    <row r="1680" spans="2:2" x14ac:dyDescent="0.25">
      <c r="B1680" t="s">
        <v>178</v>
      </c>
    </row>
    <row r="1681" spans="2:2" x14ac:dyDescent="0.25">
      <c r="B1681" t="s">
        <v>1432</v>
      </c>
    </row>
    <row r="1682" spans="2:2" x14ac:dyDescent="0.25">
      <c r="B1682" t="s">
        <v>342</v>
      </c>
    </row>
    <row r="1683" spans="2:2" x14ac:dyDescent="0.25">
      <c r="B1683" t="s">
        <v>1398</v>
      </c>
    </row>
    <row r="1684" spans="2:2" x14ac:dyDescent="0.25">
      <c r="B1684" t="s">
        <v>564</v>
      </c>
    </row>
    <row r="1685" spans="2:2" x14ac:dyDescent="0.25">
      <c r="B1685" t="s">
        <v>920</v>
      </c>
    </row>
    <row r="1686" spans="2:2" x14ac:dyDescent="0.25">
      <c r="B1686" t="s">
        <v>1072</v>
      </c>
    </row>
    <row r="1687" spans="2:2" x14ac:dyDescent="0.25">
      <c r="B1687" t="s">
        <v>1503</v>
      </c>
    </row>
    <row r="1688" spans="2:2" x14ac:dyDescent="0.25">
      <c r="B1688" t="s">
        <v>1406</v>
      </c>
    </row>
    <row r="1689" spans="2:2" x14ac:dyDescent="0.25">
      <c r="B1689" t="s">
        <v>429</v>
      </c>
    </row>
    <row r="1690" spans="2:2" x14ac:dyDescent="0.25">
      <c r="B1690" t="s">
        <v>113</v>
      </c>
    </row>
    <row r="1691" spans="2:2" x14ac:dyDescent="0.25">
      <c r="B1691" t="s">
        <v>1413</v>
      </c>
    </row>
    <row r="1692" spans="2:2" x14ac:dyDescent="0.25">
      <c r="B1692" t="s">
        <v>366</v>
      </c>
    </row>
    <row r="1693" spans="2:2" x14ac:dyDescent="0.25">
      <c r="B1693" t="s">
        <v>732</v>
      </c>
    </row>
    <row r="1694" spans="2:2" x14ac:dyDescent="0.25">
      <c r="B1694" t="s">
        <v>763</v>
      </c>
    </row>
    <row r="1695" spans="2:2" x14ac:dyDescent="0.25">
      <c r="B1695" t="s">
        <v>352</v>
      </c>
    </row>
    <row r="1696" spans="2:2" x14ac:dyDescent="0.25">
      <c r="B1696" t="s">
        <v>461</v>
      </c>
    </row>
    <row r="1697" spans="2:2" x14ac:dyDescent="0.25">
      <c r="B1697" t="s">
        <v>988</v>
      </c>
    </row>
    <row r="1698" spans="2:2" x14ac:dyDescent="0.25">
      <c r="B1698" t="s">
        <v>1636</v>
      </c>
    </row>
    <row r="1699" spans="2:2" x14ac:dyDescent="0.25">
      <c r="B1699" t="s">
        <v>1537</v>
      </c>
    </row>
    <row r="1700" spans="2:2" x14ac:dyDescent="0.25">
      <c r="B1700" t="s">
        <v>688</v>
      </c>
    </row>
    <row r="1701" spans="2:2" x14ac:dyDescent="0.25">
      <c r="B1701" t="s">
        <v>1103</v>
      </c>
    </row>
    <row r="1702" spans="2:2" x14ac:dyDescent="0.25">
      <c r="B1702" t="s">
        <v>1699</v>
      </c>
    </row>
    <row r="1703" spans="2:2" x14ac:dyDescent="0.25">
      <c r="B1703" t="s">
        <v>1755</v>
      </c>
    </row>
    <row r="1704" spans="2:2" x14ac:dyDescent="0.25">
      <c r="B1704" t="s">
        <v>30</v>
      </c>
    </row>
    <row r="1705" spans="2:2" x14ac:dyDescent="0.25">
      <c r="B1705" t="s">
        <v>777</v>
      </c>
    </row>
    <row r="1706" spans="2:2" x14ac:dyDescent="0.25">
      <c r="B1706" t="s">
        <v>1253</v>
      </c>
    </row>
    <row r="1707" spans="2:2" x14ac:dyDescent="0.25">
      <c r="B1707" t="s">
        <v>1703</v>
      </c>
    </row>
    <row r="1708" spans="2:2" x14ac:dyDescent="0.25">
      <c r="B1708" t="s">
        <v>712</v>
      </c>
    </row>
    <row r="1709" spans="2:2" x14ac:dyDescent="0.25">
      <c r="B1709" t="s">
        <v>441</v>
      </c>
    </row>
    <row r="1710" spans="2:2" x14ac:dyDescent="0.25">
      <c r="B1710" t="s">
        <v>753</v>
      </c>
    </row>
    <row r="1711" spans="2:2" x14ac:dyDescent="0.25">
      <c r="B1711" t="s">
        <v>1307</v>
      </c>
    </row>
    <row r="1712" spans="2:2" x14ac:dyDescent="0.25">
      <c r="B1712" t="s">
        <v>1192</v>
      </c>
    </row>
    <row r="1713" spans="2:2" x14ac:dyDescent="0.25">
      <c r="B1713" t="s">
        <v>64</v>
      </c>
    </row>
    <row r="1714" spans="2:2" x14ac:dyDescent="0.25">
      <c r="B1714" t="s">
        <v>1506</v>
      </c>
    </row>
    <row r="1715" spans="2:2" x14ac:dyDescent="0.25">
      <c r="B1715" t="s">
        <v>1720</v>
      </c>
    </row>
    <row r="1716" spans="2:2" x14ac:dyDescent="0.25">
      <c r="B1716" t="s">
        <v>1048</v>
      </c>
    </row>
    <row r="1717" spans="2:2" x14ac:dyDescent="0.25">
      <c r="B1717" t="s">
        <v>376</v>
      </c>
    </row>
    <row r="1718" spans="2:2" x14ac:dyDescent="0.25">
      <c r="B1718" t="s">
        <v>364</v>
      </c>
    </row>
    <row r="1719" spans="2:2" x14ac:dyDescent="0.25">
      <c r="B1719" t="s">
        <v>272</v>
      </c>
    </row>
    <row r="1720" spans="2:2" x14ac:dyDescent="0.25">
      <c r="B1720" t="s">
        <v>411</v>
      </c>
    </row>
    <row r="1721" spans="2:2" x14ac:dyDescent="0.25">
      <c r="B1721" t="s">
        <v>830</v>
      </c>
    </row>
    <row r="1722" spans="2:2" x14ac:dyDescent="0.25">
      <c r="B1722" t="s">
        <v>1132</v>
      </c>
    </row>
    <row r="1723" spans="2:2" x14ac:dyDescent="0.25">
      <c r="B1723" t="s">
        <v>476</v>
      </c>
    </row>
    <row r="1724" spans="2:2" x14ac:dyDescent="0.25">
      <c r="B1724" t="s">
        <v>1401</v>
      </c>
    </row>
    <row r="1725" spans="2:2" x14ac:dyDescent="0.25">
      <c r="B1725" t="s">
        <v>1062</v>
      </c>
    </row>
    <row r="1726" spans="2:2" x14ac:dyDescent="0.25">
      <c r="B1726" t="s">
        <v>1568</v>
      </c>
    </row>
    <row r="1727" spans="2:2" x14ac:dyDescent="0.25">
      <c r="B1727" t="s">
        <v>238</v>
      </c>
    </row>
    <row r="1728" spans="2:2" x14ac:dyDescent="0.25">
      <c r="B1728" t="s">
        <v>1381</v>
      </c>
    </row>
    <row r="1729" spans="2:2" x14ac:dyDescent="0.25">
      <c r="B1729" t="s">
        <v>1292</v>
      </c>
    </row>
    <row r="1730" spans="2:2" x14ac:dyDescent="0.25">
      <c r="B1730" t="s">
        <v>453</v>
      </c>
    </row>
    <row r="1731" spans="2:2" x14ac:dyDescent="0.25">
      <c r="B1731" t="s">
        <v>1768</v>
      </c>
    </row>
    <row r="1732" spans="2:2" x14ac:dyDescent="0.25">
      <c r="B1732" t="s">
        <v>338</v>
      </c>
    </row>
    <row r="1733" spans="2:2" x14ac:dyDescent="0.25">
      <c r="B1733" t="s">
        <v>2</v>
      </c>
    </row>
    <row r="1734" spans="2:2" x14ac:dyDescent="0.25">
      <c r="B1734" t="s">
        <v>1469</v>
      </c>
    </row>
    <row r="1735" spans="2:2" x14ac:dyDescent="0.25">
      <c r="B1735" t="s">
        <v>1611</v>
      </c>
    </row>
    <row r="1736" spans="2:2" x14ac:dyDescent="0.25">
      <c r="B1736" t="s">
        <v>430</v>
      </c>
    </row>
    <row r="1737" spans="2:2" x14ac:dyDescent="0.25">
      <c r="B1737" t="s">
        <v>1194</v>
      </c>
    </row>
    <row r="1738" spans="2:2" x14ac:dyDescent="0.25">
      <c r="B1738" t="s">
        <v>1053</v>
      </c>
    </row>
    <row r="1739" spans="2:2" x14ac:dyDescent="0.25">
      <c r="B1739" t="s">
        <v>838</v>
      </c>
    </row>
    <row r="1740" spans="2:2" x14ac:dyDescent="0.25">
      <c r="B1740" t="s">
        <v>778</v>
      </c>
    </row>
    <row r="1741" spans="2:2" x14ac:dyDescent="0.25">
      <c r="B1741" t="s">
        <v>493</v>
      </c>
    </row>
    <row r="1742" spans="2:2" x14ac:dyDescent="0.25">
      <c r="B1742" t="s">
        <v>966</v>
      </c>
    </row>
    <row r="1743" spans="2:2" x14ac:dyDescent="0.25">
      <c r="B1743" t="s">
        <v>1428</v>
      </c>
    </row>
    <row r="1744" spans="2:2" x14ac:dyDescent="0.25">
      <c r="B1744" t="s">
        <v>1138</v>
      </c>
    </row>
    <row r="1745" spans="2:2" x14ac:dyDescent="0.25">
      <c r="B1745" t="s">
        <v>621</v>
      </c>
    </row>
    <row r="1746" spans="2:2" x14ac:dyDescent="0.25">
      <c r="B1746" t="s">
        <v>151</v>
      </c>
    </row>
    <row r="1747" spans="2:2" x14ac:dyDescent="0.25">
      <c r="B1747" t="s">
        <v>1565</v>
      </c>
    </row>
    <row r="1748" spans="2:2" x14ac:dyDescent="0.25">
      <c r="B1748" t="s">
        <v>1601</v>
      </c>
    </row>
    <row r="1749" spans="2:2" x14ac:dyDescent="0.25">
      <c r="B1749" t="s">
        <v>1725</v>
      </c>
    </row>
    <row r="1750" spans="2:2" x14ac:dyDescent="0.25">
      <c r="B1750" t="s">
        <v>1135</v>
      </c>
    </row>
    <row r="1751" spans="2:2" x14ac:dyDescent="0.25">
      <c r="B1751" t="s">
        <v>1451</v>
      </c>
    </row>
    <row r="1752" spans="2:2" x14ac:dyDescent="0.25">
      <c r="B1752" t="s">
        <v>1429</v>
      </c>
    </row>
    <row r="1753" spans="2:2" x14ac:dyDescent="0.25">
      <c r="B1753" t="s">
        <v>855</v>
      </c>
    </row>
    <row r="1754" spans="2:2" x14ac:dyDescent="0.25">
      <c r="B1754" t="s">
        <v>187</v>
      </c>
    </row>
    <row r="1755" spans="2:2" x14ac:dyDescent="0.25">
      <c r="B1755" t="s">
        <v>1528</v>
      </c>
    </row>
    <row r="1756" spans="2:2" x14ac:dyDescent="0.25">
      <c r="B1756" t="s">
        <v>1035</v>
      </c>
    </row>
    <row r="1757" spans="2:2" x14ac:dyDescent="0.25">
      <c r="B1757" t="s">
        <v>840</v>
      </c>
    </row>
    <row r="1758" spans="2:2" x14ac:dyDescent="0.25">
      <c r="B1758" t="s">
        <v>821</v>
      </c>
    </row>
    <row r="1759" spans="2:2" x14ac:dyDescent="0.25">
      <c r="B1759" t="s">
        <v>164</v>
      </c>
    </row>
    <row r="1760" spans="2:2" x14ac:dyDescent="0.25">
      <c r="B1760" t="s">
        <v>449</v>
      </c>
    </row>
    <row r="1761" spans="2:2" x14ac:dyDescent="0.25">
      <c r="B1761" t="s">
        <v>1532</v>
      </c>
    </row>
    <row r="1762" spans="2:2" x14ac:dyDescent="0.25">
      <c r="B1762" t="s">
        <v>1112</v>
      </c>
    </row>
    <row r="1763" spans="2:2" x14ac:dyDescent="0.25">
      <c r="B1763" t="s">
        <v>1009</v>
      </c>
    </row>
    <row r="1764" spans="2:2" x14ac:dyDescent="0.25">
      <c r="B1764" t="s">
        <v>1739</v>
      </c>
    </row>
    <row r="1765" spans="2:2" x14ac:dyDescent="0.25">
      <c r="B1765" t="s">
        <v>156</v>
      </c>
    </row>
    <row r="1766" spans="2:2" x14ac:dyDescent="0.25">
      <c r="B1766" t="s">
        <v>1362</v>
      </c>
    </row>
    <row r="1767" spans="2:2" x14ac:dyDescent="0.25">
      <c r="B1767" t="s">
        <v>292</v>
      </c>
    </row>
    <row r="1768" spans="2:2" x14ac:dyDescent="0.25">
      <c r="B1768" t="s">
        <v>1770</v>
      </c>
    </row>
    <row r="1769" spans="2:2" x14ac:dyDescent="0.25">
      <c r="B1769" t="s">
        <v>623</v>
      </c>
    </row>
    <row r="1770" spans="2:2" x14ac:dyDescent="0.25">
      <c r="B1770" t="s">
        <v>79</v>
      </c>
    </row>
    <row r="1771" spans="2:2" x14ac:dyDescent="0.25">
      <c r="B1771" t="s">
        <v>1186</v>
      </c>
    </row>
    <row r="1772" spans="2:2" x14ac:dyDescent="0.25">
      <c r="B1772" t="s">
        <v>698</v>
      </c>
    </row>
    <row r="1773" spans="2:2" x14ac:dyDescent="0.25">
      <c r="B1773" t="s">
        <v>444</v>
      </c>
    </row>
    <row r="1774" spans="2:2" x14ac:dyDescent="0.25">
      <c r="B1774" t="s">
        <v>1331</v>
      </c>
    </row>
    <row r="1775" spans="2:2" x14ac:dyDescent="0.25">
      <c r="B1775" t="s">
        <v>738</v>
      </c>
    </row>
    <row r="1776" spans="2:2" x14ac:dyDescent="0.25">
      <c r="B1776" t="s">
        <v>871</v>
      </c>
    </row>
    <row r="1777" spans="2:2" x14ac:dyDescent="0.25">
      <c r="B1777" t="s">
        <v>281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Stock</vt:lpstr>
      <vt:lpstr>Option Strategies --&gt;</vt:lpstr>
      <vt:lpstr>Covered Calls</vt:lpstr>
      <vt:lpstr>Covered Call Performance</vt:lpstr>
      <vt:lpstr>Bull Put Spread</vt:lpstr>
      <vt:lpstr>Bull Put Spread Performance</vt:lpstr>
      <vt:lpstr>Bear Call Spread</vt:lpstr>
      <vt:lpstr>Reference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2020-04-16T12:14:58Z</dcterms:modified>
</cp:coreProperties>
</file>